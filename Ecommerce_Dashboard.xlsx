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83B76B6E-FA01-4D9A-A0BE-D67C8B8E8FCA}" xr6:coauthVersionLast="47" xr6:coauthVersionMax="47" xr10:uidLastSave="{00000000-0000-0000-0000-000000000000}"/>
  <bookViews>
    <workbookView xWindow="-120" yWindow="-120" windowWidth="20730" windowHeight="11160" activeTab="3" xr2:uid="{00000000-000D-0000-FFFF-FFFF00000000}"/>
  </bookViews>
  <sheets>
    <sheet name="Start_Here(Cover)" sheetId="7" r:id="rId1"/>
    <sheet name="Raw_Data" sheetId="1" r:id="rId2"/>
    <sheet name="Clean_Data" sheetId="4" r:id="rId3"/>
    <sheet name="Pivot_Table" sheetId="5" r:id="rId4"/>
    <sheet name="Dashboard" sheetId="6" r:id="rId5"/>
  </sheets>
  <definedNames>
    <definedName name="_xlnm._FilterDatabase" localSheetId="1" hidden="1">Raw_Data!$A$1:$W$1213</definedName>
    <definedName name="_xlchart.v5.0" hidden="1">Pivot_Table!$D$36</definedName>
    <definedName name="_xlchart.v5.1" hidden="1">Pivot_Table!$D$37:$D$45</definedName>
    <definedName name="_xlchart.v5.10" hidden="1">Pivot_Table!$B$36</definedName>
    <definedName name="_xlchart.v5.11" hidden="1">Pivot_Table!$B$37:$B$45</definedName>
    <definedName name="_xlchart.v5.2" hidden="1">Pivot_Table!$E$36</definedName>
    <definedName name="_xlchart.v5.3" hidden="1">Pivot_Table!$E$37:$E$45</definedName>
    <definedName name="_xlchart.v5.4" hidden="1">Pivot_Table!$A$36</definedName>
    <definedName name="_xlchart.v5.5" hidden="1">Pivot_Table!$A$37:$A$45</definedName>
    <definedName name="_xlchart.v5.6" hidden="1">Pivot_Table!$B$36</definedName>
    <definedName name="_xlchart.v5.7" hidden="1">Pivot_Table!$B$37:$B$45</definedName>
    <definedName name="_xlchart.v5.8" hidden="1">Pivot_Table!$A$36</definedName>
    <definedName name="_xlchart.v5.9" hidden="1">Pivot_Table!$A$37:$A$45</definedName>
    <definedName name="ExternalData_1" localSheetId="2" hidden="1">Clean_Data!$A$1:$Q$1201</definedName>
    <definedName name="Slicer_Category">#N/A</definedName>
    <definedName name="Slicer_Month">#N/A</definedName>
    <definedName name="Slicer_Order_Status">#N/A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6" l="1"/>
  <c r="D11" i="6"/>
  <c r="D10" i="6"/>
  <c r="E15" i="6"/>
  <c r="Y3" i="4" a="1"/>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T1199" i="1"/>
  <c r="R2" i="4"/>
  <c r="S2" i="4" s="1"/>
  <c r="T2" i="4" s="1"/>
  <c r="U2" i="4" s="1"/>
  <c r="V2" i="4" s="1"/>
  <c r="R3" i="4"/>
  <c r="S3" i="4" s="1"/>
  <c r="T3" i="4" s="1"/>
  <c r="U3" i="4" s="1"/>
  <c r="V3" i="4" s="1"/>
  <c r="R4" i="4"/>
  <c r="S4" i="4" s="1"/>
  <c r="T4" i="4" s="1"/>
  <c r="U4" i="4" s="1"/>
  <c r="V4" i="4" s="1"/>
  <c r="R5" i="4"/>
  <c r="S5" i="4" s="1"/>
  <c r="T5" i="4" s="1"/>
  <c r="U5" i="4" s="1"/>
  <c r="V5" i="4" s="1"/>
  <c r="R6" i="4"/>
  <c r="S6" i="4" s="1"/>
  <c r="T6" i="4" s="1"/>
  <c r="U6" i="4" s="1"/>
  <c r="V6" i="4" s="1"/>
  <c r="R7" i="4"/>
  <c r="S7" i="4" s="1"/>
  <c r="T7" i="4" s="1"/>
  <c r="U7" i="4" s="1"/>
  <c r="V7" i="4" s="1"/>
  <c r="R8" i="4"/>
  <c r="S8" i="4" s="1"/>
  <c r="T8" i="4" s="1"/>
  <c r="U8" i="4" s="1"/>
  <c r="V8" i="4" s="1"/>
  <c r="R9" i="4"/>
  <c r="S9" i="4" s="1"/>
  <c r="T9" i="4" s="1"/>
  <c r="U9" i="4" s="1"/>
  <c r="V9" i="4" s="1"/>
  <c r="R10" i="4"/>
  <c r="S10" i="4" s="1"/>
  <c r="T10" i="4" s="1"/>
  <c r="U10" i="4" s="1"/>
  <c r="V10" i="4" s="1"/>
  <c r="R11" i="4"/>
  <c r="S11" i="4" s="1"/>
  <c r="T11" i="4" s="1"/>
  <c r="U11" i="4" s="1"/>
  <c r="V11" i="4" s="1"/>
  <c r="R12" i="4"/>
  <c r="S12" i="4" s="1"/>
  <c r="T12" i="4" s="1"/>
  <c r="U12" i="4" s="1"/>
  <c r="V12" i="4" s="1"/>
  <c r="R13" i="4"/>
  <c r="S13" i="4" s="1"/>
  <c r="T13" i="4" s="1"/>
  <c r="U13" i="4" s="1"/>
  <c r="V13" i="4" s="1"/>
  <c r="R14" i="4"/>
  <c r="S14" i="4" s="1"/>
  <c r="T14" i="4" s="1"/>
  <c r="U14" i="4" s="1"/>
  <c r="V14" i="4" s="1"/>
  <c r="R15" i="4"/>
  <c r="S15" i="4" s="1"/>
  <c r="T15" i="4" s="1"/>
  <c r="U15" i="4" s="1"/>
  <c r="V15" i="4" s="1"/>
  <c r="R16" i="4"/>
  <c r="S16" i="4" s="1"/>
  <c r="T16" i="4" s="1"/>
  <c r="U16" i="4" s="1"/>
  <c r="V16" i="4" s="1"/>
  <c r="R17" i="4"/>
  <c r="S17" i="4" s="1"/>
  <c r="T17" i="4" s="1"/>
  <c r="U17" i="4" s="1"/>
  <c r="V17" i="4" s="1"/>
  <c r="R18" i="4"/>
  <c r="S18" i="4" s="1"/>
  <c r="T18" i="4" s="1"/>
  <c r="U18" i="4" s="1"/>
  <c r="V18" i="4" s="1"/>
  <c r="R19" i="4"/>
  <c r="S19" i="4" s="1"/>
  <c r="T19" i="4" s="1"/>
  <c r="U19" i="4" s="1"/>
  <c r="V19" i="4" s="1"/>
  <c r="R20" i="4"/>
  <c r="S20" i="4" s="1"/>
  <c r="T20" i="4" s="1"/>
  <c r="U20" i="4" s="1"/>
  <c r="V20" i="4" s="1"/>
  <c r="R21" i="4"/>
  <c r="S21" i="4" s="1"/>
  <c r="T21" i="4" s="1"/>
  <c r="U21" i="4" s="1"/>
  <c r="V21" i="4" s="1"/>
  <c r="R22" i="4"/>
  <c r="S22" i="4" s="1"/>
  <c r="T22" i="4" s="1"/>
  <c r="U22" i="4" s="1"/>
  <c r="V22" i="4" s="1"/>
  <c r="R23" i="4"/>
  <c r="S23" i="4" s="1"/>
  <c r="T23" i="4" s="1"/>
  <c r="U23" i="4" s="1"/>
  <c r="V23" i="4" s="1"/>
  <c r="R24" i="4"/>
  <c r="S24" i="4" s="1"/>
  <c r="T24" i="4" s="1"/>
  <c r="U24" i="4" s="1"/>
  <c r="V24" i="4" s="1"/>
  <c r="R25" i="4"/>
  <c r="S25" i="4" s="1"/>
  <c r="T25" i="4" s="1"/>
  <c r="U25" i="4" s="1"/>
  <c r="V25" i="4" s="1"/>
  <c r="R26" i="4"/>
  <c r="S26" i="4" s="1"/>
  <c r="T26" i="4" s="1"/>
  <c r="U26" i="4" s="1"/>
  <c r="V26" i="4" s="1"/>
  <c r="R27" i="4"/>
  <c r="S27" i="4" s="1"/>
  <c r="T27" i="4" s="1"/>
  <c r="U27" i="4" s="1"/>
  <c r="V27" i="4" s="1"/>
  <c r="R28" i="4"/>
  <c r="S28" i="4" s="1"/>
  <c r="T28" i="4" s="1"/>
  <c r="U28" i="4" s="1"/>
  <c r="V28" i="4" s="1"/>
  <c r="R29" i="4"/>
  <c r="S29" i="4" s="1"/>
  <c r="T29" i="4" s="1"/>
  <c r="U29" i="4" s="1"/>
  <c r="V29" i="4" s="1"/>
  <c r="R30" i="4"/>
  <c r="S30" i="4" s="1"/>
  <c r="T30" i="4" s="1"/>
  <c r="U30" i="4" s="1"/>
  <c r="V30" i="4" s="1"/>
  <c r="R31" i="4"/>
  <c r="S31" i="4" s="1"/>
  <c r="T31" i="4" s="1"/>
  <c r="U31" i="4" s="1"/>
  <c r="V31" i="4" s="1"/>
  <c r="R32" i="4"/>
  <c r="S32" i="4" s="1"/>
  <c r="T32" i="4" s="1"/>
  <c r="U32" i="4" s="1"/>
  <c r="V32" i="4" s="1"/>
  <c r="R33" i="4"/>
  <c r="S33" i="4" s="1"/>
  <c r="T33" i="4" s="1"/>
  <c r="U33" i="4" s="1"/>
  <c r="V33" i="4" s="1"/>
  <c r="R34" i="4"/>
  <c r="S34" i="4" s="1"/>
  <c r="T34" i="4" s="1"/>
  <c r="U34" i="4" s="1"/>
  <c r="V34" i="4" s="1"/>
  <c r="R35" i="4"/>
  <c r="S35" i="4" s="1"/>
  <c r="T35" i="4" s="1"/>
  <c r="U35" i="4" s="1"/>
  <c r="V35" i="4" s="1"/>
  <c r="R36" i="4"/>
  <c r="S36" i="4" s="1"/>
  <c r="T36" i="4" s="1"/>
  <c r="U36" i="4" s="1"/>
  <c r="V36" i="4" s="1"/>
  <c r="R37" i="4"/>
  <c r="S37" i="4" s="1"/>
  <c r="T37" i="4" s="1"/>
  <c r="U37" i="4" s="1"/>
  <c r="V37" i="4" s="1"/>
  <c r="R38" i="4"/>
  <c r="S38" i="4" s="1"/>
  <c r="T38" i="4" s="1"/>
  <c r="U38" i="4" s="1"/>
  <c r="V38" i="4" s="1"/>
  <c r="R39" i="4"/>
  <c r="S39" i="4" s="1"/>
  <c r="T39" i="4" s="1"/>
  <c r="U39" i="4" s="1"/>
  <c r="V39" i="4" s="1"/>
  <c r="R40" i="4"/>
  <c r="S40" i="4" s="1"/>
  <c r="T40" i="4" s="1"/>
  <c r="U40" i="4" s="1"/>
  <c r="V40" i="4" s="1"/>
  <c r="R41" i="4"/>
  <c r="S41" i="4" s="1"/>
  <c r="T41" i="4" s="1"/>
  <c r="U41" i="4" s="1"/>
  <c r="V41" i="4" s="1"/>
  <c r="R42" i="4"/>
  <c r="S42" i="4" s="1"/>
  <c r="T42" i="4" s="1"/>
  <c r="U42" i="4" s="1"/>
  <c r="V42" i="4" s="1"/>
  <c r="R43" i="4"/>
  <c r="S43" i="4" s="1"/>
  <c r="T43" i="4" s="1"/>
  <c r="U43" i="4" s="1"/>
  <c r="V43" i="4" s="1"/>
  <c r="R44" i="4"/>
  <c r="S44" i="4" s="1"/>
  <c r="T44" i="4" s="1"/>
  <c r="U44" i="4" s="1"/>
  <c r="V44" i="4" s="1"/>
  <c r="R45" i="4"/>
  <c r="S45" i="4" s="1"/>
  <c r="T45" i="4" s="1"/>
  <c r="U45" i="4" s="1"/>
  <c r="V45" i="4" s="1"/>
  <c r="R46" i="4"/>
  <c r="S46" i="4" s="1"/>
  <c r="T46" i="4" s="1"/>
  <c r="U46" i="4" s="1"/>
  <c r="V46" i="4" s="1"/>
  <c r="R47" i="4"/>
  <c r="S47" i="4" s="1"/>
  <c r="T47" i="4" s="1"/>
  <c r="U47" i="4" s="1"/>
  <c r="V47" i="4" s="1"/>
  <c r="R48" i="4"/>
  <c r="S48" i="4" s="1"/>
  <c r="T48" i="4" s="1"/>
  <c r="U48" i="4" s="1"/>
  <c r="V48" i="4" s="1"/>
  <c r="R49" i="4"/>
  <c r="S49" i="4" s="1"/>
  <c r="T49" i="4" s="1"/>
  <c r="U49" i="4" s="1"/>
  <c r="V49" i="4" s="1"/>
  <c r="R50" i="4"/>
  <c r="S50" i="4" s="1"/>
  <c r="T50" i="4" s="1"/>
  <c r="U50" i="4" s="1"/>
  <c r="V50" i="4" s="1"/>
  <c r="R51" i="4"/>
  <c r="S51" i="4" s="1"/>
  <c r="T51" i="4" s="1"/>
  <c r="U51" i="4" s="1"/>
  <c r="V51" i="4" s="1"/>
  <c r="R52" i="4"/>
  <c r="S52" i="4" s="1"/>
  <c r="T52" i="4" s="1"/>
  <c r="U52" i="4" s="1"/>
  <c r="V52" i="4" s="1"/>
  <c r="R53" i="4"/>
  <c r="S53" i="4" s="1"/>
  <c r="T53" i="4" s="1"/>
  <c r="U53" i="4" s="1"/>
  <c r="V53" i="4" s="1"/>
  <c r="R54" i="4"/>
  <c r="S54" i="4" s="1"/>
  <c r="T54" i="4" s="1"/>
  <c r="U54" i="4" s="1"/>
  <c r="V54" i="4" s="1"/>
  <c r="R55" i="4"/>
  <c r="S55" i="4" s="1"/>
  <c r="T55" i="4" s="1"/>
  <c r="U55" i="4" s="1"/>
  <c r="V55" i="4" s="1"/>
  <c r="R56" i="4"/>
  <c r="S56" i="4" s="1"/>
  <c r="T56" i="4" s="1"/>
  <c r="U56" i="4" s="1"/>
  <c r="V56" i="4" s="1"/>
  <c r="R57" i="4"/>
  <c r="S57" i="4" s="1"/>
  <c r="T57" i="4" s="1"/>
  <c r="U57" i="4" s="1"/>
  <c r="V57" i="4" s="1"/>
  <c r="R58" i="4"/>
  <c r="S58" i="4" s="1"/>
  <c r="T58" i="4" s="1"/>
  <c r="U58" i="4" s="1"/>
  <c r="V58" i="4" s="1"/>
  <c r="R59" i="4"/>
  <c r="S59" i="4" s="1"/>
  <c r="T59" i="4" s="1"/>
  <c r="U59" i="4" s="1"/>
  <c r="V59" i="4" s="1"/>
  <c r="R60" i="4"/>
  <c r="S60" i="4" s="1"/>
  <c r="T60" i="4" s="1"/>
  <c r="U60" i="4" s="1"/>
  <c r="V60" i="4" s="1"/>
  <c r="R61" i="4"/>
  <c r="S61" i="4" s="1"/>
  <c r="T61" i="4" s="1"/>
  <c r="U61" i="4" s="1"/>
  <c r="V61" i="4" s="1"/>
  <c r="R62" i="4"/>
  <c r="S62" i="4" s="1"/>
  <c r="T62" i="4" s="1"/>
  <c r="U62" i="4" s="1"/>
  <c r="V62" i="4" s="1"/>
  <c r="R63" i="4"/>
  <c r="S63" i="4" s="1"/>
  <c r="T63" i="4" s="1"/>
  <c r="U63" i="4" s="1"/>
  <c r="V63" i="4" s="1"/>
  <c r="R64" i="4"/>
  <c r="S64" i="4" s="1"/>
  <c r="T64" i="4" s="1"/>
  <c r="U64" i="4" s="1"/>
  <c r="V64" i="4" s="1"/>
  <c r="R65" i="4"/>
  <c r="S65" i="4" s="1"/>
  <c r="T65" i="4" s="1"/>
  <c r="U65" i="4" s="1"/>
  <c r="V65" i="4" s="1"/>
  <c r="R66" i="4"/>
  <c r="S66" i="4" s="1"/>
  <c r="T66" i="4" s="1"/>
  <c r="U66" i="4" s="1"/>
  <c r="V66" i="4" s="1"/>
  <c r="R67" i="4"/>
  <c r="S67" i="4" s="1"/>
  <c r="T67" i="4" s="1"/>
  <c r="U67" i="4" s="1"/>
  <c r="V67" i="4" s="1"/>
  <c r="R68" i="4"/>
  <c r="S68" i="4" s="1"/>
  <c r="T68" i="4" s="1"/>
  <c r="U68" i="4" s="1"/>
  <c r="V68" i="4" s="1"/>
  <c r="R69" i="4"/>
  <c r="S69" i="4" s="1"/>
  <c r="T69" i="4" s="1"/>
  <c r="U69" i="4" s="1"/>
  <c r="V69" i="4" s="1"/>
  <c r="R70" i="4"/>
  <c r="S70" i="4" s="1"/>
  <c r="T70" i="4" s="1"/>
  <c r="U70" i="4" s="1"/>
  <c r="V70" i="4" s="1"/>
  <c r="R71" i="4"/>
  <c r="S71" i="4" s="1"/>
  <c r="T71" i="4" s="1"/>
  <c r="U71" i="4" s="1"/>
  <c r="V71" i="4" s="1"/>
  <c r="R72" i="4"/>
  <c r="S72" i="4" s="1"/>
  <c r="T72" i="4" s="1"/>
  <c r="U72" i="4" s="1"/>
  <c r="V72" i="4" s="1"/>
  <c r="R73" i="4"/>
  <c r="S73" i="4" s="1"/>
  <c r="T73" i="4" s="1"/>
  <c r="U73" i="4" s="1"/>
  <c r="V73" i="4" s="1"/>
  <c r="R74" i="4"/>
  <c r="S74" i="4" s="1"/>
  <c r="T74" i="4" s="1"/>
  <c r="U74" i="4" s="1"/>
  <c r="V74" i="4" s="1"/>
  <c r="R75" i="4"/>
  <c r="S75" i="4" s="1"/>
  <c r="T75" i="4" s="1"/>
  <c r="U75" i="4" s="1"/>
  <c r="V75" i="4" s="1"/>
  <c r="R76" i="4"/>
  <c r="S76" i="4" s="1"/>
  <c r="T76" i="4" s="1"/>
  <c r="U76" i="4" s="1"/>
  <c r="V76" i="4" s="1"/>
  <c r="R77" i="4"/>
  <c r="S77" i="4" s="1"/>
  <c r="T77" i="4" s="1"/>
  <c r="U77" i="4" s="1"/>
  <c r="V77" i="4" s="1"/>
  <c r="R78" i="4"/>
  <c r="S78" i="4" s="1"/>
  <c r="T78" i="4" s="1"/>
  <c r="U78" i="4" s="1"/>
  <c r="V78" i="4" s="1"/>
  <c r="R79" i="4"/>
  <c r="S79" i="4" s="1"/>
  <c r="T79" i="4" s="1"/>
  <c r="U79" i="4" s="1"/>
  <c r="V79" i="4" s="1"/>
  <c r="R80" i="4"/>
  <c r="S80" i="4" s="1"/>
  <c r="T80" i="4" s="1"/>
  <c r="U80" i="4" s="1"/>
  <c r="V80" i="4" s="1"/>
  <c r="R81" i="4"/>
  <c r="S81" i="4" s="1"/>
  <c r="T81" i="4" s="1"/>
  <c r="U81" i="4" s="1"/>
  <c r="V81" i="4" s="1"/>
  <c r="R82" i="4"/>
  <c r="S82" i="4" s="1"/>
  <c r="T82" i="4" s="1"/>
  <c r="U82" i="4" s="1"/>
  <c r="V82" i="4" s="1"/>
  <c r="R83" i="4"/>
  <c r="S83" i="4" s="1"/>
  <c r="T83" i="4" s="1"/>
  <c r="U83" i="4" s="1"/>
  <c r="V83" i="4" s="1"/>
  <c r="R84" i="4"/>
  <c r="S84" i="4" s="1"/>
  <c r="T84" i="4" s="1"/>
  <c r="U84" i="4" s="1"/>
  <c r="V84" i="4" s="1"/>
  <c r="R85" i="4"/>
  <c r="S85" i="4" s="1"/>
  <c r="T85" i="4" s="1"/>
  <c r="U85" i="4" s="1"/>
  <c r="V85" i="4" s="1"/>
  <c r="R86" i="4"/>
  <c r="S86" i="4" s="1"/>
  <c r="T86" i="4" s="1"/>
  <c r="U86" i="4" s="1"/>
  <c r="V86" i="4" s="1"/>
  <c r="R87" i="4"/>
  <c r="S87" i="4" s="1"/>
  <c r="T87" i="4" s="1"/>
  <c r="U87" i="4" s="1"/>
  <c r="V87" i="4" s="1"/>
  <c r="R88" i="4"/>
  <c r="S88" i="4" s="1"/>
  <c r="T88" i="4" s="1"/>
  <c r="U88" i="4" s="1"/>
  <c r="V88" i="4" s="1"/>
  <c r="R89" i="4"/>
  <c r="S89" i="4" s="1"/>
  <c r="T89" i="4" s="1"/>
  <c r="U89" i="4" s="1"/>
  <c r="V89" i="4" s="1"/>
  <c r="R90" i="4"/>
  <c r="S90" i="4" s="1"/>
  <c r="T90" i="4" s="1"/>
  <c r="U90" i="4" s="1"/>
  <c r="V90" i="4" s="1"/>
  <c r="R91" i="4"/>
  <c r="S91" i="4" s="1"/>
  <c r="T91" i="4" s="1"/>
  <c r="U91" i="4" s="1"/>
  <c r="V91" i="4" s="1"/>
  <c r="R92" i="4"/>
  <c r="S92" i="4" s="1"/>
  <c r="T92" i="4" s="1"/>
  <c r="U92" i="4" s="1"/>
  <c r="V92" i="4" s="1"/>
  <c r="R93" i="4"/>
  <c r="S93" i="4" s="1"/>
  <c r="T93" i="4" s="1"/>
  <c r="U93" i="4" s="1"/>
  <c r="V93" i="4" s="1"/>
  <c r="R94" i="4"/>
  <c r="S94" i="4" s="1"/>
  <c r="T94" i="4" s="1"/>
  <c r="U94" i="4" s="1"/>
  <c r="V94" i="4" s="1"/>
  <c r="R95" i="4"/>
  <c r="S95" i="4" s="1"/>
  <c r="T95" i="4" s="1"/>
  <c r="U95" i="4" s="1"/>
  <c r="V95" i="4" s="1"/>
  <c r="R96" i="4"/>
  <c r="S96" i="4" s="1"/>
  <c r="T96" i="4" s="1"/>
  <c r="U96" i="4" s="1"/>
  <c r="V96" i="4" s="1"/>
  <c r="R97" i="4"/>
  <c r="S97" i="4" s="1"/>
  <c r="T97" i="4" s="1"/>
  <c r="U97" i="4" s="1"/>
  <c r="V97" i="4" s="1"/>
  <c r="R98" i="4"/>
  <c r="S98" i="4" s="1"/>
  <c r="T98" i="4" s="1"/>
  <c r="U98" i="4" s="1"/>
  <c r="V98" i="4" s="1"/>
  <c r="R99" i="4"/>
  <c r="S99" i="4" s="1"/>
  <c r="T99" i="4" s="1"/>
  <c r="U99" i="4" s="1"/>
  <c r="V99" i="4" s="1"/>
  <c r="R100" i="4"/>
  <c r="S100" i="4" s="1"/>
  <c r="T100" i="4" s="1"/>
  <c r="U100" i="4" s="1"/>
  <c r="V100" i="4" s="1"/>
  <c r="R101" i="4"/>
  <c r="S101" i="4" s="1"/>
  <c r="T101" i="4" s="1"/>
  <c r="U101" i="4" s="1"/>
  <c r="V101" i="4" s="1"/>
  <c r="R102" i="4"/>
  <c r="S102" i="4" s="1"/>
  <c r="T102" i="4" s="1"/>
  <c r="U102" i="4" s="1"/>
  <c r="V102" i="4" s="1"/>
  <c r="R103" i="4"/>
  <c r="S103" i="4" s="1"/>
  <c r="T103" i="4" s="1"/>
  <c r="U103" i="4" s="1"/>
  <c r="V103" i="4" s="1"/>
  <c r="R104" i="4"/>
  <c r="S104" i="4" s="1"/>
  <c r="T104" i="4" s="1"/>
  <c r="U104" i="4" s="1"/>
  <c r="V104" i="4" s="1"/>
  <c r="R105" i="4"/>
  <c r="S105" i="4" s="1"/>
  <c r="T105" i="4" s="1"/>
  <c r="U105" i="4" s="1"/>
  <c r="V105" i="4" s="1"/>
  <c r="R106" i="4"/>
  <c r="S106" i="4" s="1"/>
  <c r="T106" i="4" s="1"/>
  <c r="U106" i="4" s="1"/>
  <c r="V106" i="4" s="1"/>
  <c r="R107" i="4"/>
  <c r="S107" i="4" s="1"/>
  <c r="T107" i="4" s="1"/>
  <c r="U107" i="4" s="1"/>
  <c r="V107" i="4" s="1"/>
  <c r="R108" i="4"/>
  <c r="S108" i="4" s="1"/>
  <c r="T108" i="4" s="1"/>
  <c r="U108" i="4" s="1"/>
  <c r="V108" i="4" s="1"/>
  <c r="R109" i="4"/>
  <c r="S109" i="4" s="1"/>
  <c r="T109" i="4" s="1"/>
  <c r="U109" i="4" s="1"/>
  <c r="V109" i="4" s="1"/>
  <c r="R110" i="4"/>
  <c r="S110" i="4" s="1"/>
  <c r="T110" i="4" s="1"/>
  <c r="U110" i="4" s="1"/>
  <c r="V110" i="4" s="1"/>
  <c r="R111" i="4"/>
  <c r="S111" i="4" s="1"/>
  <c r="T111" i="4" s="1"/>
  <c r="U111" i="4" s="1"/>
  <c r="V111" i="4" s="1"/>
  <c r="R112" i="4"/>
  <c r="S112" i="4" s="1"/>
  <c r="T112" i="4" s="1"/>
  <c r="U112" i="4" s="1"/>
  <c r="V112" i="4" s="1"/>
  <c r="R113" i="4"/>
  <c r="S113" i="4" s="1"/>
  <c r="T113" i="4" s="1"/>
  <c r="U113" i="4" s="1"/>
  <c r="V113" i="4" s="1"/>
  <c r="R114" i="4"/>
  <c r="S114" i="4" s="1"/>
  <c r="T114" i="4" s="1"/>
  <c r="U114" i="4" s="1"/>
  <c r="V114" i="4" s="1"/>
  <c r="R115" i="4"/>
  <c r="S115" i="4" s="1"/>
  <c r="T115" i="4" s="1"/>
  <c r="U115" i="4" s="1"/>
  <c r="V115" i="4" s="1"/>
  <c r="R116" i="4"/>
  <c r="S116" i="4" s="1"/>
  <c r="T116" i="4" s="1"/>
  <c r="U116" i="4" s="1"/>
  <c r="V116" i="4" s="1"/>
  <c r="R117" i="4"/>
  <c r="S117" i="4" s="1"/>
  <c r="T117" i="4" s="1"/>
  <c r="U117" i="4" s="1"/>
  <c r="V117" i="4" s="1"/>
  <c r="R118" i="4"/>
  <c r="S118" i="4" s="1"/>
  <c r="T118" i="4" s="1"/>
  <c r="U118" i="4" s="1"/>
  <c r="V118" i="4" s="1"/>
  <c r="R119" i="4"/>
  <c r="S119" i="4" s="1"/>
  <c r="T119" i="4" s="1"/>
  <c r="U119" i="4" s="1"/>
  <c r="V119" i="4" s="1"/>
  <c r="R120" i="4"/>
  <c r="S120" i="4" s="1"/>
  <c r="T120" i="4" s="1"/>
  <c r="U120" i="4" s="1"/>
  <c r="V120" i="4" s="1"/>
  <c r="R121" i="4"/>
  <c r="S121" i="4" s="1"/>
  <c r="T121" i="4" s="1"/>
  <c r="U121" i="4" s="1"/>
  <c r="V121" i="4" s="1"/>
  <c r="R122" i="4"/>
  <c r="S122" i="4" s="1"/>
  <c r="T122" i="4" s="1"/>
  <c r="U122" i="4" s="1"/>
  <c r="V122" i="4" s="1"/>
  <c r="R123" i="4"/>
  <c r="S123" i="4" s="1"/>
  <c r="T123" i="4" s="1"/>
  <c r="U123" i="4" s="1"/>
  <c r="V123" i="4" s="1"/>
  <c r="R124" i="4"/>
  <c r="S124" i="4" s="1"/>
  <c r="T124" i="4" s="1"/>
  <c r="U124" i="4" s="1"/>
  <c r="V124" i="4" s="1"/>
  <c r="R125" i="4"/>
  <c r="S125" i="4" s="1"/>
  <c r="T125" i="4" s="1"/>
  <c r="U125" i="4" s="1"/>
  <c r="V125" i="4" s="1"/>
  <c r="R126" i="4"/>
  <c r="S126" i="4" s="1"/>
  <c r="T126" i="4" s="1"/>
  <c r="U126" i="4" s="1"/>
  <c r="V126" i="4" s="1"/>
  <c r="R127" i="4"/>
  <c r="S127" i="4" s="1"/>
  <c r="T127" i="4" s="1"/>
  <c r="U127" i="4" s="1"/>
  <c r="V127" i="4" s="1"/>
  <c r="R128" i="4"/>
  <c r="S128" i="4" s="1"/>
  <c r="T128" i="4" s="1"/>
  <c r="U128" i="4" s="1"/>
  <c r="V128" i="4" s="1"/>
  <c r="R129" i="4"/>
  <c r="S129" i="4" s="1"/>
  <c r="T129" i="4" s="1"/>
  <c r="U129" i="4" s="1"/>
  <c r="V129" i="4" s="1"/>
  <c r="R130" i="4"/>
  <c r="S130" i="4" s="1"/>
  <c r="T130" i="4" s="1"/>
  <c r="U130" i="4" s="1"/>
  <c r="V130" i="4" s="1"/>
  <c r="R131" i="4"/>
  <c r="S131" i="4" s="1"/>
  <c r="T131" i="4" s="1"/>
  <c r="U131" i="4" s="1"/>
  <c r="V131" i="4" s="1"/>
  <c r="R132" i="4"/>
  <c r="S132" i="4" s="1"/>
  <c r="T132" i="4" s="1"/>
  <c r="U132" i="4" s="1"/>
  <c r="V132" i="4" s="1"/>
  <c r="R133" i="4"/>
  <c r="S133" i="4" s="1"/>
  <c r="T133" i="4" s="1"/>
  <c r="U133" i="4" s="1"/>
  <c r="V133" i="4" s="1"/>
  <c r="R134" i="4"/>
  <c r="S134" i="4" s="1"/>
  <c r="T134" i="4" s="1"/>
  <c r="U134" i="4" s="1"/>
  <c r="V134" i="4" s="1"/>
  <c r="R135" i="4"/>
  <c r="S135" i="4" s="1"/>
  <c r="T135" i="4" s="1"/>
  <c r="U135" i="4" s="1"/>
  <c r="V135" i="4" s="1"/>
  <c r="R136" i="4"/>
  <c r="S136" i="4" s="1"/>
  <c r="T136" i="4" s="1"/>
  <c r="U136" i="4" s="1"/>
  <c r="V136" i="4" s="1"/>
  <c r="R137" i="4"/>
  <c r="S137" i="4" s="1"/>
  <c r="T137" i="4" s="1"/>
  <c r="U137" i="4" s="1"/>
  <c r="V137" i="4" s="1"/>
  <c r="R138" i="4"/>
  <c r="S138" i="4" s="1"/>
  <c r="T138" i="4" s="1"/>
  <c r="U138" i="4" s="1"/>
  <c r="V138" i="4" s="1"/>
  <c r="R139" i="4"/>
  <c r="S139" i="4" s="1"/>
  <c r="T139" i="4" s="1"/>
  <c r="U139" i="4" s="1"/>
  <c r="V139" i="4" s="1"/>
  <c r="R140" i="4"/>
  <c r="S140" i="4" s="1"/>
  <c r="T140" i="4" s="1"/>
  <c r="U140" i="4" s="1"/>
  <c r="V140" i="4" s="1"/>
  <c r="R141" i="4"/>
  <c r="S141" i="4" s="1"/>
  <c r="T141" i="4" s="1"/>
  <c r="U141" i="4" s="1"/>
  <c r="V141" i="4" s="1"/>
  <c r="R142" i="4"/>
  <c r="S142" i="4" s="1"/>
  <c r="T142" i="4" s="1"/>
  <c r="U142" i="4" s="1"/>
  <c r="V142" i="4" s="1"/>
  <c r="R143" i="4"/>
  <c r="S143" i="4" s="1"/>
  <c r="T143" i="4" s="1"/>
  <c r="U143" i="4" s="1"/>
  <c r="V143" i="4" s="1"/>
  <c r="R144" i="4"/>
  <c r="S144" i="4" s="1"/>
  <c r="T144" i="4" s="1"/>
  <c r="U144" i="4" s="1"/>
  <c r="V144" i="4" s="1"/>
  <c r="R145" i="4"/>
  <c r="S145" i="4" s="1"/>
  <c r="T145" i="4" s="1"/>
  <c r="U145" i="4" s="1"/>
  <c r="V145" i="4" s="1"/>
  <c r="R146" i="4"/>
  <c r="S146" i="4" s="1"/>
  <c r="T146" i="4" s="1"/>
  <c r="U146" i="4" s="1"/>
  <c r="V146" i="4" s="1"/>
  <c r="R147" i="4"/>
  <c r="S147" i="4" s="1"/>
  <c r="T147" i="4" s="1"/>
  <c r="U147" i="4" s="1"/>
  <c r="V147" i="4" s="1"/>
  <c r="R148" i="4"/>
  <c r="S148" i="4" s="1"/>
  <c r="T148" i="4" s="1"/>
  <c r="U148" i="4" s="1"/>
  <c r="V148" i="4" s="1"/>
  <c r="R149" i="4"/>
  <c r="S149" i="4" s="1"/>
  <c r="T149" i="4" s="1"/>
  <c r="U149" i="4" s="1"/>
  <c r="V149" i="4" s="1"/>
  <c r="R150" i="4"/>
  <c r="S150" i="4" s="1"/>
  <c r="T150" i="4" s="1"/>
  <c r="U150" i="4" s="1"/>
  <c r="V150" i="4" s="1"/>
  <c r="R151" i="4"/>
  <c r="S151" i="4" s="1"/>
  <c r="T151" i="4" s="1"/>
  <c r="U151" i="4" s="1"/>
  <c r="V151" i="4" s="1"/>
  <c r="R152" i="4"/>
  <c r="S152" i="4" s="1"/>
  <c r="T152" i="4" s="1"/>
  <c r="U152" i="4" s="1"/>
  <c r="V152" i="4" s="1"/>
  <c r="R153" i="4"/>
  <c r="S153" i="4" s="1"/>
  <c r="T153" i="4" s="1"/>
  <c r="U153" i="4" s="1"/>
  <c r="V153" i="4" s="1"/>
  <c r="R154" i="4"/>
  <c r="S154" i="4" s="1"/>
  <c r="T154" i="4" s="1"/>
  <c r="U154" i="4" s="1"/>
  <c r="V154" i="4" s="1"/>
  <c r="R155" i="4"/>
  <c r="S155" i="4" s="1"/>
  <c r="T155" i="4" s="1"/>
  <c r="U155" i="4" s="1"/>
  <c r="V155" i="4" s="1"/>
  <c r="R156" i="4"/>
  <c r="S156" i="4" s="1"/>
  <c r="T156" i="4" s="1"/>
  <c r="U156" i="4" s="1"/>
  <c r="V156" i="4" s="1"/>
  <c r="R157" i="4"/>
  <c r="S157" i="4" s="1"/>
  <c r="T157" i="4" s="1"/>
  <c r="U157" i="4" s="1"/>
  <c r="V157" i="4" s="1"/>
  <c r="R158" i="4"/>
  <c r="S158" i="4" s="1"/>
  <c r="T158" i="4" s="1"/>
  <c r="U158" i="4" s="1"/>
  <c r="V158" i="4" s="1"/>
  <c r="R159" i="4"/>
  <c r="S159" i="4" s="1"/>
  <c r="T159" i="4" s="1"/>
  <c r="U159" i="4" s="1"/>
  <c r="V159" i="4" s="1"/>
  <c r="R160" i="4"/>
  <c r="S160" i="4" s="1"/>
  <c r="T160" i="4" s="1"/>
  <c r="U160" i="4" s="1"/>
  <c r="V160" i="4" s="1"/>
  <c r="R161" i="4"/>
  <c r="S161" i="4" s="1"/>
  <c r="T161" i="4" s="1"/>
  <c r="U161" i="4" s="1"/>
  <c r="V161" i="4" s="1"/>
  <c r="R162" i="4"/>
  <c r="S162" i="4" s="1"/>
  <c r="T162" i="4" s="1"/>
  <c r="U162" i="4" s="1"/>
  <c r="V162" i="4" s="1"/>
  <c r="R163" i="4"/>
  <c r="S163" i="4" s="1"/>
  <c r="T163" i="4" s="1"/>
  <c r="U163" i="4" s="1"/>
  <c r="V163" i="4" s="1"/>
  <c r="R164" i="4"/>
  <c r="S164" i="4" s="1"/>
  <c r="T164" i="4" s="1"/>
  <c r="U164" i="4" s="1"/>
  <c r="V164" i="4" s="1"/>
  <c r="R165" i="4"/>
  <c r="S165" i="4" s="1"/>
  <c r="T165" i="4" s="1"/>
  <c r="U165" i="4" s="1"/>
  <c r="V165" i="4" s="1"/>
  <c r="R166" i="4"/>
  <c r="S166" i="4" s="1"/>
  <c r="T166" i="4" s="1"/>
  <c r="U166" i="4" s="1"/>
  <c r="V166" i="4" s="1"/>
  <c r="R167" i="4"/>
  <c r="S167" i="4" s="1"/>
  <c r="T167" i="4" s="1"/>
  <c r="U167" i="4" s="1"/>
  <c r="V167" i="4" s="1"/>
  <c r="R168" i="4"/>
  <c r="S168" i="4" s="1"/>
  <c r="T168" i="4" s="1"/>
  <c r="U168" i="4" s="1"/>
  <c r="V168" i="4" s="1"/>
  <c r="R169" i="4"/>
  <c r="S169" i="4" s="1"/>
  <c r="T169" i="4" s="1"/>
  <c r="U169" i="4" s="1"/>
  <c r="V169" i="4" s="1"/>
  <c r="R170" i="4"/>
  <c r="S170" i="4" s="1"/>
  <c r="T170" i="4" s="1"/>
  <c r="U170" i="4" s="1"/>
  <c r="V170" i="4" s="1"/>
  <c r="R171" i="4"/>
  <c r="S171" i="4" s="1"/>
  <c r="T171" i="4" s="1"/>
  <c r="U171" i="4" s="1"/>
  <c r="V171" i="4" s="1"/>
  <c r="R172" i="4"/>
  <c r="S172" i="4" s="1"/>
  <c r="T172" i="4" s="1"/>
  <c r="U172" i="4" s="1"/>
  <c r="V172" i="4" s="1"/>
  <c r="R173" i="4"/>
  <c r="S173" i="4" s="1"/>
  <c r="T173" i="4" s="1"/>
  <c r="U173" i="4" s="1"/>
  <c r="V173" i="4" s="1"/>
  <c r="R174" i="4"/>
  <c r="S174" i="4" s="1"/>
  <c r="T174" i="4" s="1"/>
  <c r="U174" i="4" s="1"/>
  <c r="V174" i="4" s="1"/>
  <c r="R175" i="4"/>
  <c r="S175" i="4" s="1"/>
  <c r="T175" i="4" s="1"/>
  <c r="U175" i="4" s="1"/>
  <c r="V175" i="4" s="1"/>
  <c r="R176" i="4"/>
  <c r="S176" i="4" s="1"/>
  <c r="T176" i="4" s="1"/>
  <c r="U176" i="4" s="1"/>
  <c r="V176" i="4" s="1"/>
  <c r="R177" i="4"/>
  <c r="S177" i="4" s="1"/>
  <c r="T177" i="4" s="1"/>
  <c r="U177" i="4" s="1"/>
  <c r="V177" i="4" s="1"/>
  <c r="R178" i="4"/>
  <c r="S178" i="4" s="1"/>
  <c r="T178" i="4" s="1"/>
  <c r="U178" i="4" s="1"/>
  <c r="V178" i="4" s="1"/>
  <c r="R179" i="4"/>
  <c r="S179" i="4" s="1"/>
  <c r="T179" i="4" s="1"/>
  <c r="U179" i="4" s="1"/>
  <c r="V179" i="4" s="1"/>
  <c r="R180" i="4"/>
  <c r="S180" i="4" s="1"/>
  <c r="T180" i="4" s="1"/>
  <c r="U180" i="4" s="1"/>
  <c r="V180" i="4" s="1"/>
  <c r="R181" i="4"/>
  <c r="S181" i="4" s="1"/>
  <c r="T181" i="4" s="1"/>
  <c r="U181" i="4" s="1"/>
  <c r="V181" i="4" s="1"/>
  <c r="R182" i="4"/>
  <c r="S182" i="4" s="1"/>
  <c r="T182" i="4" s="1"/>
  <c r="U182" i="4" s="1"/>
  <c r="V182" i="4" s="1"/>
  <c r="R183" i="4"/>
  <c r="S183" i="4" s="1"/>
  <c r="T183" i="4" s="1"/>
  <c r="U183" i="4" s="1"/>
  <c r="V183" i="4" s="1"/>
  <c r="R184" i="4"/>
  <c r="S184" i="4" s="1"/>
  <c r="T184" i="4" s="1"/>
  <c r="U184" i="4" s="1"/>
  <c r="V184" i="4" s="1"/>
  <c r="R185" i="4"/>
  <c r="S185" i="4" s="1"/>
  <c r="T185" i="4" s="1"/>
  <c r="U185" i="4" s="1"/>
  <c r="V185" i="4" s="1"/>
  <c r="R186" i="4"/>
  <c r="S186" i="4" s="1"/>
  <c r="T186" i="4" s="1"/>
  <c r="U186" i="4" s="1"/>
  <c r="V186" i="4" s="1"/>
  <c r="R187" i="4"/>
  <c r="S187" i="4" s="1"/>
  <c r="T187" i="4" s="1"/>
  <c r="U187" i="4" s="1"/>
  <c r="V187" i="4" s="1"/>
  <c r="R188" i="4"/>
  <c r="S188" i="4" s="1"/>
  <c r="T188" i="4" s="1"/>
  <c r="U188" i="4" s="1"/>
  <c r="V188" i="4" s="1"/>
  <c r="R189" i="4"/>
  <c r="S189" i="4" s="1"/>
  <c r="T189" i="4" s="1"/>
  <c r="U189" i="4" s="1"/>
  <c r="V189" i="4" s="1"/>
  <c r="R190" i="4"/>
  <c r="S190" i="4" s="1"/>
  <c r="T190" i="4" s="1"/>
  <c r="U190" i="4" s="1"/>
  <c r="V190" i="4" s="1"/>
  <c r="R191" i="4"/>
  <c r="S191" i="4" s="1"/>
  <c r="T191" i="4" s="1"/>
  <c r="U191" i="4" s="1"/>
  <c r="V191" i="4" s="1"/>
  <c r="R192" i="4"/>
  <c r="S192" i="4" s="1"/>
  <c r="T192" i="4" s="1"/>
  <c r="U192" i="4" s="1"/>
  <c r="V192" i="4" s="1"/>
  <c r="R193" i="4"/>
  <c r="S193" i="4" s="1"/>
  <c r="T193" i="4" s="1"/>
  <c r="U193" i="4" s="1"/>
  <c r="V193" i="4" s="1"/>
  <c r="R194" i="4"/>
  <c r="S194" i="4" s="1"/>
  <c r="T194" i="4" s="1"/>
  <c r="U194" i="4" s="1"/>
  <c r="V194" i="4" s="1"/>
  <c r="R195" i="4"/>
  <c r="S195" i="4" s="1"/>
  <c r="T195" i="4" s="1"/>
  <c r="U195" i="4" s="1"/>
  <c r="V195" i="4" s="1"/>
  <c r="R196" i="4"/>
  <c r="S196" i="4" s="1"/>
  <c r="T196" i="4" s="1"/>
  <c r="U196" i="4" s="1"/>
  <c r="V196" i="4" s="1"/>
  <c r="R197" i="4"/>
  <c r="S197" i="4" s="1"/>
  <c r="T197" i="4" s="1"/>
  <c r="U197" i="4" s="1"/>
  <c r="V197" i="4" s="1"/>
  <c r="R198" i="4"/>
  <c r="S198" i="4" s="1"/>
  <c r="T198" i="4" s="1"/>
  <c r="U198" i="4" s="1"/>
  <c r="V198" i="4" s="1"/>
  <c r="R199" i="4"/>
  <c r="S199" i="4" s="1"/>
  <c r="T199" i="4" s="1"/>
  <c r="U199" i="4" s="1"/>
  <c r="V199" i="4" s="1"/>
  <c r="R200" i="4"/>
  <c r="S200" i="4" s="1"/>
  <c r="T200" i="4" s="1"/>
  <c r="U200" i="4" s="1"/>
  <c r="V200" i="4" s="1"/>
  <c r="R201" i="4"/>
  <c r="S201" i="4" s="1"/>
  <c r="T201" i="4" s="1"/>
  <c r="U201" i="4" s="1"/>
  <c r="V201" i="4" s="1"/>
  <c r="R202" i="4"/>
  <c r="S202" i="4" s="1"/>
  <c r="T202" i="4" s="1"/>
  <c r="U202" i="4" s="1"/>
  <c r="V202" i="4" s="1"/>
  <c r="R203" i="4"/>
  <c r="S203" i="4" s="1"/>
  <c r="T203" i="4" s="1"/>
  <c r="U203" i="4" s="1"/>
  <c r="V203" i="4" s="1"/>
  <c r="R204" i="4"/>
  <c r="S204" i="4" s="1"/>
  <c r="T204" i="4" s="1"/>
  <c r="U204" i="4" s="1"/>
  <c r="V204" i="4" s="1"/>
  <c r="R205" i="4"/>
  <c r="S205" i="4" s="1"/>
  <c r="T205" i="4" s="1"/>
  <c r="U205" i="4" s="1"/>
  <c r="V205" i="4" s="1"/>
  <c r="R206" i="4"/>
  <c r="S206" i="4" s="1"/>
  <c r="T206" i="4" s="1"/>
  <c r="U206" i="4" s="1"/>
  <c r="V206" i="4" s="1"/>
  <c r="R207" i="4"/>
  <c r="S207" i="4" s="1"/>
  <c r="T207" i="4" s="1"/>
  <c r="U207" i="4" s="1"/>
  <c r="V207" i="4" s="1"/>
  <c r="R208" i="4"/>
  <c r="S208" i="4" s="1"/>
  <c r="T208" i="4" s="1"/>
  <c r="U208" i="4" s="1"/>
  <c r="V208" i="4" s="1"/>
  <c r="R209" i="4"/>
  <c r="S209" i="4" s="1"/>
  <c r="T209" i="4" s="1"/>
  <c r="U209" i="4" s="1"/>
  <c r="V209" i="4" s="1"/>
  <c r="R210" i="4"/>
  <c r="S210" i="4" s="1"/>
  <c r="T210" i="4" s="1"/>
  <c r="U210" i="4" s="1"/>
  <c r="V210" i="4" s="1"/>
  <c r="R211" i="4"/>
  <c r="S211" i="4" s="1"/>
  <c r="T211" i="4" s="1"/>
  <c r="U211" i="4" s="1"/>
  <c r="V211" i="4" s="1"/>
  <c r="R212" i="4"/>
  <c r="S212" i="4" s="1"/>
  <c r="T212" i="4" s="1"/>
  <c r="U212" i="4" s="1"/>
  <c r="V212" i="4" s="1"/>
  <c r="R213" i="4"/>
  <c r="S213" i="4" s="1"/>
  <c r="T213" i="4" s="1"/>
  <c r="U213" i="4" s="1"/>
  <c r="V213" i="4" s="1"/>
  <c r="R214" i="4"/>
  <c r="S214" i="4" s="1"/>
  <c r="T214" i="4" s="1"/>
  <c r="U214" i="4" s="1"/>
  <c r="V214" i="4" s="1"/>
  <c r="R215" i="4"/>
  <c r="S215" i="4" s="1"/>
  <c r="T215" i="4" s="1"/>
  <c r="U215" i="4" s="1"/>
  <c r="V215" i="4" s="1"/>
  <c r="R216" i="4"/>
  <c r="S216" i="4" s="1"/>
  <c r="T216" i="4" s="1"/>
  <c r="U216" i="4" s="1"/>
  <c r="V216" i="4" s="1"/>
  <c r="R217" i="4"/>
  <c r="S217" i="4" s="1"/>
  <c r="T217" i="4" s="1"/>
  <c r="U217" i="4" s="1"/>
  <c r="V217" i="4" s="1"/>
  <c r="R218" i="4"/>
  <c r="S218" i="4" s="1"/>
  <c r="T218" i="4" s="1"/>
  <c r="U218" i="4" s="1"/>
  <c r="V218" i="4" s="1"/>
  <c r="R219" i="4"/>
  <c r="S219" i="4" s="1"/>
  <c r="T219" i="4" s="1"/>
  <c r="U219" i="4" s="1"/>
  <c r="V219" i="4" s="1"/>
  <c r="R220" i="4"/>
  <c r="S220" i="4" s="1"/>
  <c r="T220" i="4" s="1"/>
  <c r="U220" i="4" s="1"/>
  <c r="V220" i="4" s="1"/>
  <c r="R221" i="4"/>
  <c r="S221" i="4" s="1"/>
  <c r="T221" i="4" s="1"/>
  <c r="U221" i="4" s="1"/>
  <c r="V221" i="4" s="1"/>
  <c r="R222" i="4"/>
  <c r="S222" i="4" s="1"/>
  <c r="T222" i="4" s="1"/>
  <c r="U222" i="4" s="1"/>
  <c r="V222" i="4" s="1"/>
  <c r="R223" i="4"/>
  <c r="S223" i="4" s="1"/>
  <c r="T223" i="4" s="1"/>
  <c r="U223" i="4" s="1"/>
  <c r="V223" i="4" s="1"/>
  <c r="R224" i="4"/>
  <c r="S224" i="4" s="1"/>
  <c r="T224" i="4" s="1"/>
  <c r="U224" i="4" s="1"/>
  <c r="V224" i="4" s="1"/>
  <c r="R225" i="4"/>
  <c r="S225" i="4" s="1"/>
  <c r="T225" i="4" s="1"/>
  <c r="U225" i="4" s="1"/>
  <c r="V225" i="4" s="1"/>
  <c r="R226" i="4"/>
  <c r="S226" i="4" s="1"/>
  <c r="T226" i="4" s="1"/>
  <c r="U226" i="4" s="1"/>
  <c r="V226" i="4" s="1"/>
  <c r="R227" i="4"/>
  <c r="S227" i="4" s="1"/>
  <c r="T227" i="4" s="1"/>
  <c r="U227" i="4" s="1"/>
  <c r="V227" i="4" s="1"/>
  <c r="R228" i="4"/>
  <c r="S228" i="4" s="1"/>
  <c r="T228" i="4" s="1"/>
  <c r="U228" i="4" s="1"/>
  <c r="V228" i="4" s="1"/>
  <c r="R229" i="4"/>
  <c r="S229" i="4" s="1"/>
  <c r="T229" i="4" s="1"/>
  <c r="U229" i="4" s="1"/>
  <c r="V229" i="4" s="1"/>
  <c r="R230" i="4"/>
  <c r="S230" i="4" s="1"/>
  <c r="T230" i="4" s="1"/>
  <c r="U230" i="4" s="1"/>
  <c r="V230" i="4" s="1"/>
  <c r="R231" i="4"/>
  <c r="S231" i="4" s="1"/>
  <c r="T231" i="4" s="1"/>
  <c r="U231" i="4" s="1"/>
  <c r="V231" i="4" s="1"/>
  <c r="R232" i="4"/>
  <c r="S232" i="4" s="1"/>
  <c r="T232" i="4" s="1"/>
  <c r="U232" i="4" s="1"/>
  <c r="V232" i="4" s="1"/>
  <c r="R233" i="4"/>
  <c r="S233" i="4" s="1"/>
  <c r="T233" i="4" s="1"/>
  <c r="U233" i="4" s="1"/>
  <c r="V233" i="4" s="1"/>
  <c r="R234" i="4"/>
  <c r="S234" i="4" s="1"/>
  <c r="T234" i="4" s="1"/>
  <c r="U234" i="4" s="1"/>
  <c r="V234" i="4" s="1"/>
  <c r="R235" i="4"/>
  <c r="S235" i="4" s="1"/>
  <c r="T235" i="4" s="1"/>
  <c r="U235" i="4" s="1"/>
  <c r="V235" i="4" s="1"/>
  <c r="R236" i="4"/>
  <c r="S236" i="4" s="1"/>
  <c r="T236" i="4" s="1"/>
  <c r="U236" i="4" s="1"/>
  <c r="V236" i="4" s="1"/>
  <c r="R237" i="4"/>
  <c r="S237" i="4" s="1"/>
  <c r="T237" i="4" s="1"/>
  <c r="U237" i="4" s="1"/>
  <c r="V237" i="4" s="1"/>
  <c r="R238" i="4"/>
  <c r="S238" i="4" s="1"/>
  <c r="T238" i="4" s="1"/>
  <c r="U238" i="4" s="1"/>
  <c r="V238" i="4" s="1"/>
  <c r="R239" i="4"/>
  <c r="S239" i="4" s="1"/>
  <c r="T239" i="4" s="1"/>
  <c r="U239" i="4" s="1"/>
  <c r="V239" i="4" s="1"/>
  <c r="R240" i="4"/>
  <c r="S240" i="4" s="1"/>
  <c r="T240" i="4" s="1"/>
  <c r="U240" i="4" s="1"/>
  <c r="V240" i="4" s="1"/>
  <c r="R241" i="4"/>
  <c r="S241" i="4" s="1"/>
  <c r="T241" i="4" s="1"/>
  <c r="U241" i="4" s="1"/>
  <c r="V241" i="4" s="1"/>
  <c r="R242" i="4"/>
  <c r="S242" i="4" s="1"/>
  <c r="T242" i="4" s="1"/>
  <c r="U242" i="4" s="1"/>
  <c r="V242" i="4" s="1"/>
  <c r="R243" i="4"/>
  <c r="S243" i="4" s="1"/>
  <c r="T243" i="4" s="1"/>
  <c r="U243" i="4" s="1"/>
  <c r="V243" i="4" s="1"/>
  <c r="R244" i="4"/>
  <c r="S244" i="4" s="1"/>
  <c r="T244" i="4" s="1"/>
  <c r="U244" i="4" s="1"/>
  <c r="V244" i="4" s="1"/>
  <c r="R245" i="4"/>
  <c r="S245" i="4" s="1"/>
  <c r="T245" i="4" s="1"/>
  <c r="U245" i="4" s="1"/>
  <c r="V245" i="4" s="1"/>
  <c r="R246" i="4"/>
  <c r="S246" i="4" s="1"/>
  <c r="T246" i="4" s="1"/>
  <c r="U246" i="4" s="1"/>
  <c r="V246" i="4" s="1"/>
  <c r="R247" i="4"/>
  <c r="S247" i="4" s="1"/>
  <c r="T247" i="4" s="1"/>
  <c r="U247" i="4" s="1"/>
  <c r="V247" i="4" s="1"/>
  <c r="R248" i="4"/>
  <c r="S248" i="4" s="1"/>
  <c r="T248" i="4" s="1"/>
  <c r="U248" i="4" s="1"/>
  <c r="V248" i="4" s="1"/>
  <c r="R249" i="4"/>
  <c r="S249" i="4" s="1"/>
  <c r="T249" i="4" s="1"/>
  <c r="U249" i="4" s="1"/>
  <c r="V249" i="4" s="1"/>
  <c r="R250" i="4"/>
  <c r="S250" i="4" s="1"/>
  <c r="T250" i="4" s="1"/>
  <c r="U250" i="4" s="1"/>
  <c r="V250" i="4" s="1"/>
  <c r="R251" i="4"/>
  <c r="S251" i="4" s="1"/>
  <c r="T251" i="4" s="1"/>
  <c r="U251" i="4" s="1"/>
  <c r="V251" i="4" s="1"/>
  <c r="R252" i="4"/>
  <c r="S252" i="4" s="1"/>
  <c r="T252" i="4" s="1"/>
  <c r="U252" i="4" s="1"/>
  <c r="V252" i="4" s="1"/>
  <c r="R253" i="4"/>
  <c r="S253" i="4" s="1"/>
  <c r="T253" i="4" s="1"/>
  <c r="U253" i="4" s="1"/>
  <c r="V253" i="4" s="1"/>
  <c r="R254" i="4"/>
  <c r="S254" i="4" s="1"/>
  <c r="T254" i="4" s="1"/>
  <c r="U254" i="4" s="1"/>
  <c r="V254" i="4" s="1"/>
  <c r="R255" i="4"/>
  <c r="S255" i="4" s="1"/>
  <c r="T255" i="4" s="1"/>
  <c r="U255" i="4" s="1"/>
  <c r="V255" i="4" s="1"/>
  <c r="R256" i="4"/>
  <c r="S256" i="4" s="1"/>
  <c r="T256" i="4" s="1"/>
  <c r="U256" i="4" s="1"/>
  <c r="V256" i="4" s="1"/>
  <c r="R257" i="4"/>
  <c r="S257" i="4" s="1"/>
  <c r="T257" i="4" s="1"/>
  <c r="U257" i="4" s="1"/>
  <c r="V257" i="4" s="1"/>
  <c r="R258" i="4"/>
  <c r="S258" i="4" s="1"/>
  <c r="T258" i="4" s="1"/>
  <c r="U258" i="4" s="1"/>
  <c r="V258" i="4" s="1"/>
  <c r="R259" i="4"/>
  <c r="S259" i="4" s="1"/>
  <c r="T259" i="4" s="1"/>
  <c r="U259" i="4" s="1"/>
  <c r="V259" i="4" s="1"/>
  <c r="R260" i="4"/>
  <c r="S260" i="4" s="1"/>
  <c r="T260" i="4" s="1"/>
  <c r="U260" i="4" s="1"/>
  <c r="V260" i="4" s="1"/>
  <c r="R261" i="4"/>
  <c r="S261" i="4" s="1"/>
  <c r="T261" i="4" s="1"/>
  <c r="U261" i="4" s="1"/>
  <c r="V261" i="4" s="1"/>
  <c r="R262" i="4"/>
  <c r="S262" i="4" s="1"/>
  <c r="T262" i="4" s="1"/>
  <c r="U262" i="4" s="1"/>
  <c r="V262" i="4" s="1"/>
  <c r="R263" i="4"/>
  <c r="S263" i="4" s="1"/>
  <c r="T263" i="4" s="1"/>
  <c r="U263" i="4" s="1"/>
  <c r="V263" i="4" s="1"/>
  <c r="R264" i="4"/>
  <c r="S264" i="4" s="1"/>
  <c r="T264" i="4" s="1"/>
  <c r="U264" i="4" s="1"/>
  <c r="V264" i="4" s="1"/>
  <c r="R265" i="4"/>
  <c r="S265" i="4" s="1"/>
  <c r="T265" i="4" s="1"/>
  <c r="U265" i="4" s="1"/>
  <c r="V265" i="4" s="1"/>
  <c r="R266" i="4"/>
  <c r="S266" i="4" s="1"/>
  <c r="T266" i="4" s="1"/>
  <c r="U266" i="4" s="1"/>
  <c r="V266" i="4" s="1"/>
  <c r="R267" i="4"/>
  <c r="S267" i="4" s="1"/>
  <c r="T267" i="4" s="1"/>
  <c r="U267" i="4" s="1"/>
  <c r="V267" i="4" s="1"/>
  <c r="R268" i="4"/>
  <c r="S268" i="4" s="1"/>
  <c r="T268" i="4" s="1"/>
  <c r="U268" i="4" s="1"/>
  <c r="V268" i="4" s="1"/>
  <c r="R269" i="4"/>
  <c r="S269" i="4" s="1"/>
  <c r="T269" i="4" s="1"/>
  <c r="U269" i="4" s="1"/>
  <c r="V269" i="4" s="1"/>
  <c r="R270" i="4"/>
  <c r="S270" i="4" s="1"/>
  <c r="T270" i="4" s="1"/>
  <c r="U270" i="4" s="1"/>
  <c r="V270" i="4" s="1"/>
  <c r="R271" i="4"/>
  <c r="S271" i="4" s="1"/>
  <c r="T271" i="4" s="1"/>
  <c r="U271" i="4" s="1"/>
  <c r="V271" i="4" s="1"/>
  <c r="R272" i="4"/>
  <c r="S272" i="4" s="1"/>
  <c r="T272" i="4" s="1"/>
  <c r="U272" i="4" s="1"/>
  <c r="V272" i="4" s="1"/>
  <c r="R273" i="4"/>
  <c r="S273" i="4" s="1"/>
  <c r="T273" i="4" s="1"/>
  <c r="U273" i="4" s="1"/>
  <c r="V273" i="4" s="1"/>
  <c r="R274" i="4"/>
  <c r="S274" i="4" s="1"/>
  <c r="T274" i="4" s="1"/>
  <c r="U274" i="4" s="1"/>
  <c r="V274" i="4" s="1"/>
  <c r="R275" i="4"/>
  <c r="S275" i="4" s="1"/>
  <c r="T275" i="4" s="1"/>
  <c r="U275" i="4" s="1"/>
  <c r="V275" i="4" s="1"/>
  <c r="R276" i="4"/>
  <c r="S276" i="4" s="1"/>
  <c r="T276" i="4" s="1"/>
  <c r="U276" i="4" s="1"/>
  <c r="V276" i="4" s="1"/>
  <c r="R277" i="4"/>
  <c r="S277" i="4" s="1"/>
  <c r="T277" i="4" s="1"/>
  <c r="U277" i="4" s="1"/>
  <c r="V277" i="4" s="1"/>
  <c r="R278" i="4"/>
  <c r="S278" i="4" s="1"/>
  <c r="T278" i="4" s="1"/>
  <c r="U278" i="4" s="1"/>
  <c r="V278" i="4" s="1"/>
  <c r="R279" i="4"/>
  <c r="S279" i="4" s="1"/>
  <c r="T279" i="4" s="1"/>
  <c r="U279" i="4" s="1"/>
  <c r="V279" i="4" s="1"/>
  <c r="R280" i="4"/>
  <c r="S280" i="4" s="1"/>
  <c r="T280" i="4" s="1"/>
  <c r="U280" i="4" s="1"/>
  <c r="V280" i="4" s="1"/>
  <c r="R281" i="4"/>
  <c r="S281" i="4" s="1"/>
  <c r="T281" i="4" s="1"/>
  <c r="U281" i="4" s="1"/>
  <c r="V281" i="4" s="1"/>
  <c r="R282" i="4"/>
  <c r="S282" i="4" s="1"/>
  <c r="T282" i="4" s="1"/>
  <c r="U282" i="4" s="1"/>
  <c r="V282" i="4" s="1"/>
  <c r="R283" i="4"/>
  <c r="S283" i="4" s="1"/>
  <c r="T283" i="4" s="1"/>
  <c r="U283" i="4" s="1"/>
  <c r="V283" i="4" s="1"/>
  <c r="R284" i="4"/>
  <c r="S284" i="4" s="1"/>
  <c r="T284" i="4" s="1"/>
  <c r="U284" i="4" s="1"/>
  <c r="V284" i="4" s="1"/>
  <c r="R285" i="4"/>
  <c r="S285" i="4" s="1"/>
  <c r="T285" i="4" s="1"/>
  <c r="U285" i="4" s="1"/>
  <c r="V285" i="4" s="1"/>
  <c r="R286" i="4"/>
  <c r="S286" i="4" s="1"/>
  <c r="T286" i="4" s="1"/>
  <c r="U286" i="4" s="1"/>
  <c r="V286" i="4" s="1"/>
  <c r="R287" i="4"/>
  <c r="S287" i="4" s="1"/>
  <c r="T287" i="4" s="1"/>
  <c r="U287" i="4" s="1"/>
  <c r="V287" i="4" s="1"/>
  <c r="R288" i="4"/>
  <c r="S288" i="4" s="1"/>
  <c r="T288" i="4" s="1"/>
  <c r="U288" i="4" s="1"/>
  <c r="V288" i="4" s="1"/>
  <c r="R289" i="4"/>
  <c r="S289" i="4" s="1"/>
  <c r="T289" i="4" s="1"/>
  <c r="U289" i="4" s="1"/>
  <c r="V289" i="4" s="1"/>
  <c r="R290" i="4"/>
  <c r="S290" i="4" s="1"/>
  <c r="T290" i="4" s="1"/>
  <c r="U290" i="4" s="1"/>
  <c r="V290" i="4" s="1"/>
  <c r="R291" i="4"/>
  <c r="S291" i="4" s="1"/>
  <c r="T291" i="4" s="1"/>
  <c r="U291" i="4" s="1"/>
  <c r="V291" i="4" s="1"/>
  <c r="R292" i="4"/>
  <c r="S292" i="4" s="1"/>
  <c r="T292" i="4" s="1"/>
  <c r="U292" i="4" s="1"/>
  <c r="V292" i="4" s="1"/>
  <c r="R293" i="4"/>
  <c r="S293" i="4" s="1"/>
  <c r="T293" i="4" s="1"/>
  <c r="U293" i="4" s="1"/>
  <c r="V293" i="4" s="1"/>
  <c r="R294" i="4"/>
  <c r="S294" i="4" s="1"/>
  <c r="T294" i="4" s="1"/>
  <c r="U294" i="4" s="1"/>
  <c r="V294" i="4" s="1"/>
  <c r="R295" i="4"/>
  <c r="S295" i="4" s="1"/>
  <c r="T295" i="4" s="1"/>
  <c r="U295" i="4" s="1"/>
  <c r="V295" i="4" s="1"/>
  <c r="R296" i="4"/>
  <c r="S296" i="4" s="1"/>
  <c r="T296" i="4" s="1"/>
  <c r="U296" i="4" s="1"/>
  <c r="V296" i="4" s="1"/>
  <c r="R297" i="4"/>
  <c r="S297" i="4" s="1"/>
  <c r="T297" i="4" s="1"/>
  <c r="U297" i="4" s="1"/>
  <c r="V297" i="4" s="1"/>
  <c r="R298" i="4"/>
  <c r="S298" i="4" s="1"/>
  <c r="T298" i="4" s="1"/>
  <c r="U298" i="4" s="1"/>
  <c r="V298" i="4" s="1"/>
  <c r="R299" i="4"/>
  <c r="S299" i="4" s="1"/>
  <c r="T299" i="4" s="1"/>
  <c r="U299" i="4" s="1"/>
  <c r="V299" i="4" s="1"/>
  <c r="R300" i="4"/>
  <c r="S300" i="4" s="1"/>
  <c r="T300" i="4" s="1"/>
  <c r="U300" i="4" s="1"/>
  <c r="V300" i="4" s="1"/>
  <c r="R301" i="4"/>
  <c r="S301" i="4" s="1"/>
  <c r="T301" i="4" s="1"/>
  <c r="U301" i="4" s="1"/>
  <c r="V301" i="4" s="1"/>
  <c r="R302" i="4"/>
  <c r="S302" i="4" s="1"/>
  <c r="T302" i="4" s="1"/>
  <c r="U302" i="4" s="1"/>
  <c r="V302" i="4" s="1"/>
  <c r="R303" i="4"/>
  <c r="S303" i="4" s="1"/>
  <c r="T303" i="4" s="1"/>
  <c r="U303" i="4" s="1"/>
  <c r="V303" i="4" s="1"/>
  <c r="R304" i="4"/>
  <c r="S304" i="4" s="1"/>
  <c r="T304" i="4" s="1"/>
  <c r="U304" i="4" s="1"/>
  <c r="V304" i="4" s="1"/>
  <c r="R305" i="4"/>
  <c r="S305" i="4" s="1"/>
  <c r="T305" i="4" s="1"/>
  <c r="U305" i="4" s="1"/>
  <c r="V305" i="4" s="1"/>
  <c r="R306" i="4"/>
  <c r="S306" i="4" s="1"/>
  <c r="T306" i="4" s="1"/>
  <c r="U306" i="4" s="1"/>
  <c r="V306" i="4" s="1"/>
  <c r="R307" i="4"/>
  <c r="S307" i="4" s="1"/>
  <c r="T307" i="4" s="1"/>
  <c r="U307" i="4" s="1"/>
  <c r="V307" i="4" s="1"/>
  <c r="R308" i="4"/>
  <c r="S308" i="4" s="1"/>
  <c r="T308" i="4" s="1"/>
  <c r="U308" i="4" s="1"/>
  <c r="V308" i="4" s="1"/>
  <c r="R309" i="4"/>
  <c r="S309" i="4" s="1"/>
  <c r="T309" i="4" s="1"/>
  <c r="U309" i="4" s="1"/>
  <c r="V309" i="4" s="1"/>
  <c r="R310" i="4"/>
  <c r="S310" i="4" s="1"/>
  <c r="T310" i="4" s="1"/>
  <c r="U310" i="4" s="1"/>
  <c r="V310" i="4" s="1"/>
  <c r="R311" i="4"/>
  <c r="S311" i="4" s="1"/>
  <c r="T311" i="4" s="1"/>
  <c r="U311" i="4" s="1"/>
  <c r="V311" i="4" s="1"/>
  <c r="R312" i="4"/>
  <c r="S312" i="4" s="1"/>
  <c r="T312" i="4" s="1"/>
  <c r="U312" i="4" s="1"/>
  <c r="V312" i="4" s="1"/>
  <c r="R313" i="4"/>
  <c r="S313" i="4" s="1"/>
  <c r="T313" i="4" s="1"/>
  <c r="U313" i="4" s="1"/>
  <c r="V313" i="4" s="1"/>
  <c r="R314" i="4"/>
  <c r="S314" i="4" s="1"/>
  <c r="T314" i="4" s="1"/>
  <c r="U314" i="4" s="1"/>
  <c r="V314" i="4" s="1"/>
  <c r="R315" i="4"/>
  <c r="S315" i="4" s="1"/>
  <c r="T315" i="4" s="1"/>
  <c r="U315" i="4" s="1"/>
  <c r="V315" i="4" s="1"/>
  <c r="R316" i="4"/>
  <c r="S316" i="4" s="1"/>
  <c r="T316" i="4" s="1"/>
  <c r="U316" i="4" s="1"/>
  <c r="V316" i="4" s="1"/>
  <c r="R317" i="4"/>
  <c r="S317" i="4" s="1"/>
  <c r="T317" i="4" s="1"/>
  <c r="U317" i="4" s="1"/>
  <c r="V317" i="4" s="1"/>
  <c r="R318" i="4"/>
  <c r="S318" i="4" s="1"/>
  <c r="T318" i="4" s="1"/>
  <c r="U318" i="4" s="1"/>
  <c r="V318" i="4" s="1"/>
  <c r="R319" i="4"/>
  <c r="S319" i="4" s="1"/>
  <c r="T319" i="4" s="1"/>
  <c r="U319" i="4" s="1"/>
  <c r="V319" i="4" s="1"/>
  <c r="R320" i="4"/>
  <c r="S320" i="4" s="1"/>
  <c r="T320" i="4" s="1"/>
  <c r="U320" i="4" s="1"/>
  <c r="V320" i="4" s="1"/>
  <c r="R321" i="4"/>
  <c r="S321" i="4" s="1"/>
  <c r="T321" i="4" s="1"/>
  <c r="U321" i="4" s="1"/>
  <c r="V321" i="4" s="1"/>
  <c r="R322" i="4"/>
  <c r="S322" i="4" s="1"/>
  <c r="T322" i="4" s="1"/>
  <c r="U322" i="4" s="1"/>
  <c r="V322" i="4" s="1"/>
  <c r="R323" i="4"/>
  <c r="S323" i="4" s="1"/>
  <c r="T323" i="4" s="1"/>
  <c r="U323" i="4" s="1"/>
  <c r="V323" i="4" s="1"/>
  <c r="R324" i="4"/>
  <c r="S324" i="4" s="1"/>
  <c r="T324" i="4" s="1"/>
  <c r="U324" i="4" s="1"/>
  <c r="V324" i="4" s="1"/>
  <c r="R325" i="4"/>
  <c r="S325" i="4" s="1"/>
  <c r="T325" i="4" s="1"/>
  <c r="U325" i="4" s="1"/>
  <c r="V325" i="4" s="1"/>
  <c r="R326" i="4"/>
  <c r="S326" i="4" s="1"/>
  <c r="T326" i="4" s="1"/>
  <c r="U326" i="4" s="1"/>
  <c r="V326" i="4" s="1"/>
  <c r="R327" i="4"/>
  <c r="S327" i="4" s="1"/>
  <c r="T327" i="4" s="1"/>
  <c r="U327" i="4" s="1"/>
  <c r="V327" i="4" s="1"/>
  <c r="R328" i="4"/>
  <c r="S328" i="4" s="1"/>
  <c r="T328" i="4" s="1"/>
  <c r="U328" i="4" s="1"/>
  <c r="V328" i="4" s="1"/>
  <c r="R329" i="4"/>
  <c r="S329" i="4" s="1"/>
  <c r="T329" i="4" s="1"/>
  <c r="U329" i="4" s="1"/>
  <c r="V329" i="4" s="1"/>
  <c r="R330" i="4"/>
  <c r="S330" i="4" s="1"/>
  <c r="T330" i="4" s="1"/>
  <c r="U330" i="4" s="1"/>
  <c r="V330" i="4" s="1"/>
  <c r="R331" i="4"/>
  <c r="S331" i="4" s="1"/>
  <c r="T331" i="4" s="1"/>
  <c r="U331" i="4" s="1"/>
  <c r="V331" i="4" s="1"/>
  <c r="R332" i="4"/>
  <c r="S332" i="4" s="1"/>
  <c r="T332" i="4" s="1"/>
  <c r="U332" i="4" s="1"/>
  <c r="V332" i="4" s="1"/>
  <c r="R333" i="4"/>
  <c r="S333" i="4" s="1"/>
  <c r="T333" i="4" s="1"/>
  <c r="U333" i="4" s="1"/>
  <c r="V333" i="4" s="1"/>
  <c r="R334" i="4"/>
  <c r="S334" i="4" s="1"/>
  <c r="T334" i="4" s="1"/>
  <c r="U334" i="4" s="1"/>
  <c r="V334" i="4" s="1"/>
  <c r="R335" i="4"/>
  <c r="S335" i="4" s="1"/>
  <c r="T335" i="4" s="1"/>
  <c r="U335" i="4" s="1"/>
  <c r="V335" i="4" s="1"/>
  <c r="R336" i="4"/>
  <c r="S336" i="4" s="1"/>
  <c r="T336" i="4" s="1"/>
  <c r="U336" i="4" s="1"/>
  <c r="V336" i="4" s="1"/>
  <c r="R337" i="4"/>
  <c r="S337" i="4" s="1"/>
  <c r="T337" i="4" s="1"/>
  <c r="U337" i="4" s="1"/>
  <c r="V337" i="4" s="1"/>
  <c r="R338" i="4"/>
  <c r="S338" i="4" s="1"/>
  <c r="T338" i="4" s="1"/>
  <c r="U338" i="4" s="1"/>
  <c r="V338" i="4" s="1"/>
  <c r="R339" i="4"/>
  <c r="S339" i="4" s="1"/>
  <c r="T339" i="4" s="1"/>
  <c r="U339" i="4" s="1"/>
  <c r="V339" i="4" s="1"/>
  <c r="R340" i="4"/>
  <c r="S340" i="4" s="1"/>
  <c r="T340" i="4" s="1"/>
  <c r="U340" i="4" s="1"/>
  <c r="V340" i="4" s="1"/>
  <c r="R341" i="4"/>
  <c r="S341" i="4" s="1"/>
  <c r="T341" i="4" s="1"/>
  <c r="U341" i="4" s="1"/>
  <c r="V341" i="4" s="1"/>
  <c r="R342" i="4"/>
  <c r="S342" i="4" s="1"/>
  <c r="T342" i="4" s="1"/>
  <c r="U342" i="4" s="1"/>
  <c r="V342" i="4" s="1"/>
  <c r="R343" i="4"/>
  <c r="S343" i="4" s="1"/>
  <c r="T343" i="4" s="1"/>
  <c r="U343" i="4" s="1"/>
  <c r="V343" i="4" s="1"/>
  <c r="R344" i="4"/>
  <c r="S344" i="4" s="1"/>
  <c r="T344" i="4" s="1"/>
  <c r="U344" i="4" s="1"/>
  <c r="V344" i="4" s="1"/>
  <c r="R345" i="4"/>
  <c r="S345" i="4" s="1"/>
  <c r="T345" i="4" s="1"/>
  <c r="U345" i="4" s="1"/>
  <c r="V345" i="4" s="1"/>
  <c r="R346" i="4"/>
  <c r="S346" i="4" s="1"/>
  <c r="T346" i="4" s="1"/>
  <c r="U346" i="4" s="1"/>
  <c r="V346" i="4" s="1"/>
  <c r="R347" i="4"/>
  <c r="S347" i="4" s="1"/>
  <c r="T347" i="4" s="1"/>
  <c r="U347" i="4" s="1"/>
  <c r="V347" i="4" s="1"/>
  <c r="R348" i="4"/>
  <c r="S348" i="4" s="1"/>
  <c r="T348" i="4" s="1"/>
  <c r="U348" i="4" s="1"/>
  <c r="V348" i="4" s="1"/>
  <c r="R349" i="4"/>
  <c r="S349" i="4" s="1"/>
  <c r="T349" i="4" s="1"/>
  <c r="U349" i="4" s="1"/>
  <c r="V349" i="4" s="1"/>
  <c r="R350" i="4"/>
  <c r="S350" i="4" s="1"/>
  <c r="T350" i="4" s="1"/>
  <c r="U350" i="4" s="1"/>
  <c r="V350" i="4" s="1"/>
  <c r="R351" i="4"/>
  <c r="S351" i="4" s="1"/>
  <c r="T351" i="4" s="1"/>
  <c r="U351" i="4" s="1"/>
  <c r="V351" i="4" s="1"/>
  <c r="R352" i="4"/>
  <c r="S352" i="4" s="1"/>
  <c r="T352" i="4" s="1"/>
  <c r="U352" i="4" s="1"/>
  <c r="V352" i="4" s="1"/>
  <c r="R353" i="4"/>
  <c r="S353" i="4" s="1"/>
  <c r="T353" i="4" s="1"/>
  <c r="U353" i="4" s="1"/>
  <c r="V353" i="4" s="1"/>
  <c r="R354" i="4"/>
  <c r="S354" i="4" s="1"/>
  <c r="T354" i="4" s="1"/>
  <c r="U354" i="4" s="1"/>
  <c r="V354" i="4" s="1"/>
  <c r="R355" i="4"/>
  <c r="S355" i="4" s="1"/>
  <c r="T355" i="4" s="1"/>
  <c r="U355" i="4" s="1"/>
  <c r="V355" i="4" s="1"/>
  <c r="R356" i="4"/>
  <c r="S356" i="4" s="1"/>
  <c r="T356" i="4" s="1"/>
  <c r="U356" i="4" s="1"/>
  <c r="V356" i="4" s="1"/>
  <c r="R357" i="4"/>
  <c r="S357" i="4" s="1"/>
  <c r="T357" i="4" s="1"/>
  <c r="U357" i="4" s="1"/>
  <c r="V357" i="4" s="1"/>
  <c r="R358" i="4"/>
  <c r="S358" i="4" s="1"/>
  <c r="T358" i="4" s="1"/>
  <c r="U358" i="4" s="1"/>
  <c r="V358" i="4" s="1"/>
  <c r="R359" i="4"/>
  <c r="S359" i="4" s="1"/>
  <c r="T359" i="4" s="1"/>
  <c r="U359" i="4" s="1"/>
  <c r="V359" i="4" s="1"/>
  <c r="R360" i="4"/>
  <c r="S360" i="4" s="1"/>
  <c r="T360" i="4" s="1"/>
  <c r="U360" i="4" s="1"/>
  <c r="V360" i="4" s="1"/>
  <c r="R361" i="4"/>
  <c r="S361" i="4" s="1"/>
  <c r="T361" i="4" s="1"/>
  <c r="U361" i="4" s="1"/>
  <c r="V361" i="4" s="1"/>
  <c r="R362" i="4"/>
  <c r="S362" i="4" s="1"/>
  <c r="T362" i="4" s="1"/>
  <c r="U362" i="4" s="1"/>
  <c r="V362" i="4" s="1"/>
  <c r="R363" i="4"/>
  <c r="S363" i="4" s="1"/>
  <c r="T363" i="4" s="1"/>
  <c r="U363" i="4" s="1"/>
  <c r="V363" i="4" s="1"/>
  <c r="R364" i="4"/>
  <c r="S364" i="4" s="1"/>
  <c r="T364" i="4" s="1"/>
  <c r="U364" i="4" s="1"/>
  <c r="V364" i="4" s="1"/>
  <c r="R365" i="4"/>
  <c r="S365" i="4" s="1"/>
  <c r="T365" i="4" s="1"/>
  <c r="U365" i="4" s="1"/>
  <c r="V365" i="4" s="1"/>
  <c r="R366" i="4"/>
  <c r="S366" i="4" s="1"/>
  <c r="T366" i="4" s="1"/>
  <c r="U366" i="4" s="1"/>
  <c r="V366" i="4" s="1"/>
  <c r="R367" i="4"/>
  <c r="S367" i="4" s="1"/>
  <c r="T367" i="4" s="1"/>
  <c r="U367" i="4" s="1"/>
  <c r="V367" i="4" s="1"/>
  <c r="R368" i="4"/>
  <c r="S368" i="4" s="1"/>
  <c r="T368" i="4" s="1"/>
  <c r="U368" i="4" s="1"/>
  <c r="V368" i="4" s="1"/>
  <c r="R369" i="4"/>
  <c r="S369" i="4" s="1"/>
  <c r="T369" i="4" s="1"/>
  <c r="U369" i="4" s="1"/>
  <c r="V369" i="4" s="1"/>
  <c r="R370" i="4"/>
  <c r="S370" i="4" s="1"/>
  <c r="T370" i="4" s="1"/>
  <c r="U370" i="4" s="1"/>
  <c r="V370" i="4" s="1"/>
  <c r="R371" i="4"/>
  <c r="S371" i="4" s="1"/>
  <c r="T371" i="4" s="1"/>
  <c r="U371" i="4" s="1"/>
  <c r="V371" i="4" s="1"/>
  <c r="R372" i="4"/>
  <c r="S372" i="4" s="1"/>
  <c r="T372" i="4" s="1"/>
  <c r="U372" i="4" s="1"/>
  <c r="V372" i="4" s="1"/>
  <c r="R373" i="4"/>
  <c r="S373" i="4" s="1"/>
  <c r="T373" i="4" s="1"/>
  <c r="U373" i="4" s="1"/>
  <c r="V373" i="4" s="1"/>
  <c r="R374" i="4"/>
  <c r="S374" i="4" s="1"/>
  <c r="T374" i="4" s="1"/>
  <c r="U374" i="4" s="1"/>
  <c r="V374" i="4" s="1"/>
  <c r="R375" i="4"/>
  <c r="S375" i="4" s="1"/>
  <c r="T375" i="4" s="1"/>
  <c r="U375" i="4" s="1"/>
  <c r="V375" i="4" s="1"/>
  <c r="R376" i="4"/>
  <c r="S376" i="4" s="1"/>
  <c r="T376" i="4" s="1"/>
  <c r="U376" i="4" s="1"/>
  <c r="V376" i="4" s="1"/>
  <c r="R377" i="4"/>
  <c r="S377" i="4" s="1"/>
  <c r="T377" i="4" s="1"/>
  <c r="U377" i="4" s="1"/>
  <c r="V377" i="4" s="1"/>
  <c r="R378" i="4"/>
  <c r="S378" i="4" s="1"/>
  <c r="T378" i="4" s="1"/>
  <c r="U378" i="4" s="1"/>
  <c r="V378" i="4" s="1"/>
  <c r="R379" i="4"/>
  <c r="S379" i="4" s="1"/>
  <c r="T379" i="4" s="1"/>
  <c r="U379" i="4" s="1"/>
  <c r="V379" i="4" s="1"/>
  <c r="R380" i="4"/>
  <c r="S380" i="4" s="1"/>
  <c r="T380" i="4" s="1"/>
  <c r="U380" i="4" s="1"/>
  <c r="V380" i="4" s="1"/>
  <c r="R381" i="4"/>
  <c r="S381" i="4" s="1"/>
  <c r="T381" i="4" s="1"/>
  <c r="U381" i="4" s="1"/>
  <c r="V381" i="4" s="1"/>
  <c r="R382" i="4"/>
  <c r="S382" i="4" s="1"/>
  <c r="T382" i="4" s="1"/>
  <c r="U382" i="4" s="1"/>
  <c r="V382" i="4" s="1"/>
  <c r="R383" i="4"/>
  <c r="S383" i="4" s="1"/>
  <c r="T383" i="4" s="1"/>
  <c r="U383" i="4" s="1"/>
  <c r="V383" i="4" s="1"/>
  <c r="R384" i="4"/>
  <c r="S384" i="4" s="1"/>
  <c r="T384" i="4" s="1"/>
  <c r="U384" i="4" s="1"/>
  <c r="V384" i="4" s="1"/>
  <c r="R385" i="4"/>
  <c r="S385" i="4" s="1"/>
  <c r="T385" i="4" s="1"/>
  <c r="U385" i="4" s="1"/>
  <c r="V385" i="4" s="1"/>
  <c r="R386" i="4"/>
  <c r="S386" i="4" s="1"/>
  <c r="T386" i="4" s="1"/>
  <c r="U386" i="4" s="1"/>
  <c r="V386" i="4" s="1"/>
  <c r="R387" i="4"/>
  <c r="S387" i="4" s="1"/>
  <c r="T387" i="4" s="1"/>
  <c r="U387" i="4" s="1"/>
  <c r="V387" i="4" s="1"/>
  <c r="R388" i="4"/>
  <c r="S388" i="4" s="1"/>
  <c r="T388" i="4" s="1"/>
  <c r="U388" i="4" s="1"/>
  <c r="V388" i="4" s="1"/>
  <c r="R389" i="4"/>
  <c r="S389" i="4" s="1"/>
  <c r="T389" i="4" s="1"/>
  <c r="U389" i="4" s="1"/>
  <c r="V389" i="4" s="1"/>
  <c r="R390" i="4"/>
  <c r="S390" i="4" s="1"/>
  <c r="T390" i="4" s="1"/>
  <c r="U390" i="4" s="1"/>
  <c r="V390" i="4" s="1"/>
  <c r="R391" i="4"/>
  <c r="S391" i="4" s="1"/>
  <c r="T391" i="4" s="1"/>
  <c r="U391" i="4" s="1"/>
  <c r="V391" i="4" s="1"/>
  <c r="R392" i="4"/>
  <c r="S392" i="4" s="1"/>
  <c r="T392" i="4" s="1"/>
  <c r="U392" i="4" s="1"/>
  <c r="V392" i="4" s="1"/>
  <c r="R393" i="4"/>
  <c r="S393" i="4" s="1"/>
  <c r="T393" i="4" s="1"/>
  <c r="U393" i="4" s="1"/>
  <c r="V393" i="4" s="1"/>
  <c r="R394" i="4"/>
  <c r="S394" i="4" s="1"/>
  <c r="T394" i="4" s="1"/>
  <c r="U394" i="4" s="1"/>
  <c r="V394" i="4" s="1"/>
  <c r="R395" i="4"/>
  <c r="S395" i="4" s="1"/>
  <c r="T395" i="4" s="1"/>
  <c r="U395" i="4" s="1"/>
  <c r="V395" i="4" s="1"/>
  <c r="R396" i="4"/>
  <c r="S396" i="4" s="1"/>
  <c r="T396" i="4" s="1"/>
  <c r="U396" i="4" s="1"/>
  <c r="V396" i="4" s="1"/>
  <c r="R397" i="4"/>
  <c r="S397" i="4" s="1"/>
  <c r="T397" i="4" s="1"/>
  <c r="U397" i="4" s="1"/>
  <c r="V397" i="4" s="1"/>
  <c r="R398" i="4"/>
  <c r="S398" i="4" s="1"/>
  <c r="T398" i="4" s="1"/>
  <c r="U398" i="4" s="1"/>
  <c r="V398" i="4" s="1"/>
  <c r="R399" i="4"/>
  <c r="S399" i="4" s="1"/>
  <c r="T399" i="4" s="1"/>
  <c r="U399" i="4" s="1"/>
  <c r="V399" i="4" s="1"/>
  <c r="R400" i="4"/>
  <c r="S400" i="4" s="1"/>
  <c r="T400" i="4" s="1"/>
  <c r="U400" i="4" s="1"/>
  <c r="V400" i="4" s="1"/>
  <c r="R401" i="4"/>
  <c r="S401" i="4" s="1"/>
  <c r="T401" i="4" s="1"/>
  <c r="U401" i="4" s="1"/>
  <c r="V401" i="4" s="1"/>
  <c r="R402" i="4"/>
  <c r="S402" i="4" s="1"/>
  <c r="T402" i="4" s="1"/>
  <c r="U402" i="4" s="1"/>
  <c r="V402" i="4" s="1"/>
  <c r="R403" i="4"/>
  <c r="S403" i="4" s="1"/>
  <c r="T403" i="4" s="1"/>
  <c r="U403" i="4" s="1"/>
  <c r="V403" i="4" s="1"/>
  <c r="R404" i="4"/>
  <c r="S404" i="4" s="1"/>
  <c r="T404" i="4" s="1"/>
  <c r="U404" i="4" s="1"/>
  <c r="V404" i="4" s="1"/>
  <c r="R405" i="4"/>
  <c r="S405" i="4" s="1"/>
  <c r="T405" i="4" s="1"/>
  <c r="U405" i="4" s="1"/>
  <c r="V405" i="4" s="1"/>
  <c r="R406" i="4"/>
  <c r="S406" i="4" s="1"/>
  <c r="T406" i="4" s="1"/>
  <c r="U406" i="4" s="1"/>
  <c r="V406" i="4" s="1"/>
  <c r="R407" i="4"/>
  <c r="S407" i="4" s="1"/>
  <c r="T407" i="4" s="1"/>
  <c r="U407" i="4" s="1"/>
  <c r="V407" i="4" s="1"/>
  <c r="R408" i="4"/>
  <c r="S408" i="4" s="1"/>
  <c r="T408" i="4" s="1"/>
  <c r="U408" i="4" s="1"/>
  <c r="V408" i="4" s="1"/>
  <c r="R409" i="4"/>
  <c r="S409" i="4" s="1"/>
  <c r="T409" i="4" s="1"/>
  <c r="U409" i="4" s="1"/>
  <c r="V409" i="4" s="1"/>
  <c r="R410" i="4"/>
  <c r="S410" i="4" s="1"/>
  <c r="T410" i="4" s="1"/>
  <c r="U410" i="4" s="1"/>
  <c r="V410" i="4" s="1"/>
  <c r="R411" i="4"/>
  <c r="S411" i="4" s="1"/>
  <c r="T411" i="4" s="1"/>
  <c r="U411" i="4" s="1"/>
  <c r="V411" i="4" s="1"/>
  <c r="R412" i="4"/>
  <c r="S412" i="4" s="1"/>
  <c r="T412" i="4" s="1"/>
  <c r="U412" i="4" s="1"/>
  <c r="V412" i="4" s="1"/>
  <c r="R413" i="4"/>
  <c r="S413" i="4" s="1"/>
  <c r="T413" i="4" s="1"/>
  <c r="U413" i="4" s="1"/>
  <c r="V413" i="4" s="1"/>
  <c r="R414" i="4"/>
  <c r="S414" i="4" s="1"/>
  <c r="T414" i="4" s="1"/>
  <c r="U414" i="4" s="1"/>
  <c r="V414" i="4" s="1"/>
  <c r="R415" i="4"/>
  <c r="S415" i="4" s="1"/>
  <c r="T415" i="4" s="1"/>
  <c r="U415" i="4" s="1"/>
  <c r="V415" i="4" s="1"/>
  <c r="R416" i="4"/>
  <c r="S416" i="4" s="1"/>
  <c r="T416" i="4" s="1"/>
  <c r="U416" i="4" s="1"/>
  <c r="V416" i="4" s="1"/>
  <c r="R417" i="4"/>
  <c r="S417" i="4" s="1"/>
  <c r="T417" i="4" s="1"/>
  <c r="U417" i="4" s="1"/>
  <c r="V417" i="4" s="1"/>
  <c r="R418" i="4"/>
  <c r="S418" i="4" s="1"/>
  <c r="T418" i="4" s="1"/>
  <c r="U418" i="4" s="1"/>
  <c r="V418" i="4" s="1"/>
  <c r="R419" i="4"/>
  <c r="S419" i="4" s="1"/>
  <c r="T419" i="4" s="1"/>
  <c r="U419" i="4" s="1"/>
  <c r="V419" i="4" s="1"/>
  <c r="R420" i="4"/>
  <c r="S420" i="4" s="1"/>
  <c r="T420" i="4" s="1"/>
  <c r="U420" i="4" s="1"/>
  <c r="V420" i="4" s="1"/>
  <c r="R421" i="4"/>
  <c r="S421" i="4" s="1"/>
  <c r="T421" i="4" s="1"/>
  <c r="U421" i="4" s="1"/>
  <c r="V421" i="4" s="1"/>
  <c r="R422" i="4"/>
  <c r="S422" i="4" s="1"/>
  <c r="T422" i="4" s="1"/>
  <c r="U422" i="4" s="1"/>
  <c r="V422" i="4" s="1"/>
  <c r="R423" i="4"/>
  <c r="S423" i="4" s="1"/>
  <c r="T423" i="4" s="1"/>
  <c r="U423" i="4" s="1"/>
  <c r="V423" i="4" s="1"/>
  <c r="R424" i="4"/>
  <c r="S424" i="4" s="1"/>
  <c r="T424" i="4" s="1"/>
  <c r="U424" i="4" s="1"/>
  <c r="V424" i="4" s="1"/>
  <c r="R425" i="4"/>
  <c r="S425" i="4" s="1"/>
  <c r="T425" i="4" s="1"/>
  <c r="U425" i="4" s="1"/>
  <c r="V425" i="4" s="1"/>
  <c r="R426" i="4"/>
  <c r="S426" i="4" s="1"/>
  <c r="T426" i="4" s="1"/>
  <c r="U426" i="4" s="1"/>
  <c r="V426" i="4" s="1"/>
  <c r="R427" i="4"/>
  <c r="S427" i="4" s="1"/>
  <c r="T427" i="4" s="1"/>
  <c r="U427" i="4" s="1"/>
  <c r="V427" i="4" s="1"/>
  <c r="R428" i="4"/>
  <c r="S428" i="4" s="1"/>
  <c r="T428" i="4" s="1"/>
  <c r="U428" i="4" s="1"/>
  <c r="V428" i="4" s="1"/>
  <c r="R429" i="4"/>
  <c r="S429" i="4" s="1"/>
  <c r="T429" i="4" s="1"/>
  <c r="U429" i="4" s="1"/>
  <c r="V429" i="4" s="1"/>
  <c r="R430" i="4"/>
  <c r="S430" i="4" s="1"/>
  <c r="T430" i="4" s="1"/>
  <c r="U430" i="4" s="1"/>
  <c r="V430" i="4" s="1"/>
  <c r="R431" i="4"/>
  <c r="S431" i="4" s="1"/>
  <c r="T431" i="4" s="1"/>
  <c r="U431" i="4" s="1"/>
  <c r="V431" i="4" s="1"/>
  <c r="R432" i="4"/>
  <c r="S432" i="4" s="1"/>
  <c r="T432" i="4" s="1"/>
  <c r="U432" i="4" s="1"/>
  <c r="V432" i="4" s="1"/>
  <c r="R433" i="4"/>
  <c r="S433" i="4" s="1"/>
  <c r="T433" i="4" s="1"/>
  <c r="U433" i="4" s="1"/>
  <c r="V433" i="4" s="1"/>
  <c r="R434" i="4"/>
  <c r="S434" i="4" s="1"/>
  <c r="T434" i="4" s="1"/>
  <c r="U434" i="4" s="1"/>
  <c r="V434" i="4" s="1"/>
  <c r="R435" i="4"/>
  <c r="S435" i="4" s="1"/>
  <c r="T435" i="4" s="1"/>
  <c r="U435" i="4" s="1"/>
  <c r="V435" i="4" s="1"/>
  <c r="R436" i="4"/>
  <c r="S436" i="4" s="1"/>
  <c r="T436" i="4" s="1"/>
  <c r="U436" i="4" s="1"/>
  <c r="V436" i="4" s="1"/>
  <c r="R437" i="4"/>
  <c r="S437" i="4" s="1"/>
  <c r="T437" i="4" s="1"/>
  <c r="U437" i="4" s="1"/>
  <c r="V437" i="4" s="1"/>
  <c r="R438" i="4"/>
  <c r="S438" i="4" s="1"/>
  <c r="T438" i="4" s="1"/>
  <c r="U438" i="4" s="1"/>
  <c r="V438" i="4" s="1"/>
  <c r="R439" i="4"/>
  <c r="S439" i="4" s="1"/>
  <c r="T439" i="4" s="1"/>
  <c r="U439" i="4" s="1"/>
  <c r="V439" i="4" s="1"/>
  <c r="R440" i="4"/>
  <c r="S440" i="4" s="1"/>
  <c r="T440" i="4" s="1"/>
  <c r="U440" i="4" s="1"/>
  <c r="V440" i="4" s="1"/>
  <c r="R441" i="4"/>
  <c r="S441" i="4" s="1"/>
  <c r="T441" i="4" s="1"/>
  <c r="U441" i="4" s="1"/>
  <c r="V441" i="4" s="1"/>
  <c r="R442" i="4"/>
  <c r="S442" i="4" s="1"/>
  <c r="T442" i="4" s="1"/>
  <c r="U442" i="4" s="1"/>
  <c r="V442" i="4" s="1"/>
  <c r="R443" i="4"/>
  <c r="S443" i="4" s="1"/>
  <c r="T443" i="4" s="1"/>
  <c r="U443" i="4" s="1"/>
  <c r="V443" i="4" s="1"/>
  <c r="R444" i="4"/>
  <c r="S444" i="4" s="1"/>
  <c r="T444" i="4" s="1"/>
  <c r="U444" i="4" s="1"/>
  <c r="V444" i="4" s="1"/>
  <c r="R445" i="4"/>
  <c r="S445" i="4" s="1"/>
  <c r="T445" i="4" s="1"/>
  <c r="U445" i="4" s="1"/>
  <c r="V445" i="4" s="1"/>
  <c r="R446" i="4"/>
  <c r="S446" i="4" s="1"/>
  <c r="T446" i="4" s="1"/>
  <c r="U446" i="4" s="1"/>
  <c r="V446" i="4" s="1"/>
  <c r="R447" i="4"/>
  <c r="S447" i="4" s="1"/>
  <c r="T447" i="4" s="1"/>
  <c r="U447" i="4" s="1"/>
  <c r="V447" i="4" s="1"/>
  <c r="R448" i="4"/>
  <c r="S448" i="4" s="1"/>
  <c r="T448" i="4" s="1"/>
  <c r="U448" i="4" s="1"/>
  <c r="V448" i="4" s="1"/>
  <c r="R449" i="4"/>
  <c r="S449" i="4" s="1"/>
  <c r="T449" i="4" s="1"/>
  <c r="U449" i="4" s="1"/>
  <c r="V449" i="4" s="1"/>
  <c r="R450" i="4"/>
  <c r="S450" i="4" s="1"/>
  <c r="T450" i="4" s="1"/>
  <c r="U450" i="4" s="1"/>
  <c r="V450" i="4" s="1"/>
  <c r="R451" i="4"/>
  <c r="S451" i="4" s="1"/>
  <c r="T451" i="4" s="1"/>
  <c r="U451" i="4" s="1"/>
  <c r="V451" i="4" s="1"/>
  <c r="R452" i="4"/>
  <c r="S452" i="4" s="1"/>
  <c r="T452" i="4" s="1"/>
  <c r="U452" i="4" s="1"/>
  <c r="V452" i="4" s="1"/>
  <c r="R453" i="4"/>
  <c r="S453" i="4" s="1"/>
  <c r="T453" i="4" s="1"/>
  <c r="U453" i="4" s="1"/>
  <c r="V453" i="4" s="1"/>
  <c r="R454" i="4"/>
  <c r="S454" i="4" s="1"/>
  <c r="T454" i="4" s="1"/>
  <c r="U454" i="4" s="1"/>
  <c r="V454" i="4" s="1"/>
  <c r="R455" i="4"/>
  <c r="S455" i="4" s="1"/>
  <c r="T455" i="4" s="1"/>
  <c r="U455" i="4" s="1"/>
  <c r="V455" i="4" s="1"/>
  <c r="R456" i="4"/>
  <c r="S456" i="4" s="1"/>
  <c r="T456" i="4" s="1"/>
  <c r="U456" i="4" s="1"/>
  <c r="V456" i="4" s="1"/>
  <c r="R457" i="4"/>
  <c r="S457" i="4" s="1"/>
  <c r="T457" i="4" s="1"/>
  <c r="U457" i="4" s="1"/>
  <c r="V457" i="4" s="1"/>
  <c r="R458" i="4"/>
  <c r="S458" i="4" s="1"/>
  <c r="T458" i="4" s="1"/>
  <c r="U458" i="4" s="1"/>
  <c r="V458" i="4" s="1"/>
  <c r="R459" i="4"/>
  <c r="S459" i="4" s="1"/>
  <c r="T459" i="4" s="1"/>
  <c r="U459" i="4" s="1"/>
  <c r="V459" i="4" s="1"/>
  <c r="R460" i="4"/>
  <c r="S460" i="4" s="1"/>
  <c r="T460" i="4" s="1"/>
  <c r="U460" i="4" s="1"/>
  <c r="V460" i="4" s="1"/>
  <c r="R461" i="4"/>
  <c r="S461" i="4" s="1"/>
  <c r="T461" i="4" s="1"/>
  <c r="U461" i="4" s="1"/>
  <c r="V461" i="4" s="1"/>
  <c r="R462" i="4"/>
  <c r="S462" i="4" s="1"/>
  <c r="T462" i="4" s="1"/>
  <c r="U462" i="4" s="1"/>
  <c r="V462" i="4" s="1"/>
  <c r="R463" i="4"/>
  <c r="S463" i="4" s="1"/>
  <c r="T463" i="4" s="1"/>
  <c r="U463" i="4" s="1"/>
  <c r="V463" i="4" s="1"/>
  <c r="R464" i="4"/>
  <c r="S464" i="4" s="1"/>
  <c r="T464" i="4" s="1"/>
  <c r="U464" i="4" s="1"/>
  <c r="V464" i="4" s="1"/>
  <c r="R465" i="4"/>
  <c r="S465" i="4" s="1"/>
  <c r="T465" i="4" s="1"/>
  <c r="U465" i="4" s="1"/>
  <c r="V465" i="4" s="1"/>
  <c r="R466" i="4"/>
  <c r="S466" i="4" s="1"/>
  <c r="T466" i="4" s="1"/>
  <c r="U466" i="4" s="1"/>
  <c r="V466" i="4" s="1"/>
  <c r="R467" i="4"/>
  <c r="S467" i="4" s="1"/>
  <c r="T467" i="4" s="1"/>
  <c r="U467" i="4" s="1"/>
  <c r="V467" i="4" s="1"/>
  <c r="R468" i="4"/>
  <c r="S468" i="4" s="1"/>
  <c r="T468" i="4" s="1"/>
  <c r="U468" i="4" s="1"/>
  <c r="V468" i="4" s="1"/>
  <c r="R469" i="4"/>
  <c r="S469" i="4" s="1"/>
  <c r="T469" i="4" s="1"/>
  <c r="U469" i="4" s="1"/>
  <c r="V469" i="4" s="1"/>
  <c r="R470" i="4"/>
  <c r="S470" i="4" s="1"/>
  <c r="T470" i="4" s="1"/>
  <c r="U470" i="4" s="1"/>
  <c r="V470" i="4" s="1"/>
  <c r="R471" i="4"/>
  <c r="S471" i="4" s="1"/>
  <c r="T471" i="4" s="1"/>
  <c r="U471" i="4" s="1"/>
  <c r="V471" i="4" s="1"/>
  <c r="R472" i="4"/>
  <c r="S472" i="4" s="1"/>
  <c r="T472" i="4" s="1"/>
  <c r="U472" i="4" s="1"/>
  <c r="V472" i="4" s="1"/>
  <c r="R473" i="4"/>
  <c r="S473" i="4" s="1"/>
  <c r="T473" i="4" s="1"/>
  <c r="U473" i="4" s="1"/>
  <c r="V473" i="4" s="1"/>
  <c r="R474" i="4"/>
  <c r="S474" i="4" s="1"/>
  <c r="T474" i="4" s="1"/>
  <c r="U474" i="4" s="1"/>
  <c r="V474" i="4" s="1"/>
  <c r="R475" i="4"/>
  <c r="S475" i="4" s="1"/>
  <c r="T475" i="4" s="1"/>
  <c r="U475" i="4" s="1"/>
  <c r="V475" i="4" s="1"/>
  <c r="R476" i="4"/>
  <c r="S476" i="4" s="1"/>
  <c r="T476" i="4" s="1"/>
  <c r="U476" i="4" s="1"/>
  <c r="V476" i="4" s="1"/>
  <c r="R477" i="4"/>
  <c r="S477" i="4" s="1"/>
  <c r="T477" i="4" s="1"/>
  <c r="U477" i="4" s="1"/>
  <c r="V477" i="4" s="1"/>
  <c r="R478" i="4"/>
  <c r="S478" i="4" s="1"/>
  <c r="T478" i="4" s="1"/>
  <c r="U478" i="4" s="1"/>
  <c r="V478" i="4" s="1"/>
  <c r="R479" i="4"/>
  <c r="S479" i="4" s="1"/>
  <c r="T479" i="4" s="1"/>
  <c r="U479" i="4" s="1"/>
  <c r="V479" i="4" s="1"/>
  <c r="R480" i="4"/>
  <c r="S480" i="4" s="1"/>
  <c r="T480" i="4" s="1"/>
  <c r="U480" i="4" s="1"/>
  <c r="V480" i="4" s="1"/>
  <c r="R481" i="4"/>
  <c r="S481" i="4" s="1"/>
  <c r="T481" i="4" s="1"/>
  <c r="U481" i="4" s="1"/>
  <c r="V481" i="4" s="1"/>
  <c r="R482" i="4"/>
  <c r="S482" i="4" s="1"/>
  <c r="T482" i="4" s="1"/>
  <c r="U482" i="4" s="1"/>
  <c r="V482" i="4" s="1"/>
  <c r="R483" i="4"/>
  <c r="S483" i="4" s="1"/>
  <c r="T483" i="4" s="1"/>
  <c r="U483" i="4" s="1"/>
  <c r="V483" i="4" s="1"/>
  <c r="R484" i="4"/>
  <c r="S484" i="4" s="1"/>
  <c r="T484" i="4" s="1"/>
  <c r="U484" i="4" s="1"/>
  <c r="V484" i="4" s="1"/>
  <c r="R485" i="4"/>
  <c r="S485" i="4" s="1"/>
  <c r="T485" i="4" s="1"/>
  <c r="U485" i="4" s="1"/>
  <c r="V485" i="4" s="1"/>
  <c r="R486" i="4"/>
  <c r="S486" i="4" s="1"/>
  <c r="T486" i="4" s="1"/>
  <c r="U486" i="4" s="1"/>
  <c r="V486" i="4" s="1"/>
  <c r="R487" i="4"/>
  <c r="S487" i="4" s="1"/>
  <c r="T487" i="4" s="1"/>
  <c r="U487" i="4" s="1"/>
  <c r="V487" i="4" s="1"/>
  <c r="R488" i="4"/>
  <c r="S488" i="4" s="1"/>
  <c r="T488" i="4" s="1"/>
  <c r="U488" i="4" s="1"/>
  <c r="V488" i="4" s="1"/>
  <c r="R489" i="4"/>
  <c r="S489" i="4" s="1"/>
  <c r="T489" i="4" s="1"/>
  <c r="U489" i="4" s="1"/>
  <c r="V489" i="4" s="1"/>
  <c r="R490" i="4"/>
  <c r="S490" i="4" s="1"/>
  <c r="T490" i="4" s="1"/>
  <c r="U490" i="4" s="1"/>
  <c r="V490" i="4" s="1"/>
  <c r="R491" i="4"/>
  <c r="S491" i="4" s="1"/>
  <c r="T491" i="4" s="1"/>
  <c r="U491" i="4" s="1"/>
  <c r="V491" i="4" s="1"/>
  <c r="R492" i="4"/>
  <c r="S492" i="4" s="1"/>
  <c r="T492" i="4" s="1"/>
  <c r="U492" i="4" s="1"/>
  <c r="V492" i="4" s="1"/>
  <c r="R493" i="4"/>
  <c r="S493" i="4" s="1"/>
  <c r="T493" i="4" s="1"/>
  <c r="U493" i="4" s="1"/>
  <c r="V493" i="4" s="1"/>
  <c r="R494" i="4"/>
  <c r="S494" i="4" s="1"/>
  <c r="T494" i="4" s="1"/>
  <c r="U494" i="4" s="1"/>
  <c r="V494" i="4" s="1"/>
  <c r="R495" i="4"/>
  <c r="S495" i="4" s="1"/>
  <c r="T495" i="4" s="1"/>
  <c r="U495" i="4" s="1"/>
  <c r="V495" i="4" s="1"/>
  <c r="R496" i="4"/>
  <c r="S496" i="4" s="1"/>
  <c r="T496" i="4" s="1"/>
  <c r="U496" i="4" s="1"/>
  <c r="V496" i="4" s="1"/>
  <c r="R497" i="4"/>
  <c r="S497" i="4" s="1"/>
  <c r="T497" i="4" s="1"/>
  <c r="U497" i="4" s="1"/>
  <c r="V497" i="4" s="1"/>
  <c r="R498" i="4"/>
  <c r="S498" i="4" s="1"/>
  <c r="T498" i="4" s="1"/>
  <c r="U498" i="4" s="1"/>
  <c r="V498" i="4" s="1"/>
  <c r="R499" i="4"/>
  <c r="S499" i="4" s="1"/>
  <c r="T499" i="4" s="1"/>
  <c r="U499" i="4" s="1"/>
  <c r="V499" i="4" s="1"/>
  <c r="R500" i="4"/>
  <c r="S500" i="4" s="1"/>
  <c r="T500" i="4" s="1"/>
  <c r="U500" i="4" s="1"/>
  <c r="V500" i="4" s="1"/>
  <c r="R501" i="4"/>
  <c r="S501" i="4" s="1"/>
  <c r="T501" i="4" s="1"/>
  <c r="U501" i="4" s="1"/>
  <c r="V501" i="4" s="1"/>
  <c r="R502" i="4"/>
  <c r="S502" i="4" s="1"/>
  <c r="T502" i="4" s="1"/>
  <c r="U502" i="4" s="1"/>
  <c r="V502" i="4" s="1"/>
  <c r="R503" i="4"/>
  <c r="S503" i="4" s="1"/>
  <c r="T503" i="4" s="1"/>
  <c r="U503" i="4" s="1"/>
  <c r="V503" i="4" s="1"/>
  <c r="R504" i="4"/>
  <c r="S504" i="4" s="1"/>
  <c r="T504" i="4" s="1"/>
  <c r="U504" i="4" s="1"/>
  <c r="V504" i="4" s="1"/>
  <c r="R505" i="4"/>
  <c r="S505" i="4" s="1"/>
  <c r="T505" i="4" s="1"/>
  <c r="U505" i="4" s="1"/>
  <c r="V505" i="4" s="1"/>
  <c r="R506" i="4"/>
  <c r="S506" i="4" s="1"/>
  <c r="T506" i="4" s="1"/>
  <c r="U506" i="4" s="1"/>
  <c r="V506" i="4" s="1"/>
  <c r="R507" i="4"/>
  <c r="S507" i="4" s="1"/>
  <c r="T507" i="4" s="1"/>
  <c r="U507" i="4" s="1"/>
  <c r="V507" i="4" s="1"/>
  <c r="R508" i="4"/>
  <c r="S508" i="4" s="1"/>
  <c r="T508" i="4" s="1"/>
  <c r="U508" i="4" s="1"/>
  <c r="V508" i="4" s="1"/>
  <c r="R509" i="4"/>
  <c r="S509" i="4" s="1"/>
  <c r="T509" i="4" s="1"/>
  <c r="U509" i="4" s="1"/>
  <c r="V509" i="4" s="1"/>
  <c r="R510" i="4"/>
  <c r="S510" i="4" s="1"/>
  <c r="T510" i="4" s="1"/>
  <c r="U510" i="4" s="1"/>
  <c r="V510" i="4" s="1"/>
  <c r="R511" i="4"/>
  <c r="S511" i="4" s="1"/>
  <c r="T511" i="4" s="1"/>
  <c r="U511" i="4" s="1"/>
  <c r="V511" i="4" s="1"/>
  <c r="R512" i="4"/>
  <c r="S512" i="4" s="1"/>
  <c r="T512" i="4" s="1"/>
  <c r="U512" i="4" s="1"/>
  <c r="V512" i="4" s="1"/>
  <c r="R513" i="4"/>
  <c r="S513" i="4" s="1"/>
  <c r="T513" i="4" s="1"/>
  <c r="U513" i="4" s="1"/>
  <c r="V513" i="4" s="1"/>
  <c r="R514" i="4"/>
  <c r="S514" i="4" s="1"/>
  <c r="T514" i="4" s="1"/>
  <c r="U514" i="4" s="1"/>
  <c r="V514" i="4" s="1"/>
  <c r="R515" i="4"/>
  <c r="S515" i="4" s="1"/>
  <c r="T515" i="4" s="1"/>
  <c r="U515" i="4" s="1"/>
  <c r="V515" i="4" s="1"/>
  <c r="R516" i="4"/>
  <c r="S516" i="4" s="1"/>
  <c r="T516" i="4" s="1"/>
  <c r="U516" i="4" s="1"/>
  <c r="V516" i="4" s="1"/>
  <c r="R517" i="4"/>
  <c r="S517" i="4" s="1"/>
  <c r="T517" i="4" s="1"/>
  <c r="U517" i="4" s="1"/>
  <c r="V517" i="4" s="1"/>
  <c r="R518" i="4"/>
  <c r="S518" i="4" s="1"/>
  <c r="T518" i="4" s="1"/>
  <c r="U518" i="4" s="1"/>
  <c r="V518" i="4" s="1"/>
  <c r="R519" i="4"/>
  <c r="S519" i="4" s="1"/>
  <c r="T519" i="4" s="1"/>
  <c r="U519" i="4" s="1"/>
  <c r="V519" i="4" s="1"/>
  <c r="R520" i="4"/>
  <c r="S520" i="4" s="1"/>
  <c r="T520" i="4" s="1"/>
  <c r="U520" i="4" s="1"/>
  <c r="V520" i="4" s="1"/>
  <c r="R521" i="4"/>
  <c r="S521" i="4" s="1"/>
  <c r="T521" i="4" s="1"/>
  <c r="U521" i="4" s="1"/>
  <c r="V521" i="4" s="1"/>
  <c r="R522" i="4"/>
  <c r="S522" i="4" s="1"/>
  <c r="T522" i="4" s="1"/>
  <c r="U522" i="4" s="1"/>
  <c r="V522" i="4" s="1"/>
  <c r="R523" i="4"/>
  <c r="S523" i="4" s="1"/>
  <c r="T523" i="4" s="1"/>
  <c r="U523" i="4" s="1"/>
  <c r="V523" i="4" s="1"/>
  <c r="R524" i="4"/>
  <c r="S524" i="4" s="1"/>
  <c r="T524" i="4" s="1"/>
  <c r="U524" i="4" s="1"/>
  <c r="V524" i="4" s="1"/>
  <c r="R525" i="4"/>
  <c r="S525" i="4" s="1"/>
  <c r="T525" i="4" s="1"/>
  <c r="U525" i="4" s="1"/>
  <c r="V525" i="4" s="1"/>
  <c r="R526" i="4"/>
  <c r="S526" i="4" s="1"/>
  <c r="T526" i="4" s="1"/>
  <c r="U526" i="4" s="1"/>
  <c r="V526" i="4" s="1"/>
  <c r="R527" i="4"/>
  <c r="S527" i="4" s="1"/>
  <c r="T527" i="4" s="1"/>
  <c r="U527" i="4" s="1"/>
  <c r="V527" i="4" s="1"/>
  <c r="R528" i="4"/>
  <c r="S528" i="4" s="1"/>
  <c r="T528" i="4" s="1"/>
  <c r="U528" i="4" s="1"/>
  <c r="V528" i="4" s="1"/>
  <c r="R529" i="4"/>
  <c r="S529" i="4" s="1"/>
  <c r="T529" i="4" s="1"/>
  <c r="U529" i="4" s="1"/>
  <c r="V529" i="4" s="1"/>
  <c r="R530" i="4"/>
  <c r="S530" i="4" s="1"/>
  <c r="T530" i="4" s="1"/>
  <c r="U530" i="4" s="1"/>
  <c r="V530" i="4" s="1"/>
  <c r="R531" i="4"/>
  <c r="S531" i="4" s="1"/>
  <c r="T531" i="4" s="1"/>
  <c r="U531" i="4" s="1"/>
  <c r="V531" i="4" s="1"/>
  <c r="R532" i="4"/>
  <c r="S532" i="4" s="1"/>
  <c r="T532" i="4" s="1"/>
  <c r="U532" i="4" s="1"/>
  <c r="V532" i="4" s="1"/>
  <c r="R533" i="4"/>
  <c r="S533" i="4" s="1"/>
  <c r="T533" i="4" s="1"/>
  <c r="U533" i="4" s="1"/>
  <c r="V533" i="4" s="1"/>
  <c r="R534" i="4"/>
  <c r="S534" i="4" s="1"/>
  <c r="T534" i="4" s="1"/>
  <c r="U534" i="4" s="1"/>
  <c r="V534" i="4" s="1"/>
  <c r="R535" i="4"/>
  <c r="S535" i="4" s="1"/>
  <c r="T535" i="4" s="1"/>
  <c r="U535" i="4" s="1"/>
  <c r="V535" i="4" s="1"/>
  <c r="R536" i="4"/>
  <c r="S536" i="4" s="1"/>
  <c r="T536" i="4" s="1"/>
  <c r="U536" i="4" s="1"/>
  <c r="V536" i="4" s="1"/>
  <c r="R537" i="4"/>
  <c r="S537" i="4" s="1"/>
  <c r="T537" i="4" s="1"/>
  <c r="U537" i="4" s="1"/>
  <c r="V537" i="4" s="1"/>
  <c r="R538" i="4"/>
  <c r="S538" i="4" s="1"/>
  <c r="T538" i="4" s="1"/>
  <c r="U538" i="4" s="1"/>
  <c r="V538" i="4" s="1"/>
  <c r="R539" i="4"/>
  <c r="S539" i="4" s="1"/>
  <c r="T539" i="4" s="1"/>
  <c r="U539" i="4" s="1"/>
  <c r="V539" i="4" s="1"/>
  <c r="R540" i="4"/>
  <c r="S540" i="4" s="1"/>
  <c r="T540" i="4" s="1"/>
  <c r="U540" i="4" s="1"/>
  <c r="V540" i="4" s="1"/>
  <c r="R541" i="4"/>
  <c r="S541" i="4" s="1"/>
  <c r="T541" i="4" s="1"/>
  <c r="U541" i="4" s="1"/>
  <c r="V541" i="4" s="1"/>
  <c r="R542" i="4"/>
  <c r="S542" i="4" s="1"/>
  <c r="T542" i="4" s="1"/>
  <c r="U542" i="4" s="1"/>
  <c r="V542" i="4" s="1"/>
  <c r="R543" i="4"/>
  <c r="S543" i="4" s="1"/>
  <c r="T543" i="4" s="1"/>
  <c r="U543" i="4" s="1"/>
  <c r="V543" i="4" s="1"/>
  <c r="R544" i="4"/>
  <c r="S544" i="4" s="1"/>
  <c r="T544" i="4" s="1"/>
  <c r="U544" i="4" s="1"/>
  <c r="V544" i="4" s="1"/>
  <c r="R545" i="4"/>
  <c r="S545" i="4" s="1"/>
  <c r="T545" i="4" s="1"/>
  <c r="U545" i="4" s="1"/>
  <c r="V545" i="4" s="1"/>
  <c r="R546" i="4"/>
  <c r="S546" i="4" s="1"/>
  <c r="T546" i="4" s="1"/>
  <c r="U546" i="4" s="1"/>
  <c r="V546" i="4" s="1"/>
  <c r="R547" i="4"/>
  <c r="S547" i="4" s="1"/>
  <c r="T547" i="4" s="1"/>
  <c r="U547" i="4" s="1"/>
  <c r="V547" i="4" s="1"/>
  <c r="R548" i="4"/>
  <c r="S548" i="4" s="1"/>
  <c r="T548" i="4" s="1"/>
  <c r="U548" i="4" s="1"/>
  <c r="V548" i="4" s="1"/>
  <c r="R549" i="4"/>
  <c r="S549" i="4" s="1"/>
  <c r="T549" i="4" s="1"/>
  <c r="U549" i="4" s="1"/>
  <c r="V549" i="4" s="1"/>
  <c r="R550" i="4"/>
  <c r="S550" i="4" s="1"/>
  <c r="T550" i="4" s="1"/>
  <c r="U550" i="4" s="1"/>
  <c r="V550" i="4" s="1"/>
  <c r="R551" i="4"/>
  <c r="S551" i="4" s="1"/>
  <c r="T551" i="4" s="1"/>
  <c r="U551" i="4" s="1"/>
  <c r="V551" i="4" s="1"/>
  <c r="R552" i="4"/>
  <c r="S552" i="4" s="1"/>
  <c r="T552" i="4" s="1"/>
  <c r="U552" i="4" s="1"/>
  <c r="V552" i="4" s="1"/>
  <c r="R553" i="4"/>
  <c r="S553" i="4" s="1"/>
  <c r="T553" i="4" s="1"/>
  <c r="U553" i="4" s="1"/>
  <c r="V553" i="4" s="1"/>
  <c r="R554" i="4"/>
  <c r="S554" i="4" s="1"/>
  <c r="T554" i="4" s="1"/>
  <c r="U554" i="4" s="1"/>
  <c r="V554" i="4" s="1"/>
  <c r="R555" i="4"/>
  <c r="S555" i="4" s="1"/>
  <c r="T555" i="4" s="1"/>
  <c r="U555" i="4" s="1"/>
  <c r="V555" i="4" s="1"/>
  <c r="R556" i="4"/>
  <c r="S556" i="4" s="1"/>
  <c r="T556" i="4" s="1"/>
  <c r="U556" i="4" s="1"/>
  <c r="V556" i="4" s="1"/>
  <c r="R557" i="4"/>
  <c r="S557" i="4" s="1"/>
  <c r="T557" i="4" s="1"/>
  <c r="U557" i="4" s="1"/>
  <c r="V557" i="4" s="1"/>
  <c r="R558" i="4"/>
  <c r="S558" i="4" s="1"/>
  <c r="T558" i="4" s="1"/>
  <c r="U558" i="4" s="1"/>
  <c r="V558" i="4" s="1"/>
  <c r="R559" i="4"/>
  <c r="S559" i="4" s="1"/>
  <c r="T559" i="4" s="1"/>
  <c r="U559" i="4" s="1"/>
  <c r="V559" i="4" s="1"/>
  <c r="R560" i="4"/>
  <c r="S560" i="4" s="1"/>
  <c r="T560" i="4" s="1"/>
  <c r="U560" i="4" s="1"/>
  <c r="V560" i="4" s="1"/>
  <c r="R561" i="4"/>
  <c r="S561" i="4" s="1"/>
  <c r="T561" i="4" s="1"/>
  <c r="U561" i="4" s="1"/>
  <c r="V561" i="4" s="1"/>
  <c r="R562" i="4"/>
  <c r="S562" i="4" s="1"/>
  <c r="T562" i="4" s="1"/>
  <c r="U562" i="4" s="1"/>
  <c r="V562" i="4" s="1"/>
  <c r="R563" i="4"/>
  <c r="S563" i="4" s="1"/>
  <c r="T563" i="4" s="1"/>
  <c r="U563" i="4" s="1"/>
  <c r="V563" i="4" s="1"/>
  <c r="R564" i="4"/>
  <c r="S564" i="4" s="1"/>
  <c r="T564" i="4" s="1"/>
  <c r="U564" i="4" s="1"/>
  <c r="V564" i="4" s="1"/>
  <c r="R565" i="4"/>
  <c r="S565" i="4" s="1"/>
  <c r="T565" i="4" s="1"/>
  <c r="U565" i="4" s="1"/>
  <c r="V565" i="4" s="1"/>
  <c r="R566" i="4"/>
  <c r="S566" i="4" s="1"/>
  <c r="T566" i="4" s="1"/>
  <c r="U566" i="4" s="1"/>
  <c r="V566" i="4" s="1"/>
  <c r="R567" i="4"/>
  <c r="S567" i="4" s="1"/>
  <c r="T567" i="4" s="1"/>
  <c r="U567" i="4" s="1"/>
  <c r="V567" i="4" s="1"/>
  <c r="R568" i="4"/>
  <c r="S568" i="4" s="1"/>
  <c r="T568" i="4" s="1"/>
  <c r="U568" i="4" s="1"/>
  <c r="V568" i="4" s="1"/>
  <c r="R569" i="4"/>
  <c r="S569" i="4" s="1"/>
  <c r="T569" i="4" s="1"/>
  <c r="U569" i="4" s="1"/>
  <c r="V569" i="4" s="1"/>
  <c r="R570" i="4"/>
  <c r="S570" i="4" s="1"/>
  <c r="T570" i="4" s="1"/>
  <c r="U570" i="4" s="1"/>
  <c r="V570" i="4" s="1"/>
  <c r="R571" i="4"/>
  <c r="S571" i="4" s="1"/>
  <c r="T571" i="4" s="1"/>
  <c r="U571" i="4" s="1"/>
  <c r="V571" i="4" s="1"/>
  <c r="R572" i="4"/>
  <c r="S572" i="4" s="1"/>
  <c r="T572" i="4" s="1"/>
  <c r="U572" i="4" s="1"/>
  <c r="V572" i="4" s="1"/>
  <c r="R573" i="4"/>
  <c r="S573" i="4" s="1"/>
  <c r="T573" i="4" s="1"/>
  <c r="U573" i="4" s="1"/>
  <c r="V573" i="4" s="1"/>
  <c r="R574" i="4"/>
  <c r="S574" i="4" s="1"/>
  <c r="T574" i="4" s="1"/>
  <c r="U574" i="4" s="1"/>
  <c r="V574" i="4" s="1"/>
  <c r="R575" i="4"/>
  <c r="S575" i="4" s="1"/>
  <c r="T575" i="4" s="1"/>
  <c r="U575" i="4" s="1"/>
  <c r="V575" i="4" s="1"/>
  <c r="R576" i="4"/>
  <c r="S576" i="4" s="1"/>
  <c r="T576" i="4" s="1"/>
  <c r="U576" i="4" s="1"/>
  <c r="V576" i="4" s="1"/>
  <c r="R577" i="4"/>
  <c r="S577" i="4" s="1"/>
  <c r="T577" i="4" s="1"/>
  <c r="U577" i="4" s="1"/>
  <c r="V577" i="4" s="1"/>
  <c r="R578" i="4"/>
  <c r="S578" i="4" s="1"/>
  <c r="T578" i="4" s="1"/>
  <c r="U578" i="4" s="1"/>
  <c r="V578" i="4" s="1"/>
  <c r="R579" i="4"/>
  <c r="S579" i="4" s="1"/>
  <c r="T579" i="4" s="1"/>
  <c r="U579" i="4" s="1"/>
  <c r="V579" i="4" s="1"/>
  <c r="R580" i="4"/>
  <c r="S580" i="4" s="1"/>
  <c r="T580" i="4" s="1"/>
  <c r="U580" i="4" s="1"/>
  <c r="V580" i="4" s="1"/>
  <c r="R581" i="4"/>
  <c r="S581" i="4" s="1"/>
  <c r="T581" i="4" s="1"/>
  <c r="U581" i="4" s="1"/>
  <c r="V581" i="4" s="1"/>
  <c r="R582" i="4"/>
  <c r="S582" i="4" s="1"/>
  <c r="T582" i="4" s="1"/>
  <c r="U582" i="4" s="1"/>
  <c r="V582" i="4" s="1"/>
  <c r="R583" i="4"/>
  <c r="S583" i="4" s="1"/>
  <c r="T583" i="4" s="1"/>
  <c r="U583" i="4" s="1"/>
  <c r="V583" i="4" s="1"/>
  <c r="R584" i="4"/>
  <c r="S584" i="4" s="1"/>
  <c r="T584" i="4" s="1"/>
  <c r="U584" i="4" s="1"/>
  <c r="V584" i="4" s="1"/>
  <c r="R585" i="4"/>
  <c r="S585" i="4" s="1"/>
  <c r="T585" i="4" s="1"/>
  <c r="U585" i="4" s="1"/>
  <c r="V585" i="4" s="1"/>
  <c r="R586" i="4"/>
  <c r="S586" i="4" s="1"/>
  <c r="T586" i="4" s="1"/>
  <c r="U586" i="4" s="1"/>
  <c r="V586" i="4" s="1"/>
  <c r="R587" i="4"/>
  <c r="S587" i="4" s="1"/>
  <c r="T587" i="4" s="1"/>
  <c r="U587" i="4" s="1"/>
  <c r="V587" i="4" s="1"/>
  <c r="R588" i="4"/>
  <c r="S588" i="4" s="1"/>
  <c r="T588" i="4" s="1"/>
  <c r="U588" i="4" s="1"/>
  <c r="V588" i="4" s="1"/>
  <c r="R589" i="4"/>
  <c r="S589" i="4" s="1"/>
  <c r="T589" i="4" s="1"/>
  <c r="U589" i="4" s="1"/>
  <c r="V589" i="4" s="1"/>
  <c r="R590" i="4"/>
  <c r="S590" i="4" s="1"/>
  <c r="T590" i="4" s="1"/>
  <c r="U590" i="4" s="1"/>
  <c r="V590" i="4" s="1"/>
  <c r="R591" i="4"/>
  <c r="S591" i="4" s="1"/>
  <c r="T591" i="4" s="1"/>
  <c r="U591" i="4" s="1"/>
  <c r="V591" i="4" s="1"/>
  <c r="R592" i="4"/>
  <c r="S592" i="4" s="1"/>
  <c r="T592" i="4" s="1"/>
  <c r="U592" i="4" s="1"/>
  <c r="V592" i="4" s="1"/>
  <c r="R593" i="4"/>
  <c r="S593" i="4" s="1"/>
  <c r="T593" i="4" s="1"/>
  <c r="U593" i="4" s="1"/>
  <c r="V593" i="4" s="1"/>
  <c r="R594" i="4"/>
  <c r="S594" i="4" s="1"/>
  <c r="T594" i="4" s="1"/>
  <c r="U594" i="4" s="1"/>
  <c r="V594" i="4" s="1"/>
  <c r="R595" i="4"/>
  <c r="S595" i="4" s="1"/>
  <c r="T595" i="4" s="1"/>
  <c r="U595" i="4" s="1"/>
  <c r="V595" i="4" s="1"/>
  <c r="R596" i="4"/>
  <c r="S596" i="4" s="1"/>
  <c r="T596" i="4" s="1"/>
  <c r="U596" i="4" s="1"/>
  <c r="V596" i="4" s="1"/>
  <c r="R597" i="4"/>
  <c r="S597" i="4" s="1"/>
  <c r="T597" i="4" s="1"/>
  <c r="U597" i="4" s="1"/>
  <c r="V597" i="4" s="1"/>
  <c r="R598" i="4"/>
  <c r="S598" i="4" s="1"/>
  <c r="T598" i="4" s="1"/>
  <c r="U598" i="4" s="1"/>
  <c r="V598" i="4" s="1"/>
  <c r="R599" i="4"/>
  <c r="S599" i="4" s="1"/>
  <c r="T599" i="4" s="1"/>
  <c r="U599" i="4" s="1"/>
  <c r="V599" i="4" s="1"/>
  <c r="R600" i="4"/>
  <c r="S600" i="4" s="1"/>
  <c r="T600" i="4" s="1"/>
  <c r="U600" i="4" s="1"/>
  <c r="V600" i="4" s="1"/>
  <c r="R601" i="4"/>
  <c r="S601" i="4" s="1"/>
  <c r="T601" i="4" s="1"/>
  <c r="U601" i="4" s="1"/>
  <c r="V601" i="4" s="1"/>
  <c r="R602" i="4"/>
  <c r="S602" i="4" s="1"/>
  <c r="T602" i="4" s="1"/>
  <c r="U602" i="4" s="1"/>
  <c r="V602" i="4" s="1"/>
  <c r="R603" i="4"/>
  <c r="S603" i="4" s="1"/>
  <c r="T603" i="4" s="1"/>
  <c r="U603" i="4" s="1"/>
  <c r="V603" i="4" s="1"/>
  <c r="R604" i="4"/>
  <c r="S604" i="4" s="1"/>
  <c r="T604" i="4" s="1"/>
  <c r="U604" i="4" s="1"/>
  <c r="V604" i="4" s="1"/>
  <c r="R605" i="4"/>
  <c r="S605" i="4" s="1"/>
  <c r="T605" i="4" s="1"/>
  <c r="U605" i="4" s="1"/>
  <c r="V605" i="4" s="1"/>
  <c r="R606" i="4"/>
  <c r="S606" i="4" s="1"/>
  <c r="T606" i="4" s="1"/>
  <c r="U606" i="4" s="1"/>
  <c r="V606" i="4" s="1"/>
  <c r="R607" i="4"/>
  <c r="S607" i="4" s="1"/>
  <c r="T607" i="4" s="1"/>
  <c r="U607" i="4" s="1"/>
  <c r="V607" i="4" s="1"/>
  <c r="R608" i="4"/>
  <c r="S608" i="4" s="1"/>
  <c r="T608" i="4" s="1"/>
  <c r="U608" i="4" s="1"/>
  <c r="V608" i="4" s="1"/>
  <c r="R609" i="4"/>
  <c r="S609" i="4" s="1"/>
  <c r="T609" i="4" s="1"/>
  <c r="U609" i="4" s="1"/>
  <c r="V609" i="4" s="1"/>
  <c r="R610" i="4"/>
  <c r="S610" i="4" s="1"/>
  <c r="T610" i="4" s="1"/>
  <c r="U610" i="4" s="1"/>
  <c r="V610" i="4" s="1"/>
  <c r="R611" i="4"/>
  <c r="S611" i="4" s="1"/>
  <c r="T611" i="4" s="1"/>
  <c r="U611" i="4" s="1"/>
  <c r="V611" i="4" s="1"/>
  <c r="R612" i="4"/>
  <c r="S612" i="4" s="1"/>
  <c r="T612" i="4" s="1"/>
  <c r="U612" i="4" s="1"/>
  <c r="V612" i="4" s="1"/>
  <c r="R613" i="4"/>
  <c r="S613" i="4" s="1"/>
  <c r="T613" i="4" s="1"/>
  <c r="U613" i="4" s="1"/>
  <c r="V613" i="4" s="1"/>
  <c r="R614" i="4"/>
  <c r="S614" i="4" s="1"/>
  <c r="T614" i="4" s="1"/>
  <c r="U614" i="4" s="1"/>
  <c r="V614" i="4" s="1"/>
  <c r="R615" i="4"/>
  <c r="S615" i="4" s="1"/>
  <c r="T615" i="4" s="1"/>
  <c r="U615" i="4" s="1"/>
  <c r="V615" i="4" s="1"/>
  <c r="R616" i="4"/>
  <c r="S616" i="4" s="1"/>
  <c r="T616" i="4" s="1"/>
  <c r="U616" i="4" s="1"/>
  <c r="V616" i="4" s="1"/>
  <c r="R617" i="4"/>
  <c r="S617" i="4" s="1"/>
  <c r="T617" i="4" s="1"/>
  <c r="U617" i="4" s="1"/>
  <c r="V617" i="4" s="1"/>
  <c r="R618" i="4"/>
  <c r="S618" i="4" s="1"/>
  <c r="T618" i="4" s="1"/>
  <c r="U618" i="4" s="1"/>
  <c r="V618" i="4" s="1"/>
  <c r="R619" i="4"/>
  <c r="S619" i="4" s="1"/>
  <c r="T619" i="4" s="1"/>
  <c r="U619" i="4" s="1"/>
  <c r="V619" i="4" s="1"/>
  <c r="R620" i="4"/>
  <c r="S620" i="4" s="1"/>
  <c r="T620" i="4" s="1"/>
  <c r="U620" i="4" s="1"/>
  <c r="V620" i="4" s="1"/>
  <c r="R621" i="4"/>
  <c r="S621" i="4" s="1"/>
  <c r="T621" i="4" s="1"/>
  <c r="U621" i="4" s="1"/>
  <c r="V621" i="4" s="1"/>
  <c r="R622" i="4"/>
  <c r="S622" i="4" s="1"/>
  <c r="T622" i="4" s="1"/>
  <c r="U622" i="4" s="1"/>
  <c r="V622" i="4" s="1"/>
  <c r="R623" i="4"/>
  <c r="S623" i="4" s="1"/>
  <c r="T623" i="4" s="1"/>
  <c r="U623" i="4" s="1"/>
  <c r="V623" i="4" s="1"/>
  <c r="R624" i="4"/>
  <c r="S624" i="4" s="1"/>
  <c r="T624" i="4" s="1"/>
  <c r="U624" i="4" s="1"/>
  <c r="V624" i="4" s="1"/>
  <c r="R625" i="4"/>
  <c r="S625" i="4" s="1"/>
  <c r="T625" i="4" s="1"/>
  <c r="U625" i="4" s="1"/>
  <c r="V625" i="4" s="1"/>
  <c r="R626" i="4"/>
  <c r="S626" i="4" s="1"/>
  <c r="T626" i="4" s="1"/>
  <c r="U626" i="4" s="1"/>
  <c r="V626" i="4" s="1"/>
  <c r="R627" i="4"/>
  <c r="S627" i="4" s="1"/>
  <c r="T627" i="4" s="1"/>
  <c r="U627" i="4" s="1"/>
  <c r="V627" i="4" s="1"/>
  <c r="R628" i="4"/>
  <c r="S628" i="4" s="1"/>
  <c r="T628" i="4" s="1"/>
  <c r="U628" i="4" s="1"/>
  <c r="V628" i="4" s="1"/>
  <c r="R629" i="4"/>
  <c r="S629" i="4" s="1"/>
  <c r="T629" i="4" s="1"/>
  <c r="U629" i="4" s="1"/>
  <c r="V629" i="4" s="1"/>
  <c r="R630" i="4"/>
  <c r="S630" i="4" s="1"/>
  <c r="T630" i="4" s="1"/>
  <c r="U630" i="4" s="1"/>
  <c r="V630" i="4" s="1"/>
  <c r="R631" i="4"/>
  <c r="S631" i="4" s="1"/>
  <c r="T631" i="4" s="1"/>
  <c r="U631" i="4" s="1"/>
  <c r="V631" i="4" s="1"/>
  <c r="R632" i="4"/>
  <c r="S632" i="4" s="1"/>
  <c r="T632" i="4" s="1"/>
  <c r="U632" i="4" s="1"/>
  <c r="V632" i="4" s="1"/>
  <c r="R633" i="4"/>
  <c r="S633" i="4" s="1"/>
  <c r="T633" i="4" s="1"/>
  <c r="U633" i="4" s="1"/>
  <c r="V633" i="4" s="1"/>
  <c r="R634" i="4"/>
  <c r="S634" i="4" s="1"/>
  <c r="T634" i="4" s="1"/>
  <c r="U634" i="4" s="1"/>
  <c r="V634" i="4" s="1"/>
  <c r="R635" i="4"/>
  <c r="S635" i="4" s="1"/>
  <c r="T635" i="4" s="1"/>
  <c r="U635" i="4" s="1"/>
  <c r="V635" i="4" s="1"/>
  <c r="R636" i="4"/>
  <c r="S636" i="4" s="1"/>
  <c r="T636" i="4" s="1"/>
  <c r="U636" i="4" s="1"/>
  <c r="V636" i="4" s="1"/>
  <c r="R637" i="4"/>
  <c r="S637" i="4" s="1"/>
  <c r="T637" i="4" s="1"/>
  <c r="U637" i="4" s="1"/>
  <c r="V637" i="4" s="1"/>
  <c r="R638" i="4"/>
  <c r="S638" i="4" s="1"/>
  <c r="T638" i="4" s="1"/>
  <c r="U638" i="4" s="1"/>
  <c r="V638" i="4" s="1"/>
  <c r="R639" i="4"/>
  <c r="S639" i="4" s="1"/>
  <c r="T639" i="4" s="1"/>
  <c r="U639" i="4" s="1"/>
  <c r="V639" i="4" s="1"/>
  <c r="R640" i="4"/>
  <c r="S640" i="4" s="1"/>
  <c r="T640" i="4" s="1"/>
  <c r="U640" i="4" s="1"/>
  <c r="V640" i="4" s="1"/>
  <c r="R641" i="4"/>
  <c r="S641" i="4" s="1"/>
  <c r="T641" i="4" s="1"/>
  <c r="U641" i="4" s="1"/>
  <c r="V641" i="4" s="1"/>
  <c r="R642" i="4"/>
  <c r="S642" i="4" s="1"/>
  <c r="T642" i="4" s="1"/>
  <c r="U642" i="4" s="1"/>
  <c r="V642" i="4" s="1"/>
  <c r="R643" i="4"/>
  <c r="S643" i="4" s="1"/>
  <c r="T643" i="4" s="1"/>
  <c r="U643" i="4" s="1"/>
  <c r="V643" i="4" s="1"/>
  <c r="R644" i="4"/>
  <c r="S644" i="4" s="1"/>
  <c r="T644" i="4" s="1"/>
  <c r="U644" i="4" s="1"/>
  <c r="V644" i="4" s="1"/>
  <c r="R645" i="4"/>
  <c r="S645" i="4" s="1"/>
  <c r="T645" i="4" s="1"/>
  <c r="U645" i="4" s="1"/>
  <c r="V645" i="4" s="1"/>
  <c r="R646" i="4"/>
  <c r="S646" i="4" s="1"/>
  <c r="T646" i="4" s="1"/>
  <c r="U646" i="4" s="1"/>
  <c r="V646" i="4" s="1"/>
  <c r="R647" i="4"/>
  <c r="S647" i="4" s="1"/>
  <c r="T647" i="4" s="1"/>
  <c r="U647" i="4" s="1"/>
  <c r="V647" i="4" s="1"/>
  <c r="R648" i="4"/>
  <c r="S648" i="4" s="1"/>
  <c r="T648" i="4" s="1"/>
  <c r="U648" i="4" s="1"/>
  <c r="V648" i="4" s="1"/>
  <c r="R649" i="4"/>
  <c r="S649" i="4" s="1"/>
  <c r="T649" i="4" s="1"/>
  <c r="U649" i="4" s="1"/>
  <c r="V649" i="4" s="1"/>
  <c r="R650" i="4"/>
  <c r="S650" i="4" s="1"/>
  <c r="T650" i="4" s="1"/>
  <c r="U650" i="4" s="1"/>
  <c r="V650" i="4" s="1"/>
  <c r="R651" i="4"/>
  <c r="S651" i="4" s="1"/>
  <c r="T651" i="4" s="1"/>
  <c r="U651" i="4" s="1"/>
  <c r="V651" i="4" s="1"/>
  <c r="R652" i="4"/>
  <c r="S652" i="4" s="1"/>
  <c r="T652" i="4" s="1"/>
  <c r="U652" i="4" s="1"/>
  <c r="V652" i="4" s="1"/>
  <c r="R653" i="4"/>
  <c r="S653" i="4" s="1"/>
  <c r="T653" i="4" s="1"/>
  <c r="U653" i="4" s="1"/>
  <c r="V653" i="4" s="1"/>
  <c r="R654" i="4"/>
  <c r="S654" i="4" s="1"/>
  <c r="T654" i="4" s="1"/>
  <c r="U654" i="4" s="1"/>
  <c r="V654" i="4" s="1"/>
  <c r="R655" i="4"/>
  <c r="S655" i="4" s="1"/>
  <c r="T655" i="4" s="1"/>
  <c r="U655" i="4" s="1"/>
  <c r="V655" i="4" s="1"/>
  <c r="R656" i="4"/>
  <c r="S656" i="4" s="1"/>
  <c r="T656" i="4" s="1"/>
  <c r="U656" i="4" s="1"/>
  <c r="V656" i="4" s="1"/>
  <c r="R657" i="4"/>
  <c r="S657" i="4" s="1"/>
  <c r="T657" i="4" s="1"/>
  <c r="U657" i="4" s="1"/>
  <c r="V657" i="4" s="1"/>
  <c r="R658" i="4"/>
  <c r="S658" i="4" s="1"/>
  <c r="T658" i="4" s="1"/>
  <c r="U658" i="4" s="1"/>
  <c r="V658" i="4" s="1"/>
  <c r="R659" i="4"/>
  <c r="S659" i="4" s="1"/>
  <c r="T659" i="4" s="1"/>
  <c r="U659" i="4" s="1"/>
  <c r="V659" i="4" s="1"/>
  <c r="R660" i="4"/>
  <c r="S660" i="4" s="1"/>
  <c r="T660" i="4" s="1"/>
  <c r="U660" i="4" s="1"/>
  <c r="V660" i="4" s="1"/>
  <c r="R661" i="4"/>
  <c r="S661" i="4" s="1"/>
  <c r="T661" i="4" s="1"/>
  <c r="U661" i="4" s="1"/>
  <c r="V661" i="4" s="1"/>
  <c r="R662" i="4"/>
  <c r="S662" i="4" s="1"/>
  <c r="T662" i="4" s="1"/>
  <c r="U662" i="4" s="1"/>
  <c r="V662" i="4" s="1"/>
  <c r="R663" i="4"/>
  <c r="S663" i="4" s="1"/>
  <c r="T663" i="4" s="1"/>
  <c r="U663" i="4" s="1"/>
  <c r="V663" i="4" s="1"/>
  <c r="R664" i="4"/>
  <c r="S664" i="4" s="1"/>
  <c r="T664" i="4" s="1"/>
  <c r="U664" i="4" s="1"/>
  <c r="V664" i="4" s="1"/>
  <c r="R665" i="4"/>
  <c r="S665" i="4" s="1"/>
  <c r="T665" i="4" s="1"/>
  <c r="U665" i="4" s="1"/>
  <c r="V665" i="4" s="1"/>
  <c r="R666" i="4"/>
  <c r="S666" i="4" s="1"/>
  <c r="T666" i="4" s="1"/>
  <c r="U666" i="4" s="1"/>
  <c r="V666" i="4" s="1"/>
  <c r="R667" i="4"/>
  <c r="S667" i="4" s="1"/>
  <c r="T667" i="4" s="1"/>
  <c r="U667" i="4" s="1"/>
  <c r="V667" i="4" s="1"/>
  <c r="R668" i="4"/>
  <c r="S668" i="4" s="1"/>
  <c r="T668" i="4" s="1"/>
  <c r="U668" i="4" s="1"/>
  <c r="V668" i="4" s="1"/>
  <c r="R669" i="4"/>
  <c r="S669" i="4" s="1"/>
  <c r="T669" i="4" s="1"/>
  <c r="U669" i="4" s="1"/>
  <c r="V669" i="4" s="1"/>
  <c r="R670" i="4"/>
  <c r="S670" i="4" s="1"/>
  <c r="T670" i="4" s="1"/>
  <c r="U670" i="4" s="1"/>
  <c r="V670" i="4" s="1"/>
  <c r="R671" i="4"/>
  <c r="S671" i="4" s="1"/>
  <c r="T671" i="4" s="1"/>
  <c r="U671" i="4" s="1"/>
  <c r="V671" i="4" s="1"/>
  <c r="R672" i="4"/>
  <c r="S672" i="4" s="1"/>
  <c r="T672" i="4" s="1"/>
  <c r="U672" i="4" s="1"/>
  <c r="V672" i="4" s="1"/>
  <c r="R673" i="4"/>
  <c r="S673" i="4" s="1"/>
  <c r="T673" i="4" s="1"/>
  <c r="U673" i="4" s="1"/>
  <c r="V673" i="4" s="1"/>
  <c r="R674" i="4"/>
  <c r="S674" i="4" s="1"/>
  <c r="T674" i="4" s="1"/>
  <c r="U674" i="4" s="1"/>
  <c r="V674" i="4" s="1"/>
  <c r="R675" i="4"/>
  <c r="S675" i="4" s="1"/>
  <c r="T675" i="4" s="1"/>
  <c r="U675" i="4" s="1"/>
  <c r="V675" i="4" s="1"/>
  <c r="R676" i="4"/>
  <c r="S676" i="4" s="1"/>
  <c r="T676" i="4" s="1"/>
  <c r="U676" i="4" s="1"/>
  <c r="V676" i="4" s="1"/>
  <c r="R677" i="4"/>
  <c r="S677" i="4" s="1"/>
  <c r="T677" i="4" s="1"/>
  <c r="U677" i="4" s="1"/>
  <c r="V677" i="4" s="1"/>
  <c r="R678" i="4"/>
  <c r="S678" i="4" s="1"/>
  <c r="T678" i="4" s="1"/>
  <c r="U678" i="4" s="1"/>
  <c r="V678" i="4" s="1"/>
  <c r="R679" i="4"/>
  <c r="S679" i="4" s="1"/>
  <c r="T679" i="4" s="1"/>
  <c r="U679" i="4" s="1"/>
  <c r="V679" i="4" s="1"/>
  <c r="R680" i="4"/>
  <c r="S680" i="4" s="1"/>
  <c r="T680" i="4" s="1"/>
  <c r="U680" i="4" s="1"/>
  <c r="V680" i="4" s="1"/>
  <c r="R681" i="4"/>
  <c r="S681" i="4" s="1"/>
  <c r="T681" i="4" s="1"/>
  <c r="U681" i="4" s="1"/>
  <c r="V681" i="4" s="1"/>
  <c r="R682" i="4"/>
  <c r="S682" i="4" s="1"/>
  <c r="T682" i="4" s="1"/>
  <c r="U682" i="4" s="1"/>
  <c r="V682" i="4" s="1"/>
  <c r="R683" i="4"/>
  <c r="S683" i="4" s="1"/>
  <c r="T683" i="4" s="1"/>
  <c r="U683" i="4" s="1"/>
  <c r="V683" i="4" s="1"/>
  <c r="R684" i="4"/>
  <c r="S684" i="4" s="1"/>
  <c r="T684" i="4" s="1"/>
  <c r="U684" i="4" s="1"/>
  <c r="V684" i="4" s="1"/>
  <c r="R685" i="4"/>
  <c r="S685" i="4" s="1"/>
  <c r="T685" i="4" s="1"/>
  <c r="U685" i="4" s="1"/>
  <c r="V685" i="4" s="1"/>
  <c r="R686" i="4"/>
  <c r="S686" i="4" s="1"/>
  <c r="T686" i="4" s="1"/>
  <c r="U686" i="4" s="1"/>
  <c r="V686" i="4" s="1"/>
  <c r="R687" i="4"/>
  <c r="S687" i="4" s="1"/>
  <c r="T687" i="4" s="1"/>
  <c r="U687" i="4" s="1"/>
  <c r="V687" i="4" s="1"/>
  <c r="R688" i="4"/>
  <c r="S688" i="4" s="1"/>
  <c r="T688" i="4" s="1"/>
  <c r="U688" i="4" s="1"/>
  <c r="V688" i="4" s="1"/>
  <c r="R689" i="4"/>
  <c r="S689" i="4" s="1"/>
  <c r="T689" i="4" s="1"/>
  <c r="U689" i="4" s="1"/>
  <c r="V689" i="4" s="1"/>
  <c r="R690" i="4"/>
  <c r="S690" i="4" s="1"/>
  <c r="T690" i="4" s="1"/>
  <c r="U690" i="4" s="1"/>
  <c r="V690" i="4" s="1"/>
  <c r="R691" i="4"/>
  <c r="S691" i="4" s="1"/>
  <c r="T691" i="4" s="1"/>
  <c r="U691" i="4" s="1"/>
  <c r="V691" i="4" s="1"/>
  <c r="R692" i="4"/>
  <c r="S692" i="4" s="1"/>
  <c r="T692" i="4" s="1"/>
  <c r="U692" i="4" s="1"/>
  <c r="V692" i="4" s="1"/>
  <c r="R693" i="4"/>
  <c r="S693" i="4" s="1"/>
  <c r="T693" i="4" s="1"/>
  <c r="U693" i="4" s="1"/>
  <c r="V693" i="4" s="1"/>
  <c r="R694" i="4"/>
  <c r="S694" i="4" s="1"/>
  <c r="T694" i="4" s="1"/>
  <c r="U694" i="4" s="1"/>
  <c r="V694" i="4" s="1"/>
  <c r="R695" i="4"/>
  <c r="S695" i="4" s="1"/>
  <c r="T695" i="4" s="1"/>
  <c r="U695" i="4" s="1"/>
  <c r="V695" i="4" s="1"/>
  <c r="R696" i="4"/>
  <c r="S696" i="4" s="1"/>
  <c r="T696" i="4" s="1"/>
  <c r="U696" i="4" s="1"/>
  <c r="V696" i="4" s="1"/>
  <c r="R697" i="4"/>
  <c r="S697" i="4" s="1"/>
  <c r="T697" i="4" s="1"/>
  <c r="U697" i="4" s="1"/>
  <c r="V697" i="4" s="1"/>
  <c r="R698" i="4"/>
  <c r="S698" i="4" s="1"/>
  <c r="T698" i="4" s="1"/>
  <c r="U698" i="4" s="1"/>
  <c r="V698" i="4" s="1"/>
  <c r="R699" i="4"/>
  <c r="S699" i="4" s="1"/>
  <c r="T699" i="4" s="1"/>
  <c r="U699" i="4" s="1"/>
  <c r="V699" i="4" s="1"/>
  <c r="R700" i="4"/>
  <c r="S700" i="4" s="1"/>
  <c r="T700" i="4" s="1"/>
  <c r="U700" i="4" s="1"/>
  <c r="V700" i="4" s="1"/>
  <c r="R701" i="4"/>
  <c r="S701" i="4" s="1"/>
  <c r="T701" i="4" s="1"/>
  <c r="U701" i="4" s="1"/>
  <c r="V701" i="4" s="1"/>
  <c r="R702" i="4"/>
  <c r="S702" i="4" s="1"/>
  <c r="T702" i="4" s="1"/>
  <c r="U702" i="4" s="1"/>
  <c r="V702" i="4" s="1"/>
  <c r="R703" i="4"/>
  <c r="S703" i="4" s="1"/>
  <c r="T703" i="4" s="1"/>
  <c r="U703" i="4" s="1"/>
  <c r="V703" i="4" s="1"/>
  <c r="R704" i="4"/>
  <c r="S704" i="4" s="1"/>
  <c r="T704" i="4" s="1"/>
  <c r="U704" i="4" s="1"/>
  <c r="V704" i="4" s="1"/>
  <c r="R705" i="4"/>
  <c r="S705" i="4" s="1"/>
  <c r="T705" i="4" s="1"/>
  <c r="U705" i="4" s="1"/>
  <c r="V705" i="4" s="1"/>
  <c r="R706" i="4"/>
  <c r="S706" i="4" s="1"/>
  <c r="T706" i="4" s="1"/>
  <c r="U706" i="4" s="1"/>
  <c r="V706" i="4" s="1"/>
  <c r="R707" i="4"/>
  <c r="S707" i="4" s="1"/>
  <c r="T707" i="4" s="1"/>
  <c r="U707" i="4" s="1"/>
  <c r="V707" i="4" s="1"/>
  <c r="R708" i="4"/>
  <c r="S708" i="4" s="1"/>
  <c r="T708" i="4" s="1"/>
  <c r="U708" i="4" s="1"/>
  <c r="V708" i="4" s="1"/>
  <c r="R709" i="4"/>
  <c r="S709" i="4" s="1"/>
  <c r="T709" i="4" s="1"/>
  <c r="U709" i="4" s="1"/>
  <c r="V709" i="4" s="1"/>
  <c r="R710" i="4"/>
  <c r="S710" i="4" s="1"/>
  <c r="T710" i="4" s="1"/>
  <c r="U710" i="4" s="1"/>
  <c r="V710" i="4" s="1"/>
  <c r="R711" i="4"/>
  <c r="S711" i="4" s="1"/>
  <c r="T711" i="4" s="1"/>
  <c r="U711" i="4" s="1"/>
  <c r="V711" i="4" s="1"/>
  <c r="R712" i="4"/>
  <c r="S712" i="4" s="1"/>
  <c r="T712" i="4" s="1"/>
  <c r="U712" i="4" s="1"/>
  <c r="V712" i="4" s="1"/>
  <c r="R713" i="4"/>
  <c r="S713" i="4" s="1"/>
  <c r="T713" i="4" s="1"/>
  <c r="U713" i="4" s="1"/>
  <c r="V713" i="4" s="1"/>
  <c r="R714" i="4"/>
  <c r="S714" i="4" s="1"/>
  <c r="T714" i="4" s="1"/>
  <c r="U714" i="4" s="1"/>
  <c r="V714" i="4" s="1"/>
  <c r="R715" i="4"/>
  <c r="S715" i="4" s="1"/>
  <c r="T715" i="4" s="1"/>
  <c r="U715" i="4" s="1"/>
  <c r="V715" i="4" s="1"/>
  <c r="R716" i="4"/>
  <c r="S716" i="4" s="1"/>
  <c r="T716" i="4" s="1"/>
  <c r="U716" i="4" s="1"/>
  <c r="V716" i="4" s="1"/>
  <c r="R717" i="4"/>
  <c r="S717" i="4" s="1"/>
  <c r="T717" i="4" s="1"/>
  <c r="U717" i="4" s="1"/>
  <c r="V717" i="4" s="1"/>
  <c r="R718" i="4"/>
  <c r="S718" i="4" s="1"/>
  <c r="T718" i="4" s="1"/>
  <c r="U718" i="4" s="1"/>
  <c r="V718" i="4" s="1"/>
  <c r="R719" i="4"/>
  <c r="S719" i="4" s="1"/>
  <c r="T719" i="4" s="1"/>
  <c r="U719" i="4" s="1"/>
  <c r="V719" i="4" s="1"/>
  <c r="R720" i="4"/>
  <c r="S720" i="4" s="1"/>
  <c r="T720" i="4" s="1"/>
  <c r="U720" i="4" s="1"/>
  <c r="V720" i="4" s="1"/>
  <c r="R721" i="4"/>
  <c r="S721" i="4" s="1"/>
  <c r="T721" i="4" s="1"/>
  <c r="U721" i="4" s="1"/>
  <c r="V721" i="4" s="1"/>
  <c r="R722" i="4"/>
  <c r="S722" i="4" s="1"/>
  <c r="T722" i="4" s="1"/>
  <c r="U722" i="4" s="1"/>
  <c r="V722" i="4" s="1"/>
  <c r="R723" i="4"/>
  <c r="S723" i="4" s="1"/>
  <c r="T723" i="4" s="1"/>
  <c r="U723" i="4" s="1"/>
  <c r="V723" i="4" s="1"/>
  <c r="R724" i="4"/>
  <c r="S724" i="4" s="1"/>
  <c r="T724" i="4" s="1"/>
  <c r="U724" i="4" s="1"/>
  <c r="V724" i="4" s="1"/>
  <c r="R725" i="4"/>
  <c r="S725" i="4" s="1"/>
  <c r="T725" i="4" s="1"/>
  <c r="U725" i="4" s="1"/>
  <c r="V725" i="4" s="1"/>
  <c r="R726" i="4"/>
  <c r="S726" i="4" s="1"/>
  <c r="T726" i="4" s="1"/>
  <c r="U726" i="4" s="1"/>
  <c r="V726" i="4" s="1"/>
  <c r="R727" i="4"/>
  <c r="S727" i="4" s="1"/>
  <c r="T727" i="4" s="1"/>
  <c r="U727" i="4" s="1"/>
  <c r="V727" i="4" s="1"/>
  <c r="R728" i="4"/>
  <c r="S728" i="4" s="1"/>
  <c r="T728" i="4" s="1"/>
  <c r="U728" i="4" s="1"/>
  <c r="V728" i="4" s="1"/>
  <c r="R729" i="4"/>
  <c r="S729" i="4" s="1"/>
  <c r="T729" i="4" s="1"/>
  <c r="U729" i="4" s="1"/>
  <c r="V729" i="4" s="1"/>
  <c r="R730" i="4"/>
  <c r="S730" i="4" s="1"/>
  <c r="T730" i="4" s="1"/>
  <c r="U730" i="4" s="1"/>
  <c r="V730" i="4" s="1"/>
  <c r="R731" i="4"/>
  <c r="S731" i="4" s="1"/>
  <c r="T731" i="4" s="1"/>
  <c r="U731" i="4" s="1"/>
  <c r="V731" i="4" s="1"/>
  <c r="R732" i="4"/>
  <c r="S732" i="4" s="1"/>
  <c r="T732" i="4" s="1"/>
  <c r="U732" i="4" s="1"/>
  <c r="V732" i="4" s="1"/>
  <c r="R733" i="4"/>
  <c r="S733" i="4" s="1"/>
  <c r="T733" i="4" s="1"/>
  <c r="U733" i="4" s="1"/>
  <c r="V733" i="4" s="1"/>
  <c r="R734" i="4"/>
  <c r="S734" i="4" s="1"/>
  <c r="T734" i="4" s="1"/>
  <c r="U734" i="4" s="1"/>
  <c r="V734" i="4" s="1"/>
  <c r="R735" i="4"/>
  <c r="S735" i="4" s="1"/>
  <c r="T735" i="4" s="1"/>
  <c r="U735" i="4" s="1"/>
  <c r="V735" i="4" s="1"/>
  <c r="R736" i="4"/>
  <c r="S736" i="4" s="1"/>
  <c r="T736" i="4" s="1"/>
  <c r="U736" i="4" s="1"/>
  <c r="V736" i="4" s="1"/>
  <c r="R737" i="4"/>
  <c r="S737" i="4" s="1"/>
  <c r="T737" i="4" s="1"/>
  <c r="U737" i="4" s="1"/>
  <c r="V737" i="4" s="1"/>
  <c r="R738" i="4"/>
  <c r="S738" i="4" s="1"/>
  <c r="T738" i="4" s="1"/>
  <c r="U738" i="4" s="1"/>
  <c r="V738" i="4" s="1"/>
  <c r="R739" i="4"/>
  <c r="S739" i="4" s="1"/>
  <c r="T739" i="4" s="1"/>
  <c r="U739" i="4" s="1"/>
  <c r="V739" i="4" s="1"/>
  <c r="R740" i="4"/>
  <c r="S740" i="4" s="1"/>
  <c r="T740" i="4" s="1"/>
  <c r="U740" i="4" s="1"/>
  <c r="V740" i="4" s="1"/>
  <c r="R741" i="4"/>
  <c r="S741" i="4" s="1"/>
  <c r="T741" i="4" s="1"/>
  <c r="U741" i="4" s="1"/>
  <c r="V741" i="4" s="1"/>
  <c r="R742" i="4"/>
  <c r="S742" i="4" s="1"/>
  <c r="T742" i="4" s="1"/>
  <c r="U742" i="4" s="1"/>
  <c r="V742" i="4" s="1"/>
  <c r="R743" i="4"/>
  <c r="S743" i="4" s="1"/>
  <c r="T743" i="4" s="1"/>
  <c r="U743" i="4" s="1"/>
  <c r="V743" i="4" s="1"/>
  <c r="R744" i="4"/>
  <c r="S744" i="4" s="1"/>
  <c r="T744" i="4" s="1"/>
  <c r="U744" i="4" s="1"/>
  <c r="V744" i="4" s="1"/>
  <c r="R745" i="4"/>
  <c r="S745" i="4" s="1"/>
  <c r="T745" i="4" s="1"/>
  <c r="U745" i="4" s="1"/>
  <c r="V745" i="4" s="1"/>
  <c r="R746" i="4"/>
  <c r="S746" i="4" s="1"/>
  <c r="T746" i="4" s="1"/>
  <c r="U746" i="4" s="1"/>
  <c r="V746" i="4" s="1"/>
  <c r="R747" i="4"/>
  <c r="S747" i="4" s="1"/>
  <c r="T747" i="4" s="1"/>
  <c r="U747" i="4" s="1"/>
  <c r="V747" i="4" s="1"/>
  <c r="R748" i="4"/>
  <c r="S748" i="4" s="1"/>
  <c r="T748" i="4" s="1"/>
  <c r="U748" i="4" s="1"/>
  <c r="V748" i="4" s="1"/>
  <c r="R749" i="4"/>
  <c r="S749" i="4" s="1"/>
  <c r="T749" i="4" s="1"/>
  <c r="U749" i="4" s="1"/>
  <c r="V749" i="4" s="1"/>
  <c r="R750" i="4"/>
  <c r="S750" i="4" s="1"/>
  <c r="T750" i="4" s="1"/>
  <c r="U750" i="4" s="1"/>
  <c r="V750" i="4" s="1"/>
  <c r="R751" i="4"/>
  <c r="S751" i="4" s="1"/>
  <c r="T751" i="4" s="1"/>
  <c r="U751" i="4" s="1"/>
  <c r="V751" i="4" s="1"/>
  <c r="R752" i="4"/>
  <c r="S752" i="4" s="1"/>
  <c r="T752" i="4" s="1"/>
  <c r="U752" i="4" s="1"/>
  <c r="V752" i="4" s="1"/>
  <c r="R753" i="4"/>
  <c r="S753" i="4" s="1"/>
  <c r="T753" i="4" s="1"/>
  <c r="U753" i="4" s="1"/>
  <c r="V753" i="4" s="1"/>
  <c r="R754" i="4"/>
  <c r="S754" i="4" s="1"/>
  <c r="T754" i="4" s="1"/>
  <c r="U754" i="4" s="1"/>
  <c r="V754" i="4" s="1"/>
  <c r="R755" i="4"/>
  <c r="S755" i="4" s="1"/>
  <c r="T755" i="4" s="1"/>
  <c r="U755" i="4" s="1"/>
  <c r="V755" i="4" s="1"/>
  <c r="R756" i="4"/>
  <c r="S756" i="4" s="1"/>
  <c r="T756" i="4" s="1"/>
  <c r="U756" i="4" s="1"/>
  <c r="V756" i="4" s="1"/>
  <c r="R757" i="4"/>
  <c r="S757" i="4" s="1"/>
  <c r="T757" i="4" s="1"/>
  <c r="U757" i="4" s="1"/>
  <c r="V757" i="4" s="1"/>
  <c r="R758" i="4"/>
  <c r="S758" i="4" s="1"/>
  <c r="T758" i="4" s="1"/>
  <c r="U758" i="4" s="1"/>
  <c r="V758" i="4" s="1"/>
  <c r="R759" i="4"/>
  <c r="S759" i="4" s="1"/>
  <c r="T759" i="4" s="1"/>
  <c r="U759" i="4" s="1"/>
  <c r="V759" i="4" s="1"/>
  <c r="R760" i="4"/>
  <c r="S760" i="4" s="1"/>
  <c r="T760" i="4" s="1"/>
  <c r="U760" i="4" s="1"/>
  <c r="V760" i="4" s="1"/>
  <c r="R761" i="4"/>
  <c r="S761" i="4" s="1"/>
  <c r="T761" i="4" s="1"/>
  <c r="U761" i="4" s="1"/>
  <c r="V761" i="4" s="1"/>
  <c r="R762" i="4"/>
  <c r="S762" i="4" s="1"/>
  <c r="T762" i="4" s="1"/>
  <c r="U762" i="4" s="1"/>
  <c r="V762" i="4" s="1"/>
  <c r="R763" i="4"/>
  <c r="S763" i="4" s="1"/>
  <c r="T763" i="4" s="1"/>
  <c r="U763" i="4" s="1"/>
  <c r="V763" i="4" s="1"/>
  <c r="R764" i="4"/>
  <c r="S764" i="4" s="1"/>
  <c r="T764" i="4" s="1"/>
  <c r="U764" i="4" s="1"/>
  <c r="V764" i="4" s="1"/>
  <c r="R765" i="4"/>
  <c r="S765" i="4" s="1"/>
  <c r="T765" i="4" s="1"/>
  <c r="U765" i="4" s="1"/>
  <c r="V765" i="4" s="1"/>
  <c r="R766" i="4"/>
  <c r="S766" i="4" s="1"/>
  <c r="T766" i="4" s="1"/>
  <c r="U766" i="4" s="1"/>
  <c r="V766" i="4" s="1"/>
  <c r="R767" i="4"/>
  <c r="S767" i="4" s="1"/>
  <c r="T767" i="4" s="1"/>
  <c r="U767" i="4" s="1"/>
  <c r="V767" i="4" s="1"/>
  <c r="R768" i="4"/>
  <c r="S768" i="4" s="1"/>
  <c r="T768" i="4" s="1"/>
  <c r="U768" i="4" s="1"/>
  <c r="V768" i="4" s="1"/>
  <c r="R769" i="4"/>
  <c r="S769" i="4" s="1"/>
  <c r="T769" i="4" s="1"/>
  <c r="U769" i="4" s="1"/>
  <c r="V769" i="4" s="1"/>
  <c r="R770" i="4"/>
  <c r="S770" i="4" s="1"/>
  <c r="T770" i="4" s="1"/>
  <c r="U770" i="4" s="1"/>
  <c r="V770" i="4" s="1"/>
  <c r="R771" i="4"/>
  <c r="S771" i="4" s="1"/>
  <c r="T771" i="4" s="1"/>
  <c r="U771" i="4" s="1"/>
  <c r="V771" i="4" s="1"/>
  <c r="R772" i="4"/>
  <c r="S772" i="4" s="1"/>
  <c r="T772" i="4" s="1"/>
  <c r="U772" i="4" s="1"/>
  <c r="V772" i="4" s="1"/>
  <c r="R773" i="4"/>
  <c r="S773" i="4" s="1"/>
  <c r="T773" i="4" s="1"/>
  <c r="U773" i="4" s="1"/>
  <c r="V773" i="4" s="1"/>
  <c r="R774" i="4"/>
  <c r="S774" i="4" s="1"/>
  <c r="T774" i="4" s="1"/>
  <c r="U774" i="4" s="1"/>
  <c r="V774" i="4" s="1"/>
  <c r="R775" i="4"/>
  <c r="S775" i="4" s="1"/>
  <c r="T775" i="4" s="1"/>
  <c r="U775" i="4" s="1"/>
  <c r="V775" i="4" s="1"/>
  <c r="R776" i="4"/>
  <c r="S776" i="4" s="1"/>
  <c r="T776" i="4" s="1"/>
  <c r="U776" i="4" s="1"/>
  <c r="V776" i="4" s="1"/>
  <c r="R777" i="4"/>
  <c r="S777" i="4" s="1"/>
  <c r="T777" i="4" s="1"/>
  <c r="U777" i="4" s="1"/>
  <c r="V777" i="4" s="1"/>
  <c r="R778" i="4"/>
  <c r="S778" i="4" s="1"/>
  <c r="T778" i="4" s="1"/>
  <c r="U778" i="4" s="1"/>
  <c r="V778" i="4" s="1"/>
  <c r="R779" i="4"/>
  <c r="S779" i="4" s="1"/>
  <c r="T779" i="4" s="1"/>
  <c r="U779" i="4" s="1"/>
  <c r="V779" i="4" s="1"/>
  <c r="R780" i="4"/>
  <c r="S780" i="4" s="1"/>
  <c r="T780" i="4" s="1"/>
  <c r="U780" i="4" s="1"/>
  <c r="V780" i="4" s="1"/>
  <c r="R781" i="4"/>
  <c r="S781" i="4" s="1"/>
  <c r="T781" i="4" s="1"/>
  <c r="U781" i="4" s="1"/>
  <c r="V781" i="4" s="1"/>
  <c r="R782" i="4"/>
  <c r="S782" i="4" s="1"/>
  <c r="T782" i="4" s="1"/>
  <c r="U782" i="4" s="1"/>
  <c r="V782" i="4" s="1"/>
  <c r="R783" i="4"/>
  <c r="S783" i="4" s="1"/>
  <c r="T783" i="4" s="1"/>
  <c r="U783" i="4" s="1"/>
  <c r="V783" i="4" s="1"/>
  <c r="R784" i="4"/>
  <c r="S784" i="4" s="1"/>
  <c r="T784" i="4" s="1"/>
  <c r="U784" i="4" s="1"/>
  <c r="V784" i="4" s="1"/>
  <c r="R785" i="4"/>
  <c r="S785" i="4" s="1"/>
  <c r="T785" i="4" s="1"/>
  <c r="U785" i="4" s="1"/>
  <c r="V785" i="4" s="1"/>
  <c r="R786" i="4"/>
  <c r="S786" i="4" s="1"/>
  <c r="T786" i="4" s="1"/>
  <c r="U786" i="4" s="1"/>
  <c r="V786" i="4" s="1"/>
  <c r="R787" i="4"/>
  <c r="S787" i="4" s="1"/>
  <c r="T787" i="4" s="1"/>
  <c r="U787" i="4" s="1"/>
  <c r="V787" i="4" s="1"/>
  <c r="R788" i="4"/>
  <c r="S788" i="4" s="1"/>
  <c r="T788" i="4" s="1"/>
  <c r="U788" i="4" s="1"/>
  <c r="V788" i="4" s="1"/>
  <c r="R789" i="4"/>
  <c r="S789" i="4" s="1"/>
  <c r="T789" i="4" s="1"/>
  <c r="U789" i="4" s="1"/>
  <c r="V789" i="4" s="1"/>
  <c r="R790" i="4"/>
  <c r="S790" i="4" s="1"/>
  <c r="T790" i="4" s="1"/>
  <c r="U790" i="4" s="1"/>
  <c r="V790" i="4" s="1"/>
  <c r="R791" i="4"/>
  <c r="S791" i="4" s="1"/>
  <c r="T791" i="4" s="1"/>
  <c r="U791" i="4" s="1"/>
  <c r="V791" i="4" s="1"/>
  <c r="R792" i="4"/>
  <c r="S792" i="4" s="1"/>
  <c r="T792" i="4" s="1"/>
  <c r="U792" i="4" s="1"/>
  <c r="V792" i="4" s="1"/>
  <c r="R793" i="4"/>
  <c r="S793" i="4" s="1"/>
  <c r="T793" i="4" s="1"/>
  <c r="U793" i="4" s="1"/>
  <c r="V793" i="4" s="1"/>
  <c r="R794" i="4"/>
  <c r="S794" i="4" s="1"/>
  <c r="T794" i="4" s="1"/>
  <c r="U794" i="4" s="1"/>
  <c r="V794" i="4" s="1"/>
  <c r="R795" i="4"/>
  <c r="S795" i="4" s="1"/>
  <c r="T795" i="4" s="1"/>
  <c r="U795" i="4" s="1"/>
  <c r="V795" i="4" s="1"/>
  <c r="R796" i="4"/>
  <c r="S796" i="4" s="1"/>
  <c r="T796" i="4" s="1"/>
  <c r="U796" i="4" s="1"/>
  <c r="V796" i="4" s="1"/>
  <c r="R797" i="4"/>
  <c r="S797" i="4" s="1"/>
  <c r="T797" i="4" s="1"/>
  <c r="U797" i="4" s="1"/>
  <c r="V797" i="4" s="1"/>
  <c r="R798" i="4"/>
  <c r="S798" i="4" s="1"/>
  <c r="T798" i="4" s="1"/>
  <c r="U798" i="4" s="1"/>
  <c r="V798" i="4" s="1"/>
  <c r="R799" i="4"/>
  <c r="S799" i="4" s="1"/>
  <c r="T799" i="4" s="1"/>
  <c r="U799" i="4" s="1"/>
  <c r="V799" i="4" s="1"/>
  <c r="R800" i="4"/>
  <c r="S800" i="4" s="1"/>
  <c r="T800" i="4" s="1"/>
  <c r="U800" i="4" s="1"/>
  <c r="V800" i="4" s="1"/>
  <c r="R801" i="4"/>
  <c r="S801" i="4" s="1"/>
  <c r="T801" i="4" s="1"/>
  <c r="U801" i="4" s="1"/>
  <c r="V801" i="4" s="1"/>
  <c r="R802" i="4"/>
  <c r="S802" i="4" s="1"/>
  <c r="T802" i="4" s="1"/>
  <c r="U802" i="4" s="1"/>
  <c r="V802" i="4" s="1"/>
  <c r="R803" i="4"/>
  <c r="S803" i="4" s="1"/>
  <c r="T803" i="4" s="1"/>
  <c r="U803" i="4" s="1"/>
  <c r="V803" i="4" s="1"/>
  <c r="R804" i="4"/>
  <c r="S804" i="4" s="1"/>
  <c r="T804" i="4" s="1"/>
  <c r="U804" i="4" s="1"/>
  <c r="V804" i="4" s="1"/>
  <c r="R805" i="4"/>
  <c r="S805" i="4" s="1"/>
  <c r="T805" i="4" s="1"/>
  <c r="U805" i="4" s="1"/>
  <c r="V805" i="4" s="1"/>
  <c r="R806" i="4"/>
  <c r="S806" i="4" s="1"/>
  <c r="T806" i="4" s="1"/>
  <c r="U806" i="4" s="1"/>
  <c r="V806" i="4" s="1"/>
  <c r="R807" i="4"/>
  <c r="S807" i="4" s="1"/>
  <c r="T807" i="4" s="1"/>
  <c r="U807" i="4" s="1"/>
  <c r="V807" i="4" s="1"/>
  <c r="R808" i="4"/>
  <c r="S808" i="4" s="1"/>
  <c r="T808" i="4" s="1"/>
  <c r="U808" i="4" s="1"/>
  <c r="V808" i="4" s="1"/>
  <c r="R809" i="4"/>
  <c r="S809" i="4" s="1"/>
  <c r="T809" i="4" s="1"/>
  <c r="U809" i="4" s="1"/>
  <c r="V809" i="4" s="1"/>
  <c r="R810" i="4"/>
  <c r="S810" i="4" s="1"/>
  <c r="T810" i="4" s="1"/>
  <c r="U810" i="4" s="1"/>
  <c r="V810" i="4" s="1"/>
  <c r="R811" i="4"/>
  <c r="S811" i="4" s="1"/>
  <c r="T811" i="4" s="1"/>
  <c r="U811" i="4" s="1"/>
  <c r="V811" i="4" s="1"/>
  <c r="R812" i="4"/>
  <c r="S812" i="4" s="1"/>
  <c r="T812" i="4" s="1"/>
  <c r="U812" i="4" s="1"/>
  <c r="V812" i="4" s="1"/>
  <c r="R813" i="4"/>
  <c r="S813" i="4" s="1"/>
  <c r="T813" i="4" s="1"/>
  <c r="U813" i="4" s="1"/>
  <c r="V813" i="4" s="1"/>
  <c r="R814" i="4"/>
  <c r="S814" i="4" s="1"/>
  <c r="T814" i="4" s="1"/>
  <c r="U814" i="4" s="1"/>
  <c r="V814" i="4" s="1"/>
  <c r="R815" i="4"/>
  <c r="S815" i="4" s="1"/>
  <c r="T815" i="4" s="1"/>
  <c r="U815" i="4" s="1"/>
  <c r="V815" i="4" s="1"/>
  <c r="R816" i="4"/>
  <c r="S816" i="4" s="1"/>
  <c r="T816" i="4" s="1"/>
  <c r="U816" i="4" s="1"/>
  <c r="V816" i="4" s="1"/>
  <c r="R817" i="4"/>
  <c r="S817" i="4" s="1"/>
  <c r="T817" i="4" s="1"/>
  <c r="U817" i="4" s="1"/>
  <c r="V817" i="4" s="1"/>
  <c r="R818" i="4"/>
  <c r="S818" i="4" s="1"/>
  <c r="T818" i="4" s="1"/>
  <c r="U818" i="4" s="1"/>
  <c r="V818" i="4" s="1"/>
  <c r="R819" i="4"/>
  <c r="S819" i="4" s="1"/>
  <c r="T819" i="4" s="1"/>
  <c r="U819" i="4" s="1"/>
  <c r="V819" i="4" s="1"/>
  <c r="R820" i="4"/>
  <c r="S820" i="4" s="1"/>
  <c r="T820" i="4" s="1"/>
  <c r="U820" i="4" s="1"/>
  <c r="V820" i="4" s="1"/>
  <c r="R821" i="4"/>
  <c r="S821" i="4" s="1"/>
  <c r="T821" i="4" s="1"/>
  <c r="U821" i="4" s="1"/>
  <c r="V821" i="4" s="1"/>
  <c r="R822" i="4"/>
  <c r="S822" i="4" s="1"/>
  <c r="T822" i="4" s="1"/>
  <c r="U822" i="4" s="1"/>
  <c r="V822" i="4" s="1"/>
  <c r="R823" i="4"/>
  <c r="S823" i="4" s="1"/>
  <c r="T823" i="4" s="1"/>
  <c r="U823" i="4" s="1"/>
  <c r="V823" i="4" s="1"/>
  <c r="R824" i="4"/>
  <c r="S824" i="4" s="1"/>
  <c r="T824" i="4" s="1"/>
  <c r="U824" i="4" s="1"/>
  <c r="V824" i="4" s="1"/>
  <c r="R825" i="4"/>
  <c r="S825" i="4" s="1"/>
  <c r="T825" i="4" s="1"/>
  <c r="U825" i="4" s="1"/>
  <c r="V825" i="4" s="1"/>
  <c r="R826" i="4"/>
  <c r="S826" i="4" s="1"/>
  <c r="T826" i="4" s="1"/>
  <c r="U826" i="4" s="1"/>
  <c r="V826" i="4" s="1"/>
  <c r="R827" i="4"/>
  <c r="S827" i="4" s="1"/>
  <c r="T827" i="4" s="1"/>
  <c r="U827" i="4" s="1"/>
  <c r="V827" i="4" s="1"/>
  <c r="R828" i="4"/>
  <c r="S828" i="4" s="1"/>
  <c r="T828" i="4" s="1"/>
  <c r="U828" i="4" s="1"/>
  <c r="V828" i="4" s="1"/>
  <c r="R829" i="4"/>
  <c r="S829" i="4" s="1"/>
  <c r="T829" i="4" s="1"/>
  <c r="U829" i="4" s="1"/>
  <c r="V829" i="4" s="1"/>
  <c r="R830" i="4"/>
  <c r="S830" i="4" s="1"/>
  <c r="T830" i="4" s="1"/>
  <c r="U830" i="4" s="1"/>
  <c r="V830" i="4" s="1"/>
  <c r="R831" i="4"/>
  <c r="S831" i="4" s="1"/>
  <c r="T831" i="4" s="1"/>
  <c r="U831" i="4" s="1"/>
  <c r="V831" i="4" s="1"/>
  <c r="R832" i="4"/>
  <c r="S832" i="4" s="1"/>
  <c r="T832" i="4" s="1"/>
  <c r="U832" i="4" s="1"/>
  <c r="V832" i="4" s="1"/>
  <c r="R833" i="4"/>
  <c r="S833" i="4" s="1"/>
  <c r="T833" i="4" s="1"/>
  <c r="U833" i="4" s="1"/>
  <c r="V833" i="4" s="1"/>
  <c r="R834" i="4"/>
  <c r="S834" i="4" s="1"/>
  <c r="T834" i="4" s="1"/>
  <c r="U834" i="4" s="1"/>
  <c r="V834" i="4" s="1"/>
  <c r="R835" i="4"/>
  <c r="S835" i="4" s="1"/>
  <c r="T835" i="4" s="1"/>
  <c r="U835" i="4" s="1"/>
  <c r="V835" i="4" s="1"/>
  <c r="R836" i="4"/>
  <c r="S836" i="4" s="1"/>
  <c r="T836" i="4" s="1"/>
  <c r="U836" i="4" s="1"/>
  <c r="V836" i="4" s="1"/>
  <c r="R837" i="4"/>
  <c r="S837" i="4" s="1"/>
  <c r="T837" i="4" s="1"/>
  <c r="U837" i="4" s="1"/>
  <c r="V837" i="4" s="1"/>
  <c r="R838" i="4"/>
  <c r="S838" i="4" s="1"/>
  <c r="T838" i="4" s="1"/>
  <c r="U838" i="4" s="1"/>
  <c r="V838" i="4" s="1"/>
  <c r="R839" i="4"/>
  <c r="S839" i="4" s="1"/>
  <c r="T839" i="4" s="1"/>
  <c r="U839" i="4" s="1"/>
  <c r="V839" i="4" s="1"/>
  <c r="R840" i="4"/>
  <c r="S840" i="4" s="1"/>
  <c r="T840" i="4" s="1"/>
  <c r="U840" i="4" s="1"/>
  <c r="V840" i="4" s="1"/>
  <c r="R841" i="4"/>
  <c r="S841" i="4" s="1"/>
  <c r="T841" i="4" s="1"/>
  <c r="U841" i="4" s="1"/>
  <c r="V841" i="4" s="1"/>
  <c r="R842" i="4"/>
  <c r="S842" i="4" s="1"/>
  <c r="T842" i="4" s="1"/>
  <c r="U842" i="4" s="1"/>
  <c r="V842" i="4" s="1"/>
  <c r="R843" i="4"/>
  <c r="S843" i="4" s="1"/>
  <c r="T843" i="4" s="1"/>
  <c r="U843" i="4" s="1"/>
  <c r="V843" i="4" s="1"/>
  <c r="R844" i="4"/>
  <c r="S844" i="4" s="1"/>
  <c r="T844" i="4" s="1"/>
  <c r="U844" i="4" s="1"/>
  <c r="V844" i="4" s="1"/>
  <c r="R845" i="4"/>
  <c r="S845" i="4" s="1"/>
  <c r="T845" i="4" s="1"/>
  <c r="U845" i="4" s="1"/>
  <c r="V845" i="4" s="1"/>
  <c r="R846" i="4"/>
  <c r="S846" i="4" s="1"/>
  <c r="T846" i="4" s="1"/>
  <c r="U846" i="4" s="1"/>
  <c r="V846" i="4" s="1"/>
  <c r="R847" i="4"/>
  <c r="S847" i="4" s="1"/>
  <c r="T847" i="4" s="1"/>
  <c r="U847" i="4" s="1"/>
  <c r="V847" i="4" s="1"/>
  <c r="R848" i="4"/>
  <c r="S848" i="4" s="1"/>
  <c r="T848" i="4" s="1"/>
  <c r="U848" i="4" s="1"/>
  <c r="V848" i="4" s="1"/>
  <c r="R849" i="4"/>
  <c r="S849" i="4" s="1"/>
  <c r="T849" i="4" s="1"/>
  <c r="U849" i="4" s="1"/>
  <c r="V849" i="4" s="1"/>
  <c r="R850" i="4"/>
  <c r="S850" i="4" s="1"/>
  <c r="T850" i="4" s="1"/>
  <c r="U850" i="4" s="1"/>
  <c r="V850" i="4" s="1"/>
  <c r="R851" i="4"/>
  <c r="S851" i="4" s="1"/>
  <c r="T851" i="4" s="1"/>
  <c r="U851" i="4" s="1"/>
  <c r="V851" i="4" s="1"/>
  <c r="R852" i="4"/>
  <c r="S852" i="4" s="1"/>
  <c r="T852" i="4" s="1"/>
  <c r="U852" i="4" s="1"/>
  <c r="V852" i="4" s="1"/>
  <c r="R853" i="4"/>
  <c r="S853" i="4" s="1"/>
  <c r="T853" i="4" s="1"/>
  <c r="U853" i="4" s="1"/>
  <c r="V853" i="4" s="1"/>
  <c r="R854" i="4"/>
  <c r="S854" i="4" s="1"/>
  <c r="T854" i="4" s="1"/>
  <c r="U854" i="4" s="1"/>
  <c r="V854" i="4" s="1"/>
  <c r="R855" i="4"/>
  <c r="S855" i="4" s="1"/>
  <c r="T855" i="4" s="1"/>
  <c r="U855" i="4" s="1"/>
  <c r="V855" i="4" s="1"/>
  <c r="R856" i="4"/>
  <c r="S856" i="4" s="1"/>
  <c r="T856" i="4" s="1"/>
  <c r="U856" i="4" s="1"/>
  <c r="V856" i="4" s="1"/>
  <c r="R857" i="4"/>
  <c r="S857" i="4" s="1"/>
  <c r="T857" i="4" s="1"/>
  <c r="U857" i="4" s="1"/>
  <c r="V857" i="4" s="1"/>
  <c r="R858" i="4"/>
  <c r="S858" i="4" s="1"/>
  <c r="T858" i="4" s="1"/>
  <c r="U858" i="4" s="1"/>
  <c r="V858" i="4" s="1"/>
  <c r="R859" i="4"/>
  <c r="S859" i="4" s="1"/>
  <c r="T859" i="4" s="1"/>
  <c r="U859" i="4" s="1"/>
  <c r="V859" i="4" s="1"/>
  <c r="R860" i="4"/>
  <c r="S860" i="4" s="1"/>
  <c r="T860" i="4" s="1"/>
  <c r="U860" i="4" s="1"/>
  <c r="V860" i="4" s="1"/>
  <c r="R861" i="4"/>
  <c r="S861" i="4" s="1"/>
  <c r="T861" i="4" s="1"/>
  <c r="U861" i="4" s="1"/>
  <c r="V861" i="4" s="1"/>
  <c r="R862" i="4"/>
  <c r="S862" i="4" s="1"/>
  <c r="T862" i="4" s="1"/>
  <c r="U862" i="4" s="1"/>
  <c r="V862" i="4" s="1"/>
  <c r="R863" i="4"/>
  <c r="S863" i="4" s="1"/>
  <c r="T863" i="4" s="1"/>
  <c r="U863" i="4" s="1"/>
  <c r="V863" i="4" s="1"/>
  <c r="R864" i="4"/>
  <c r="S864" i="4" s="1"/>
  <c r="T864" i="4" s="1"/>
  <c r="U864" i="4" s="1"/>
  <c r="V864" i="4" s="1"/>
  <c r="R865" i="4"/>
  <c r="S865" i="4" s="1"/>
  <c r="T865" i="4" s="1"/>
  <c r="U865" i="4" s="1"/>
  <c r="V865" i="4" s="1"/>
  <c r="R866" i="4"/>
  <c r="S866" i="4" s="1"/>
  <c r="T866" i="4" s="1"/>
  <c r="U866" i="4" s="1"/>
  <c r="V866" i="4" s="1"/>
  <c r="R867" i="4"/>
  <c r="S867" i="4" s="1"/>
  <c r="T867" i="4" s="1"/>
  <c r="U867" i="4" s="1"/>
  <c r="V867" i="4" s="1"/>
  <c r="R868" i="4"/>
  <c r="S868" i="4" s="1"/>
  <c r="T868" i="4" s="1"/>
  <c r="U868" i="4" s="1"/>
  <c r="V868" i="4" s="1"/>
  <c r="R869" i="4"/>
  <c r="S869" i="4" s="1"/>
  <c r="T869" i="4" s="1"/>
  <c r="U869" i="4" s="1"/>
  <c r="V869" i="4" s="1"/>
  <c r="R870" i="4"/>
  <c r="S870" i="4" s="1"/>
  <c r="T870" i="4" s="1"/>
  <c r="U870" i="4" s="1"/>
  <c r="V870" i="4" s="1"/>
  <c r="R871" i="4"/>
  <c r="S871" i="4" s="1"/>
  <c r="T871" i="4" s="1"/>
  <c r="U871" i="4" s="1"/>
  <c r="V871" i="4" s="1"/>
  <c r="R872" i="4"/>
  <c r="S872" i="4" s="1"/>
  <c r="T872" i="4" s="1"/>
  <c r="U872" i="4" s="1"/>
  <c r="V872" i="4" s="1"/>
  <c r="R873" i="4"/>
  <c r="S873" i="4" s="1"/>
  <c r="T873" i="4" s="1"/>
  <c r="U873" i="4" s="1"/>
  <c r="V873" i="4" s="1"/>
  <c r="R874" i="4"/>
  <c r="S874" i="4" s="1"/>
  <c r="T874" i="4" s="1"/>
  <c r="U874" i="4" s="1"/>
  <c r="V874" i="4" s="1"/>
  <c r="R875" i="4"/>
  <c r="S875" i="4" s="1"/>
  <c r="T875" i="4" s="1"/>
  <c r="U875" i="4" s="1"/>
  <c r="V875" i="4" s="1"/>
  <c r="R876" i="4"/>
  <c r="S876" i="4" s="1"/>
  <c r="T876" i="4" s="1"/>
  <c r="U876" i="4" s="1"/>
  <c r="V876" i="4" s="1"/>
  <c r="R877" i="4"/>
  <c r="S877" i="4" s="1"/>
  <c r="T877" i="4" s="1"/>
  <c r="U877" i="4" s="1"/>
  <c r="V877" i="4" s="1"/>
  <c r="R878" i="4"/>
  <c r="S878" i="4" s="1"/>
  <c r="T878" i="4" s="1"/>
  <c r="U878" i="4" s="1"/>
  <c r="V878" i="4" s="1"/>
  <c r="R879" i="4"/>
  <c r="S879" i="4" s="1"/>
  <c r="T879" i="4" s="1"/>
  <c r="U879" i="4" s="1"/>
  <c r="V879" i="4" s="1"/>
  <c r="R880" i="4"/>
  <c r="S880" i="4" s="1"/>
  <c r="T880" i="4" s="1"/>
  <c r="U880" i="4" s="1"/>
  <c r="V880" i="4" s="1"/>
  <c r="R881" i="4"/>
  <c r="S881" i="4" s="1"/>
  <c r="T881" i="4" s="1"/>
  <c r="U881" i="4" s="1"/>
  <c r="V881" i="4" s="1"/>
  <c r="R882" i="4"/>
  <c r="S882" i="4" s="1"/>
  <c r="T882" i="4" s="1"/>
  <c r="U882" i="4" s="1"/>
  <c r="V882" i="4" s="1"/>
  <c r="R883" i="4"/>
  <c r="S883" i="4" s="1"/>
  <c r="T883" i="4" s="1"/>
  <c r="U883" i="4" s="1"/>
  <c r="V883" i="4" s="1"/>
  <c r="R884" i="4"/>
  <c r="S884" i="4" s="1"/>
  <c r="T884" i="4" s="1"/>
  <c r="U884" i="4" s="1"/>
  <c r="V884" i="4" s="1"/>
  <c r="R885" i="4"/>
  <c r="S885" i="4" s="1"/>
  <c r="T885" i="4" s="1"/>
  <c r="U885" i="4" s="1"/>
  <c r="V885" i="4" s="1"/>
  <c r="R886" i="4"/>
  <c r="S886" i="4" s="1"/>
  <c r="T886" i="4" s="1"/>
  <c r="U886" i="4" s="1"/>
  <c r="V886" i="4" s="1"/>
  <c r="R887" i="4"/>
  <c r="S887" i="4" s="1"/>
  <c r="T887" i="4" s="1"/>
  <c r="U887" i="4" s="1"/>
  <c r="V887" i="4" s="1"/>
  <c r="R888" i="4"/>
  <c r="S888" i="4" s="1"/>
  <c r="T888" i="4" s="1"/>
  <c r="U888" i="4" s="1"/>
  <c r="V888" i="4" s="1"/>
  <c r="R889" i="4"/>
  <c r="S889" i="4" s="1"/>
  <c r="T889" i="4" s="1"/>
  <c r="U889" i="4" s="1"/>
  <c r="V889" i="4" s="1"/>
  <c r="R890" i="4"/>
  <c r="S890" i="4" s="1"/>
  <c r="T890" i="4" s="1"/>
  <c r="U890" i="4" s="1"/>
  <c r="V890" i="4" s="1"/>
  <c r="R891" i="4"/>
  <c r="S891" i="4" s="1"/>
  <c r="T891" i="4" s="1"/>
  <c r="U891" i="4" s="1"/>
  <c r="V891" i="4" s="1"/>
  <c r="R892" i="4"/>
  <c r="S892" i="4" s="1"/>
  <c r="T892" i="4" s="1"/>
  <c r="U892" i="4" s="1"/>
  <c r="V892" i="4" s="1"/>
  <c r="R893" i="4"/>
  <c r="S893" i="4" s="1"/>
  <c r="T893" i="4" s="1"/>
  <c r="U893" i="4" s="1"/>
  <c r="V893" i="4" s="1"/>
  <c r="R894" i="4"/>
  <c r="S894" i="4" s="1"/>
  <c r="T894" i="4" s="1"/>
  <c r="U894" i="4" s="1"/>
  <c r="V894" i="4" s="1"/>
  <c r="R895" i="4"/>
  <c r="S895" i="4" s="1"/>
  <c r="T895" i="4" s="1"/>
  <c r="U895" i="4" s="1"/>
  <c r="V895" i="4" s="1"/>
  <c r="R896" i="4"/>
  <c r="S896" i="4" s="1"/>
  <c r="T896" i="4" s="1"/>
  <c r="U896" i="4" s="1"/>
  <c r="V896" i="4" s="1"/>
  <c r="R897" i="4"/>
  <c r="S897" i="4" s="1"/>
  <c r="T897" i="4" s="1"/>
  <c r="U897" i="4" s="1"/>
  <c r="V897" i="4" s="1"/>
  <c r="R898" i="4"/>
  <c r="S898" i="4" s="1"/>
  <c r="T898" i="4" s="1"/>
  <c r="U898" i="4" s="1"/>
  <c r="V898" i="4" s="1"/>
  <c r="R899" i="4"/>
  <c r="S899" i="4" s="1"/>
  <c r="T899" i="4" s="1"/>
  <c r="U899" i="4" s="1"/>
  <c r="V899" i="4" s="1"/>
  <c r="R900" i="4"/>
  <c r="S900" i="4" s="1"/>
  <c r="T900" i="4" s="1"/>
  <c r="U900" i="4" s="1"/>
  <c r="V900" i="4" s="1"/>
  <c r="R901" i="4"/>
  <c r="S901" i="4" s="1"/>
  <c r="T901" i="4" s="1"/>
  <c r="U901" i="4" s="1"/>
  <c r="V901" i="4" s="1"/>
  <c r="R902" i="4"/>
  <c r="S902" i="4" s="1"/>
  <c r="T902" i="4" s="1"/>
  <c r="U902" i="4" s="1"/>
  <c r="V902" i="4" s="1"/>
  <c r="R903" i="4"/>
  <c r="S903" i="4" s="1"/>
  <c r="T903" i="4" s="1"/>
  <c r="U903" i="4" s="1"/>
  <c r="V903" i="4" s="1"/>
  <c r="R904" i="4"/>
  <c r="S904" i="4" s="1"/>
  <c r="T904" i="4" s="1"/>
  <c r="U904" i="4" s="1"/>
  <c r="V904" i="4" s="1"/>
  <c r="R905" i="4"/>
  <c r="S905" i="4" s="1"/>
  <c r="T905" i="4" s="1"/>
  <c r="U905" i="4" s="1"/>
  <c r="V905" i="4" s="1"/>
  <c r="R906" i="4"/>
  <c r="S906" i="4" s="1"/>
  <c r="T906" i="4" s="1"/>
  <c r="U906" i="4" s="1"/>
  <c r="V906" i="4" s="1"/>
  <c r="R907" i="4"/>
  <c r="S907" i="4" s="1"/>
  <c r="T907" i="4" s="1"/>
  <c r="U907" i="4" s="1"/>
  <c r="V907" i="4" s="1"/>
  <c r="R908" i="4"/>
  <c r="S908" i="4" s="1"/>
  <c r="T908" i="4" s="1"/>
  <c r="U908" i="4" s="1"/>
  <c r="V908" i="4" s="1"/>
  <c r="R909" i="4"/>
  <c r="S909" i="4" s="1"/>
  <c r="T909" i="4" s="1"/>
  <c r="U909" i="4" s="1"/>
  <c r="V909" i="4" s="1"/>
  <c r="R910" i="4"/>
  <c r="S910" i="4" s="1"/>
  <c r="T910" i="4" s="1"/>
  <c r="U910" i="4" s="1"/>
  <c r="V910" i="4" s="1"/>
  <c r="R911" i="4"/>
  <c r="S911" i="4" s="1"/>
  <c r="T911" i="4" s="1"/>
  <c r="U911" i="4" s="1"/>
  <c r="V911" i="4" s="1"/>
  <c r="R912" i="4"/>
  <c r="S912" i="4" s="1"/>
  <c r="T912" i="4" s="1"/>
  <c r="U912" i="4" s="1"/>
  <c r="V912" i="4" s="1"/>
  <c r="R913" i="4"/>
  <c r="S913" i="4" s="1"/>
  <c r="T913" i="4" s="1"/>
  <c r="U913" i="4" s="1"/>
  <c r="V913" i="4" s="1"/>
  <c r="R914" i="4"/>
  <c r="S914" i="4" s="1"/>
  <c r="T914" i="4" s="1"/>
  <c r="U914" i="4" s="1"/>
  <c r="V914" i="4" s="1"/>
  <c r="R915" i="4"/>
  <c r="S915" i="4" s="1"/>
  <c r="T915" i="4" s="1"/>
  <c r="U915" i="4" s="1"/>
  <c r="V915" i="4" s="1"/>
  <c r="R916" i="4"/>
  <c r="S916" i="4" s="1"/>
  <c r="T916" i="4" s="1"/>
  <c r="U916" i="4" s="1"/>
  <c r="V916" i="4" s="1"/>
  <c r="R917" i="4"/>
  <c r="S917" i="4" s="1"/>
  <c r="T917" i="4" s="1"/>
  <c r="U917" i="4" s="1"/>
  <c r="V917" i="4" s="1"/>
  <c r="R918" i="4"/>
  <c r="S918" i="4" s="1"/>
  <c r="T918" i="4" s="1"/>
  <c r="U918" i="4" s="1"/>
  <c r="V918" i="4" s="1"/>
  <c r="R919" i="4"/>
  <c r="S919" i="4" s="1"/>
  <c r="T919" i="4" s="1"/>
  <c r="U919" i="4" s="1"/>
  <c r="V919" i="4" s="1"/>
  <c r="R920" i="4"/>
  <c r="S920" i="4" s="1"/>
  <c r="T920" i="4" s="1"/>
  <c r="U920" i="4" s="1"/>
  <c r="V920" i="4" s="1"/>
  <c r="R921" i="4"/>
  <c r="S921" i="4" s="1"/>
  <c r="T921" i="4" s="1"/>
  <c r="U921" i="4" s="1"/>
  <c r="V921" i="4" s="1"/>
  <c r="R922" i="4"/>
  <c r="S922" i="4" s="1"/>
  <c r="T922" i="4" s="1"/>
  <c r="U922" i="4" s="1"/>
  <c r="V922" i="4" s="1"/>
  <c r="R923" i="4"/>
  <c r="S923" i="4" s="1"/>
  <c r="T923" i="4" s="1"/>
  <c r="U923" i="4" s="1"/>
  <c r="V923" i="4" s="1"/>
  <c r="R924" i="4"/>
  <c r="S924" i="4" s="1"/>
  <c r="T924" i="4" s="1"/>
  <c r="U924" i="4" s="1"/>
  <c r="V924" i="4" s="1"/>
  <c r="R925" i="4"/>
  <c r="S925" i="4" s="1"/>
  <c r="T925" i="4" s="1"/>
  <c r="U925" i="4" s="1"/>
  <c r="V925" i="4" s="1"/>
  <c r="R926" i="4"/>
  <c r="S926" i="4" s="1"/>
  <c r="T926" i="4" s="1"/>
  <c r="U926" i="4" s="1"/>
  <c r="V926" i="4" s="1"/>
  <c r="R927" i="4"/>
  <c r="S927" i="4" s="1"/>
  <c r="T927" i="4" s="1"/>
  <c r="U927" i="4" s="1"/>
  <c r="V927" i="4" s="1"/>
  <c r="R928" i="4"/>
  <c r="S928" i="4" s="1"/>
  <c r="T928" i="4" s="1"/>
  <c r="U928" i="4" s="1"/>
  <c r="V928" i="4" s="1"/>
  <c r="R929" i="4"/>
  <c r="S929" i="4" s="1"/>
  <c r="T929" i="4" s="1"/>
  <c r="U929" i="4" s="1"/>
  <c r="V929" i="4" s="1"/>
  <c r="R930" i="4"/>
  <c r="S930" i="4" s="1"/>
  <c r="T930" i="4" s="1"/>
  <c r="U930" i="4" s="1"/>
  <c r="V930" i="4" s="1"/>
  <c r="R931" i="4"/>
  <c r="S931" i="4" s="1"/>
  <c r="T931" i="4" s="1"/>
  <c r="U931" i="4" s="1"/>
  <c r="V931" i="4" s="1"/>
  <c r="R932" i="4"/>
  <c r="S932" i="4" s="1"/>
  <c r="T932" i="4" s="1"/>
  <c r="U932" i="4" s="1"/>
  <c r="V932" i="4" s="1"/>
  <c r="R933" i="4"/>
  <c r="S933" i="4" s="1"/>
  <c r="T933" i="4" s="1"/>
  <c r="U933" i="4" s="1"/>
  <c r="V933" i="4" s="1"/>
  <c r="R934" i="4"/>
  <c r="S934" i="4" s="1"/>
  <c r="T934" i="4" s="1"/>
  <c r="U934" i="4" s="1"/>
  <c r="V934" i="4" s="1"/>
  <c r="R935" i="4"/>
  <c r="S935" i="4" s="1"/>
  <c r="T935" i="4" s="1"/>
  <c r="U935" i="4" s="1"/>
  <c r="V935" i="4" s="1"/>
  <c r="R936" i="4"/>
  <c r="S936" i="4" s="1"/>
  <c r="T936" i="4" s="1"/>
  <c r="U936" i="4" s="1"/>
  <c r="V936" i="4" s="1"/>
  <c r="R937" i="4"/>
  <c r="S937" i="4" s="1"/>
  <c r="T937" i="4" s="1"/>
  <c r="U937" i="4" s="1"/>
  <c r="V937" i="4" s="1"/>
  <c r="R938" i="4"/>
  <c r="S938" i="4" s="1"/>
  <c r="T938" i="4" s="1"/>
  <c r="U938" i="4" s="1"/>
  <c r="V938" i="4" s="1"/>
  <c r="R939" i="4"/>
  <c r="S939" i="4" s="1"/>
  <c r="T939" i="4" s="1"/>
  <c r="U939" i="4" s="1"/>
  <c r="V939" i="4" s="1"/>
  <c r="R940" i="4"/>
  <c r="S940" i="4" s="1"/>
  <c r="T940" i="4" s="1"/>
  <c r="U940" i="4" s="1"/>
  <c r="V940" i="4" s="1"/>
  <c r="R941" i="4"/>
  <c r="S941" i="4" s="1"/>
  <c r="T941" i="4" s="1"/>
  <c r="U941" i="4" s="1"/>
  <c r="V941" i="4" s="1"/>
  <c r="R942" i="4"/>
  <c r="S942" i="4" s="1"/>
  <c r="T942" i="4" s="1"/>
  <c r="U942" i="4" s="1"/>
  <c r="V942" i="4" s="1"/>
  <c r="R943" i="4"/>
  <c r="S943" i="4" s="1"/>
  <c r="T943" i="4" s="1"/>
  <c r="U943" i="4" s="1"/>
  <c r="V943" i="4" s="1"/>
  <c r="R944" i="4"/>
  <c r="S944" i="4" s="1"/>
  <c r="T944" i="4" s="1"/>
  <c r="U944" i="4" s="1"/>
  <c r="V944" i="4" s="1"/>
  <c r="R945" i="4"/>
  <c r="S945" i="4" s="1"/>
  <c r="T945" i="4" s="1"/>
  <c r="U945" i="4" s="1"/>
  <c r="V945" i="4" s="1"/>
  <c r="R946" i="4"/>
  <c r="S946" i="4" s="1"/>
  <c r="T946" i="4" s="1"/>
  <c r="U946" i="4" s="1"/>
  <c r="V946" i="4" s="1"/>
  <c r="R947" i="4"/>
  <c r="S947" i="4" s="1"/>
  <c r="T947" i="4" s="1"/>
  <c r="U947" i="4" s="1"/>
  <c r="V947" i="4" s="1"/>
  <c r="R948" i="4"/>
  <c r="S948" i="4" s="1"/>
  <c r="T948" i="4" s="1"/>
  <c r="U948" i="4" s="1"/>
  <c r="V948" i="4" s="1"/>
  <c r="R949" i="4"/>
  <c r="S949" i="4" s="1"/>
  <c r="T949" i="4" s="1"/>
  <c r="U949" i="4" s="1"/>
  <c r="V949" i="4" s="1"/>
  <c r="R950" i="4"/>
  <c r="S950" i="4" s="1"/>
  <c r="T950" i="4" s="1"/>
  <c r="U950" i="4" s="1"/>
  <c r="V950" i="4" s="1"/>
  <c r="R951" i="4"/>
  <c r="S951" i="4" s="1"/>
  <c r="T951" i="4" s="1"/>
  <c r="U951" i="4" s="1"/>
  <c r="V951" i="4" s="1"/>
  <c r="R952" i="4"/>
  <c r="S952" i="4" s="1"/>
  <c r="T952" i="4" s="1"/>
  <c r="U952" i="4" s="1"/>
  <c r="V952" i="4" s="1"/>
  <c r="R953" i="4"/>
  <c r="S953" i="4" s="1"/>
  <c r="T953" i="4" s="1"/>
  <c r="U953" i="4" s="1"/>
  <c r="V953" i="4" s="1"/>
  <c r="R954" i="4"/>
  <c r="S954" i="4" s="1"/>
  <c r="T954" i="4" s="1"/>
  <c r="U954" i="4" s="1"/>
  <c r="V954" i="4" s="1"/>
  <c r="R955" i="4"/>
  <c r="S955" i="4" s="1"/>
  <c r="T955" i="4" s="1"/>
  <c r="U955" i="4" s="1"/>
  <c r="V955" i="4" s="1"/>
  <c r="R956" i="4"/>
  <c r="S956" i="4" s="1"/>
  <c r="T956" i="4" s="1"/>
  <c r="U956" i="4" s="1"/>
  <c r="V956" i="4" s="1"/>
  <c r="R957" i="4"/>
  <c r="S957" i="4" s="1"/>
  <c r="T957" i="4" s="1"/>
  <c r="U957" i="4" s="1"/>
  <c r="V957" i="4" s="1"/>
  <c r="R958" i="4"/>
  <c r="S958" i="4" s="1"/>
  <c r="T958" i="4" s="1"/>
  <c r="U958" i="4" s="1"/>
  <c r="V958" i="4" s="1"/>
  <c r="R959" i="4"/>
  <c r="S959" i="4" s="1"/>
  <c r="T959" i="4" s="1"/>
  <c r="U959" i="4" s="1"/>
  <c r="V959" i="4" s="1"/>
  <c r="R960" i="4"/>
  <c r="S960" i="4" s="1"/>
  <c r="T960" i="4" s="1"/>
  <c r="U960" i="4" s="1"/>
  <c r="V960" i="4" s="1"/>
  <c r="R961" i="4"/>
  <c r="S961" i="4" s="1"/>
  <c r="T961" i="4" s="1"/>
  <c r="U961" i="4" s="1"/>
  <c r="V961" i="4" s="1"/>
  <c r="R962" i="4"/>
  <c r="S962" i="4" s="1"/>
  <c r="T962" i="4" s="1"/>
  <c r="U962" i="4" s="1"/>
  <c r="V962" i="4" s="1"/>
  <c r="R963" i="4"/>
  <c r="S963" i="4" s="1"/>
  <c r="T963" i="4" s="1"/>
  <c r="U963" i="4" s="1"/>
  <c r="V963" i="4" s="1"/>
  <c r="R964" i="4"/>
  <c r="S964" i="4" s="1"/>
  <c r="T964" i="4" s="1"/>
  <c r="U964" i="4" s="1"/>
  <c r="V964" i="4" s="1"/>
  <c r="R965" i="4"/>
  <c r="S965" i="4" s="1"/>
  <c r="T965" i="4" s="1"/>
  <c r="U965" i="4" s="1"/>
  <c r="V965" i="4" s="1"/>
  <c r="R966" i="4"/>
  <c r="S966" i="4" s="1"/>
  <c r="T966" i="4" s="1"/>
  <c r="U966" i="4" s="1"/>
  <c r="V966" i="4" s="1"/>
  <c r="R967" i="4"/>
  <c r="S967" i="4" s="1"/>
  <c r="T967" i="4" s="1"/>
  <c r="U967" i="4" s="1"/>
  <c r="V967" i="4" s="1"/>
  <c r="R968" i="4"/>
  <c r="S968" i="4" s="1"/>
  <c r="T968" i="4" s="1"/>
  <c r="U968" i="4" s="1"/>
  <c r="V968" i="4" s="1"/>
  <c r="R969" i="4"/>
  <c r="S969" i="4" s="1"/>
  <c r="T969" i="4" s="1"/>
  <c r="U969" i="4" s="1"/>
  <c r="V969" i="4" s="1"/>
  <c r="R970" i="4"/>
  <c r="S970" i="4" s="1"/>
  <c r="T970" i="4" s="1"/>
  <c r="U970" i="4" s="1"/>
  <c r="V970" i="4" s="1"/>
  <c r="R971" i="4"/>
  <c r="S971" i="4" s="1"/>
  <c r="T971" i="4" s="1"/>
  <c r="U971" i="4" s="1"/>
  <c r="V971" i="4" s="1"/>
  <c r="R972" i="4"/>
  <c r="S972" i="4" s="1"/>
  <c r="T972" i="4" s="1"/>
  <c r="U972" i="4" s="1"/>
  <c r="V972" i="4" s="1"/>
  <c r="R973" i="4"/>
  <c r="S973" i="4" s="1"/>
  <c r="T973" i="4" s="1"/>
  <c r="U973" i="4" s="1"/>
  <c r="V973" i="4" s="1"/>
  <c r="R974" i="4"/>
  <c r="S974" i="4" s="1"/>
  <c r="T974" i="4" s="1"/>
  <c r="U974" i="4" s="1"/>
  <c r="V974" i="4" s="1"/>
  <c r="R975" i="4"/>
  <c r="S975" i="4" s="1"/>
  <c r="T975" i="4" s="1"/>
  <c r="U975" i="4" s="1"/>
  <c r="V975" i="4" s="1"/>
  <c r="R976" i="4"/>
  <c r="S976" i="4" s="1"/>
  <c r="T976" i="4" s="1"/>
  <c r="U976" i="4" s="1"/>
  <c r="V976" i="4" s="1"/>
  <c r="R977" i="4"/>
  <c r="S977" i="4" s="1"/>
  <c r="T977" i="4" s="1"/>
  <c r="U977" i="4" s="1"/>
  <c r="V977" i="4" s="1"/>
  <c r="R978" i="4"/>
  <c r="S978" i="4" s="1"/>
  <c r="T978" i="4" s="1"/>
  <c r="U978" i="4" s="1"/>
  <c r="V978" i="4" s="1"/>
  <c r="R979" i="4"/>
  <c r="S979" i="4" s="1"/>
  <c r="T979" i="4" s="1"/>
  <c r="U979" i="4" s="1"/>
  <c r="V979" i="4" s="1"/>
  <c r="R980" i="4"/>
  <c r="S980" i="4" s="1"/>
  <c r="T980" i="4" s="1"/>
  <c r="U980" i="4" s="1"/>
  <c r="V980" i="4" s="1"/>
  <c r="R981" i="4"/>
  <c r="S981" i="4" s="1"/>
  <c r="T981" i="4" s="1"/>
  <c r="U981" i="4" s="1"/>
  <c r="V981" i="4" s="1"/>
  <c r="R982" i="4"/>
  <c r="S982" i="4" s="1"/>
  <c r="T982" i="4" s="1"/>
  <c r="U982" i="4" s="1"/>
  <c r="V982" i="4" s="1"/>
  <c r="R983" i="4"/>
  <c r="S983" i="4" s="1"/>
  <c r="T983" i="4" s="1"/>
  <c r="U983" i="4" s="1"/>
  <c r="V983" i="4" s="1"/>
  <c r="R984" i="4"/>
  <c r="S984" i="4" s="1"/>
  <c r="T984" i="4" s="1"/>
  <c r="U984" i="4" s="1"/>
  <c r="V984" i="4" s="1"/>
  <c r="R985" i="4"/>
  <c r="S985" i="4" s="1"/>
  <c r="T985" i="4" s="1"/>
  <c r="U985" i="4" s="1"/>
  <c r="V985" i="4" s="1"/>
  <c r="R986" i="4"/>
  <c r="S986" i="4" s="1"/>
  <c r="T986" i="4" s="1"/>
  <c r="U986" i="4" s="1"/>
  <c r="V986" i="4" s="1"/>
  <c r="R987" i="4"/>
  <c r="S987" i="4" s="1"/>
  <c r="T987" i="4" s="1"/>
  <c r="U987" i="4" s="1"/>
  <c r="V987" i="4" s="1"/>
  <c r="R988" i="4"/>
  <c r="S988" i="4" s="1"/>
  <c r="T988" i="4" s="1"/>
  <c r="U988" i="4" s="1"/>
  <c r="V988" i="4" s="1"/>
  <c r="R989" i="4"/>
  <c r="S989" i="4" s="1"/>
  <c r="T989" i="4" s="1"/>
  <c r="U989" i="4" s="1"/>
  <c r="V989" i="4" s="1"/>
  <c r="R990" i="4"/>
  <c r="S990" i="4" s="1"/>
  <c r="T990" i="4" s="1"/>
  <c r="U990" i="4" s="1"/>
  <c r="V990" i="4" s="1"/>
  <c r="R991" i="4"/>
  <c r="S991" i="4" s="1"/>
  <c r="T991" i="4" s="1"/>
  <c r="U991" i="4" s="1"/>
  <c r="V991" i="4" s="1"/>
  <c r="R992" i="4"/>
  <c r="S992" i="4" s="1"/>
  <c r="T992" i="4" s="1"/>
  <c r="U992" i="4" s="1"/>
  <c r="V992" i="4" s="1"/>
  <c r="R993" i="4"/>
  <c r="S993" i="4" s="1"/>
  <c r="T993" i="4" s="1"/>
  <c r="U993" i="4" s="1"/>
  <c r="V993" i="4" s="1"/>
  <c r="R994" i="4"/>
  <c r="S994" i="4" s="1"/>
  <c r="T994" i="4" s="1"/>
  <c r="U994" i="4" s="1"/>
  <c r="V994" i="4" s="1"/>
  <c r="R995" i="4"/>
  <c r="S995" i="4" s="1"/>
  <c r="T995" i="4" s="1"/>
  <c r="U995" i="4" s="1"/>
  <c r="V995" i="4" s="1"/>
  <c r="R996" i="4"/>
  <c r="S996" i="4" s="1"/>
  <c r="T996" i="4" s="1"/>
  <c r="U996" i="4" s="1"/>
  <c r="V996" i="4" s="1"/>
  <c r="R997" i="4"/>
  <c r="S997" i="4" s="1"/>
  <c r="T997" i="4" s="1"/>
  <c r="U997" i="4" s="1"/>
  <c r="V997" i="4" s="1"/>
  <c r="R998" i="4"/>
  <c r="S998" i="4" s="1"/>
  <c r="T998" i="4" s="1"/>
  <c r="U998" i="4" s="1"/>
  <c r="V998" i="4" s="1"/>
  <c r="R999" i="4"/>
  <c r="S999" i="4" s="1"/>
  <c r="T999" i="4" s="1"/>
  <c r="U999" i="4" s="1"/>
  <c r="V999" i="4" s="1"/>
  <c r="R1000" i="4"/>
  <c r="S1000" i="4" s="1"/>
  <c r="T1000" i="4" s="1"/>
  <c r="U1000" i="4" s="1"/>
  <c r="V1000" i="4" s="1"/>
  <c r="R1001" i="4"/>
  <c r="S1001" i="4" s="1"/>
  <c r="T1001" i="4" s="1"/>
  <c r="U1001" i="4" s="1"/>
  <c r="V1001" i="4" s="1"/>
  <c r="R1002" i="4"/>
  <c r="S1002" i="4" s="1"/>
  <c r="T1002" i="4" s="1"/>
  <c r="U1002" i="4" s="1"/>
  <c r="V1002" i="4" s="1"/>
  <c r="R1003" i="4"/>
  <c r="S1003" i="4" s="1"/>
  <c r="T1003" i="4" s="1"/>
  <c r="U1003" i="4" s="1"/>
  <c r="V1003" i="4" s="1"/>
  <c r="R1004" i="4"/>
  <c r="S1004" i="4" s="1"/>
  <c r="T1004" i="4" s="1"/>
  <c r="U1004" i="4" s="1"/>
  <c r="V1004" i="4" s="1"/>
  <c r="R1005" i="4"/>
  <c r="S1005" i="4" s="1"/>
  <c r="T1005" i="4" s="1"/>
  <c r="U1005" i="4" s="1"/>
  <c r="V1005" i="4" s="1"/>
  <c r="R1006" i="4"/>
  <c r="S1006" i="4" s="1"/>
  <c r="T1006" i="4" s="1"/>
  <c r="U1006" i="4" s="1"/>
  <c r="V1006" i="4" s="1"/>
  <c r="R1007" i="4"/>
  <c r="S1007" i="4" s="1"/>
  <c r="T1007" i="4" s="1"/>
  <c r="U1007" i="4" s="1"/>
  <c r="V1007" i="4" s="1"/>
  <c r="R1008" i="4"/>
  <c r="S1008" i="4" s="1"/>
  <c r="T1008" i="4" s="1"/>
  <c r="U1008" i="4" s="1"/>
  <c r="V1008" i="4" s="1"/>
  <c r="R1009" i="4"/>
  <c r="S1009" i="4" s="1"/>
  <c r="T1009" i="4" s="1"/>
  <c r="U1009" i="4" s="1"/>
  <c r="V1009" i="4" s="1"/>
  <c r="R1010" i="4"/>
  <c r="S1010" i="4" s="1"/>
  <c r="T1010" i="4" s="1"/>
  <c r="U1010" i="4" s="1"/>
  <c r="V1010" i="4" s="1"/>
  <c r="R1011" i="4"/>
  <c r="S1011" i="4" s="1"/>
  <c r="T1011" i="4" s="1"/>
  <c r="U1011" i="4" s="1"/>
  <c r="V1011" i="4" s="1"/>
  <c r="R1012" i="4"/>
  <c r="S1012" i="4" s="1"/>
  <c r="T1012" i="4" s="1"/>
  <c r="U1012" i="4" s="1"/>
  <c r="V1012" i="4" s="1"/>
  <c r="R1013" i="4"/>
  <c r="S1013" i="4" s="1"/>
  <c r="T1013" i="4" s="1"/>
  <c r="U1013" i="4" s="1"/>
  <c r="V1013" i="4" s="1"/>
  <c r="R1014" i="4"/>
  <c r="S1014" i="4" s="1"/>
  <c r="T1014" i="4" s="1"/>
  <c r="U1014" i="4" s="1"/>
  <c r="V1014" i="4" s="1"/>
  <c r="R1015" i="4"/>
  <c r="S1015" i="4" s="1"/>
  <c r="T1015" i="4" s="1"/>
  <c r="U1015" i="4" s="1"/>
  <c r="V1015" i="4" s="1"/>
  <c r="R1016" i="4"/>
  <c r="S1016" i="4" s="1"/>
  <c r="T1016" i="4" s="1"/>
  <c r="U1016" i="4" s="1"/>
  <c r="V1016" i="4" s="1"/>
  <c r="R1017" i="4"/>
  <c r="S1017" i="4" s="1"/>
  <c r="T1017" i="4" s="1"/>
  <c r="U1017" i="4" s="1"/>
  <c r="V1017" i="4" s="1"/>
  <c r="R1018" i="4"/>
  <c r="S1018" i="4" s="1"/>
  <c r="T1018" i="4" s="1"/>
  <c r="U1018" i="4" s="1"/>
  <c r="V1018" i="4" s="1"/>
  <c r="R1019" i="4"/>
  <c r="S1019" i="4" s="1"/>
  <c r="T1019" i="4" s="1"/>
  <c r="U1019" i="4" s="1"/>
  <c r="V1019" i="4" s="1"/>
  <c r="R1020" i="4"/>
  <c r="S1020" i="4" s="1"/>
  <c r="T1020" i="4" s="1"/>
  <c r="U1020" i="4" s="1"/>
  <c r="V1020" i="4" s="1"/>
  <c r="R1021" i="4"/>
  <c r="S1021" i="4" s="1"/>
  <c r="T1021" i="4" s="1"/>
  <c r="U1021" i="4" s="1"/>
  <c r="V1021" i="4" s="1"/>
  <c r="R1022" i="4"/>
  <c r="S1022" i="4" s="1"/>
  <c r="T1022" i="4" s="1"/>
  <c r="U1022" i="4" s="1"/>
  <c r="V1022" i="4" s="1"/>
  <c r="R1023" i="4"/>
  <c r="S1023" i="4" s="1"/>
  <c r="T1023" i="4" s="1"/>
  <c r="U1023" i="4" s="1"/>
  <c r="V1023" i="4" s="1"/>
  <c r="R1024" i="4"/>
  <c r="S1024" i="4" s="1"/>
  <c r="T1024" i="4" s="1"/>
  <c r="U1024" i="4" s="1"/>
  <c r="V1024" i="4" s="1"/>
  <c r="R1025" i="4"/>
  <c r="S1025" i="4" s="1"/>
  <c r="T1025" i="4" s="1"/>
  <c r="U1025" i="4" s="1"/>
  <c r="V1025" i="4" s="1"/>
  <c r="R1026" i="4"/>
  <c r="S1026" i="4" s="1"/>
  <c r="T1026" i="4" s="1"/>
  <c r="U1026" i="4" s="1"/>
  <c r="V1026" i="4" s="1"/>
  <c r="R1027" i="4"/>
  <c r="S1027" i="4" s="1"/>
  <c r="T1027" i="4" s="1"/>
  <c r="U1027" i="4" s="1"/>
  <c r="V1027" i="4" s="1"/>
  <c r="R1028" i="4"/>
  <c r="S1028" i="4" s="1"/>
  <c r="T1028" i="4" s="1"/>
  <c r="U1028" i="4" s="1"/>
  <c r="V1028" i="4" s="1"/>
  <c r="R1029" i="4"/>
  <c r="S1029" i="4" s="1"/>
  <c r="T1029" i="4" s="1"/>
  <c r="U1029" i="4" s="1"/>
  <c r="V1029" i="4" s="1"/>
  <c r="R1030" i="4"/>
  <c r="S1030" i="4" s="1"/>
  <c r="T1030" i="4" s="1"/>
  <c r="U1030" i="4" s="1"/>
  <c r="V1030" i="4" s="1"/>
  <c r="R1031" i="4"/>
  <c r="S1031" i="4" s="1"/>
  <c r="T1031" i="4" s="1"/>
  <c r="U1031" i="4" s="1"/>
  <c r="V1031" i="4" s="1"/>
  <c r="R1032" i="4"/>
  <c r="S1032" i="4" s="1"/>
  <c r="T1032" i="4" s="1"/>
  <c r="U1032" i="4" s="1"/>
  <c r="V1032" i="4" s="1"/>
  <c r="R1033" i="4"/>
  <c r="S1033" i="4" s="1"/>
  <c r="T1033" i="4" s="1"/>
  <c r="U1033" i="4" s="1"/>
  <c r="V1033" i="4" s="1"/>
  <c r="R1034" i="4"/>
  <c r="S1034" i="4" s="1"/>
  <c r="T1034" i="4" s="1"/>
  <c r="U1034" i="4" s="1"/>
  <c r="V1034" i="4" s="1"/>
  <c r="R1035" i="4"/>
  <c r="S1035" i="4" s="1"/>
  <c r="T1035" i="4" s="1"/>
  <c r="U1035" i="4" s="1"/>
  <c r="V1035" i="4" s="1"/>
  <c r="R1036" i="4"/>
  <c r="S1036" i="4" s="1"/>
  <c r="T1036" i="4" s="1"/>
  <c r="U1036" i="4" s="1"/>
  <c r="V1036" i="4" s="1"/>
  <c r="R1037" i="4"/>
  <c r="S1037" i="4" s="1"/>
  <c r="T1037" i="4" s="1"/>
  <c r="U1037" i="4" s="1"/>
  <c r="V1037" i="4" s="1"/>
  <c r="R1038" i="4"/>
  <c r="S1038" i="4" s="1"/>
  <c r="T1038" i="4" s="1"/>
  <c r="U1038" i="4" s="1"/>
  <c r="V1038" i="4" s="1"/>
  <c r="R1039" i="4"/>
  <c r="S1039" i="4" s="1"/>
  <c r="T1039" i="4" s="1"/>
  <c r="U1039" i="4" s="1"/>
  <c r="V1039" i="4" s="1"/>
  <c r="R1040" i="4"/>
  <c r="S1040" i="4" s="1"/>
  <c r="T1040" i="4" s="1"/>
  <c r="U1040" i="4" s="1"/>
  <c r="V1040" i="4" s="1"/>
  <c r="R1041" i="4"/>
  <c r="S1041" i="4" s="1"/>
  <c r="T1041" i="4" s="1"/>
  <c r="U1041" i="4" s="1"/>
  <c r="V1041" i="4" s="1"/>
  <c r="R1042" i="4"/>
  <c r="S1042" i="4" s="1"/>
  <c r="T1042" i="4" s="1"/>
  <c r="U1042" i="4" s="1"/>
  <c r="V1042" i="4" s="1"/>
  <c r="R1043" i="4"/>
  <c r="S1043" i="4" s="1"/>
  <c r="T1043" i="4" s="1"/>
  <c r="U1043" i="4" s="1"/>
  <c r="V1043" i="4" s="1"/>
  <c r="R1044" i="4"/>
  <c r="S1044" i="4" s="1"/>
  <c r="T1044" i="4" s="1"/>
  <c r="U1044" i="4" s="1"/>
  <c r="V1044" i="4" s="1"/>
  <c r="R1045" i="4"/>
  <c r="S1045" i="4" s="1"/>
  <c r="T1045" i="4" s="1"/>
  <c r="U1045" i="4" s="1"/>
  <c r="V1045" i="4" s="1"/>
  <c r="R1046" i="4"/>
  <c r="S1046" i="4" s="1"/>
  <c r="T1046" i="4" s="1"/>
  <c r="U1046" i="4" s="1"/>
  <c r="V1046" i="4" s="1"/>
  <c r="R1047" i="4"/>
  <c r="S1047" i="4" s="1"/>
  <c r="T1047" i="4" s="1"/>
  <c r="U1047" i="4" s="1"/>
  <c r="V1047" i="4" s="1"/>
  <c r="R1048" i="4"/>
  <c r="S1048" i="4" s="1"/>
  <c r="T1048" i="4" s="1"/>
  <c r="U1048" i="4" s="1"/>
  <c r="V1048" i="4" s="1"/>
  <c r="R1049" i="4"/>
  <c r="S1049" i="4" s="1"/>
  <c r="T1049" i="4" s="1"/>
  <c r="U1049" i="4" s="1"/>
  <c r="V1049" i="4" s="1"/>
  <c r="R1050" i="4"/>
  <c r="S1050" i="4" s="1"/>
  <c r="T1050" i="4" s="1"/>
  <c r="U1050" i="4" s="1"/>
  <c r="V1050" i="4" s="1"/>
  <c r="R1051" i="4"/>
  <c r="S1051" i="4" s="1"/>
  <c r="T1051" i="4" s="1"/>
  <c r="U1051" i="4" s="1"/>
  <c r="V1051" i="4" s="1"/>
  <c r="R1052" i="4"/>
  <c r="S1052" i="4" s="1"/>
  <c r="T1052" i="4" s="1"/>
  <c r="U1052" i="4" s="1"/>
  <c r="V1052" i="4" s="1"/>
  <c r="R1053" i="4"/>
  <c r="S1053" i="4" s="1"/>
  <c r="T1053" i="4" s="1"/>
  <c r="U1053" i="4" s="1"/>
  <c r="V1053" i="4" s="1"/>
  <c r="R1054" i="4"/>
  <c r="S1054" i="4" s="1"/>
  <c r="T1054" i="4" s="1"/>
  <c r="U1054" i="4" s="1"/>
  <c r="V1054" i="4" s="1"/>
  <c r="R1055" i="4"/>
  <c r="S1055" i="4" s="1"/>
  <c r="T1055" i="4" s="1"/>
  <c r="U1055" i="4" s="1"/>
  <c r="V1055" i="4" s="1"/>
  <c r="R1056" i="4"/>
  <c r="S1056" i="4" s="1"/>
  <c r="T1056" i="4" s="1"/>
  <c r="U1056" i="4" s="1"/>
  <c r="V1056" i="4" s="1"/>
  <c r="R1057" i="4"/>
  <c r="S1057" i="4" s="1"/>
  <c r="T1057" i="4" s="1"/>
  <c r="U1057" i="4" s="1"/>
  <c r="V1057" i="4" s="1"/>
  <c r="R1058" i="4"/>
  <c r="S1058" i="4" s="1"/>
  <c r="T1058" i="4" s="1"/>
  <c r="U1058" i="4" s="1"/>
  <c r="V1058" i="4" s="1"/>
  <c r="R1059" i="4"/>
  <c r="S1059" i="4" s="1"/>
  <c r="T1059" i="4" s="1"/>
  <c r="U1059" i="4" s="1"/>
  <c r="V1059" i="4" s="1"/>
  <c r="R1060" i="4"/>
  <c r="S1060" i="4" s="1"/>
  <c r="T1060" i="4" s="1"/>
  <c r="U1060" i="4" s="1"/>
  <c r="V1060" i="4" s="1"/>
  <c r="R1061" i="4"/>
  <c r="S1061" i="4" s="1"/>
  <c r="T1061" i="4" s="1"/>
  <c r="U1061" i="4" s="1"/>
  <c r="V1061" i="4" s="1"/>
  <c r="R1062" i="4"/>
  <c r="S1062" i="4" s="1"/>
  <c r="T1062" i="4" s="1"/>
  <c r="U1062" i="4" s="1"/>
  <c r="V1062" i="4" s="1"/>
  <c r="R1063" i="4"/>
  <c r="S1063" i="4" s="1"/>
  <c r="T1063" i="4" s="1"/>
  <c r="U1063" i="4" s="1"/>
  <c r="V1063" i="4" s="1"/>
  <c r="R1064" i="4"/>
  <c r="S1064" i="4" s="1"/>
  <c r="T1064" i="4" s="1"/>
  <c r="U1064" i="4" s="1"/>
  <c r="V1064" i="4" s="1"/>
  <c r="R1065" i="4"/>
  <c r="S1065" i="4" s="1"/>
  <c r="T1065" i="4" s="1"/>
  <c r="U1065" i="4" s="1"/>
  <c r="V1065" i="4" s="1"/>
  <c r="R1066" i="4"/>
  <c r="S1066" i="4" s="1"/>
  <c r="T1066" i="4" s="1"/>
  <c r="U1066" i="4" s="1"/>
  <c r="V1066" i="4" s="1"/>
  <c r="R1067" i="4"/>
  <c r="S1067" i="4" s="1"/>
  <c r="T1067" i="4" s="1"/>
  <c r="U1067" i="4" s="1"/>
  <c r="V1067" i="4" s="1"/>
  <c r="R1068" i="4"/>
  <c r="S1068" i="4" s="1"/>
  <c r="T1068" i="4" s="1"/>
  <c r="U1068" i="4" s="1"/>
  <c r="V1068" i="4" s="1"/>
  <c r="R1069" i="4"/>
  <c r="S1069" i="4" s="1"/>
  <c r="T1069" i="4" s="1"/>
  <c r="U1069" i="4" s="1"/>
  <c r="V1069" i="4" s="1"/>
  <c r="R1070" i="4"/>
  <c r="S1070" i="4" s="1"/>
  <c r="T1070" i="4" s="1"/>
  <c r="U1070" i="4" s="1"/>
  <c r="V1070" i="4" s="1"/>
  <c r="R1071" i="4"/>
  <c r="S1071" i="4" s="1"/>
  <c r="T1071" i="4" s="1"/>
  <c r="U1071" i="4" s="1"/>
  <c r="V1071" i="4" s="1"/>
  <c r="R1072" i="4"/>
  <c r="S1072" i="4" s="1"/>
  <c r="T1072" i="4" s="1"/>
  <c r="U1072" i="4" s="1"/>
  <c r="V1072" i="4" s="1"/>
  <c r="R1073" i="4"/>
  <c r="S1073" i="4" s="1"/>
  <c r="T1073" i="4" s="1"/>
  <c r="U1073" i="4" s="1"/>
  <c r="V1073" i="4" s="1"/>
  <c r="R1074" i="4"/>
  <c r="S1074" i="4" s="1"/>
  <c r="T1074" i="4" s="1"/>
  <c r="U1074" i="4" s="1"/>
  <c r="V1074" i="4" s="1"/>
  <c r="R1075" i="4"/>
  <c r="S1075" i="4" s="1"/>
  <c r="T1075" i="4" s="1"/>
  <c r="U1075" i="4" s="1"/>
  <c r="V1075" i="4" s="1"/>
  <c r="R1076" i="4"/>
  <c r="S1076" i="4" s="1"/>
  <c r="T1076" i="4" s="1"/>
  <c r="U1076" i="4" s="1"/>
  <c r="V1076" i="4" s="1"/>
  <c r="R1077" i="4"/>
  <c r="S1077" i="4" s="1"/>
  <c r="T1077" i="4" s="1"/>
  <c r="U1077" i="4" s="1"/>
  <c r="V1077" i="4" s="1"/>
  <c r="R1078" i="4"/>
  <c r="S1078" i="4" s="1"/>
  <c r="T1078" i="4" s="1"/>
  <c r="U1078" i="4" s="1"/>
  <c r="V1078" i="4" s="1"/>
  <c r="R1079" i="4"/>
  <c r="S1079" i="4" s="1"/>
  <c r="T1079" i="4" s="1"/>
  <c r="U1079" i="4" s="1"/>
  <c r="V1079" i="4" s="1"/>
  <c r="R1080" i="4"/>
  <c r="S1080" i="4" s="1"/>
  <c r="T1080" i="4" s="1"/>
  <c r="U1080" i="4" s="1"/>
  <c r="V1080" i="4" s="1"/>
  <c r="R1081" i="4"/>
  <c r="S1081" i="4" s="1"/>
  <c r="T1081" i="4" s="1"/>
  <c r="U1081" i="4" s="1"/>
  <c r="V1081" i="4" s="1"/>
  <c r="R1082" i="4"/>
  <c r="S1082" i="4" s="1"/>
  <c r="T1082" i="4" s="1"/>
  <c r="U1082" i="4" s="1"/>
  <c r="V1082" i="4" s="1"/>
  <c r="R1083" i="4"/>
  <c r="S1083" i="4" s="1"/>
  <c r="T1083" i="4" s="1"/>
  <c r="U1083" i="4" s="1"/>
  <c r="V1083" i="4" s="1"/>
  <c r="R1084" i="4"/>
  <c r="S1084" i="4" s="1"/>
  <c r="T1084" i="4" s="1"/>
  <c r="U1084" i="4" s="1"/>
  <c r="V1084" i="4" s="1"/>
  <c r="R1085" i="4"/>
  <c r="S1085" i="4" s="1"/>
  <c r="T1085" i="4" s="1"/>
  <c r="U1085" i="4" s="1"/>
  <c r="V1085" i="4" s="1"/>
  <c r="R1086" i="4"/>
  <c r="S1086" i="4" s="1"/>
  <c r="T1086" i="4" s="1"/>
  <c r="U1086" i="4" s="1"/>
  <c r="V1086" i="4" s="1"/>
  <c r="R1087" i="4"/>
  <c r="S1087" i="4" s="1"/>
  <c r="T1087" i="4" s="1"/>
  <c r="U1087" i="4" s="1"/>
  <c r="V1087" i="4" s="1"/>
  <c r="R1088" i="4"/>
  <c r="S1088" i="4" s="1"/>
  <c r="T1088" i="4" s="1"/>
  <c r="U1088" i="4" s="1"/>
  <c r="V1088" i="4" s="1"/>
  <c r="R1089" i="4"/>
  <c r="S1089" i="4" s="1"/>
  <c r="T1089" i="4" s="1"/>
  <c r="U1089" i="4" s="1"/>
  <c r="V1089" i="4" s="1"/>
  <c r="R1090" i="4"/>
  <c r="S1090" i="4" s="1"/>
  <c r="T1090" i="4" s="1"/>
  <c r="U1090" i="4" s="1"/>
  <c r="V1090" i="4" s="1"/>
  <c r="R1091" i="4"/>
  <c r="S1091" i="4" s="1"/>
  <c r="T1091" i="4" s="1"/>
  <c r="U1091" i="4" s="1"/>
  <c r="V1091" i="4" s="1"/>
  <c r="R1092" i="4"/>
  <c r="S1092" i="4" s="1"/>
  <c r="T1092" i="4" s="1"/>
  <c r="U1092" i="4" s="1"/>
  <c r="V1092" i="4" s="1"/>
  <c r="R1093" i="4"/>
  <c r="S1093" i="4" s="1"/>
  <c r="T1093" i="4" s="1"/>
  <c r="U1093" i="4" s="1"/>
  <c r="V1093" i="4" s="1"/>
  <c r="R1094" i="4"/>
  <c r="S1094" i="4" s="1"/>
  <c r="T1094" i="4" s="1"/>
  <c r="U1094" i="4" s="1"/>
  <c r="V1094" i="4" s="1"/>
  <c r="R1095" i="4"/>
  <c r="S1095" i="4" s="1"/>
  <c r="T1095" i="4" s="1"/>
  <c r="U1095" i="4" s="1"/>
  <c r="V1095" i="4" s="1"/>
  <c r="R1096" i="4"/>
  <c r="S1096" i="4" s="1"/>
  <c r="T1096" i="4" s="1"/>
  <c r="U1096" i="4" s="1"/>
  <c r="V1096" i="4" s="1"/>
  <c r="R1097" i="4"/>
  <c r="S1097" i="4" s="1"/>
  <c r="T1097" i="4" s="1"/>
  <c r="U1097" i="4" s="1"/>
  <c r="V1097" i="4" s="1"/>
  <c r="R1098" i="4"/>
  <c r="S1098" i="4" s="1"/>
  <c r="T1098" i="4" s="1"/>
  <c r="U1098" i="4" s="1"/>
  <c r="V1098" i="4" s="1"/>
  <c r="R1099" i="4"/>
  <c r="S1099" i="4" s="1"/>
  <c r="T1099" i="4" s="1"/>
  <c r="U1099" i="4" s="1"/>
  <c r="V1099" i="4" s="1"/>
  <c r="R1100" i="4"/>
  <c r="S1100" i="4" s="1"/>
  <c r="T1100" i="4" s="1"/>
  <c r="U1100" i="4" s="1"/>
  <c r="V1100" i="4" s="1"/>
  <c r="R1101" i="4"/>
  <c r="S1101" i="4" s="1"/>
  <c r="T1101" i="4" s="1"/>
  <c r="U1101" i="4" s="1"/>
  <c r="V1101" i="4" s="1"/>
  <c r="R1102" i="4"/>
  <c r="S1102" i="4" s="1"/>
  <c r="T1102" i="4" s="1"/>
  <c r="U1102" i="4" s="1"/>
  <c r="V1102" i="4" s="1"/>
  <c r="R1103" i="4"/>
  <c r="S1103" i="4" s="1"/>
  <c r="T1103" i="4" s="1"/>
  <c r="U1103" i="4" s="1"/>
  <c r="V1103" i="4" s="1"/>
  <c r="R1104" i="4"/>
  <c r="S1104" i="4" s="1"/>
  <c r="T1104" i="4" s="1"/>
  <c r="U1104" i="4" s="1"/>
  <c r="V1104" i="4" s="1"/>
  <c r="R1105" i="4"/>
  <c r="S1105" i="4" s="1"/>
  <c r="T1105" i="4" s="1"/>
  <c r="U1105" i="4" s="1"/>
  <c r="V1105" i="4" s="1"/>
  <c r="R1106" i="4"/>
  <c r="S1106" i="4" s="1"/>
  <c r="T1106" i="4" s="1"/>
  <c r="U1106" i="4" s="1"/>
  <c r="V1106" i="4" s="1"/>
  <c r="R1107" i="4"/>
  <c r="S1107" i="4" s="1"/>
  <c r="T1107" i="4" s="1"/>
  <c r="U1107" i="4" s="1"/>
  <c r="V1107" i="4" s="1"/>
  <c r="R1108" i="4"/>
  <c r="S1108" i="4" s="1"/>
  <c r="T1108" i="4" s="1"/>
  <c r="U1108" i="4" s="1"/>
  <c r="V1108" i="4" s="1"/>
  <c r="R1109" i="4"/>
  <c r="S1109" i="4" s="1"/>
  <c r="T1109" i="4" s="1"/>
  <c r="U1109" i="4" s="1"/>
  <c r="V1109" i="4" s="1"/>
  <c r="R1110" i="4"/>
  <c r="S1110" i="4" s="1"/>
  <c r="T1110" i="4" s="1"/>
  <c r="U1110" i="4" s="1"/>
  <c r="V1110" i="4" s="1"/>
  <c r="R1111" i="4"/>
  <c r="S1111" i="4" s="1"/>
  <c r="T1111" i="4" s="1"/>
  <c r="U1111" i="4" s="1"/>
  <c r="V1111" i="4" s="1"/>
  <c r="R1112" i="4"/>
  <c r="S1112" i="4" s="1"/>
  <c r="T1112" i="4" s="1"/>
  <c r="U1112" i="4" s="1"/>
  <c r="V1112" i="4" s="1"/>
  <c r="R1113" i="4"/>
  <c r="S1113" i="4" s="1"/>
  <c r="T1113" i="4" s="1"/>
  <c r="U1113" i="4" s="1"/>
  <c r="V1113" i="4" s="1"/>
  <c r="R1114" i="4"/>
  <c r="S1114" i="4" s="1"/>
  <c r="T1114" i="4" s="1"/>
  <c r="U1114" i="4" s="1"/>
  <c r="V1114" i="4" s="1"/>
  <c r="R1115" i="4"/>
  <c r="S1115" i="4" s="1"/>
  <c r="T1115" i="4" s="1"/>
  <c r="U1115" i="4" s="1"/>
  <c r="V1115" i="4" s="1"/>
  <c r="R1116" i="4"/>
  <c r="S1116" i="4" s="1"/>
  <c r="T1116" i="4" s="1"/>
  <c r="U1116" i="4" s="1"/>
  <c r="V1116" i="4" s="1"/>
  <c r="R1117" i="4"/>
  <c r="S1117" i="4" s="1"/>
  <c r="T1117" i="4" s="1"/>
  <c r="U1117" i="4" s="1"/>
  <c r="V1117" i="4" s="1"/>
  <c r="R1118" i="4"/>
  <c r="S1118" i="4" s="1"/>
  <c r="T1118" i="4" s="1"/>
  <c r="U1118" i="4" s="1"/>
  <c r="V1118" i="4" s="1"/>
  <c r="R1119" i="4"/>
  <c r="S1119" i="4" s="1"/>
  <c r="T1119" i="4" s="1"/>
  <c r="U1119" i="4" s="1"/>
  <c r="V1119" i="4" s="1"/>
  <c r="R1120" i="4"/>
  <c r="S1120" i="4" s="1"/>
  <c r="T1120" i="4" s="1"/>
  <c r="U1120" i="4" s="1"/>
  <c r="V1120" i="4" s="1"/>
  <c r="R1121" i="4"/>
  <c r="S1121" i="4" s="1"/>
  <c r="T1121" i="4" s="1"/>
  <c r="U1121" i="4" s="1"/>
  <c r="V1121" i="4" s="1"/>
  <c r="R1122" i="4"/>
  <c r="S1122" i="4" s="1"/>
  <c r="T1122" i="4" s="1"/>
  <c r="U1122" i="4" s="1"/>
  <c r="V1122" i="4" s="1"/>
  <c r="R1123" i="4"/>
  <c r="S1123" i="4" s="1"/>
  <c r="T1123" i="4" s="1"/>
  <c r="U1123" i="4" s="1"/>
  <c r="V1123" i="4" s="1"/>
  <c r="R1124" i="4"/>
  <c r="S1124" i="4" s="1"/>
  <c r="T1124" i="4" s="1"/>
  <c r="U1124" i="4" s="1"/>
  <c r="V1124" i="4" s="1"/>
  <c r="R1125" i="4"/>
  <c r="S1125" i="4" s="1"/>
  <c r="T1125" i="4" s="1"/>
  <c r="U1125" i="4" s="1"/>
  <c r="V1125" i="4" s="1"/>
  <c r="R1126" i="4"/>
  <c r="S1126" i="4" s="1"/>
  <c r="T1126" i="4" s="1"/>
  <c r="U1126" i="4" s="1"/>
  <c r="V1126" i="4" s="1"/>
  <c r="R1127" i="4"/>
  <c r="S1127" i="4" s="1"/>
  <c r="T1127" i="4" s="1"/>
  <c r="U1127" i="4" s="1"/>
  <c r="V1127" i="4" s="1"/>
  <c r="R1128" i="4"/>
  <c r="S1128" i="4" s="1"/>
  <c r="T1128" i="4" s="1"/>
  <c r="U1128" i="4" s="1"/>
  <c r="V1128" i="4" s="1"/>
  <c r="R1129" i="4"/>
  <c r="S1129" i="4" s="1"/>
  <c r="T1129" i="4" s="1"/>
  <c r="U1129" i="4" s="1"/>
  <c r="V1129" i="4" s="1"/>
  <c r="R1130" i="4"/>
  <c r="S1130" i="4" s="1"/>
  <c r="T1130" i="4" s="1"/>
  <c r="U1130" i="4" s="1"/>
  <c r="V1130" i="4" s="1"/>
  <c r="R1131" i="4"/>
  <c r="S1131" i="4" s="1"/>
  <c r="T1131" i="4" s="1"/>
  <c r="U1131" i="4" s="1"/>
  <c r="V1131" i="4" s="1"/>
  <c r="R1132" i="4"/>
  <c r="S1132" i="4" s="1"/>
  <c r="T1132" i="4" s="1"/>
  <c r="U1132" i="4" s="1"/>
  <c r="V1132" i="4" s="1"/>
  <c r="R1133" i="4"/>
  <c r="S1133" i="4" s="1"/>
  <c r="T1133" i="4" s="1"/>
  <c r="U1133" i="4" s="1"/>
  <c r="V1133" i="4" s="1"/>
  <c r="R1134" i="4"/>
  <c r="S1134" i="4" s="1"/>
  <c r="T1134" i="4" s="1"/>
  <c r="U1134" i="4" s="1"/>
  <c r="V1134" i="4" s="1"/>
  <c r="R1135" i="4"/>
  <c r="S1135" i="4" s="1"/>
  <c r="T1135" i="4" s="1"/>
  <c r="U1135" i="4" s="1"/>
  <c r="V1135" i="4" s="1"/>
  <c r="R1136" i="4"/>
  <c r="S1136" i="4" s="1"/>
  <c r="T1136" i="4" s="1"/>
  <c r="U1136" i="4" s="1"/>
  <c r="V1136" i="4" s="1"/>
  <c r="R1137" i="4"/>
  <c r="S1137" i="4" s="1"/>
  <c r="T1137" i="4" s="1"/>
  <c r="U1137" i="4" s="1"/>
  <c r="V1137" i="4" s="1"/>
  <c r="R1138" i="4"/>
  <c r="S1138" i="4" s="1"/>
  <c r="T1138" i="4" s="1"/>
  <c r="U1138" i="4" s="1"/>
  <c r="V1138" i="4" s="1"/>
  <c r="R1139" i="4"/>
  <c r="S1139" i="4" s="1"/>
  <c r="T1139" i="4" s="1"/>
  <c r="U1139" i="4" s="1"/>
  <c r="V1139" i="4" s="1"/>
  <c r="R1140" i="4"/>
  <c r="S1140" i="4" s="1"/>
  <c r="T1140" i="4" s="1"/>
  <c r="U1140" i="4" s="1"/>
  <c r="V1140" i="4" s="1"/>
  <c r="R1141" i="4"/>
  <c r="S1141" i="4" s="1"/>
  <c r="T1141" i="4" s="1"/>
  <c r="U1141" i="4" s="1"/>
  <c r="V1141" i="4" s="1"/>
  <c r="R1142" i="4"/>
  <c r="S1142" i="4" s="1"/>
  <c r="T1142" i="4" s="1"/>
  <c r="U1142" i="4" s="1"/>
  <c r="V1142" i="4" s="1"/>
  <c r="R1143" i="4"/>
  <c r="S1143" i="4" s="1"/>
  <c r="T1143" i="4" s="1"/>
  <c r="U1143" i="4" s="1"/>
  <c r="V1143" i="4" s="1"/>
  <c r="R1144" i="4"/>
  <c r="S1144" i="4" s="1"/>
  <c r="T1144" i="4" s="1"/>
  <c r="U1144" i="4" s="1"/>
  <c r="V1144" i="4" s="1"/>
  <c r="R1145" i="4"/>
  <c r="S1145" i="4" s="1"/>
  <c r="T1145" i="4" s="1"/>
  <c r="U1145" i="4" s="1"/>
  <c r="V1145" i="4" s="1"/>
  <c r="R1146" i="4"/>
  <c r="S1146" i="4" s="1"/>
  <c r="T1146" i="4" s="1"/>
  <c r="U1146" i="4" s="1"/>
  <c r="V1146" i="4" s="1"/>
  <c r="R1147" i="4"/>
  <c r="S1147" i="4" s="1"/>
  <c r="T1147" i="4" s="1"/>
  <c r="U1147" i="4" s="1"/>
  <c r="V1147" i="4" s="1"/>
  <c r="R1148" i="4"/>
  <c r="S1148" i="4" s="1"/>
  <c r="T1148" i="4" s="1"/>
  <c r="U1148" i="4" s="1"/>
  <c r="V1148" i="4" s="1"/>
  <c r="R1149" i="4"/>
  <c r="S1149" i="4" s="1"/>
  <c r="T1149" i="4" s="1"/>
  <c r="U1149" i="4" s="1"/>
  <c r="V1149" i="4" s="1"/>
  <c r="R1150" i="4"/>
  <c r="S1150" i="4" s="1"/>
  <c r="T1150" i="4" s="1"/>
  <c r="U1150" i="4" s="1"/>
  <c r="V1150" i="4" s="1"/>
  <c r="R1151" i="4"/>
  <c r="S1151" i="4" s="1"/>
  <c r="T1151" i="4" s="1"/>
  <c r="U1151" i="4" s="1"/>
  <c r="V1151" i="4" s="1"/>
  <c r="R1152" i="4"/>
  <c r="S1152" i="4" s="1"/>
  <c r="T1152" i="4" s="1"/>
  <c r="U1152" i="4" s="1"/>
  <c r="V1152" i="4" s="1"/>
  <c r="R1153" i="4"/>
  <c r="S1153" i="4" s="1"/>
  <c r="T1153" i="4" s="1"/>
  <c r="U1153" i="4" s="1"/>
  <c r="V1153" i="4" s="1"/>
  <c r="R1154" i="4"/>
  <c r="S1154" i="4" s="1"/>
  <c r="T1154" i="4" s="1"/>
  <c r="U1154" i="4" s="1"/>
  <c r="V1154" i="4" s="1"/>
  <c r="R1155" i="4"/>
  <c r="S1155" i="4" s="1"/>
  <c r="T1155" i="4" s="1"/>
  <c r="U1155" i="4" s="1"/>
  <c r="V1155" i="4" s="1"/>
  <c r="R1156" i="4"/>
  <c r="S1156" i="4" s="1"/>
  <c r="T1156" i="4" s="1"/>
  <c r="U1156" i="4" s="1"/>
  <c r="V1156" i="4" s="1"/>
  <c r="R1157" i="4"/>
  <c r="S1157" i="4" s="1"/>
  <c r="T1157" i="4" s="1"/>
  <c r="U1157" i="4" s="1"/>
  <c r="V1157" i="4" s="1"/>
  <c r="R1158" i="4"/>
  <c r="S1158" i="4" s="1"/>
  <c r="T1158" i="4" s="1"/>
  <c r="U1158" i="4" s="1"/>
  <c r="V1158" i="4" s="1"/>
  <c r="R1159" i="4"/>
  <c r="S1159" i="4" s="1"/>
  <c r="T1159" i="4" s="1"/>
  <c r="U1159" i="4" s="1"/>
  <c r="V1159" i="4" s="1"/>
  <c r="R1160" i="4"/>
  <c r="S1160" i="4" s="1"/>
  <c r="T1160" i="4" s="1"/>
  <c r="U1160" i="4" s="1"/>
  <c r="V1160" i="4" s="1"/>
  <c r="R1161" i="4"/>
  <c r="S1161" i="4" s="1"/>
  <c r="T1161" i="4" s="1"/>
  <c r="U1161" i="4" s="1"/>
  <c r="V1161" i="4" s="1"/>
  <c r="R1162" i="4"/>
  <c r="S1162" i="4" s="1"/>
  <c r="T1162" i="4" s="1"/>
  <c r="U1162" i="4" s="1"/>
  <c r="V1162" i="4" s="1"/>
  <c r="R1163" i="4"/>
  <c r="S1163" i="4" s="1"/>
  <c r="T1163" i="4" s="1"/>
  <c r="U1163" i="4" s="1"/>
  <c r="V1163" i="4" s="1"/>
  <c r="R1164" i="4"/>
  <c r="S1164" i="4" s="1"/>
  <c r="T1164" i="4" s="1"/>
  <c r="U1164" i="4" s="1"/>
  <c r="V1164" i="4" s="1"/>
  <c r="R1165" i="4"/>
  <c r="S1165" i="4" s="1"/>
  <c r="T1165" i="4" s="1"/>
  <c r="U1165" i="4" s="1"/>
  <c r="V1165" i="4" s="1"/>
  <c r="R1166" i="4"/>
  <c r="S1166" i="4" s="1"/>
  <c r="T1166" i="4" s="1"/>
  <c r="U1166" i="4" s="1"/>
  <c r="V1166" i="4" s="1"/>
  <c r="R1167" i="4"/>
  <c r="S1167" i="4" s="1"/>
  <c r="T1167" i="4" s="1"/>
  <c r="U1167" i="4" s="1"/>
  <c r="V1167" i="4" s="1"/>
  <c r="R1168" i="4"/>
  <c r="S1168" i="4" s="1"/>
  <c r="T1168" i="4" s="1"/>
  <c r="U1168" i="4" s="1"/>
  <c r="V1168" i="4" s="1"/>
  <c r="R1169" i="4"/>
  <c r="S1169" i="4" s="1"/>
  <c r="T1169" i="4" s="1"/>
  <c r="U1169" i="4" s="1"/>
  <c r="V1169" i="4" s="1"/>
  <c r="R1170" i="4"/>
  <c r="S1170" i="4" s="1"/>
  <c r="T1170" i="4" s="1"/>
  <c r="U1170" i="4" s="1"/>
  <c r="V1170" i="4" s="1"/>
  <c r="R1171" i="4"/>
  <c r="S1171" i="4" s="1"/>
  <c r="T1171" i="4" s="1"/>
  <c r="U1171" i="4" s="1"/>
  <c r="V1171" i="4" s="1"/>
  <c r="R1172" i="4"/>
  <c r="S1172" i="4" s="1"/>
  <c r="T1172" i="4" s="1"/>
  <c r="U1172" i="4" s="1"/>
  <c r="V1172" i="4" s="1"/>
  <c r="R1173" i="4"/>
  <c r="S1173" i="4" s="1"/>
  <c r="T1173" i="4" s="1"/>
  <c r="U1173" i="4" s="1"/>
  <c r="V1173" i="4" s="1"/>
  <c r="R1174" i="4"/>
  <c r="S1174" i="4" s="1"/>
  <c r="T1174" i="4" s="1"/>
  <c r="U1174" i="4" s="1"/>
  <c r="V1174" i="4" s="1"/>
  <c r="R1175" i="4"/>
  <c r="S1175" i="4" s="1"/>
  <c r="T1175" i="4" s="1"/>
  <c r="U1175" i="4" s="1"/>
  <c r="V1175" i="4" s="1"/>
  <c r="R1176" i="4"/>
  <c r="S1176" i="4" s="1"/>
  <c r="T1176" i="4" s="1"/>
  <c r="U1176" i="4" s="1"/>
  <c r="V1176" i="4" s="1"/>
  <c r="R1177" i="4"/>
  <c r="S1177" i="4" s="1"/>
  <c r="T1177" i="4" s="1"/>
  <c r="U1177" i="4" s="1"/>
  <c r="V1177" i="4" s="1"/>
  <c r="R1178" i="4"/>
  <c r="S1178" i="4" s="1"/>
  <c r="T1178" i="4" s="1"/>
  <c r="U1178" i="4" s="1"/>
  <c r="V1178" i="4" s="1"/>
  <c r="R1179" i="4"/>
  <c r="S1179" i="4" s="1"/>
  <c r="T1179" i="4" s="1"/>
  <c r="U1179" i="4" s="1"/>
  <c r="V1179" i="4" s="1"/>
  <c r="R1180" i="4"/>
  <c r="S1180" i="4" s="1"/>
  <c r="T1180" i="4" s="1"/>
  <c r="U1180" i="4" s="1"/>
  <c r="V1180" i="4" s="1"/>
  <c r="R1181" i="4"/>
  <c r="S1181" i="4" s="1"/>
  <c r="T1181" i="4" s="1"/>
  <c r="U1181" i="4" s="1"/>
  <c r="V1181" i="4" s="1"/>
  <c r="R1182" i="4"/>
  <c r="S1182" i="4" s="1"/>
  <c r="T1182" i="4" s="1"/>
  <c r="U1182" i="4" s="1"/>
  <c r="V1182" i="4" s="1"/>
  <c r="R1183" i="4"/>
  <c r="S1183" i="4" s="1"/>
  <c r="T1183" i="4" s="1"/>
  <c r="U1183" i="4" s="1"/>
  <c r="V1183" i="4" s="1"/>
  <c r="R1184" i="4"/>
  <c r="S1184" i="4" s="1"/>
  <c r="T1184" i="4" s="1"/>
  <c r="U1184" i="4" s="1"/>
  <c r="V1184" i="4" s="1"/>
  <c r="R1185" i="4"/>
  <c r="S1185" i="4" s="1"/>
  <c r="T1185" i="4" s="1"/>
  <c r="U1185" i="4" s="1"/>
  <c r="V1185" i="4" s="1"/>
  <c r="R1186" i="4"/>
  <c r="S1186" i="4" s="1"/>
  <c r="T1186" i="4" s="1"/>
  <c r="U1186" i="4" s="1"/>
  <c r="V1186" i="4" s="1"/>
  <c r="R1187" i="4"/>
  <c r="S1187" i="4" s="1"/>
  <c r="T1187" i="4" s="1"/>
  <c r="U1187" i="4" s="1"/>
  <c r="V1187" i="4" s="1"/>
  <c r="R1188" i="4"/>
  <c r="S1188" i="4" s="1"/>
  <c r="T1188" i="4" s="1"/>
  <c r="U1188" i="4" s="1"/>
  <c r="V1188" i="4" s="1"/>
  <c r="R1189" i="4"/>
  <c r="S1189" i="4" s="1"/>
  <c r="T1189" i="4" s="1"/>
  <c r="U1189" i="4" s="1"/>
  <c r="V1189" i="4" s="1"/>
  <c r="R1190" i="4"/>
  <c r="S1190" i="4" s="1"/>
  <c r="T1190" i="4" s="1"/>
  <c r="U1190" i="4" s="1"/>
  <c r="V1190" i="4" s="1"/>
  <c r="R1191" i="4"/>
  <c r="S1191" i="4" s="1"/>
  <c r="T1191" i="4" s="1"/>
  <c r="U1191" i="4" s="1"/>
  <c r="V1191" i="4" s="1"/>
  <c r="R1192" i="4"/>
  <c r="S1192" i="4" s="1"/>
  <c r="T1192" i="4" s="1"/>
  <c r="U1192" i="4" s="1"/>
  <c r="V1192" i="4" s="1"/>
  <c r="R1193" i="4"/>
  <c r="S1193" i="4" s="1"/>
  <c r="T1193" i="4" s="1"/>
  <c r="U1193" i="4" s="1"/>
  <c r="V1193" i="4" s="1"/>
  <c r="R1194" i="4"/>
  <c r="S1194" i="4" s="1"/>
  <c r="T1194" i="4" s="1"/>
  <c r="U1194" i="4" s="1"/>
  <c r="V1194" i="4" s="1"/>
  <c r="R1195" i="4"/>
  <c r="S1195" i="4" s="1"/>
  <c r="T1195" i="4" s="1"/>
  <c r="U1195" i="4" s="1"/>
  <c r="V1195" i="4" s="1"/>
  <c r="R1196" i="4"/>
  <c r="S1196" i="4" s="1"/>
  <c r="T1196" i="4" s="1"/>
  <c r="U1196" i="4" s="1"/>
  <c r="V1196" i="4" s="1"/>
  <c r="R1197" i="4"/>
  <c r="S1197" i="4" s="1"/>
  <c r="T1197" i="4" s="1"/>
  <c r="U1197" i="4" s="1"/>
  <c r="V1197" i="4" s="1"/>
  <c r="R1198" i="4"/>
  <c r="S1198" i="4" s="1"/>
  <c r="T1198" i="4" s="1"/>
  <c r="U1198" i="4" s="1"/>
  <c r="V1198" i="4" s="1"/>
  <c r="R1199" i="4"/>
  <c r="S1199" i="4" s="1"/>
  <c r="T1199" i="4" s="1"/>
  <c r="U1199" i="4" s="1"/>
  <c r="V1199" i="4" s="1"/>
  <c r="R1200" i="4"/>
  <c r="S1200" i="4" s="1"/>
  <c r="T1200" i="4" s="1"/>
  <c r="U1200" i="4" s="1"/>
  <c r="V1200" i="4" s="1"/>
  <c r="R1201" i="4"/>
  <c r="S1201" i="4" s="1"/>
  <c r="T1201" i="4" s="1"/>
  <c r="U1201" i="4" s="1"/>
  <c r="V1201" i="4" s="1"/>
  <c r="V1213" i="1"/>
  <c r="U1211" i="1"/>
  <c r="U1212" i="1"/>
  <c r="U1213" i="1"/>
  <c r="S1213" i="1"/>
  <c r="T1213" i="1"/>
  <c r="S1212" i="1"/>
  <c r="S1211" i="1"/>
  <c r="R1212" i="1"/>
  <c r="W2" i="1"/>
  <c r="W1213" i="1"/>
  <c r="R1213" i="1"/>
  <c r="W1212" i="1"/>
  <c r="W1211" i="1"/>
  <c r="R1211" i="1"/>
  <c r="W1210" i="1"/>
  <c r="R1210" i="1"/>
  <c r="W1209" i="1"/>
  <c r="R1209" i="1"/>
  <c r="W1208" i="1"/>
  <c r="R1208" i="1"/>
  <c r="W1207" i="1"/>
  <c r="R1207" i="1"/>
  <c r="W1206" i="1"/>
  <c r="R1206" i="1"/>
  <c r="W1205" i="1"/>
  <c r="R1205" i="1"/>
  <c r="W1204" i="1"/>
  <c r="R1204" i="1"/>
  <c r="W1203" i="1"/>
  <c r="R1203" i="1"/>
  <c r="W1202" i="1"/>
  <c r="R1202" i="1"/>
  <c r="W1201" i="1"/>
  <c r="R1201" i="1"/>
  <c r="W1200" i="1"/>
  <c r="R1200" i="1"/>
  <c r="W1199" i="1"/>
  <c r="R1199" i="1"/>
  <c r="W1198" i="1"/>
  <c r="R1198" i="1"/>
  <c r="W1197" i="1"/>
  <c r="R1197" i="1"/>
  <c r="W1196" i="1"/>
  <c r="R1196" i="1"/>
  <c r="W1195" i="1"/>
  <c r="R1195" i="1"/>
  <c r="W1194" i="1"/>
  <c r="R1194" i="1"/>
  <c r="W1193" i="1"/>
  <c r="R1193" i="1"/>
  <c r="W1192" i="1"/>
  <c r="R1192" i="1"/>
  <c r="W1191" i="1"/>
  <c r="R1191" i="1"/>
  <c r="W1190" i="1"/>
  <c r="R1190" i="1"/>
  <c r="W1189" i="1"/>
  <c r="R1189" i="1"/>
  <c r="W1188" i="1"/>
  <c r="R1188" i="1"/>
  <c r="W1187" i="1"/>
  <c r="R1187" i="1"/>
  <c r="W1186" i="1"/>
  <c r="R1186" i="1"/>
  <c r="W1185" i="1"/>
  <c r="R1185" i="1"/>
  <c r="W1184" i="1"/>
  <c r="R1184" i="1"/>
  <c r="W1183" i="1"/>
  <c r="R1183" i="1"/>
  <c r="W1182" i="1"/>
  <c r="R1182" i="1"/>
  <c r="W1181" i="1"/>
  <c r="R1181" i="1"/>
  <c r="W1180" i="1"/>
  <c r="R1180" i="1"/>
  <c r="W1179" i="1"/>
  <c r="R1179" i="1"/>
  <c r="W1178" i="1"/>
  <c r="R1178" i="1"/>
  <c r="W1177" i="1"/>
  <c r="R1177" i="1"/>
  <c r="W1176" i="1"/>
  <c r="R1176" i="1"/>
  <c r="W1175" i="1"/>
  <c r="R1175" i="1"/>
  <c r="W1174" i="1"/>
  <c r="R1174" i="1"/>
  <c r="W1173" i="1"/>
  <c r="R1173" i="1"/>
  <c r="W1172" i="1"/>
  <c r="R1172" i="1"/>
  <c r="W1171" i="1"/>
  <c r="R1171" i="1"/>
  <c r="W1170" i="1"/>
  <c r="R1170" i="1"/>
  <c r="W1169" i="1"/>
  <c r="R1169" i="1"/>
  <c r="W1168" i="1"/>
  <c r="R1168" i="1"/>
  <c r="W1167" i="1"/>
  <c r="R1167" i="1"/>
  <c r="W1166" i="1"/>
  <c r="R1166" i="1"/>
  <c r="W1165" i="1"/>
  <c r="R1165" i="1"/>
  <c r="W1164" i="1"/>
  <c r="R1164" i="1"/>
  <c r="W1163" i="1"/>
  <c r="R1163" i="1"/>
  <c r="W1162" i="1"/>
  <c r="R1162" i="1"/>
  <c r="W1161" i="1"/>
  <c r="R1161" i="1"/>
  <c r="W1160" i="1"/>
  <c r="R1160" i="1"/>
  <c r="W1159" i="1"/>
  <c r="R1159" i="1"/>
  <c r="W1158" i="1"/>
  <c r="R1158" i="1"/>
  <c r="W1157" i="1"/>
  <c r="R1157" i="1"/>
  <c r="W1156" i="1"/>
  <c r="R1156" i="1"/>
  <c r="W1155" i="1"/>
  <c r="R1155" i="1"/>
  <c r="W1154" i="1"/>
  <c r="R1154" i="1"/>
  <c r="W1153" i="1"/>
  <c r="R1153" i="1"/>
  <c r="W1152" i="1"/>
  <c r="R1152" i="1"/>
  <c r="W1151" i="1"/>
  <c r="R1151" i="1"/>
  <c r="W1150" i="1"/>
  <c r="R1150" i="1"/>
  <c r="W1149" i="1"/>
  <c r="R1149" i="1"/>
  <c r="W1148" i="1"/>
  <c r="R1148" i="1"/>
  <c r="W1147" i="1"/>
  <c r="R1147" i="1"/>
  <c r="W1146" i="1"/>
  <c r="R1146" i="1"/>
  <c r="W1145" i="1"/>
  <c r="R1145" i="1"/>
  <c r="W1144" i="1"/>
  <c r="R1144" i="1"/>
  <c r="W1143" i="1"/>
  <c r="R1143" i="1"/>
  <c r="W1142" i="1"/>
  <c r="R1142" i="1"/>
  <c r="W1141" i="1"/>
  <c r="R1141" i="1"/>
  <c r="W1140" i="1"/>
  <c r="R1140" i="1"/>
  <c r="W1139" i="1"/>
  <c r="R1139" i="1"/>
  <c r="W1138" i="1"/>
  <c r="R1138" i="1"/>
  <c r="W1137" i="1"/>
  <c r="R1137" i="1"/>
  <c r="W1136" i="1"/>
  <c r="R1136" i="1"/>
  <c r="W1135" i="1"/>
  <c r="R1135" i="1"/>
  <c r="W1134" i="1"/>
  <c r="R1134" i="1"/>
  <c r="W1133" i="1"/>
  <c r="R1133" i="1"/>
  <c r="W1132" i="1"/>
  <c r="R1132" i="1"/>
  <c r="W1131" i="1"/>
  <c r="R1131" i="1"/>
  <c r="W1130" i="1"/>
  <c r="R1130" i="1"/>
  <c r="W1129" i="1"/>
  <c r="R1129" i="1"/>
  <c r="W1128" i="1"/>
  <c r="R1128" i="1"/>
  <c r="W1127" i="1"/>
  <c r="R1127" i="1"/>
  <c r="W1126" i="1"/>
  <c r="R1126" i="1"/>
  <c r="W1125" i="1"/>
  <c r="R1125" i="1"/>
  <c r="W1124" i="1"/>
  <c r="R1124" i="1"/>
  <c r="W1123" i="1"/>
  <c r="R1123" i="1"/>
  <c r="W1122" i="1"/>
  <c r="R1122" i="1"/>
  <c r="W1121" i="1"/>
  <c r="R1121" i="1"/>
  <c r="W1120" i="1"/>
  <c r="R1120" i="1"/>
  <c r="W1119" i="1"/>
  <c r="R1119" i="1"/>
  <c r="W1118" i="1"/>
  <c r="R1118" i="1"/>
  <c r="W1117" i="1"/>
  <c r="R1117" i="1"/>
  <c r="W1116" i="1"/>
  <c r="R1116" i="1"/>
  <c r="W1115" i="1"/>
  <c r="R1115" i="1"/>
  <c r="W1114" i="1"/>
  <c r="R1114" i="1"/>
  <c r="W1113" i="1"/>
  <c r="R1113" i="1"/>
  <c r="W1112" i="1"/>
  <c r="R1112" i="1"/>
  <c r="W1111" i="1"/>
  <c r="R1111" i="1"/>
  <c r="W1110" i="1"/>
  <c r="R1110" i="1"/>
  <c r="W1109" i="1"/>
  <c r="R1109" i="1"/>
  <c r="W1108" i="1"/>
  <c r="R1108" i="1"/>
  <c r="W1107" i="1"/>
  <c r="R1107" i="1"/>
  <c r="W1106" i="1"/>
  <c r="R1106" i="1"/>
  <c r="W1105" i="1"/>
  <c r="R1105" i="1"/>
  <c r="W1104" i="1"/>
  <c r="R1104" i="1"/>
  <c r="W1103" i="1"/>
  <c r="R1103" i="1"/>
  <c r="W1102" i="1"/>
  <c r="R1102" i="1"/>
  <c r="W1101" i="1"/>
  <c r="R1101" i="1"/>
  <c r="W1100" i="1"/>
  <c r="R1100" i="1"/>
  <c r="W1099" i="1"/>
  <c r="R1099" i="1"/>
  <c r="W1098" i="1"/>
  <c r="R1098" i="1"/>
  <c r="W1097" i="1"/>
  <c r="R1097" i="1"/>
  <c r="W1096" i="1"/>
  <c r="R1096" i="1"/>
  <c r="W1095" i="1"/>
  <c r="R1095" i="1"/>
  <c r="W1094" i="1"/>
  <c r="R1094" i="1"/>
  <c r="W1093" i="1"/>
  <c r="R1093" i="1"/>
  <c r="W1092" i="1"/>
  <c r="R1092" i="1"/>
  <c r="W1091" i="1"/>
  <c r="R1091" i="1"/>
  <c r="W1090" i="1"/>
  <c r="R1090" i="1"/>
  <c r="W1089" i="1"/>
  <c r="R1089" i="1"/>
  <c r="W1088" i="1"/>
  <c r="R1088" i="1"/>
  <c r="W1087" i="1"/>
  <c r="R1087" i="1"/>
  <c r="W1086" i="1"/>
  <c r="R1086" i="1"/>
  <c r="W1085" i="1"/>
  <c r="R1085" i="1"/>
  <c r="W1084" i="1"/>
  <c r="R1084" i="1"/>
  <c r="W1083" i="1"/>
  <c r="R1083" i="1"/>
  <c r="W1082" i="1"/>
  <c r="R1082" i="1"/>
  <c r="W1081" i="1"/>
  <c r="R1081" i="1"/>
  <c r="W1080" i="1"/>
  <c r="R1080" i="1"/>
  <c r="W1079" i="1"/>
  <c r="R1079" i="1"/>
  <c r="W1078" i="1"/>
  <c r="R1078" i="1"/>
  <c r="W1077" i="1"/>
  <c r="R1077" i="1"/>
  <c r="W1076" i="1"/>
  <c r="R1076" i="1"/>
  <c r="W1075" i="1"/>
  <c r="R1075" i="1"/>
  <c r="W1074" i="1"/>
  <c r="R1074" i="1"/>
  <c r="W1073" i="1"/>
  <c r="R1073" i="1"/>
  <c r="W1072" i="1"/>
  <c r="R1072" i="1"/>
  <c r="W1071" i="1"/>
  <c r="R1071" i="1"/>
  <c r="W1070" i="1"/>
  <c r="R1070" i="1"/>
  <c r="W1069" i="1"/>
  <c r="R1069" i="1"/>
  <c r="W1068" i="1"/>
  <c r="R1068" i="1"/>
  <c r="W1067" i="1"/>
  <c r="R1067" i="1"/>
  <c r="W1066" i="1"/>
  <c r="R1066" i="1"/>
  <c r="W1065" i="1"/>
  <c r="R1065" i="1"/>
  <c r="W1064" i="1"/>
  <c r="R1064" i="1"/>
  <c r="W1063" i="1"/>
  <c r="R1063" i="1"/>
  <c r="W1062" i="1"/>
  <c r="R1062" i="1"/>
  <c r="W1061" i="1"/>
  <c r="R1061" i="1"/>
  <c r="W1060" i="1"/>
  <c r="R1060" i="1"/>
  <c r="W1059" i="1"/>
  <c r="R1059" i="1"/>
  <c r="W1058" i="1"/>
  <c r="R1058" i="1"/>
  <c r="W1057" i="1"/>
  <c r="R1057" i="1"/>
  <c r="W1056" i="1"/>
  <c r="R1056" i="1"/>
  <c r="W1055" i="1"/>
  <c r="R1055" i="1"/>
  <c r="W1054" i="1"/>
  <c r="R1054" i="1"/>
  <c r="W1053" i="1"/>
  <c r="R1053" i="1"/>
  <c r="W1052" i="1"/>
  <c r="R1052" i="1"/>
  <c r="W1051" i="1"/>
  <c r="R1051" i="1"/>
  <c r="W1050" i="1"/>
  <c r="R1050" i="1"/>
  <c r="W1049" i="1"/>
  <c r="R1049" i="1"/>
  <c r="W1048" i="1"/>
  <c r="R1048" i="1"/>
  <c r="W1047" i="1"/>
  <c r="R1047" i="1"/>
  <c r="W1046" i="1"/>
  <c r="R1046" i="1"/>
  <c r="W1045" i="1"/>
  <c r="R1045" i="1"/>
  <c r="W1044" i="1"/>
  <c r="R1044" i="1"/>
  <c r="W1043" i="1"/>
  <c r="R1043" i="1"/>
  <c r="W1042" i="1"/>
  <c r="R1042" i="1"/>
  <c r="W1041" i="1"/>
  <c r="R1041" i="1"/>
  <c r="W1040" i="1"/>
  <c r="R1040" i="1"/>
  <c r="W1039" i="1"/>
  <c r="R1039" i="1"/>
  <c r="W1038" i="1"/>
  <c r="R1038" i="1"/>
  <c r="W1037" i="1"/>
  <c r="R1037" i="1"/>
  <c r="W1036" i="1"/>
  <c r="R1036" i="1"/>
  <c r="W1035" i="1"/>
  <c r="R1035" i="1"/>
  <c r="W1034" i="1"/>
  <c r="R1034" i="1"/>
  <c r="W1033" i="1"/>
  <c r="R1033" i="1"/>
  <c r="W1032" i="1"/>
  <c r="R1032" i="1"/>
  <c r="W1031" i="1"/>
  <c r="R1031" i="1"/>
  <c r="W1030" i="1"/>
  <c r="R1030" i="1"/>
  <c r="W1029" i="1"/>
  <c r="R1029" i="1"/>
  <c r="W1028" i="1"/>
  <c r="R1028" i="1"/>
  <c r="W1027" i="1"/>
  <c r="R1027" i="1"/>
  <c r="W1026" i="1"/>
  <c r="R1026" i="1"/>
  <c r="W1025" i="1"/>
  <c r="R1025" i="1"/>
  <c r="W1024" i="1"/>
  <c r="R1024" i="1"/>
  <c r="W1023" i="1"/>
  <c r="R1023" i="1"/>
  <c r="W1022" i="1"/>
  <c r="R1022" i="1"/>
  <c r="W1021" i="1"/>
  <c r="R1021" i="1"/>
  <c r="W1020" i="1"/>
  <c r="R1020" i="1"/>
  <c r="W1019" i="1"/>
  <c r="R1019" i="1"/>
  <c r="W1018" i="1"/>
  <c r="R1018" i="1"/>
  <c r="W1017" i="1"/>
  <c r="R1017" i="1"/>
  <c r="W1016" i="1"/>
  <c r="R1016" i="1"/>
  <c r="W1015" i="1"/>
  <c r="R1015" i="1"/>
  <c r="W1014" i="1"/>
  <c r="R1014" i="1"/>
  <c r="W1013" i="1"/>
  <c r="R1013" i="1"/>
  <c r="W1012" i="1"/>
  <c r="R1012" i="1"/>
  <c r="W1011" i="1"/>
  <c r="R1011" i="1"/>
  <c r="W1010" i="1"/>
  <c r="R1010" i="1"/>
  <c r="W1009" i="1"/>
  <c r="R1009" i="1"/>
  <c r="W1008" i="1"/>
  <c r="R1008" i="1"/>
  <c r="W1007" i="1"/>
  <c r="R1007" i="1"/>
  <c r="W1006" i="1"/>
  <c r="R1006" i="1"/>
  <c r="W1005" i="1"/>
  <c r="R1005" i="1"/>
  <c r="W1004" i="1"/>
  <c r="R1004" i="1"/>
  <c r="W1003" i="1"/>
  <c r="R1003" i="1"/>
  <c r="W1002" i="1"/>
  <c r="R1002" i="1"/>
  <c r="W1001" i="1"/>
  <c r="R1001" i="1"/>
  <c r="W1000" i="1"/>
  <c r="R1000" i="1"/>
  <c r="W999" i="1"/>
  <c r="R999" i="1"/>
  <c r="W998" i="1"/>
  <c r="R998" i="1"/>
  <c r="W997" i="1"/>
  <c r="R997" i="1"/>
  <c r="W996" i="1"/>
  <c r="R996" i="1"/>
  <c r="W995" i="1"/>
  <c r="R995" i="1"/>
  <c r="W994" i="1"/>
  <c r="R994" i="1"/>
  <c r="W993" i="1"/>
  <c r="R993" i="1"/>
  <c r="W992" i="1"/>
  <c r="R992" i="1"/>
  <c r="W991" i="1"/>
  <c r="R991" i="1"/>
  <c r="W990" i="1"/>
  <c r="R990" i="1"/>
  <c r="W989" i="1"/>
  <c r="R989" i="1"/>
  <c r="W988" i="1"/>
  <c r="R988" i="1"/>
  <c r="W987" i="1"/>
  <c r="R987" i="1"/>
  <c r="W986" i="1"/>
  <c r="R986" i="1"/>
  <c r="W985" i="1"/>
  <c r="R985" i="1"/>
  <c r="W984" i="1"/>
  <c r="R984" i="1"/>
  <c r="W983" i="1"/>
  <c r="R983" i="1"/>
  <c r="W982" i="1"/>
  <c r="R982" i="1"/>
  <c r="W981" i="1"/>
  <c r="R981" i="1"/>
  <c r="W980" i="1"/>
  <c r="R980" i="1"/>
  <c r="W979" i="1"/>
  <c r="R979" i="1"/>
  <c r="W978" i="1"/>
  <c r="R978" i="1"/>
  <c r="W977" i="1"/>
  <c r="R977" i="1"/>
  <c r="W976" i="1"/>
  <c r="R976" i="1"/>
  <c r="W975" i="1"/>
  <c r="R975" i="1"/>
  <c r="W974" i="1"/>
  <c r="R974" i="1"/>
  <c r="W973" i="1"/>
  <c r="R973" i="1"/>
  <c r="W972" i="1"/>
  <c r="R972" i="1"/>
  <c r="W971" i="1"/>
  <c r="R971" i="1"/>
  <c r="W970" i="1"/>
  <c r="R970" i="1"/>
  <c r="W969" i="1"/>
  <c r="R969" i="1"/>
  <c r="W968" i="1"/>
  <c r="R968" i="1"/>
  <c r="W967" i="1"/>
  <c r="R967" i="1"/>
  <c r="W966" i="1"/>
  <c r="R966" i="1"/>
  <c r="W965" i="1"/>
  <c r="R965" i="1"/>
  <c r="W964" i="1"/>
  <c r="R964" i="1"/>
  <c r="W963" i="1"/>
  <c r="R963" i="1"/>
  <c r="W962" i="1"/>
  <c r="R962" i="1"/>
  <c r="W961" i="1"/>
  <c r="R961" i="1"/>
  <c r="W960" i="1"/>
  <c r="R960" i="1"/>
  <c r="W959" i="1"/>
  <c r="R959" i="1"/>
  <c r="W958" i="1"/>
  <c r="R958" i="1"/>
  <c r="W957" i="1"/>
  <c r="R957" i="1"/>
  <c r="W956" i="1"/>
  <c r="R956" i="1"/>
  <c r="W955" i="1"/>
  <c r="R955" i="1"/>
  <c r="W954" i="1"/>
  <c r="R954" i="1"/>
  <c r="W953" i="1"/>
  <c r="R953" i="1"/>
  <c r="W952" i="1"/>
  <c r="R952" i="1"/>
  <c r="W951" i="1"/>
  <c r="R951" i="1"/>
  <c r="W950" i="1"/>
  <c r="R950" i="1"/>
  <c r="W949" i="1"/>
  <c r="R949" i="1"/>
  <c r="W948" i="1"/>
  <c r="R948" i="1"/>
  <c r="W947" i="1"/>
  <c r="R947" i="1"/>
  <c r="W946" i="1"/>
  <c r="R946" i="1"/>
  <c r="W945" i="1"/>
  <c r="R945" i="1"/>
  <c r="W944" i="1"/>
  <c r="R944" i="1"/>
  <c r="W943" i="1"/>
  <c r="R943" i="1"/>
  <c r="W942" i="1"/>
  <c r="R942" i="1"/>
  <c r="W941" i="1"/>
  <c r="R941" i="1"/>
  <c r="W940" i="1"/>
  <c r="R940" i="1"/>
  <c r="W939" i="1"/>
  <c r="R939" i="1"/>
  <c r="W938" i="1"/>
  <c r="R938" i="1"/>
  <c r="W937" i="1"/>
  <c r="R937" i="1"/>
  <c r="W936" i="1"/>
  <c r="R936" i="1"/>
  <c r="W935" i="1"/>
  <c r="R935" i="1"/>
  <c r="W934" i="1"/>
  <c r="R934" i="1"/>
  <c r="W933" i="1"/>
  <c r="R933" i="1"/>
  <c r="W932" i="1"/>
  <c r="R932" i="1"/>
  <c r="W931" i="1"/>
  <c r="R931" i="1"/>
  <c r="W930" i="1"/>
  <c r="R930" i="1"/>
  <c r="W929" i="1"/>
  <c r="R929" i="1"/>
  <c r="W928" i="1"/>
  <c r="R928" i="1"/>
  <c r="W927" i="1"/>
  <c r="R927" i="1"/>
  <c r="W926" i="1"/>
  <c r="R926" i="1"/>
  <c r="W925" i="1"/>
  <c r="R925" i="1"/>
  <c r="W924" i="1"/>
  <c r="R924" i="1"/>
  <c r="W923" i="1"/>
  <c r="R923" i="1"/>
  <c r="W922" i="1"/>
  <c r="R922" i="1"/>
  <c r="W921" i="1"/>
  <c r="R921" i="1"/>
  <c r="W920" i="1"/>
  <c r="R920" i="1"/>
  <c r="W919" i="1"/>
  <c r="R919" i="1"/>
  <c r="W918" i="1"/>
  <c r="R918" i="1"/>
  <c r="W917" i="1"/>
  <c r="R917" i="1"/>
  <c r="W916" i="1"/>
  <c r="R916" i="1"/>
  <c r="W915" i="1"/>
  <c r="R915" i="1"/>
  <c r="W914" i="1"/>
  <c r="R914" i="1"/>
  <c r="W913" i="1"/>
  <c r="R913" i="1"/>
  <c r="W912" i="1"/>
  <c r="R912" i="1"/>
  <c r="W911" i="1"/>
  <c r="R911" i="1"/>
  <c r="W910" i="1"/>
  <c r="R910" i="1"/>
  <c r="W909" i="1"/>
  <c r="R909" i="1"/>
  <c r="W908" i="1"/>
  <c r="R908" i="1"/>
  <c r="W907" i="1"/>
  <c r="R907" i="1"/>
  <c r="W906" i="1"/>
  <c r="R906" i="1"/>
  <c r="W905" i="1"/>
  <c r="R905" i="1"/>
  <c r="W904" i="1"/>
  <c r="R904" i="1"/>
  <c r="W903" i="1"/>
  <c r="R903" i="1"/>
  <c r="W902" i="1"/>
  <c r="R902" i="1"/>
  <c r="W901" i="1"/>
  <c r="R901" i="1"/>
  <c r="W900" i="1"/>
  <c r="R900" i="1"/>
  <c r="W899" i="1"/>
  <c r="R899" i="1"/>
  <c r="W898" i="1"/>
  <c r="R898" i="1"/>
  <c r="W897" i="1"/>
  <c r="R897" i="1"/>
  <c r="W896" i="1"/>
  <c r="R896" i="1"/>
  <c r="W895" i="1"/>
  <c r="R895" i="1"/>
  <c r="W894" i="1"/>
  <c r="R894" i="1"/>
  <c r="W893" i="1"/>
  <c r="R893" i="1"/>
  <c r="W892" i="1"/>
  <c r="R892" i="1"/>
  <c r="W891" i="1"/>
  <c r="R891" i="1"/>
  <c r="W890" i="1"/>
  <c r="R890" i="1"/>
  <c r="W889" i="1"/>
  <c r="R889" i="1"/>
  <c r="W888" i="1"/>
  <c r="R888" i="1"/>
  <c r="W887" i="1"/>
  <c r="R887" i="1"/>
  <c r="W886" i="1"/>
  <c r="R886" i="1"/>
  <c r="W885" i="1"/>
  <c r="R885" i="1"/>
  <c r="W884" i="1"/>
  <c r="R884" i="1"/>
  <c r="W883" i="1"/>
  <c r="R883" i="1"/>
  <c r="W882" i="1"/>
  <c r="R882" i="1"/>
  <c r="W881" i="1"/>
  <c r="R881" i="1"/>
  <c r="W880" i="1"/>
  <c r="R880" i="1"/>
  <c r="W879" i="1"/>
  <c r="R879" i="1"/>
  <c r="W878" i="1"/>
  <c r="R878" i="1"/>
  <c r="W877" i="1"/>
  <c r="R877" i="1"/>
  <c r="W876" i="1"/>
  <c r="R876" i="1"/>
  <c r="W875" i="1"/>
  <c r="R875" i="1"/>
  <c r="W874" i="1"/>
  <c r="R874" i="1"/>
  <c r="W873" i="1"/>
  <c r="R873" i="1"/>
  <c r="W872" i="1"/>
  <c r="R872" i="1"/>
  <c r="W871" i="1"/>
  <c r="R871" i="1"/>
  <c r="W870" i="1"/>
  <c r="R870" i="1"/>
  <c r="W869" i="1"/>
  <c r="R869" i="1"/>
  <c r="W868" i="1"/>
  <c r="R868" i="1"/>
  <c r="W867" i="1"/>
  <c r="R867" i="1"/>
  <c r="W866" i="1"/>
  <c r="R866" i="1"/>
  <c r="W865" i="1"/>
  <c r="R865" i="1"/>
  <c r="W864" i="1"/>
  <c r="R864" i="1"/>
  <c r="W863" i="1"/>
  <c r="R863" i="1"/>
  <c r="W862" i="1"/>
  <c r="R862" i="1"/>
  <c r="W861" i="1"/>
  <c r="R861" i="1"/>
  <c r="W860" i="1"/>
  <c r="R860" i="1"/>
  <c r="W859" i="1"/>
  <c r="R859" i="1"/>
  <c r="W858" i="1"/>
  <c r="R858" i="1"/>
  <c r="W857" i="1"/>
  <c r="R857" i="1"/>
  <c r="W856" i="1"/>
  <c r="R856" i="1"/>
  <c r="W855" i="1"/>
  <c r="R855" i="1"/>
  <c r="W854" i="1"/>
  <c r="R854" i="1"/>
  <c r="W853" i="1"/>
  <c r="R853" i="1"/>
  <c r="W852" i="1"/>
  <c r="R852" i="1"/>
  <c r="W851" i="1"/>
  <c r="R851" i="1"/>
  <c r="W850" i="1"/>
  <c r="R850" i="1"/>
  <c r="W849" i="1"/>
  <c r="R849" i="1"/>
  <c r="W848" i="1"/>
  <c r="R848" i="1"/>
  <c r="W847" i="1"/>
  <c r="R847" i="1"/>
  <c r="W846" i="1"/>
  <c r="R846" i="1"/>
  <c r="W845" i="1"/>
  <c r="R845" i="1"/>
  <c r="W844" i="1"/>
  <c r="R844" i="1"/>
  <c r="W843" i="1"/>
  <c r="R843" i="1"/>
  <c r="W842" i="1"/>
  <c r="R842" i="1"/>
  <c r="W841" i="1"/>
  <c r="R841" i="1"/>
  <c r="W840" i="1"/>
  <c r="R840" i="1"/>
  <c r="W839" i="1"/>
  <c r="R839" i="1"/>
  <c r="S839" i="1" s="1"/>
  <c r="T839" i="1" s="1"/>
  <c r="U839" i="1" s="1"/>
  <c r="V839" i="1" s="1"/>
  <c r="W838" i="1"/>
  <c r="R838" i="1"/>
  <c r="W837" i="1"/>
  <c r="R837" i="1"/>
  <c r="W836" i="1"/>
  <c r="R836" i="1"/>
  <c r="W835" i="1"/>
  <c r="R835" i="1"/>
  <c r="W834" i="1"/>
  <c r="R834" i="1"/>
  <c r="W833" i="1"/>
  <c r="R833" i="1"/>
  <c r="W832" i="1"/>
  <c r="R832" i="1"/>
  <c r="W831" i="1"/>
  <c r="R831" i="1"/>
  <c r="W830" i="1"/>
  <c r="R830" i="1"/>
  <c r="W829" i="1"/>
  <c r="R829" i="1"/>
  <c r="W828" i="1"/>
  <c r="R828" i="1"/>
  <c r="W827" i="1"/>
  <c r="R827" i="1"/>
  <c r="W826" i="1"/>
  <c r="R826" i="1"/>
  <c r="W825" i="1"/>
  <c r="R825" i="1"/>
  <c r="W824" i="1"/>
  <c r="R824" i="1"/>
  <c r="W823" i="1"/>
  <c r="R823" i="1"/>
  <c r="W822" i="1"/>
  <c r="R822" i="1"/>
  <c r="W821" i="1"/>
  <c r="R821" i="1"/>
  <c r="W820" i="1"/>
  <c r="R820" i="1"/>
  <c r="W819" i="1"/>
  <c r="R819" i="1"/>
  <c r="W818" i="1"/>
  <c r="R818" i="1"/>
  <c r="W817" i="1"/>
  <c r="R817" i="1"/>
  <c r="W816" i="1"/>
  <c r="R816" i="1"/>
  <c r="W815" i="1"/>
  <c r="R815" i="1"/>
  <c r="W814" i="1"/>
  <c r="R814" i="1"/>
  <c r="W813" i="1"/>
  <c r="R813" i="1"/>
  <c r="W812" i="1"/>
  <c r="R812" i="1"/>
  <c r="W811" i="1"/>
  <c r="R811" i="1"/>
  <c r="W810" i="1"/>
  <c r="R810" i="1"/>
  <c r="W809" i="1"/>
  <c r="R809" i="1"/>
  <c r="W808" i="1"/>
  <c r="R808" i="1"/>
  <c r="W807" i="1"/>
  <c r="R807" i="1"/>
  <c r="W806" i="1"/>
  <c r="R806" i="1"/>
  <c r="W805" i="1"/>
  <c r="R805" i="1"/>
  <c r="W804" i="1"/>
  <c r="R804" i="1"/>
  <c r="W803" i="1"/>
  <c r="R803" i="1"/>
  <c r="W802" i="1"/>
  <c r="R802" i="1"/>
  <c r="W801" i="1"/>
  <c r="R801" i="1"/>
  <c r="W800" i="1"/>
  <c r="R800" i="1"/>
  <c r="W799" i="1"/>
  <c r="R799" i="1"/>
  <c r="W798" i="1"/>
  <c r="R798" i="1"/>
  <c r="W797" i="1"/>
  <c r="R797" i="1"/>
  <c r="W796" i="1"/>
  <c r="R796" i="1"/>
  <c r="W795" i="1"/>
  <c r="R795" i="1"/>
  <c r="W794" i="1"/>
  <c r="R794" i="1"/>
  <c r="W793" i="1"/>
  <c r="R793" i="1"/>
  <c r="W792" i="1"/>
  <c r="R792" i="1"/>
  <c r="W791" i="1"/>
  <c r="R791" i="1"/>
  <c r="W790" i="1"/>
  <c r="R790" i="1"/>
  <c r="W789" i="1"/>
  <c r="R789" i="1"/>
  <c r="W788" i="1"/>
  <c r="R788" i="1"/>
  <c r="W787" i="1"/>
  <c r="R787" i="1"/>
  <c r="W786" i="1"/>
  <c r="R786" i="1"/>
  <c r="W785" i="1"/>
  <c r="R785" i="1"/>
  <c r="W784" i="1"/>
  <c r="R784" i="1"/>
  <c r="W783" i="1"/>
  <c r="R783" i="1"/>
  <c r="W782" i="1"/>
  <c r="R782" i="1"/>
  <c r="W781" i="1"/>
  <c r="R781" i="1"/>
  <c r="W780" i="1"/>
  <c r="R780" i="1"/>
  <c r="W779" i="1"/>
  <c r="R779" i="1"/>
  <c r="W778" i="1"/>
  <c r="R778" i="1"/>
  <c r="W777" i="1"/>
  <c r="R777" i="1"/>
  <c r="W776" i="1"/>
  <c r="R776" i="1"/>
  <c r="W775" i="1"/>
  <c r="R775" i="1"/>
  <c r="W774" i="1"/>
  <c r="R774" i="1"/>
  <c r="W773" i="1"/>
  <c r="R773" i="1"/>
  <c r="W772" i="1"/>
  <c r="R772" i="1"/>
  <c r="W771" i="1"/>
  <c r="R771" i="1"/>
  <c r="W770" i="1"/>
  <c r="R770" i="1"/>
  <c r="W769" i="1"/>
  <c r="R769" i="1"/>
  <c r="W768" i="1"/>
  <c r="R768" i="1"/>
  <c r="W767" i="1"/>
  <c r="R767" i="1"/>
  <c r="W766" i="1"/>
  <c r="R766" i="1"/>
  <c r="W765" i="1"/>
  <c r="R765" i="1"/>
  <c r="W764" i="1"/>
  <c r="R764" i="1"/>
  <c r="W763" i="1"/>
  <c r="R763" i="1"/>
  <c r="W762" i="1"/>
  <c r="R762" i="1"/>
  <c r="W761" i="1"/>
  <c r="R761" i="1"/>
  <c r="W760" i="1"/>
  <c r="R760" i="1"/>
  <c r="W759" i="1"/>
  <c r="R759" i="1"/>
  <c r="W758" i="1"/>
  <c r="R758" i="1"/>
  <c r="W757" i="1"/>
  <c r="R757" i="1"/>
  <c r="W756" i="1"/>
  <c r="R756" i="1"/>
  <c r="W755" i="1"/>
  <c r="R755" i="1"/>
  <c r="W754" i="1"/>
  <c r="R754" i="1"/>
  <c r="W753" i="1"/>
  <c r="R753" i="1"/>
  <c r="W752" i="1"/>
  <c r="R752" i="1"/>
  <c r="W751" i="1"/>
  <c r="R751" i="1"/>
  <c r="W750" i="1"/>
  <c r="R750" i="1"/>
  <c r="W749" i="1"/>
  <c r="R749" i="1"/>
  <c r="W748" i="1"/>
  <c r="R748" i="1"/>
  <c r="W747" i="1"/>
  <c r="R747" i="1"/>
  <c r="W746" i="1"/>
  <c r="R746" i="1"/>
  <c r="W745" i="1"/>
  <c r="R745" i="1"/>
  <c r="W744" i="1"/>
  <c r="R744" i="1"/>
  <c r="W743" i="1"/>
  <c r="R743" i="1"/>
  <c r="W742" i="1"/>
  <c r="R742" i="1"/>
  <c r="W741" i="1"/>
  <c r="R741" i="1"/>
  <c r="W740" i="1"/>
  <c r="R740" i="1"/>
  <c r="W739" i="1"/>
  <c r="R739" i="1"/>
  <c r="W738" i="1"/>
  <c r="R738" i="1"/>
  <c r="W737" i="1"/>
  <c r="R737" i="1"/>
  <c r="W736" i="1"/>
  <c r="R736" i="1"/>
  <c r="W735" i="1"/>
  <c r="R735" i="1"/>
  <c r="W734" i="1"/>
  <c r="R734" i="1"/>
  <c r="W733" i="1"/>
  <c r="R733" i="1"/>
  <c r="W732" i="1"/>
  <c r="R732" i="1"/>
  <c r="W731" i="1"/>
  <c r="R731" i="1"/>
  <c r="W730" i="1"/>
  <c r="R730" i="1"/>
  <c r="W729" i="1"/>
  <c r="R729" i="1"/>
  <c r="W728" i="1"/>
  <c r="R728" i="1"/>
  <c r="W727" i="1"/>
  <c r="R727" i="1"/>
  <c r="W726" i="1"/>
  <c r="R726" i="1"/>
  <c r="W725" i="1"/>
  <c r="R725" i="1"/>
  <c r="W724" i="1"/>
  <c r="R724" i="1"/>
  <c r="W723" i="1"/>
  <c r="R723" i="1"/>
  <c r="W722" i="1"/>
  <c r="R722" i="1"/>
  <c r="W721" i="1"/>
  <c r="R721" i="1"/>
  <c r="W720" i="1"/>
  <c r="R720" i="1"/>
  <c r="W719" i="1"/>
  <c r="R719" i="1"/>
  <c r="W718" i="1"/>
  <c r="R718" i="1"/>
  <c r="W717" i="1"/>
  <c r="R717" i="1"/>
  <c r="W716" i="1"/>
  <c r="R716" i="1"/>
  <c r="W715" i="1"/>
  <c r="R715" i="1"/>
  <c r="W714" i="1"/>
  <c r="R714" i="1"/>
  <c r="W713" i="1"/>
  <c r="R713" i="1"/>
  <c r="W712" i="1"/>
  <c r="R712" i="1"/>
  <c r="W711" i="1"/>
  <c r="R711" i="1"/>
  <c r="W710" i="1"/>
  <c r="R710" i="1"/>
  <c r="W709" i="1"/>
  <c r="R709" i="1"/>
  <c r="W708" i="1"/>
  <c r="R708" i="1"/>
  <c r="W707" i="1"/>
  <c r="R707" i="1"/>
  <c r="W706" i="1"/>
  <c r="R706" i="1"/>
  <c r="W705" i="1"/>
  <c r="R705" i="1"/>
  <c r="W704" i="1"/>
  <c r="R704" i="1"/>
  <c r="W703" i="1"/>
  <c r="R703" i="1"/>
  <c r="W702" i="1"/>
  <c r="R702" i="1"/>
  <c r="W701" i="1"/>
  <c r="R701" i="1"/>
  <c r="W700" i="1"/>
  <c r="R700" i="1"/>
  <c r="W699" i="1"/>
  <c r="R699" i="1"/>
  <c r="W698" i="1"/>
  <c r="R698" i="1"/>
  <c r="W697" i="1"/>
  <c r="R697" i="1"/>
  <c r="W696" i="1"/>
  <c r="R696" i="1"/>
  <c r="W695" i="1"/>
  <c r="R695" i="1"/>
  <c r="W694" i="1"/>
  <c r="R694" i="1"/>
  <c r="W693" i="1"/>
  <c r="R693" i="1"/>
  <c r="W692" i="1"/>
  <c r="R692" i="1"/>
  <c r="W691" i="1"/>
  <c r="R691" i="1"/>
  <c r="W690" i="1"/>
  <c r="R690" i="1"/>
  <c r="W689" i="1"/>
  <c r="R689" i="1"/>
  <c r="W688" i="1"/>
  <c r="R688" i="1"/>
  <c r="W687" i="1"/>
  <c r="R687" i="1"/>
  <c r="W686" i="1"/>
  <c r="R686" i="1"/>
  <c r="W685" i="1"/>
  <c r="R685" i="1"/>
  <c r="W684" i="1"/>
  <c r="R684" i="1"/>
  <c r="W683" i="1"/>
  <c r="R683" i="1"/>
  <c r="W682" i="1"/>
  <c r="R682" i="1"/>
  <c r="W681" i="1"/>
  <c r="R681" i="1"/>
  <c r="W680" i="1"/>
  <c r="R680" i="1"/>
  <c r="W679" i="1"/>
  <c r="R679" i="1"/>
  <c r="W678" i="1"/>
  <c r="R678" i="1"/>
  <c r="W677" i="1"/>
  <c r="R677" i="1"/>
  <c r="W676" i="1"/>
  <c r="R676" i="1"/>
  <c r="W675" i="1"/>
  <c r="R675" i="1"/>
  <c r="W674" i="1"/>
  <c r="R674" i="1"/>
  <c r="W673" i="1"/>
  <c r="R673" i="1"/>
  <c r="W672" i="1"/>
  <c r="R672" i="1"/>
  <c r="W671" i="1"/>
  <c r="R671" i="1"/>
  <c r="W670" i="1"/>
  <c r="R670" i="1"/>
  <c r="W669" i="1"/>
  <c r="R669" i="1"/>
  <c r="W668" i="1"/>
  <c r="R668" i="1"/>
  <c r="W667" i="1"/>
  <c r="R667" i="1"/>
  <c r="W666" i="1"/>
  <c r="R666" i="1"/>
  <c r="W665" i="1"/>
  <c r="R665" i="1"/>
  <c r="W664" i="1"/>
  <c r="R664" i="1"/>
  <c r="W663" i="1"/>
  <c r="R663" i="1"/>
  <c r="W662" i="1"/>
  <c r="R662" i="1"/>
  <c r="W661" i="1"/>
  <c r="R661" i="1"/>
  <c r="W660" i="1"/>
  <c r="R660" i="1"/>
  <c r="W659" i="1"/>
  <c r="R659" i="1"/>
  <c r="W658" i="1"/>
  <c r="R658" i="1"/>
  <c r="W657" i="1"/>
  <c r="R657" i="1"/>
  <c r="W656" i="1"/>
  <c r="R656" i="1"/>
  <c r="W655" i="1"/>
  <c r="R655" i="1"/>
  <c r="W654" i="1"/>
  <c r="R654" i="1"/>
  <c r="W653" i="1"/>
  <c r="R653" i="1"/>
  <c r="W652" i="1"/>
  <c r="R652" i="1"/>
  <c r="W651" i="1"/>
  <c r="R651" i="1"/>
  <c r="W650" i="1"/>
  <c r="R650" i="1"/>
  <c r="W649" i="1"/>
  <c r="R649" i="1"/>
  <c r="W648" i="1"/>
  <c r="R648" i="1"/>
  <c r="W647" i="1"/>
  <c r="R647" i="1"/>
  <c r="W646" i="1"/>
  <c r="R646" i="1"/>
  <c r="W645" i="1"/>
  <c r="R645" i="1"/>
  <c r="W644" i="1"/>
  <c r="R644" i="1"/>
  <c r="W643" i="1"/>
  <c r="R643" i="1"/>
  <c r="W642" i="1"/>
  <c r="R642" i="1"/>
  <c r="W641" i="1"/>
  <c r="R641" i="1"/>
  <c r="W640" i="1"/>
  <c r="R640" i="1"/>
  <c r="W639" i="1"/>
  <c r="R639" i="1"/>
  <c r="W638" i="1"/>
  <c r="R638" i="1"/>
  <c r="W637" i="1"/>
  <c r="R637" i="1"/>
  <c r="W636" i="1"/>
  <c r="R636" i="1"/>
  <c r="W635" i="1"/>
  <c r="R635" i="1"/>
  <c r="W634" i="1"/>
  <c r="R634" i="1"/>
  <c r="W633" i="1"/>
  <c r="R633" i="1"/>
  <c r="W632" i="1"/>
  <c r="R632" i="1"/>
  <c r="W631" i="1"/>
  <c r="R631" i="1"/>
  <c r="W630" i="1"/>
  <c r="R630" i="1"/>
  <c r="W629" i="1"/>
  <c r="R629" i="1"/>
  <c r="W628" i="1"/>
  <c r="R628" i="1"/>
  <c r="W627" i="1"/>
  <c r="R627" i="1"/>
  <c r="W626" i="1"/>
  <c r="R626" i="1"/>
  <c r="W625" i="1"/>
  <c r="R625" i="1"/>
  <c r="W624" i="1"/>
  <c r="R624" i="1"/>
  <c r="W623" i="1"/>
  <c r="R623" i="1"/>
  <c r="W622" i="1"/>
  <c r="R622" i="1"/>
  <c r="W621" i="1"/>
  <c r="R621" i="1"/>
  <c r="W620" i="1"/>
  <c r="R620" i="1"/>
  <c r="W619" i="1"/>
  <c r="R619" i="1"/>
  <c r="W618" i="1"/>
  <c r="R618" i="1"/>
  <c r="W617" i="1"/>
  <c r="R617" i="1"/>
  <c r="W616" i="1"/>
  <c r="R616" i="1"/>
  <c r="W615" i="1"/>
  <c r="R615" i="1"/>
  <c r="W614" i="1"/>
  <c r="R614" i="1"/>
  <c r="W613" i="1"/>
  <c r="R613" i="1"/>
  <c r="W612" i="1"/>
  <c r="R612" i="1"/>
  <c r="W611" i="1"/>
  <c r="R611" i="1"/>
  <c r="W610" i="1"/>
  <c r="R610" i="1"/>
  <c r="W609" i="1"/>
  <c r="R609" i="1"/>
  <c r="W608" i="1"/>
  <c r="R608" i="1"/>
  <c r="W607" i="1"/>
  <c r="R607" i="1"/>
  <c r="W606" i="1"/>
  <c r="R606" i="1"/>
  <c r="W605" i="1"/>
  <c r="R605" i="1"/>
  <c r="W604" i="1"/>
  <c r="R604" i="1"/>
  <c r="W603" i="1"/>
  <c r="R603" i="1"/>
  <c r="W602" i="1"/>
  <c r="R602" i="1"/>
  <c r="W601" i="1"/>
  <c r="R601" i="1"/>
  <c r="W600" i="1"/>
  <c r="R600" i="1"/>
  <c r="W599" i="1"/>
  <c r="R599" i="1"/>
  <c r="W598" i="1"/>
  <c r="R598" i="1"/>
  <c r="W597" i="1"/>
  <c r="R597" i="1"/>
  <c r="W596" i="1"/>
  <c r="R596" i="1"/>
  <c r="W595" i="1"/>
  <c r="R595" i="1"/>
  <c r="W594" i="1"/>
  <c r="R594" i="1"/>
  <c r="W593" i="1"/>
  <c r="R593" i="1"/>
  <c r="W592" i="1"/>
  <c r="R592" i="1"/>
  <c r="W591" i="1"/>
  <c r="R591" i="1"/>
  <c r="W590" i="1"/>
  <c r="R590" i="1"/>
  <c r="W589" i="1"/>
  <c r="R589" i="1"/>
  <c r="W588" i="1"/>
  <c r="R588" i="1"/>
  <c r="W587" i="1"/>
  <c r="R587" i="1"/>
  <c r="W586" i="1"/>
  <c r="R586" i="1"/>
  <c r="W585" i="1"/>
  <c r="R585" i="1"/>
  <c r="W584" i="1"/>
  <c r="R584" i="1"/>
  <c r="W583" i="1"/>
  <c r="R583" i="1"/>
  <c r="W582" i="1"/>
  <c r="R582" i="1"/>
  <c r="W581" i="1"/>
  <c r="R581" i="1"/>
  <c r="W580" i="1"/>
  <c r="R580" i="1"/>
  <c r="W579" i="1"/>
  <c r="R579" i="1"/>
  <c r="W578" i="1"/>
  <c r="R578" i="1"/>
  <c r="W577" i="1"/>
  <c r="R577" i="1"/>
  <c r="W576" i="1"/>
  <c r="R576" i="1"/>
  <c r="W575" i="1"/>
  <c r="R575" i="1"/>
  <c r="W574" i="1"/>
  <c r="R574" i="1"/>
  <c r="W573" i="1"/>
  <c r="R573" i="1"/>
  <c r="W572" i="1"/>
  <c r="R572" i="1"/>
  <c r="W571" i="1"/>
  <c r="R571" i="1"/>
  <c r="W570" i="1"/>
  <c r="R570" i="1"/>
  <c r="W569" i="1"/>
  <c r="R569" i="1"/>
  <c r="W568" i="1"/>
  <c r="R568" i="1"/>
  <c r="W567" i="1"/>
  <c r="R567" i="1"/>
  <c r="W566" i="1"/>
  <c r="R566" i="1"/>
  <c r="W565" i="1"/>
  <c r="R565" i="1"/>
  <c r="W564" i="1"/>
  <c r="R564" i="1"/>
  <c r="W563" i="1"/>
  <c r="R563" i="1"/>
  <c r="W562" i="1"/>
  <c r="R562" i="1"/>
  <c r="W561" i="1"/>
  <c r="R561" i="1"/>
  <c r="W560" i="1"/>
  <c r="R560" i="1"/>
  <c r="W559" i="1"/>
  <c r="R559" i="1"/>
  <c r="W558" i="1"/>
  <c r="R558" i="1"/>
  <c r="W557" i="1"/>
  <c r="R557" i="1"/>
  <c r="W556" i="1"/>
  <c r="R556" i="1"/>
  <c r="W555" i="1"/>
  <c r="R555" i="1"/>
  <c r="W554" i="1"/>
  <c r="R554" i="1"/>
  <c r="W553" i="1"/>
  <c r="R553" i="1"/>
  <c r="W552" i="1"/>
  <c r="R552" i="1"/>
  <c r="W551" i="1"/>
  <c r="R551" i="1"/>
  <c r="W550" i="1"/>
  <c r="R550" i="1"/>
  <c r="W549" i="1"/>
  <c r="R549" i="1"/>
  <c r="W548" i="1"/>
  <c r="R548" i="1"/>
  <c r="W547" i="1"/>
  <c r="R547" i="1"/>
  <c r="W546" i="1"/>
  <c r="R546" i="1"/>
  <c r="W545" i="1"/>
  <c r="R545" i="1"/>
  <c r="W544" i="1"/>
  <c r="R544" i="1"/>
  <c r="W543" i="1"/>
  <c r="R543" i="1"/>
  <c r="W542" i="1"/>
  <c r="R542" i="1"/>
  <c r="W541" i="1"/>
  <c r="R541" i="1"/>
  <c r="W540" i="1"/>
  <c r="R540" i="1"/>
  <c r="W539" i="1"/>
  <c r="R539" i="1"/>
  <c r="W538" i="1"/>
  <c r="R538" i="1"/>
  <c r="W537" i="1"/>
  <c r="R537" i="1"/>
  <c r="W536" i="1"/>
  <c r="R536" i="1"/>
  <c r="W535" i="1"/>
  <c r="R535" i="1"/>
  <c r="W534" i="1"/>
  <c r="R534" i="1"/>
  <c r="W533" i="1"/>
  <c r="R533" i="1"/>
  <c r="W532" i="1"/>
  <c r="R532" i="1"/>
  <c r="W531" i="1"/>
  <c r="R531" i="1"/>
  <c r="W530" i="1"/>
  <c r="R530" i="1"/>
  <c r="W529" i="1"/>
  <c r="R529" i="1"/>
  <c r="W528" i="1"/>
  <c r="R528" i="1"/>
  <c r="W527" i="1"/>
  <c r="R527" i="1"/>
  <c r="W526" i="1"/>
  <c r="R526" i="1"/>
  <c r="W525" i="1"/>
  <c r="R525" i="1"/>
  <c r="W524" i="1"/>
  <c r="R524" i="1"/>
  <c r="W523" i="1"/>
  <c r="R523" i="1"/>
  <c r="W522" i="1"/>
  <c r="R522" i="1"/>
  <c r="W521" i="1"/>
  <c r="R521" i="1"/>
  <c r="W520" i="1"/>
  <c r="R520" i="1"/>
  <c r="W519" i="1"/>
  <c r="R519" i="1"/>
  <c r="W518" i="1"/>
  <c r="R518" i="1"/>
  <c r="W517" i="1"/>
  <c r="R517" i="1"/>
  <c r="W516" i="1"/>
  <c r="R516" i="1"/>
  <c r="W515" i="1"/>
  <c r="R515" i="1"/>
  <c r="W514" i="1"/>
  <c r="R514" i="1"/>
  <c r="W513" i="1"/>
  <c r="R513" i="1"/>
  <c r="W512" i="1"/>
  <c r="R512" i="1"/>
  <c r="W511" i="1"/>
  <c r="R511" i="1"/>
  <c r="W510" i="1"/>
  <c r="R510" i="1"/>
  <c r="W509" i="1"/>
  <c r="R509" i="1"/>
  <c r="W508" i="1"/>
  <c r="R508" i="1"/>
  <c r="W507" i="1"/>
  <c r="R507" i="1"/>
  <c r="W506" i="1"/>
  <c r="R506" i="1"/>
  <c r="W505" i="1"/>
  <c r="R505" i="1"/>
  <c r="W504" i="1"/>
  <c r="R504" i="1"/>
  <c r="W503" i="1"/>
  <c r="R503" i="1"/>
  <c r="W502" i="1"/>
  <c r="R502" i="1"/>
  <c r="W501" i="1"/>
  <c r="R501" i="1"/>
  <c r="W500" i="1"/>
  <c r="R500" i="1"/>
  <c r="W499" i="1"/>
  <c r="R499" i="1"/>
  <c r="W498" i="1"/>
  <c r="R498" i="1"/>
  <c r="W497" i="1"/>
  <c r="R497" i="1"/>
  <c r="W496" i="1"/>
  <c r="R496" i="1"/>
  <c r="W495" i="1"/>
  <c r="R495" i="1"/>
  <c r="W494" i="1"/>
  <c r="R494" i="1"/>
  <c r="W493" i="1"/>
  <c r="R493" i="1"/>
  <c r="W492" i="1"/>
  <c r="R492" i="1"/>
  <c r="W491" i="1"/>
  <c r="R491" i="1"/>
  <c r="W490" i="1"/>
  <c r="R490" i="1"/>
  <c r="W489" i="1"/>
  <c r="R489" i="1"/>
  <c r="W488" i="1"/>
  <c r="R488" i="1"/>
  <c r="W487" i="1"/>
  <c r="R487" i="1"/>
  <c r="W486" i="1"/>
  <c r="R486" i="1"/>
  <c r="W485" i="1"/>
  <c r="R485" i="1"/>
  <c r="W484" i="1"/>
  <c r="R484" i="1"/>
  <c r="W483" i="1"/>
  <c r="R483" i="1"/>
  <c r="W482" i="1"/>
  <c r="R482" i="1"/>
  <c r="W481" i="1"/>
  <c r="R481" i="1"/>
  <c r="W480" i="1"/>
  <c r="R480" i="1"/>
  <c r="W479" i="1"/>
  <c r="R479" i="1"/>
  <c r="W478" i="1"/>
  <c r="R478" i="1"/>
  <c r="W477" i="1"/>
  <c r="R477" i="1"/>
  <c r="W476" i="1"/>
  <c r="R476" i="1"/>
  <c r="W475" i="1"/>
  <c r="R475" i="1"/>
  <c r="W474" i="1"/>
  <c r="R474" i="1"/>
  <c r="W473" i="1"/>
  <c r="R473" i="1"/>
  <c r="W472" i="1"/>
  <c r="R472" i="1"/>
  <c r="W471" i="1"/>
  <c r="R471" i="1"/>
  <c r="W470" i="1"/>
  <c r="R470" i="1"/>
  <c r="W469" i="1"/>
  <c r="R469" i="1"/>
  <c r="W468" i="1"/>
  <c r="R468" i="1"/>
  <c r="W467" i="1"/>
  <c r="R467" i="1"/>
  <c r="W466" i="1"/>
  <c r="R466" i="1"/>
  <c r="W465" i="1"/>
  <c r="R465" i="1"/>
  <c r="W464" i="1"/>
  <c r="R464" i="1"/>
  <c r="W463" i="1"/>
  <c r="R463" i="1"/>
  <c r="W462" i="1"/>
  <c r="R462" i="1"/>
  <c r="W461" i="1"/>
  <c r="R461" i="1"/>
  <c r="W460" i="1"/>
  <c r="R460" i="1"/>
  <c r="W459" i="1"/>
  <c r="R459" i="1"/>
  <c r="W458" i="1"/>
  <c r="R458" i="1"/>
  <c r="W457" i="1"/>
  <c r="R457" i="1"/>
  <c r="W456" i="1"/>
  <c r="R456" i="1"/>
  <c r="W455" i="1"/>
  <c r="R455" i="1"/>
  <c r="W454" i="1"/>
  <c r="R454" i="1"/>
  <c r="W453" i="1"/>
  <c r="R453" i="1"/>
  <c r="W452" i="1"/>
  <c r="R452" i="1"/>
  <c r="W451" i="1"/>
  <c r="R451" i="1"/>
  <c r="W450" i="1"/>
  <c r="R450" i="1"/>
  <c r="W449" i="1"/>
  <c r="R449" i="1"/>
  <c r="W448" i="1"/>
  <c r="R448" i="1"/>
  <c r="W447" i="1"/>
  <c r="R447" i="1"/>
  <c r="W446" i="1"/>
  <c r="R446" i="1"/>
  <c r="W445" i="1"/>
  <c r="R445" i="1"/>
  <c r="W444" i="1"/>
  <c r="R444" i="1"/>
  <c r="W443" i="1"/>
  <c r="R443" i="1"/>
  <c r="W442" i="1"/>
  <c r="R442" i="1"/>
  <c r="W441" i="1"/>
  <c r="R441" i="1"/>
  <c r="W440" i="1"/>
  <c r="R440" i="1"/>
  <c r="W439" i="1"/>
  <c r="R439" i="1"/>
  <c r="W438" i="1"/>
  <c r="R438" i="1"/>
  <c r="W437" i="1"/>
  <c r="R437" i="1"/>
  <c r="W436" i="1"/>
  <c r="R436" i="1"/>
  <c r="W435" i="1"/>
  <c r="R435" i="1"/>
  <c r="W434" i="1"/>
  <c r="R434" i="1"/>
  <c r="W433" i="1"/>
  <c r="R433" i="1"/>
  <c r="W432" i="1"/>
  <c r="R432" i="1"/>
  <c r="W431" i="1"/>
  <c r="R431" i="1"/>
  <c r="W430" i="1"/>
  <c r="R430" i="1"/>
  <c r="W429" i="1"/>
  <c r="R429" i="1"/>
  <c r="W428" i="1"/>
  <c r="R428" i="1"/>
  <c r="W427" i="1"/>
  <c r="R427" i="1"/>
  <c r="W426" i="1"/>
  <c r="R426" i="1"/>
  <c r="W425" i="1"/>
  <c r="R425" i="1"/>
  <c r="W424" i="1"/>
  <c r="R424" i="1"/>
  <c r="W423" i="1"/>
  <c r="R423" i="1"/>
  <c r="W422" i="1"/>
  <c r="R422" i="1"/>
  <c r="W421" i="1"/>
  <c r="R421" i="1"/>
  <c r="W420" i="1"/>
  <c r="R420" i="1"/>
  <c r="W419" i="1"/>
  <c r="R419" i="1"/>
  <c r="W418" i="1"/>
  <c r="R418" i="1"/>
  <c r="W417" i="1"/>
  <c r="R417" i="1"/>
  <c r="W416" i="1"/>
  <c r="R416" i="1"/>
  <c r="W415" i="1"/>
  <c r="R415" i="1"/>
  <c r="W414" i="1"/>
  <c r="R414" i="1"/>
  <c r="W413" i="1"/>
  <c r="R413" i="1"/>
  <c r="W412" i="1"/>
  <c r="R412" i="1"/>
  <c r="W411" i="1"/>
  <c r="R411" i="1"/>
  <c r="W410" i="1"/>
  <c r="R410" i="1"/>
  <c r="W409" i="1"/>
  <c r="R409" i="1"/>
  <c r="W408" i="1"/>
  <c r="R408" i="1"/>
  <c r="W407" i="1"/>
  <c r="R407" i="1"/>
  <c r="W406" i="1"/>
  <c r="R406" i="1"/>
  <c r="W405" i="1"/>
  <c r="R405" i="1"/>
  <c r="W404" i="1"/>
  <c r="R404" i="1"/>
  <c r="W403" i="1"/>
  <c r="R403" i="1"/>
  <c r="W402" i="1"/>
  <c r="R402" i="1"/>
  <c r="W401" i="1"/>
  <c r="R401" i="1"/>
  <c r="W400" i="1"/>
  <c r="R400" i="1"/>
  <c r="W399" i="1"/>
  <c r="R399" i="1"/>
  <c r="W398" i="1"/>
  <c r="R398" i="1"/>
  <c r="W397" i="1"/>
  <c r="R397" i="1"/>
  <c r="W396" i="1"/>
  <c r="R396" i="1"/>
  <c r="W395" i="1"/>
  <c r="R395" i="1"/>
  <c r="W394" i="1"/>
  <c r="R394" i="1"/>
  <c r="W393" i="1"/>
  <c r="R393" i="1"/>
  <c r="W392" i="1"/>
  <c r="R392" i="1"/>
  <c r="W391" i="1"/>
  <c r="R391" i="1"/>
  <c r="W390" i="1"/>
  <c r="R390" i="1"/>
  <c r="W389" i="1"/>
  <c r="R389" i="1"/>
  <c r="W388" i="1"/>
  <c r="R388" i="1"/>
  <c r="W387" i="1"/>
  <c r="R387" i="1"/>
  <c r="W386" i="1"/>
  <c r="R386" i="1"/>
  <c r="W385" i="1"/>
  <c r="R385" i="1"/>
  <c r="W384" i="1"/>
  <c r="R384" i="1"/>
  <c r="W383" i="1"/>
  <c r="R383" i="1"/>
  <c r="W382" i="1"/>
  <c r="R382" i="1"/>
  <c r="W381" i="1"/>
  <c r="R381" i="1"/>
  <c r="W380" i="1"/>
  <c r="R380" i="1"/>
  <c r="W379" i="1"/>
  <c r="R379" i="1"/>
  <c r="W378" i="1"/>
  <c r="R378" i="1"/>
  <c r="W377" i="1"/>
  <c r="R377" i="1"/>
  <c r="W376" i="1"/>
  <c r="R376" i="1"/>
  <c r="W375" i="1"/>
  <c r="R375" i="1"/>
  <c r="W374" i="1"/>
  <c r="R374" i="1"/>
  <c r="W373" i="1"/>
  <c r="R373" i="1"/>
  <c r="W372" i="1"/>
  <c r="R372" i="1"/>
  <c r="W371" i="1"/>
  <c r="R371" i="1"/>
  <c r="W370" i="1"/>
  <c r="R370" i="1"/>
  <c r="W369" i="1"/>
  <c r="R369" i="1"/>
  <c r="W368" i="1"/>
  <c r="R368" i="1"/>
  <c r="W367" i="1"/>
  <c r="R367" i="1"/>
  <c r="W366" i="1"/>
  <c r="R366" i="1"/>
  <c r="W365" i="1"/>
  <c r="R365" i="1"/>
  <c r="W364" i="1"/>
  <c r="R364" i="1"/>
  <c r="W363" i="1"/>
  <c r="R363" i="1"/>
  <c r="W362" i="1"/>
  <c r="R362" i="1"/>
  <c r="W361" i="1"/>
  <c r="R361" i="1"/>
  <c r="W360" i="1"/>
  <c r="R360" i="1"/>
  <c r="W359" i="1"/>
  <c r="R359" i="1"/>
  <c r="W358" i="1"/>
  <c r="R358" i="1"/>
  <c r="W357" i="1"/>
  <c r="R357" i="1"/>
  <c r="W356" i="1"/>
  <c r="R356" i="1"/>
  <c r="W355" i="1"/>
  <c r="R355" i="1"/>
  <c r="W354" i="1"/>
  <c r="R354" i="1"/>
  <c r="W353" i="1"/>
  <c r="R353" i="1"/>
  <c r="W352" i="1"/>
  <c r="R352" i="1"/>
  <c r="W351" i="1"/>
  <c r="R351" i="1"/>
  <c r="W350" i="1"/>
  <c r="R350" i="1"/>
  <c r="W349" i="1"/>
  <c r="R349" i="1"/>
  <c r="W348" i="1"/>
  <c r="R348" i="1"/>
  <c r="W347" i="1"/>
  <c r="R347" i="1"/>
  <c r="W346" i="1"/>
  <c r="R346" i="1"/>
  <c r="W345" i="1"/>
  <c r="R345" i="1"/>
  <c r="W344" i="1"/>
  <c r="R344" i="1"/>
  <c r="W343" i="1"/>
  <c r="R343" i="1"/>
  <c r="W342" i="1"/>
  <c r="R342" i="1"/>
  <c r="W341" i="1"/>
  <c r="R341" i="1"/>
  <c r="W340" i="1"/>
  <c r="R340" i="1"/>
  <c r="W339" i="1"/>
  <c r="R339" i="1"/>
  <c r="W338" i="1"/>
  <c r="R338" i="1"/>
  <c r="W337" i="1"/>
  <c r="R337" i="1"/>
  <c r="W336" i="1"/>
  <c r="R336" i="1"/>
  <c r="W335" i="1"/>
  <c r="R335" i="1"/>
  <c r="W334" i="1"/>
  <c r="R334" i="1"/>
  <c r="W333" i="1"/>
  <c r="R333" i="1"/>
  <c r="W332" i="1"/>
  <c r="R332" i="1"/>
  <c r="W331" i="1"/>
  <c r="R331" i="1"/>
  <c r="W330" i="1"/>
  <c r="R330" i="1"/>
  <c r="W329" i="1"/>
  <c r="R329" i="1"/>
  <c r="W328" i="1"/>
  <c r="R328" i="1"/>
  <c r="W327" i="1"/>
  <c r="R327" i="1"/>
  <c r="W326" i="1"/>
  <c r="R326" i="1"/>
  <c r="W325" i="1"/>
  <c r="R325" i="1"/>
  <c r="W324" i="1"/>
  <c r="R324" i="1"/>
  <c r="W323" i="1"/>
  <c r="R323" i="1"/>
  <c r="W322" i="1"/>
  <c r="R322" i="1"/>
  <c r="W321" i="1"/>
  <c r="R321" i="1"/>
  <c r="W320" i="1"/>
  <c r="R320" i="1"/>
  <c r="W319" i="1"/>
  <c r="R319" i="1"/>
  <c r="W318" i="1"/>
  <c r="R318" i="1"/>
  <c r="W317" i="1"/>
  <c r="R317" i="1"/>
  <c r="W316" i="1"/>
  <c r="R316" i="1"/>
  <c r="W315" i="1"/>
  <c r="R315" i="1"/>
  <c r="W314" i="1"/>
  <c r="R314" i="1"/>
  <c r="W313" i="1"/>
  <c r="R313" i="1"/>
  <c r="W312" i="1"/>
  <c r="R312" i="1"/>
  <c r="W311" i="1"/>
  <c r="R311" i="1"/>
  <c r="W310" i="1"/>
  <c r="R310" i="1"/>
  <c r="W309" i="1"/>
  <c r="R309" i="1"/>
  <c r="W308" i="1"/>
  <c r="R308" i="1"/>
  <c r="W307" i="1"/>
  <c r="R307" i="1"/>
  <c r="W306" i="1"/>
  <c r="R306" i="1"/>
  <c r="W305" i="1"/>
  <c r="R305" i="1"/>
  <c r="W304" i="1"/>
  <c r="R304" i="1"/>
  <c r="W303" i="1"/>
  <c r="R303" i="1"/>
  <c r="W302" i="1"/>
  <c r="R302" i="1"/>
  <c r="W301" i="1"/>
  <c r="R301" i="1"/>
  <c r="W300" i="1"/>
  <c r="R300" i="1"/>
  <c r="W299" i="1"/>
  <c r="R299" i="1"/>
  <c r="W298" i="1"/>
  <c r="R298" i="1"/>
  <c r="W297" i="1"/>
  <c r="R297" i="1"/>
  <c r="W296" i="1"/>
  <c r="R296" i="1"/>
  <c r="W295" i="1"/>
  <c r="R295" i="1"/>
  <c r="W294" i="1"/>
  <c r="R294" i="1"/>
  <c r="W293" i="1"/>
  <c r="R293" i="1"/>
  <c r="W292" i="1"/>
  <c r="R292" i="1"/>
  <c r="W291" i="1"/>
  <c r="R291" i="1"/>
  <c r="W290" i="1"/>
  <c r="R290" i="1"/>
  <c r="W289" i="1"/>
  <c r="R289" i="1"/>
  <c r="W288" i="1"/>
  <c r="R288" i="1"/>
  <c r="W287" i="1"/>
  <c r="R287" i="1"/>
  <c r="W286" i="1"/>
  <c r="R286" i="1"/>
  <c r="W285" i="1"/>
  <c r="R285" i="1"/>
  <c r="W284" i="1"/>
  <c r="R284" i="1"/>
  <c r="W283" i="1"/>
  <c r="R283" i="1"/>
  <c r="W282" i="1"/>
  <c r="R282" i="1"/>
  <c r="W281" i="1"/>
  <c r="R281" i="1"/>
  <c r="W280" i="1"/>
  <c r="R280" i="1"/>
  <c r="W279" i="1"/>
  <c r="R279" i="1"/>
  <c r="W278" i="1"/>
  <c r="R278" i="1"/>
  <c r="W277" i="1"/>
  <c r="R277" i="1"/>
  <c r="W276" i="1"/>
  <c r="R276" i="1"/>
  <c r="W275" i="1"/>
  <c r="R275" i="1"/>
  <c r="W274" i="1"/>
  <c r="R274" i="1"/>
  <c r="W273" i="1"/>
  <c r="R273" i="1"/>
  <c r="W272" i="1"/>
  <c r="R272" i="1"/>
  <c r="W271" i="1"/>
  <c r="R271" i="1"/>
  <c r="W270" i="1"/>
  <c r="R270" i="1"/>
  <c r="W269" i="1"/>
  <c r="R269" i="1"/>
  <c r="W268" i="1"/>
  <c r="R268" i="1"/>
  <c r="W267" i="1"/>
  <c r="R267" i="1"/>
  <c r="W266" i="1"/>
  <c r="R266" i="1"/>
  <c r="W265" i="1"/>
  <c r="R265" i="1"/>
  <c r="W264" i="1"/>
  <c r="R264" i="1"/>
  <c r="W263" i="1"/>
  <c r="R263" i="1"/>
  <c r="W262" i="1"/>
  <c r="R262" i="1"/>
  <c r="W261" i="1"/>
  <c r="R261" i="1"/>
  <c r="W260" i="1"/>
  <c r="R260" i="1"/>
  <c r="W259" i="1"/>
  <c r="R259" i="1"/>
  <c r="W258" i="1"/>
  <c r="R258" i="1"/>
  <c r="W257" i="1"/>
  <c r="R257" i="1"/>
  <c r="W256" i="1"/>
  <c r="R256" i="1"/>
  <c r="W255" i="1"/>
  <c r="R255" i="1"/>
  <c r="W254" i="1"/>
  <c r="R254" i="1"/>
  <c r="W253" i="1"/>
  <c r="R253" i="1"/>
  <c r="W252" i="1"/>
  <c r="R252" i="1"/>
  <c r="W251" i="1"/>
  <c r="R251" i="1"/>
  <c r="W250" i="1"/>
  <c r="R250" i="1"/>
  <c r="W249" i="1"/>
  <c r="R249" i="1"/>
  <c r="W248" i="1"/>
  <c r="R248" i="1"/>
  <c r="W247" i="1"/>
  <c r="R247" i="1"/>
  <c r="W246" i="1"/>
  <c r="R246" i="1"/>
  <c r="W245" i="1"/>
  <c r="R245" i="1"/>
  <c r="W244" i="1"/>
  <c r="R244" i="1"/>
  <c r="W243" i="1"/>
  <c r="R243" i="1"/>
  <c r="W242" i="1"/>
  <c r="R242" i="1"/>
  <c r="W241" i="1"/>
  <c r="R241" i="1"/>
  <c r="W240" i="1"/>
  <c r="R240" i="1"/>
  <c r="W239" i="1"/>
  <c r="R239" i="1"/>
  <c r="W238" i="1"/>
  <c r="R238" i="1"/>
  <c r="W237" i="1"/>
  <c r="R237" i="1"/>
  <c r="W236" i="1"/>
  <c r="R236" i="1"/>
  <c r="W235" i="1"/>
  <c r="R235" i="1"/>
  <c r="W234" i="1"/>
  <c r="R234" i="1"/>
  <c r="W233" i="1"/>
  <c r="R233" i="1"/>
  <c r="W232" i="1"/>
  <c r="R232" i="1"/>
  <c r="W231" i="1"/>
  <c r="R231" i="1"/>
  <c r="W230" i="1"/>
  <c r="R230" i="1"/>
  <c r="W229" i="1"/>
  <c r="R229" i="1"/>
  <c r="W228" i="1"/>
  <c r="R228" i="1"/>
  <c r="W227" i="1"/>
  <c r="R227" i="1"/>
  <c r="W226" i="1"/>
  <c r="R226" i="1"/>
  <c r="W225" i="1"/>
  <c r="R225" i="1"/>
  <c r="W224" i="1"/>
  <c r="R224" i="1"/>
  <c r="W223" i="1"/>
  <c r="R223" i="1"/>
  <c r="W222" i="1"/>
  <c r="R222" i="1"/>
  <c r="W221" i="1"/>
  <c r="R221" i="1"/>
  <c r="W220" i="1"/>
  <c r="R220" i="1"/>
  <c r="W219" i="1"/>
  <c r="R219" i="1"/>
  <c r="W218" i="1"/>
  <c r="R218" i="1"/>
  <c r="W217" i="1"/>
  <c r="R217" i="1"/>
  <c r="W216" i="1"/>
  <c r="R216" i="1"/>
  <c r="W215" i="1"/>
  <c r="R215" i="1"/>
  <c r="W214" i="1"/>
  <c r="R214" i="1"/>
  <c r="W213" i="1"/>
  <c r="R213" i="1"/>
  <c r="W212" i="1"/>
  <c r="R212" i="1"/>
  <c r="W211" i="1"/>
  <c r="R211" i="1"/>
  <c r="W210" i="1"/>
  <c r="R210" i="1"/>
  <c r="W209" i="1"/>
  <c r="R209" i="1"/>
  <c r="W208" i="1"/>
  <c r="R208" i="1"/>
  <c r="W207" i="1"/>
  <c r="R207" i="1"/>
  <c r="W206" i="1"/>
  <c r="R206" i="1"/>
  <c r="W205" i="1"/>
  <c r="R205" i="1"/>
  <c r="W204" i="1"/>
  <c r="R204" i="1"/>
  <c r="W203" i="1"/>
  <c r="R203" i="1"/>
  <c r="W202" i="1"/>
  <c r="R202" i="1"/>
  <c r="W201" i="1"/>
  <c r="R201" i="1"/>
  <c r="W200" i="1"/>
  <c r="R200" i="1"/>
  <c r="W199" i="1"/>
  <c r="R199" i="1"/>
  <c r="W198" i="1"/>
  <c r="R198" i="1"/>
  <c r="W197" i="1"/>
  <c r="R197" i="1"/>
  <c r="W196" i="1"/>
  <c r="R196" i="1"/>
  <c r="W195" i="1"/>
  <c r="R195" i="1"/>
  <c r="W194" i="1"/>
  <c r="R194" i="1"/>
  <c r="W193" i="1"/>
  <c r="R193" i="1"/>
  <c r="W192" i="1"/>
  <c r="R192" i="1"/>
  <c r="W191" i="1"/>
  <c r="R191" i="1"/>
  <c r="W190" i="1"/>
  <c r="R190" i="1"/>
  <c r="W189" i="1"/>
  <c r="R189" i="1"/>
  <c r="W188" i="1"/>
  <c r="R188" i="1"/>
  <c r="W187" i="1"/>
  <c r="R187" i="1"/>
  <c r="W186" i="1"/>
  <c r="R186" i="1"/>
  <c r="W185" i="1"/>
  <c r="R185" i="1"/>
  <c r="W184" i="1"/>
  <c r="R184" i="1"/>
  <c r="W183" i="1"/>
  <c r="R183" i="1"/>
  <c r="W182" i="1"/>
  <c r="R182" i="1"/>
  <c r="W181" i="1"/>
  <c r="R181" i="1"/>
  <c r="W180" i="1"/>
  <c r="R180" i="1"/>
  <c r="W179" i="1"/>
  <c r="R179" i="1"/>
  <c r="W178" i="1"/>
  <c r="R178" i="1"/>
  <c r="W177" i="1"/>
  <c r="R177" i="1"/>
  <c r="W176" i="1"/>
  <c r="R176" i="1"/>
  <c r="W175" i="1"/>
  <c r="R175" i="1"/>
  <c r="W174" i="1"/>
  <c r="R174" i="1"/>
  <c r="W173" i="1"/>
  <c r="R173" i="1"/>
  <c r="W172" i="1"/>
  <c r="R172" i="1"/>
  <c r="W171" i="1"/>
  <c r="R171" i="1"/>
  <c r="W170" i="1"/>
  <c r="R170" i="1"/>
  <c r="W169" i="1"/>
  <c r="R169" i="1"/>
  <c r="W168" i="1"/>
  <c r="R168" i="1"/>
  <c r="W167" i="1"/>
  <c r="R167" i="1"/>
  <c r="W166" i="1"/>
  <c r="R166" i="1"/>
  <c r="W165" i="1"/>
  <c r="R165" i="1"/>
  <c r="W164" i="1"/>
  <c r="R164" i="1"/>
  <c r="W163" i="1"/>
  <c r="R163" i="1"/>
  <c r="W162" i="1"/>
  <c r="R162" i="1"/>
  <c r="W161" i="1"/>
  <c r="R161" i="1"/>
  <c r="W160" i="1"/>
  <c r="R160" i="1"/>
  <c r="W159" i="1"/>
  <c r="R159" i="1"/>
  <c r="W158" i="1"/>
  <c r="R158" i="1"/>
  <c r="W157" i="1"/>
  <c r="R157" i="1"/>
  <c r="W156" i="1"/>
  <c r="R156" i="1"/>
  <c r="W155" i="1"/>
  <c r="R155" i="1"/>
  <c r="W154" i="1"/>
  <c r="R154" i="1"/>
  <c r="W153" i="1"/>
  <c r="R153" i="1"/>
  <c r="W152" i="1"/>
  <c r="R152" i="1"/>
  <c r="W151" i="1"/>
  <c r="R151" i="1"/>
  <c r="W150" i="1"/>
  <c r="R150" i="1"/>
  <c r="W149" i="1"/>
  <c r="R149" i="1"/>
  <c r="W148" i="1"/>
  <c r="R148" i="1"/>
  <c r="W147" i="1"/>
  <c r="R147" i="1"/>
  <c r="W146" i="1"/>
  <c r="R146" i="1"/>
  <c r="W145" i="1"/>
  <c r="R145" i="1"/>
  <c r="W144" i="1"/>
  <c r="R144" i="1"/>
  <c r="W143" i="1"/>
  <c r="R143" i="1"/>
  <c r="W142" i="1"/>
  <c r="R142" i="1"/>
  <c r="W141" i="1"/>
  <c r="R141" i="1"/>
  <c r="W140" i="1"/>
  <c r="R140" i="1"/>
  <c r="W139" i="1"/>
  <c r="R139" i="1"/>
  <c r="W138" i="1"/>
  <c r="R138" i="1"/>
  <c r="W137" i="1"/>
  <c r="R137" i="1"/>
  <c r="W136" i="1"/>
  <c r="R136" i="1"/>
  <c r="W135" i="1"/>
  <c r="R135" i="1"/>
  <c r="W134" i="1"/>
  <c r="R134" i="1"/>
  <c r="W133" i="1"/>
  <c r="R133" i="1"/>
  <c r="W132" i="1"/>
  <c r="R132" i="1"/>
  <c r="W131" i="1"/>
  <c r="R131" i="1"/>
  <c r="W130" i="1"/>
  <c r="R130" i="1"/>
  <c r="W129" i="1"/>
  <c r="R129" i="1"/>
  <c r="W128" i="1"/>
  <c r="R128" i="1"/>
  <c r="W127" i="1"/>
  <c r="R127" i="1"/>
  <c r="W126" i="1"/>
  <c r="R126" i="1"/>
  <c r="W125" i="1"/>
  <c r="R125" i="1"/>
  <c r="W124" i="1"/>
  <c r="R124" i="1"/>
  <c r="W123" i="1"/>
  <c r="R123" i="1"/>
  <c r="W122" i="1"/>
  <c r="R122" i="1"/>
  <c r="W121" i="1"/>
  <c r="R121" i="1"/>
  <c r="W120" i="1"/>
  <c r="R120" i="1"/>
  <c r="W119" i="1"/>
  <c r="R119" i="1"/>
  <c r="W118" i="1"/>
  <c r="R118" i="1"/>
  <c r="W117" i="1"/>
  <c r="R117" i="1"/>
  <c r="W116" i="1"/>
  <c r="R116" i="1"/>
  <c r="W115" i="1"/>
  <c r="R115" i="1"/>
  <c r="W114" i="1"/>
  <c r="R114" i="1"/>
  <c r="W113" i="1"/>
  <c r="R113" i="1"/>
  <c r="W112" i="1"/>
  <c r="R112" i="1"/>
  <c r="W111" i="1"/>
  <c r="R111" i="1"/>
  <c r="W110" i="1"/>
  <c r="R110" i="1"/>
  <c r="W109" i="1"/>
  <c r="R109" i="1"/>
  <c r="W108" i="1"/>
  <c r="R108" i="1"/>
  <c r="W107" i="1"/>
  <c r="R107" i="1"/>
  <c r="W106" i="1"/>
  <c r="R106" i="1"/>
  <c r="W105" i="1"/>
  <c r="R105" i="1"/>
  <c r="W104" i="1"/>
  <c r="R104" i="1"/>
  <c r="W103" i="1"/>
  <c r="R103" i="1"/>
  <c r="W102" i="1"/>
  <c r="R102" i="1"/>
  <c r="W101" i="1"/>
  <c r="R101" i="1"/>
  <c r="W100" i="1"/>
  <c r="R100" i="1"/>
  <c r="W99" i="1"/>
  <c r="R99" i="1"/>
  <c r="W98" i="1"/>
  <c r="R98" i="1"/>
  <c r="W97" i="1"/>
  <c r="R97" i="1"/>
  <c r="W96" i="1"/>
  <c r="R96" i="1"/>
  <c r="W95" i="1"/>
  <c r="R95" i="1"/>
  <c r="W94" i="1"/>
  <c r="R94" i="1"/>
  <c r="W93" i="1"/>
  <c r="R93" i="1"/>
  <c r="W92" i="1"/>
  <c r="R92" i="1"/>
  <c r="W91" i="1"/>
  <c r="R91" i="1"/>
  <c r="W90" i="1"/>
  <c r="R90" i="1"/>
  <c r="W89" i="1"/>
  <c r="R89" i="1"/>
  <c r="W88" i="1"/>
  <c r="R88" i="1"/>
  <c r="W87" i="1"/>
  <c r="R87" i="1"/>
  <c r="W86" i="1"/>
  <c r="R86" i="1"/>
  <c r="W85" i="1"/>
  <c r="R85" i="1"/>
  <c r="W84" i="1"/>
  <c r="R84" i="1"/>
  <c r="W83" i="1"/>
  <c r="R83" i="1"/>
  <c r="W82" i="1"/>
  <c r="R82" i="1"/>
  <c r="W81" i="1"/>
  <c r="R81" i="1"/>
  <c r="W80" i="1"/>
  <c r="R80" i="1"/>
  <c r="W79" i="1"/>
  <c r="R79" i="1"/>
  <c r="W78" i="1"/>
  <c r="R78" i="1"/>
  <c r="W77" i="1"/>
  <c r="R77" i="1"/>
  <c r="W76" i="1"/>
  <c r="R76" i="1"/>
  <c r="W75" i="1"/>
  <c r="R75" i="1"/>
  <c r="W74" i="1"/>
  <c r="R74" i="1"/>
  <c r="W73" i="1"/>
  <c r="R73" i="1"/>
  <c r="W72" i="1"/>
  <c r="R72" i="1"/>
  <c r="W71" i="1"/>
  <c r="R71" i="1"/>
  <c r="W70" i="1"/>
  <c r="R70" i="1"/>
  <c r="W69" i="1"/>
  <c r="R69" i="1"/>
  <c r="W68" i="1"/>
  <c r="R68" i="1"/>
  <c r="W67" i="1"/>
  <c r="R67" i="1"/>
  <c r="W66" i="1"/>
  <c r="R66" i="1"/>
  <c r="W65" i="1"/>
  <c r="R65" i="1"/>
  <c r="W64" i="1"/>
  <c r="R64" i="1"/>
  <c r="W63" i="1"/>
  <c r="R63" i="1"/>
  <c r="W62" i="1"/>
  <c r="R62" i="1"/>
  <c r="W61" i="1"/>
  <c r="R61" i="1"/>
  <c r="W60" i="1"/>
  <c r="R60" i="1"/>
  <c r="W59" i="1"/>
  <c r="R59" i="1"/>
  <c r="W58" i="1"/>
  <c r="R58" i="1"/>
  <c r="W57" i="1"/>
  <c r="R57" i="1"/>
  <c r="W56" i="1"/>
  <c r="R56" i="1"/>
  <c r="W55" i="1"/>
  <c r="R55" i="1"/>
  <c r="W54" i="1"/>
  <c r="R54" i="1"/>
  <c r="W53" i="1"/>
  <c r="R53" i="1"/>
  <c r="W52" i="1"/>
  <c r="R52" i="1"/>
  <c r="W51" i="1"/>
  <c r="R51" i="1"/>
  <c r="W50" i="1"/>
  <c r="R50" i="1"/>
  <c r="W49" i="1"/>
  <c r="R49" i="1"/>
  <c r="W48" i="1"/>
  <c r="R48" i="1"/>
  <c r="W47" i="1"/>
  <c r="R47" i="1"/>
  <c r="W46" i="1"/>
  <c r="R46" i="1"/>
  <c r="W45" i="1"/>
  <c r="R45" i="1"/>
  <c r="W44" i="1"/>
  <c r="R44" i="1"/>
  <c r="W43" i="1"/>
  <c r="R43" i="1"/>
  <c r="W42" i="1"/>
  <c r="R42" i="1"/>
  <c r="W41" i="1"/>
  <c r="R41" i="1"/>
  <c r="W40" i="1"/>
  <c r="R40" i="1"/>
  <c r="W39" i="1"/>
  <c r="R39" i="1"/>
  <c r="W38" i="1"/>
  <c r="R38" i="1"/>
  <c r="W37" i="1"/>
  <c r="R37" i="1"/>
  <c r="W36" i="1"/>
  <c r="R36" i="1"/>
  <c r="W35" i="1"/>
  <c r="R35" i="1"/>
  <c r="W34" i="1"/>
  <c r="R34" i="1"/>
  <c r="W33" i="1"/>
  <c r="R33" i="1"/>
  <c r="W32" i="1"/>
  <c r="R32" i="1"/>
  <c r="W31" i="1"/>
  <c r="R31" i="1"/>
  <c r="W30" i="1"/>
  <c r="R30" i="1"/>
  <c r="W29" i="1"/>
  <c r="R29" i="1"/>
  <c r="W28" i="1"/>
  <c r="R28" i="1"/>
  <c r="W27" i="1"/>
  <c r="R27" i="1"/>
  <c r="W26" i="1"/>
  <c r="R26" i="1"/>
  <c r="W25" i="1"/>
  <c r="R25" i="1"/>
  <c r="W24" i="1"/>
  <c r="R24" i="1"/>
  <c r="W23" i="1"/>
  <c r="R23" i="1"/>
  <c r="W22" i="1"/>
  <c r="R22" i="1"/>
  <c r="W21" i="1"/>
  <c r="R21" i="1"/>
  <c r="W20" i="1"/>
  <c r="R20" i="1"/>
  <c r="W19" i="1"/>
  <c r="R19" i="1"/>
  <c r="W18" i="1"/>
  <c r="R18" i="1"/>
  <c r="W17" i="1"/>
  <c r="R17" i="1"/>
  <c r="W16" i="1"/>
  <c r="R16" i="1"/>
  <c r="W15" i="1"/>
  <c r="R15" i="1"/>
  <c r="W14" i="1"/>
  <c r="R14" i="1"/>
  <c r="W13" i="1"/>
  <c r="R13" i="1"/>
  <c r="W12" i="1"/>
  <c r="R12" i="1"/>
  <c r="W11" i="1"/>
  <c r="R11" i="1"/>
  <c r="W10" i="1"/>
  <c r="R10" i="1"/>
  <c r="W9" i="1"/>
  <c r="R9" i="1"/>
  <c r="W8" i="1"/>
  <c r="R8" i="1"/>
  <c r="W7" i="1"/>
  <c r="R7" i="1"/>
  <c r="W6" i="1"/>
  <c r="R6" i="1"/>
  <c r="W5" i="1"/>
  <c r="R5" i="1"/>
  <c r="W4" i="1"/>
  <c r="R4" i="1"/>
  <c r="W3" i="1"/>
  <c r="R3" i="1"/>
  <c r="R2" i="1"/>
  <c r="T1212" i="1" l="1"/>
  <c r="V1212" i="1" s="1"/>
  <c r="T1211" i="1"/>
  <c r="V1211" i="1" s="1"/>
  <c r="S1210" i="1"/>
  <c r="T1210" i="1" s="1"/>
  <c r="U1210" i="1" s="1"/>
  <c r="V1210" i="1" s="1"/>
  <c r="S1209" i="1"/>
  <c r="T1209" i="1" s="1"/>
  <c r="U1209" i="1" s="1"/>
  <c r="V1209" i="1" s="1"/>
  <c r="S1208" i="1"/>
  <c r="T1208" i="1" s="1"/>
  <c r="U1208" i="1" s="1"/>
  <c r="V1208" i="1" s="1"/>
  <c r="S1207" i="1"/>
  <c r="T1207" i="1" s="1"/>
  <c r="U1207" i="1" s="1"/>
  <c r="V1207" i="1" s="1"/>
  <c r="S1206" i="1"/>
  <c r="T1206" i="1" s="1"/>
  <c r="U1206" i="1" s="1"/>
  <c r="V1206" i="1" s="1"/>
  <c r="S1205" i="1"/>
  <c r="T1205" i="1" s="1"/>
  <c r="U1205" i="1" s="1"/>
  <c r="V1205" i="1" s="1"/>
  <c r="S1204" i="1"/>
  <c r="T1204" i="1" s="1"/>
  <c r="U1204" i="1" s="1"/>
  <c r="V1204" i="1" s="1"/>
  <c r="S1203" i="1"/>
  <c r="T1203" i="1" s="1"/>
  <c r="U1203" i="1" s="1"/>
  <c r="V1203" i="1" s="1"/>
  <c r="S1202" i="1"/>
  <c r="T1202" i="1" s="1"/>
  <c r="U1202" i="1" s="1"/>
  <c r="V1202" i="1" s="1"/>
  <c r="S1201" i="1"/>
  <c r="T1201" i="1" s="1"/>
  <c r="U1201" i="1" s="1"/>
  <c r="V1201" i="1" s="1"/>
  <c r="S1200" i="1"/>
  <c r="T1200" i="1" s="1"/>
  <c r="U1200" i="1" s="1"/>
  <c r="V1200" i="1" s="1"/>
  <c r="S1199" i="1"/>
  <c r="U1199" i="1" s="1"/>
  <c r="V1199" i="1" s="1"/>
  <c r="S1198" i="1"/>
  <c r="T1198" i="1" s="1"/>
  <c r="U1198" i="1" s="1"/>
  <c r="V1198" i="1" s="1"/>
  <c r="S1197" i="1"/>
  <c r="T1197" i="1" s="1"/>
  <c r="U1197" i="1" s="1"/>
  <c r="V1197" i="1" s="1"/>
  <c r="S1196" i="1"/>
  <c r="T1196" i="1" s="1"/>
  <c r="U1196" i="1" s="1"/>
  <c r="V1196" i="1" s="1"/>
  <c r="S1195" i="1"/>
  <c r="T1195" i="1" s="1"/>
  <c r="U1195" i="1" s="1"/>
  <c r="V1195" i="1" s="1"/>
  <c r="S1194" i="1"/>
  <c r="T1194" i="1" s="1"/>
  <c r="U1194" i="1" s="1"/>
  <c r="V1194" i="1" s="1"/>
  <c r="S1193" i="1"/>
  <c r="T1193" i="1" s="1"/>
  <c r="U1193" i="1" s="1"/>
  <c r="V1193" i="1" s="1"/>
  <c r="S1192" i="1"/>
  <c r="T1192" i="1" s="1"/>
  <c r="U1192" i="1" s="1"/>
  <c r="V1192" i="1" s="1"/>
  <c r="S1191" i="1"/>
  <c r="T1191" i="1" s="1"/>
  <c r="U1191" i="1" s="1"/>
  <c r="V1191" i="1" s="1"/>
  <c r="S1190" i="1"/>
  <c r="T1190" i="1" s="1"/>
  <c r="U1190" i="1" s="1"/>
  <c r="V1190" i="1" s="1"/>
  <c r="S1189" i="1"/>
  <c r="T1189" i="1" s="1"/>
  <c r="U1189" i="1" s="1"/>
  <c r="V1189" i="1" s="1"/>
  <c r="S1188" i="1"/>
  <c r="T1188" i="1" s="1"/>
  <c r="U1188" i="1" s="1"/>
  <c r="V1188" i="1" s="1"/>
  <c r="S1187" i="1"/>
  <c r="T1187" i="1" s="1"/>
  <c r="U1187" i="1" s="1"/>
  <c r="V1187" i="1" s="1"/>
  <c r="S1186" i="1"/>
  <c r="T1186" i="1" s="1"/>
  <c r="U1186" i="1" s="1"/>
  <c r="V1186" i="1" s="1"/>
  <c r="S1185" i="1"/>
  <c r="T1185" i="1" s="1"/>
  <c r="U1185" i="1" s="1"/>
  <c r="V1185" i="1" s="1"/>
  <c r="S1184" i="1"/>
  <c r="T1184" i="1" s="1"/>
  <c r="U1184" i="1" s="1"/>
  <c r="V1184" i="1" s="1"/>
  <c r="S1183" i="1"/>
  <c r="T1183" i="1" s="1"/>
  <c r="U1183" i="1" s="1"/>
  <c r="V1183" i="1" s="1"/>
  <c r="S1182" i="1"/>
  <c r="T1182" i="1" s="1"/>
  <c r="U1182" i="1" s="1"/>
  <c r="V1182" i="1" s="1"/>
  <c r="S1181" i="1"/>
  <c r="T1181" i="1" s="1"/>
  <c r="U1181" i="1" s="1"/>
  <c r="V1181" i="1" s="1"/>
  <c r="S1180" i="1"/>
  <c r="T1180" i="1" s="1"/>
  <c r="U1180" i="1" s="1"/>
  <c r="V1180" i="1" s="1"/>
  <c r="S1179" i="1"/>
  <c r="T1179" i="1" s="1"/>
  <c r="U1179" i="1" s="1"/>
  <c r="V1179" i="1" s="1"/>
  <c r="S1178" i="1"/>
  <c r="T1178" i="1" s="1"/>
  <c r="U1178" i="1" s="1"/>
  <c r="V1178" i="1" s="1"/>
  <c r="S1177" i="1"/>
  <c r="T1177" i="1" s="1"/>
  <c r="U1177" i="1" s="1"/>
  <c r="V1177" i="1" s="1"/>
  <c r="S1176" i="1"/>
  <c r="T1176" i="1" s="1"/>
  <c r="U1176" i="1" s="1"/>
  <c r="V1176" i="1" s="1"/>
  <c r="S1175" i="1"/>
  <c r="T1175" i="1" s="1"/>
  <c r="U1175" i="1" s="1"/>
  <c r="V1175" i="1" s="1"/>
  <c r="S1174" i="1"/>
  <c r="T1174" i="1" s="1"/>
  <c r="U1174" i="1" s="1"/>
  <c r="V1174" i="1" s="1"/>
  <c r="S1173" i="1"/>
  <c r="T1173" i="1" s="1"/>
  <c r="U1173" i="1" s="1"/>
  <c r="V1173" i="1" s="1"/>
  <c r="S1172" i="1"/>
  <c r="T1172" i="1" s="1"/>
  <c r="U1172" i="1" s="1"/>
  <c r="V1172" i="1" s="1"/>
  <c r="S1171" i="1"/>
  <c r="T1171" i="1" s="1"/>
  <c r="U1171" i="1" s="1"/>
  <c r="V1171" i="1" s="1"/>
  <c r="S1170" i="1"/>
  <c r="T1170" i="1" s="1"/>
  <c r="U1170" i="1" s="1"/>
  <c r="V1170" i="1" s="1"/>
  <c r="S1169" i="1"/>
  <c r="T1169" i="1" s="1"/>
  <c r="U1169" i="1" s="1"/>
  <c r="V1169" i="1" s="1"/>
  <c r="S1168" i="1"/>
  <c r="T1168" i="1" s="1"/>
  <c r="U1168" i="1" s="1"/>
  <c r="V1168" i="1" s="1"/>
  <c r="S1167" i="1"/>
  <c r="T1167" i="1" s="1"/>
  <c r="U1167" i="1" s="1"/>
  <c r="V1167" i="1" s="1"/>
  <c r="S1166" i="1"/>
  <c r="T1166" i="1" s="1"/>
  <c r="U1166" i="1" s="1"/>
  <c r="V1166" i="1" s="1"/>
  <c r="S1165" i="1"/>
  <c r="T1165" i="1" s="1"/>
  <c r="U1165" i="1" s="1"/>
  <c r="V1165" i="1" s="1"/>
  <c r="S1164" i="1"/>
  <c r="T1164" i="1" s="1"/>
  <c r="U1164" i="1" s="1"/>
  <c r="V1164" i="1" s="1"/>
  <c r="S1163" i="1"/>
  <c r="T1163" i="1" s="1"/>
  <c r="U1163" i="1" s="1"/>
  <c r="V1163" i="1" s="1"/>
  <c r="S1162" i="1"/>
  <c r="T1162" i="1" s="1"/>
  <c r="U1162" i="1" s="1"/>
  <c r="V1162" i="1" s="1"/>
  <c r="S1161" i="1"/>
  <c r="T1161" i="1" s="1"/>
  <c r="U1161" i="1" s="1"/>
  <c r="V1161" i="1" s="1"/>
  <c r="S1160" i="1"/>
  <c r="T1160" i="1" s="1"/>
  <c r="U1160" i="1" s="1"/>
  <c r="V1160" i="1" s="1"/>
  <c r="S1159" i="1"/>
  <c r="T1159" i="1" s="1"/>
  <c r="U1159" i="1" s="1"/>
  <c r="V1159" i="1" s="1"/>
  <c r="S1158" i="1"/>
  <c r="T1158" i="1" s="1"/>
  <c r="U1158" i="1" s="1"/>
  <c r="V1158" i="1" s="1"/>
  <c r="S1157" i="1"/>
  <c r="T1157" i="1" s="1"/>
  <c r="U1157" i="1" s="1"/>
  <c r="V1157" i="1" s="1"/>
  <c r="S1156" i="1"/>
  <c r="T1156" i="1" s="1"/>
  <c r="U1156" i="1" s="1"/>
  <c r="V1156" i="1" s="1"/>
  <c r="S1155" i="1"/>
  <c r="T1155" i="1" s="1"/>
  <c r="U1155" i="1" s="1"/>
  <c r="V1155" i="1" s="1"/>
  <c r="S1154" i="1"/>
  <c r="T1154" i="1" s="1"/>
  <c r="U1154" i="1" s="1"/>
  <c r="V1154" i="1" s="1"/>
  <c r="S1153" i="1"/>
  <c r="T1153" i="1" s="1"/>
  <c r="U1153" i="1" s="1"/>
  <c r="V1153" i="1" s="1"/>
  <c r="S1152" i="1"/>
  <c r="T1152" i="1" s="1"/>
  <c r="U1152" i="1" s="1"/>
  <c r="V1152" i="1" s="1"/>
  <c r="S1151" i="1"/>
  <c r="T1151" i="1" s="1"/>
  <c r="U1151" i="1" s="1"/>
  <c r="V1151" i="1" s="1"/>
  <c r="S1150" i="1"/>
  <c r="T1150" i="1" s="1"/>
  <c r="U1150" i="1" s="1"/>
  <c r="V1150" i="1" s="1"/>
  <c r="S1149" i="1"/>
  <c r="T1149" i="1" s="1"/>
  <c r="U1149" i="1" s="1"/>
  <c r="V1149" i="1" s="1"/>
  <c r="S1148" i="1"/>
  <c r="T1148" i="1" s="1"/>
  <c r="U1148" i="1" s="1"/>
  <c r="V1148" i="1" s="1"/>
  <c r="S1147" i="1"/>
  <c r="T1147" i="1" s="1"/>
  <c r="U1147" i="1" s="1"/>
  <c r="V1147" i="1" s="1"/>
  <c r="S1146" i="1"/>
  <c r="T1146" i="1" s="1"/>
  <c r="U1146" i="1" s="1"/>
  <c r="V1146" i="1" s="1"/>
  <c r="S1145" i="1"/>
  <c r="T1145" i="1" s="1"/>
  <c r="U1145" i="1" s="1"/>
  <c r="V1145" i="1" s="1"/>
  <c r="S1144" i="1"/>
  <c r="T1144" i="1" s="1"/>
  <c r="U1144" i="1" s="1"/>
  <c r="V1144" i="1" s="1"/>
  <c r="S1143" i="1"/>
  <c r="T1143" i="1" s="1"/>
  <c r="U1143" i="1" s="1"/>
  <c r="V1143" i="1" s="1"/>
  <c r="S1142" i="1"/>
  <c r="T1142" i="1" s="1"/>
  <c r="U1142" i="1" s="1"/>
  <c r="V1142" i="1" s="1"/>
  <c r="S1141" i="1"/>
  <c r="T1141" i="1" s="1"/>
  <c r="U1141" i="1" s="1"/>
  <c r="V1141" i="1" s="1"/>
  <c r="S1140" i="1"/>
  <c r="T1140" i="1" s="1"/>
  <c r="U1140" i="1" s="1"/>
  <c r="V1140" i="1" s="1"/>
  <c r="S1139" i="1"/>
  <c r="T1139" i="1" s="1"/>
  <c r="U1139" i="1" s="1"/>
  <c r="V1139" i="1" s="1"/>
  <c r="S1138" i="1"/>
  <c r="T1138" i="1" s="1"/>
  <c r="U1138" i="1" s="1"/>
  <c r="V1138" i="1" s="1"/>
  <c r="S1137" i="1"/>
  <c r="T1137" i="1" s="1"/>
  <c r="U1137" i="1" s="1"/>
  <c r="V1137" i="1" s="1"/>
  <c r="S1136" i="1"/>
  <c r="T1136" i="1" s="1"/>
  <c r="U1136" i="1" s="1"/>
  <c r="V1136" i="1" s="1"/>
  <c r="S1135" i="1"/>
  <c r="T1135" i="1" s="1"/>
  <c r="U1135" i="1" s="1"/>
  <c r="V1135" i="1" s="1"/>
  <c r="S1134" i="1"/>
  <c r="T1134" i="1" s="1"/>
  <c r="U1134" i="1" s="1"/>
  <c r="V1134" i="1" s="1"/>
  <c r="S1133" i="1"/>
  <c r="T1133" i="1" s="1"/>
  <c r="U1133" i="1" s="1"/>
  <c r="V1133" i="1" s="1"/>
  <c r="S1132" i="1"/>
  <c r="T1132" i="1" s="1"/>
  <c r="U1132" i="1" s="1"/>
  <c r="V1132" i="1" s="1"/>
  <c r="S1131" i="1"/>
  <c r="T1131" i="1" s="1"/>
  <c r="U1131" i="1" s="1"/>
  <c r="V1131" i="1" s="1"/>
  <c r="S1130" i="1"/>
  <c r="T1130" i="1" s="1"/>
  <c r="U1130" i="1" s="1"/>
  <c r="V1130" i="1" s="1"/>
  <c r="S1129" i="1"/>
  <c r="T1129" i="1" s="1"/>
  <c r="U1129" i="1" s="1"/>
  <c r="V1129" i="1" s="1"/>
  <c r="S1128" i="1"/>
  <c r="T1128" i="1" s="1"/>
  <c r="U1128" i="1" s="1"/>
  <c r="V1128" i="1" s="1"/>
  <c r="S1127" i="1"/>
  <c r="T1127" i="1" s="1"/>
  <c r="U1127" i="1" s="1"/>
  <c r="V1127" i="1" s="1"/>
  <c r="S1126" i="1"/>
  <c r="T1126" i="1" s="1"/>
  <c r="U1126" i="1" s="1"/>
  <c r="V1126" i="1" s="1"/>
  <c r="S1125" i="1"/>
  <c r="T1125" i="1" s="1"/>
  <c r="U1125" i="1" s="1"/>
  <c r="V1125" i="1" s="1"/>
  <c r="S1124" i="1"/>
  <c r="T1124" i="1" s="1"/>
  <c r="U1124" i="1" s="1"/>
  <c r="V1124" i="1" s="1"/>
  <c r="S1123" i="1"/>
  <c r="T1123" i="1" s="1"/>
  <c r="U1123" i="1" s="1"/>
  <c r="V1123" i="1" s="1"/>
  <c r="S1122" i="1"/>
  <c r="T1122" i="1" s="1"/>
  <c r="U1122" i="1" s="1"/>
  <c r="V1122" i="1" s="1"/>
  <c r="S1121" i="1"/>
  <c r="T1121" i="1" s="1"/>
  <c r="U1121" i="1" s="1"/>
  <c r="V1121" i="1" s="1"/>
  <c r="S1120" i="1"/>
  <c r="T1120" i="1" s="1"/>
  <c r="U1120" i="1" s="1"/>
  <c r="V1120" i="1" s="1"/>
  <c r="S1119" i="1"/>
  <c r="T1119" i="1" s="1"/>
  <c r="U1119" i="1" s="1"/>
  <c r="V1119" i="1" s="1"/>
  <c r="S1118" i="1"/>
  <c r="T1118" i="1" s="1"/>
  <c r="U1118" i="1" s="1"/>
  <c r="V1118" i="1" s="1"/>
  <c r="S1117" i="1"/>
  <c r="T1117" i="1" s="1"/>
  <c r="U1117" i="1" s="1"/>
  <c r="V1117" i="1" s="1"/>
  <c r="S1116" i="1"/>
  <c r="T1116" i="1" s="1"/>
  <c r="U1116" i="1" s="1"/>
  <c r="V1116" i="1" s="1"/>
  <c r="S1115" i="1"/>
  <c r="T1115" i="1" s="1"/>
  <c r="U1115" i="1" s="1"/>
  <c r="V1115" i="1" s="1"/>
  <c r="S1114" i="1"/>
  <c r="T1114" i="1" s="1"/>
  <c r="U1114" i="1" s="1"/>
  <c r="V1114" i="1" s="1"/>
  <c r="S1113" i="1"/>
  <c r="T1113" i="1" s="1"/>
  <c r="U1113" i="1" s="1"/>
  <c r="V1113" i="1" s="1"/>
  <c r="S1112" i="1"/>
  <c r="T1112" i="1" s="1"/>
  <c r="U1112" i="1" s="1"/>
  <c r="V1112" i="1" s="1"/>
  <c r="S1111" i="1"/>
  <c r="T1111" i="1" s="1"/>
  <c r="U1111" i="1" s="1"/>
  <c r="V1111" i="1" s="1"/>
  <c r="S1110" i="1"/>
  <c r="T1110" i="1" s="1"/>
  <c r="U1110" i="1" s="1"/>
  <c r="V1110" i="1" s="1"/>
  <c r="S1109" i="1"/>
  <c r="T1109" i="1" s="1"/>
  <c r="U1109" i="1" s="1"/>
  <c r="V1109" i="1" s="1"/>
  <c r="S1108" i="1"/>
  <c r="T1108" i="1" s="1"/>
  <c r="U1108" i="1" s="1"/>
  <c r="V1108" i="1" s="1"/>
  <c r="S1107" i="1"/>
  <c r="T1107" i="1" s="1"/>
  <c r="U1107" i="1" s="1"/>
  <c r="V1107" i="1" s="1"/>
  <c r="S1106" i="1"/>
  <c r="T1106" i="1" s="1"/>
  <c r="U1106" i="1" s="1"/>
  <c r="V1106" i="1" s="1"/>
  <c r="S1105" i="1"/>
  <c r="T1105" i="1" s="1"/>
  <c r="U1105" i="1" s="1"/>
  <c r="V1105" i="1" s="1"/>
  <c r="S1104" i="1"/>
  <c r="T1104" i="1" s="1"/>
  <c r="U1104" i="1" s="1"/>
  <c r="V1104" i="1" s="1"/>
  <c r="S1103" i="1"/>
  <c r="T1103" i="1" s="1"/>
  <c r="U1103" i="1" s="1"/>
  <c r="V1103" i="1" s="1"/>
  <c r="S1102" i="1"/>
  <c r="T1102" i="1" s="1"/>
  <c r="U1102" i="1" s="1"/>
  <c r="V1102" i="1" s="1"/>
  <c r="S1101" i="1"/>
  <c r="T1101" i="1" s="1"/>
  <c r="U1101" i="1" s="1"/>
  <c r="V1101" i="1" s="1"/>
  <c r="S1100" i="1"/>
  <c r="T1100" i="1" s="1"/>
  <c r="U1100" i="1" s="1"/>
  <c r="V1100" i="1" s="1"/>
  <c r="S1099" i="1"/>
  <c r="T1099" i="1" s="1"/>
  <c r="U1099" i="1" s="1"/>
  <c r="V1099" i="1" s="1"/>
  <c r="S1098" i="1"/>
  <c r="T1098" i="1" s="1"/>
  <c r="U1098" i="1" s="1"/>
  <c r="V1098" i="1" s="1"/>
  <c r="S1097" i="1"/>
  <c r="T1097" i="1" s="1"/>
  <c r="U1097" i="1" s="1"/>
  <c r="V1097" i="1" s="1"/>
  <c r="S1096" i="1"/>
  <c r="T1096" i="1" s="1"/>
  <c r="U1096" i="1" s="1"/>
  <c r="V1096" i="1" s="1"/>
  <c r="S1095" i="1"/>
  <c r="T1095" i="1" s="1"/>
  <c r="U1095" i="1" s="1"/>
  <c r="V1095" i="1" s="1"/>
  <c r="S1094" i="1"/>
  <c r="T1094" i="1" s="1"/>
  <c r="U1094" i="1" s="1"/>
  <c r="V1094" i="1" s="1"/>
  <c r="S1093" i="1"/>
  <c r="T1093" i="1" s="1"/>
  <c r="U1093" i="1" s="1"/>
  <c r="V1093" i="1" s="1"/>
  <c r="S1092" i="1"/>
  <c r="T1092" i="1" s="1"/>
  <c r="U1092" i="1" s="1"/>
  <c r="V1092" i="1" s="1"/>
  <c r="S1091" i="1"/>
  <c r="T1091" i="1" s="1"/>
  <c r="U1091" i="1" s="1"/>
  <c r="V1091" i="1" s="1"/>
  <c r="S1090" i="1"/>
  <c r="T1090" i="1" s="1"/>
  <c r="U1090" i="1" s="1"/>
  <c r="V1090" i="1" s="1"/>
  <c r="S1089" i="1"/>
  <c r="T1089" i="1" s="1"/>
  <c r="U1089" i="1" s="1"/>
  <c r="V1089" i="1" s="1"/>
  <c r="S1088" i="1"/>
  <c r="T1088" i="1" s="1"/>
  <c r="U1088" i="1" s="1"/>
  <c r="V1088" i="1" s="1"/>
  <c r="S1087" i="1"/>
  <c r="T1087" i="1" s="1"/>
  <c r="U1087" i="1" s="1"/>
  <c r="V1087" i="1" s="1"/>
  <c r="S1086" i="1"/>
  <c r="T1086" i="1" s="1"/>
  <c r="U1086" i="1" s="1"/>
  <c r="V1086" i="1" s="1"/>
  <c r="S1085" i="1"/>
  <c r="T1085" i="1" s="1"/>
  <c r="U1085" i="1" s="1"/>
  <c r="V1085" i="1" s="1"/>
  <c r="S1084" i="1"/>
  <c r="T1084" i="1" s="1"/>
  <c r="U1084" i="1" s="1"/>
  <c r="V1084" i="1" s="1"/>
  <c r="S1083" i="1"/>
  <c r="T1083" i="1" s="1"/>
  <c r="U1083" i="1" s="1"/>
  <c r="V1083" i="1" s="1"/>
  <c r="S1082" i="1"/>
  <c r="T1082" i="1" s="1"/>
  <c r="U1082" i="1" s="1"/>
  <c r="V1082" i="1" s="1"/>
  <c r="S1081" i="1"/>
  <c r="T1081" i="1" s="1"/>
  <c r="U1081" i="1" s="1"/>
  <c r="V1081" i="1" s="1"/>
  <c r="S1080" i="1"/>
  <c r="T1080" i="1" s="1"/>
  <c r="U1080" i="1" s="1"/>
  <c r="V1080" i="1" s="1"/>
  <c r="S1079" i="1"/>
  <c r="T1079" i="1" s="1"/>
  <c r="U1079" i="1" s="1"/>
  <c r="V1079" i="1" s="1"/>
  <c r="S1078" i="1"/>
  <c r="T1078" i="1" s="1"/>
  <c r="U1078" i="1" s="1"/>
  <c r="V1078" i="1" s="1"/>
  <c r="S1077" i="1"/>
  <c r="T1077" i="1" s="1"/>
  <c r="U1077" i="1" s="1"/>
  <c r="V1077" i="1" s="1"/>
  <c r="S1076" i="1"/>
  <c r="T1076" i="1" s="1"/>
  <c r="U1076" i="1" s="1"/>
  <c r="V1076" i="1" s="1"/>
  <c r="S1075" i="1"/>
  <c r="T1075" i="1" s="1"/>
  <c r="U1075" i="1" s="1"/>
  <c r="V1075" i="1" s="1"/>
  <c r="S1074" i="1"/>
  <c r="T1074" i="1" s="1"/>
  <c r="U1074" i="1" s="1"/>
  <c r="V1074" i="1" s="1"/>
  <c r="S1073" i="1"/>
  <c r="T1073" i="1" s="1"/>
  <c r="U1073" i="1" s="1"/>
  <c r="V1073" i="1" s="1"/>
  <c r="S1072" i="1"/>
  <c r="T1072" i="1" s="1"/>
  <c r="U1072" i="1" s="1"/>
  <c r="V1072" i="1" s="1"/>
  <c r="S1071" i="1"/>
  <c r="T1071" i="1" s="1"/>
  <c r="U1071" i="1" s="1"/>
  <c r="V1071" i="1" s="1"/>
  <c r="S1070" i="1"/>
  <c r="T1070" i="1" s="1"/>
  <c r="U1070" i="1" s="1"/>
  <c r="V1070" i="1" s="1"/>
  <c r="S1069" i="1"/>
  <c r="T1069" i="1" s="1"/>
  <c r="U1069" i="1" s="1"/>
  <c r="V1069" i="1" s="1"/>
  <c r="S1068" i="1"/>
  <c r="T1068" i="1" s="1"/>
  <c r="U1068" i="1" s="1"/>
  <c r="V1068" i="1" s="1"/>
  <c r="S1067" i="1"/>
  <c r="T1067" i="1" s="1"/>
  <c r="U1067" i="1" s="1"/>
  <c r="V1067" i="1" s="1"/>
  <c r="S1066" i="1"/>
  <c r="T1066" i="1" s="1"/>
  <c r="U1066" i="1" s="1"/>
  <c r="V1066" i="1" s="1"/>
  <c r="S1065" i="1"/>
  <c r="T1065" i="1" s="1"/>
  <c r="U1065" i="1" s="1"/>
  <c r="V1065" i="1" s="1"/>
  <c r="S1064" i="1"/>
  <c r="T1064" i="1" s="1"/>
  <c r="U1064" i="1" s="1"/>
  <c r="V1064" i="1" s="1"/>
  <c r="S1063" i="1"/>
  <c r="T1063" i="1" s="1"/>
  <c r="U1063" i="1" s="1"/>
  <c r="V1063" i="1" s="1"/>
  <c r="S1062" i="1"/>
  <c r="T1062" i="1" s="1"/>
  <c r="U1062" i="1" s="1"/>
  <c r="V1062" i="1" s="1"/>
  <c r="S1061" i="1"/>
  <c r="T1061" i="1" s="1"/>
  <c r="U1061" i="1" s="1"/>
  <c r="V1061" i="1" s="1"/>
  <c r="S1060" i="1"/>
  <c r="T1060" i="1" s="1"/>
  <c r="U1060" i="1" s="1"/>
  <c r="V1060" i="1" s="1"/>
  <c r="S1059" i="1"/>
  <c r="T1059" i="1" s="1"/>
  <c r="U1059" i="1" s="1"/>
  <c r="V1059" i="1" s="1"/>
  <c r="S1058" i="1"/>
  <c r="T1058" i="1" s="1"/>
  <c r="U1058" i="1" s="1"/>
  <c r="V1058" i="1" s="1"/>
  <c r="S1057" i="1"/>
  <c r="T1057" i="1" s="1"/>
  <c r="U1057" i="1" s="1"/>
  <c r="V1057" i="1" s="1"/>
  <c r="S1056" i="1"/>
  <c r="T1056" i="1" s="1"/>
  <c r="U1056" i="1" s="1"/>
  <c r="V1056" i="1" s="1"/>
  <c r="S1055" i="1"/>
  <c r="T1055" i="1" s="1"/>
  <c r="U1055" i="1" s="1"/>
  <c r="V1055" i="1" s="1"/>
  <c r="S1054" i="1"/>
  <c r="T1054" i="1" s="1"/>
  <c r="U1054" i="1" s="1"/>
  <c r="V1054" i="1" s="1"/>
  <c r="S1053" i="1"/>
  <c r="T1053" i="1" s="1"/>
  <c r="U1053" i="1" s="1"/>
  <c r="V1053" i="1" s="1"/>
  <c r="S1052" i="1"/>
  <c r="T1052" i="1" s="1"/>
  <c r="U1052" i="1" s="1"/>
  <c r="V1052" i="1" s="1"/>
  <c r="S1051" i="1"/>
  <c r="T1051" i="1" s="1"/>
  <c r="U1051" i="1" s="1"/>
  <c r="V1051" i="1" s="1"/>
  <c r="S1050" i="1"/>
  <c r="T1050" i="1" s="1"/>
  <c r="U1050" i="1" s="1"/>
  <c r="V1050" i="1" s="1"/>
  <c r="S1049" i="1"/>
  <c r="T1049" i="1" s="1"/>
  <c r="U1049" i="1" s="1"/>
  <c r="V1049" i="1" s="1"/>
  <c r="S1048" i="1"/>
  <c r="T1048" i="1" s="1"/>
  <c r="U1048" i="1" s="1"/>
  <c r="V1048" i="1" s="1"/>
  <c r="S1047" i="1"/>
  <c r="T1047" i="1" s="1"/>
  <c r="U1047" i="1" s="1"/>
  <c r="V1047" i="1" s="1"/>
  <c r="S1046" i="1"/>
  <c r="T1046" i="1" s="1"/>
  <c r="U1046" i="1" s="1"/>
  <c r="V1046" i="1" s="1"/>
  <c r="S1045" i="1"/>
  <c r="T1045" i="1" s="1"/>
  <c r="U1045" i="1" s="1"/>
  <c r="V1045" i="1" s="1"/>
  <c r="S1044" i="1"/>
  <c r="T1044" i="1" s="1"/>
  <c r="U1044" i="1" s="1"/>
  <c r="V1044" i="1" s="1"/>
  <c r="S1043" i="1"/>
  <c r="T1043" i="1" s="1"/>
  <c r="U1043" i="1" s="1"/>
  <c r="V1043" i="1" s="1"/>
  <c r="S1042" i="1"/>
  <c r="T1042" i="1" s="1"/>
  <c r="U1042" i="1" s="1"/>
  <c r="V1042" i="1" s="1"/>
  <c r="S1041" i="1"/>
  <c r="T1041" i="1" s="1"/>
  <c r="U1041" i="1" s="1"/>
  <c r="V1041" i="1" s="1"/>
  <c r="S1040" i="1"/>
  <c r="T1040" i="1" s="1"/>
  <c r="U1040" i="1" s="1"/>
  <c r="V1040" i="1" s="1"/>
  <c r="S1039" i="1"/>
  <c r="T1039" i="1" s="1"/>
  <c r="U1039" i="1" s="1"/>
  <c r="V1039" i="1" s="1"/>
  <c r="S1038" i="1"/>
  <c r="T1038" i="1" s="1"/>
  <c r="U1038" i="1" s="1"/>
  <c r="V1038" i="1" s="1"/>
  <c r="S1037" i="1"/>
  <c r="T1037" i="1" s="1"/>
  <c r="U1037" i="1" s="1"/>
  <c r="V1037" i="1" s="1"/>
  <c r="S1036" i="1"/>
  <c r="T1036" i="1" s="1"/>
  <c r="U1036" i="1" s="1"/>
  <c r="V1036" i="1" s="1"/>
  <c r="S1035" i="1"/>
  <c r="T1035" i="1" s="1"/>
  <c r="U1035" i="1" s="1"/>
  <c r="V1035" i="1" s="1"/>
  <c r="S1034" i="1"/>
  <c r="T1034" i="1" s="1"/>
  <c r="U1034" i="1" s="1"/>
  <c r="V1034" i="1" s="1"/>
  <c r="S1033" i="1"/>
  <c r="T1033" i="1" s="1"/>
  <c r="U1033" i="1" s="1"/>
  <c r="V1033" i="1" s="1"/>
  <c r="S1032" i="1"/>
  <c r="T1032" i="1" s="1"/>
  <c r="U1032" i="1" s="1"/>
  <c r="V1032" i="1" s="1"/>
  <c r="S1031" i="1"/>
  <c r="T1031" i="1" s="1"/>
  <c r="U1031" i="1" s="1"/>
  <c r="V1031" i="1" s="1"/>
  <c r="S1030" i="1"/>
  <c r="T1030" i="1" s="1"/>
  <c r="U1030" i="1" s="1"/>
  <c r="V1030" i="1" s="1"/>
  <c r="S1029" i="1"/>
  <c r="T1029" i="1" s="1"/>
  <c r="U1029" i="1" s="1"/>
  <c r="V1029" i="1" s="1"/>
  <c r="S1028" i="1"/>
  <c r="T1028" i="1" s="1"/>
  <c r="U1028" i="1" s="1"/>
  <c r="V1028" i="1" s="1"/>
  <c r="S1027" i="1"/>
  <c r="T1027" i="1" s="1"/>
  <c r="U1027" i="1" s="1"/>
  <c r="V1027" i="1" s="1"/>
  <c r="S1026" i="1"/>
  <c r="T1026" i="1" s="1"/>
  <c r="U1026" i="1" s="1"/>
  <c r="V1026" i="1" s="1"/>
  <c r="S1025" i="1"/>
  <c r="T1025" i="1" s="1"/>
  <c r="U1025" i="1" s="1"/>
  <c r="V1025" i="1" s="1"/>
  <c r="S1024" i="1"/>
  <c r="T1024" i="1" s="1"/>
  <c r="U1024" i="1" s="1"/>
  <c r="V1024" i="1" s="1"/>
  <c r="S1023" i="1"/>
  <c r="T1023" i="1" s="1"/>
  <c r="U1023" i="1" s="1"/>
  <c r="V1023" i="1" s="1"/>
  <c r="S1022" i="1"/>
  <c r="T1022" i="1" s="1"/>
  <c r="U1022" i="1" s="1"/>
  <c r="V1022" i="1" s="1"/>
  <c r="S1021" i="1"/>
  <c r="T1021" i="1" s="1"/>
  <c r="U1021" i="1" s="1"/>
  <c r="V1021" i="1" s="1"/>
  <c r="S1020" i="1"/>
  <c r="T1020" i="1" s="1"/>
  <c r="U1020" i="1" s="1"/>
  <c r="V1020" i="1" s="1"/>
  <c r="S1019" i="1"/>
  <c r="T1019" i="1" s="1"/>
  <c r="U1019" i="1" s="1"/>
  <c r="V1019" i="1" s="1"/>
  <c r="S1018" i="1"/>
  <c r="T1018" i="1" s="1"/>
  <c r="U1018" i="1" s="1"/>
  <c r="V1018" i="1" s="1"/>
  <c r="S1017" i="1"/>
  <c r="T1017" i="1" s="1"/>
  <c r="U1017" i="1" s="1"/>
  <c r="V1017" i="1" s="1"/>
  <c r="S1016" i="1"/>
  <c r="T1016" i="1" s="1"/>
  <c r="U1016" i="1" s="1"/>
  <c r="V1016" i="1" s="1"/>
  <c r="S1015" i="1"/>
  <c r="T1015" i="1" s="1"/>
  <c r="U1015" i="1" s="1"/>
  <c r="V1015" i="1" s="1"/>
  <c r="S1014" i="1"/>
  <c r="T1014" i="1" s="1"/>
  <c r="U1014" i="1" s="1"/>
  <c r="V1014" i="1" s="1"/>
  <c r="S1013" i="1"/>
  <c r="T1013" i="1" s="1"/>
  <c r="U1013" i="1" s="1"/>
  <c r="V1013" i="1" s="1"/>
  <c r="S1012" i="1"/>
  <c r="T1012" i="1" s="1"/>
  <c r="U1012" i="1" s="1"/>
  <c r="V1012" i="1" s="1"/>
  <c r="S1011" i="1"/>
  <c r="T1011" i="1" s="1"/>
  <c r="U1011" i="1" s="1"/>
  <c r="V1011" i="1" s="1"/>
  <c r="S1010" i="1"/>
  <c r="T1010" i="1" s="1"/>
  <c r="U1010" i="1" s="1"/>
  <c r="V1010" i="1" s="1"/>
  <c r="S1009" i="1"/>
  <c r="T1009" i="1" s="1"/>
  <c r="U1009" i="1" s="1"/>
  <c r="V1009" i="1" s="1"/>
  <c r="S1008" i="1"/>
  <c r="T1008" i="1"/>
  <c r="U1008" i="1" s="1"/>
  <c r="V1008" i="1" s="1"/>
  <c r="S1007" i="1"/>
  <c r="T1007" i="1"/>
  <c r="U1007" i="1" s="1"/>
  <c r="V1007" i="1" s="1"/>
  <c r="S1006" i="1"/>
  <c r="T1006" i="1" s="1"/>
  <c r="U1006" i="1" s="1"/>
  <c r="V1006" i="1" s="1"/>
  <c r="S1005" i="1"/>
  <c r="T1005" i="1" s="1"/>
  <c r="U1005" i="1" s="1"/>
  <c r="V1005" i="1" s="1"/>
  <c r="S1004" i="1"/>
  <c r="T1004" i="1"/>
  <c r="U1004" i="1" s="1"/>
  <c r="V1004" i="1" s="1"/>
  <c r="S1003" i="1"/>
  <c r="T1003" i="1" s="1"/>
  <c r="U1003" i="1" s="1"/>
  <c r="V1003" i="1" s="1"/>
  <c r="S1002" i="1"/>
  <c r="T1002" i="1"/>
  <c r="U1002" i="1" s="1"/>
  <c r="V1002" i="1" s="1"/>
  <c r="S1001" i="1"/>
  <c r="T1001" i="1" s="1"/>
  <c r="U1001" i="1" s="1"/>
  <c r="V1001" i="1" s="1"/>
  <c r="S1000" i="1"/>
  <c r="T1000" i="1"/>
  <c r="U1000" i="1" s="1"/>
  <c r="V1000" i="1" s="1"/>
  <c r="S999" i="1"/>
  <c r="T999" i="1"/>
  <c r="U999" i="1" s="1"/>
  <c r="V999" i="1" s="1"/>
  <c r="S998" i="1"/>
  <c r="T998" i="1" s="1"/>
  <c r="U998" i="1" s="1"/>
  <c r="V998" i="1" s="1"/>
  <c r="S997" i="1"/>
  <c r="T997" i="1"/>
  <c r="U997" i="1" s="1"/>
  <c r="V997" i="1" s="1"/>
  <c r="S996" i="1"/>
  <c r="T996" i="1" s="1"/>
  <c r="U996" i="1" s="1"/>
  <c r="V996" i="1" s="1"/>
  <c r="S995" i="1"/>
  <c r="T995" i="1"/>
  <c r="U995" i="1" s="1"/>
  <c r="V995" i="1" s="1"/>
  <c r="S994" i="1"/>
  <c r="T994" i="1"/>
  <c r="U994" i="1" s="1"/>
  <c r="V994" i="1" s="1"/>
  <c r="S993" i="1"/>
  <c r="T993" i="1"/>
  <c r="U993" i="1" s="1"/>
  <c r="V993" i="1" s="1"/>
  <c r="S992" i="1"/>
  <c r="T992" i="1" s="1"/>
  <c r="U992" i="1" s="1"/>
  <c r="V992" i="1" s="1"/>
  <c r="S991" i="1"/>
  <c r="T991" i="1" s="1"/>
  <c r="U991" i="1" s="1"/>
  <c r="V991" i="1" s="1"/>
  <c r="S990" i="1"/>
  <c r="T990" i="1" s="1"/>
  <c r="U990" i="1" s="1"/>
  <c r="V990" i="1" s="1"/>
  <c r="S989" i="1"/>
  <c r="T989" i="1" s="1"/>
  <c r="U989" i="1" s="1"/>
  <c r="V989" i="1" s="1"/>
  <c r="S988" i="1"/>
  <c r="T988" i="1" s="1"/>
  <c r="U988" i="1" s="1"/>
  <c r="V988" i="1" s="1"/>
  <c r="S987" i="1"/>
  <c r="T987" i="1"/>
  <c r="U987" i="1" s="1"/>
  <c r="V987" i="1" s="1"/>
  <c r="S986" i="1"/>
  <c r="T986" i="1"/>
  <c r="U986" i="1" s="1"/>
  <c r="V986" i="1" s="1"/>
  <c r="S985" i="1"/>
  <c r="T985" i="1" s="1"/>
  <c r="U985" i="1" s="1"/>
  <c r="V985" i="1" s="1"/>
  <c r="S984" i="1"/>
  <c r="T984" i="1" s="1"/>
  <c r="U984" i="1" s="1"/>
  <c r="V984" i="1" s="1"/>
  <c r="S983" i="1"/>
  <c r="T983" i="1" s="1"/>
  <c r="U983" i="1" s="1"/>
  <c r="V983" i="1" s="1"/>
  <c r="S982" i="1"/>
  <c r="T982" i="1" s="1"/>
  <c r="U982" i="1" s="1"/>
  <c r="V982" i="1" s="1"/>
  <c r="S981" i="1"/>
  <c r="T981" i="1"/>
  <c r="U981" i="1" s="1"/>
  <c r="V981" i="1" s="1"/>
  <c r="S980" i="1"/>
  <c r="T980" i="1" s="1"/>
  <c r="U980" i="1" s="1"/>
  <c r="V980" i="1" s="1"/>
  <c r="S979" i="1"/>
  <c r="T979" i="1" s="1"/>
  <c r="U979" i="1" s="1"/>
  <c r="V979" i="1" s="1"/>
  <c r="S978" i="1"/>
  <c r="T978" i="1" s="1"/>
  <c r="U978" i="1" s="1"/>
  <c r="V978" i="1" s="1"/>
  <c r="S977" i="1"/>
  <c r="T977" i="1" s="1"/>
  <c r="U977" i="1" s="1"/>
  <c r="V977" i="1" s="1"/>
  <c r="S976" i="1"/>
  <c r="T976" i="1"/>
  <c r="U976" i="1" s="1"/>
  <c r="V976" i="1" s="1"/>
  <c r="S975" i="1"/>
  <c r="T975" i="1"/>
  <c r="U975" i="1" s="1"/>
  <c r="V975" i="1" s="1"/>
  <c r="S974" i="1"/>
  <c r="T974" i="1" s="1"/>
  <c r="U974" i="1" s="1"/>
  <c r="V974" i="1" s="1"/>
  <c r="S973" i="1"/>
  <c r="T973" i="1"/>
  <c r="U973" i="1" s="1"/>
  <c r="V973" i="1" s="1"/>
  <c r="S972" i="1"/>
  <c r="T972" i="1"/>
  <c r="U972" i="1" s="1"/>
  <c r="V972" i="1" s="1"/>
  <c r="S971" i="1"/>
  <c r="T971" i="1" s="1"/>
  <c r="U971" i="1" s="1"/>
  <c r="V971" i="1" s="1"/>
  <c r="S970" i="1"/>
  <c r="T970" i="1"/>
  <c r="U970" i="1" s="1"/>
  <c r="V970" i="1" s="1"/>
  <c r="S969" i="1"/>
  <c r="T969" i="1"/>
  <c r="U969" i="1" s="1"/>
  <c r="V969" i="1" s="1"/>
  <c r="S968" i="1"/>
  <c r="T968" i="1" s="1"/>
  <c r="U968" i="1" s="1"/>
  <c r="V968" i="1" s="1"/>
  <c r="S967" i="1"/>
  <c r="T967" i="1" s="1"/>
  <c r="U967" i="1" s="1"/>
  <c r="V967" i="1" s="1"/>
  <c r="S966" i="1"/>
  <c r="T966" i="1"/>
  <c r="U966" i="1" s="1"/>
  <c r="V966" i="1" s="1"/>
  <c r="S965" i="1"/>
  <c r="T965" i="1" s="1"/>
  <c r="U965" i="1" s="1"/>
  <c r="V965" i="1" s="1"/>
  <c r="S964" i="1"/>
  <c r="T964" i="1" s="1"/>
  <c r="U964" i="1" s="1"/>
  <c r="V964" i="1" s="1"/>
  <c r="S963" i="1"/>
  <c r="T963" i="1" s="1"/>
  <c r="U963" i="1" s="1"/>
  <c r="V963" i="1" s="1"/>
  <c r="S962" i="1"/>
  <c r="T962" i="1" s="1"/>
  <c r="U962" i="1" s="1"/>
  <c r="V962" i="1" s="1"/>
  <c r="S961" i="1"/>
  <c r="T961" i="1"/>
  <c r="U961" i="1" s="1"/>
  <c r="V961" i="1" s="1"/>
  <c r="S960" i="1"/>
  <c r="T960" i="1"/>
  <c r="U960" i="1" s="1"/>
  <c r="V960" i="1" s="1"/>
  <c r="S959" i="1"/>
  <c r="T959" i="1"/>
  <c r="U959" i="1" s="1"/>
  <c r="V959" i="1" s="1"/>
  <c r="S958" i="1"/>
  <c r="T958" i="1" s="1"/>
  <c r="U958" i="1" s="1"/>
  <c r="V958" i="1" s="1"/>
  <c r="S957" i="1"/>
  <c r="T957" i="1" s="1"/>
  <c r="U957" i="1" s="1"/>
  <c r="V957" i="1" s="1"/>
  <c r="S956" i="1"/>
  <c r="T956" i="1"/>
  <c r="U956" i="1" s="1"/>
  <c r="V956" i="1" s="1"/>
  <c r="S955" i="1"/>
  <c r="T955" i="1"/>
  <c r="U955" i="1" s="1"/>
  <c r="V955" i="1" s="1"/>
  <c r="S954" i="1"/>
  <c r="T954" i="1" s="1"/>
  <c r="U954" i="1" s="1"/>
  <c r="V954" i="1" s="1"/>
  <c r="S953" i="1"/>
  <c r="T953" i="1"/>
  <c r="U953" i="1" s="1"/>
  <c r="V953" i="1" s="1"/>
  <c r="S952" i="1"/>
  <c r="T952" i="1"/>
  <c r="U952" i="1" s="1"/>
  <c r="V952" i="1" s="1"/>
  <c r="S951" i="1"/>
  <c r="T951" i="1" s="1"/>
  <c r="U951" i="1" s="1"/>
  <c r="V951" i="1" s="1"/>
  <c r="S950" i="1"/>
  <c r="T950" i="1" s="1"/>
  <c r="U950" i="1" s="1"/>
  <c r="V950" i="1" s="1"/>
  <c r="S949" i="1"/>
  <c r="T949" i="1"/>
  <c r="U949" i="1" s="1"/>
  <c r="V949" i="1" s="1"/>
  <c r="S948" i="1"/>
  <c r="T948" i="1"/>
  <c r="U948" i="1" s="1"/>
  <c r="V948" i="1" s="1"/>
  <c r="S947" i="1"/>
  <c r="T947" i="1"/>
  <c r="U947" i="1" s="1"/>
  <c r="V947" i="1" s="1"/>
  <c r="S946" i="1"/>
  <c r="T946" i="1" s="1"/>
  <c r="U946" i="1" s="1"/>
  <c r="V946" i="1" s="1"/>
  <c r="S945" i="1"/>
  <c r="T945" i="1"/>
  <c r="U945" i="1" s="1"/>
  <c r="V945" i="1" s="1"/>
  <c r="S944" i="1"/>
  <c r="T944" i="1" s="1"/>
  <c r="U944" i="1" s="1"/>
  <c r="V944" i="1" s="1"/>
  <c r="S943" i="1"/>
  <c r="T943" i="1"/>
  <c r="U943" i="1" s="1"/>
  <c r="V943" i="1" s="1"/>
  <c r="S942" i="1"/>
  <c r="T942" i="1" s="1"/>
  <c r="U942" i="1" s="1"/>
  <c r="V942" i="1" s="1"/>
  <c r="S941" i="1"/>
  <c r="T941" i="1" s="1"/>
  <c r="U941" i="1" s="1"/>
  <c r="V941" i="1" s="1"/>
  <c r="S940" i="1"/>
  <c r="T940" i="1" s="1"/>
  <c r="U940" i="1" s="1"/>
  <c r="V940" i="1" s="1"/>
  <c r="S939" i="1"/>
  <c r="T939" i="1"/>
  <c r="U939" i="1" s="1"/>
  <c r="V939" i="1" s="1"/>
  <c r="S938" i="1"/>
  <c r="T938" i="1" s="1"/>
  <c r="U938" i="1" s="1"/>
  <c r="V938" i="1" s="1"/>
  <c r="S937" i="1"/>
  <c r="T937" i="1" s="1"/>
  <c r="U937" i="1" s="1"/>
  <c r="V937" i="1" s="1"/>
  <c r="S936" i="1"/>
  <c r="T936" i="1"/>
  <c r="U936" i="1" s="1"/>
  <c r="V936" i="1" s="1"/>
  <c r="S935" i="1"/>
  <c r="T935" i="1" s="1"/>
  <c r="U935" i="1" s="1"/>
  <c r="V935" i="1" s="1"/>
  <c r="S934" i="1"/>
  <c r="T934" i="1" s="1"/>
  <c r="U934" i="1" s="1"/>
  <c r="V934" i="1" s="1"/>
  <c r="S933" i="1"/>
  <c r="T933" i="1"/>
  <c r="U933" i="1" s="1"/>
  <c r="V933" i="1" s="1"/>
  <c r="S932" i="1"/>
  <c r="T932" i="1" s="1"/>
  <c r="U932" i="1" s="1"/>
  <c r="V932" i="1" s="1"/>
  <c r="S931" i="1"/>
  <c r="T931" i="1" s="1"/>
  <c r="U931" i="1" s="1"/>
  <c r="V931" i="1" s="1"/>
  <c r="S930" i="1"/>
  <c r="T930" i="1"/>
  <c r="U930" i="1" s="1"/>
  <c r="V930" i="1" s="1"/>
  <c r="S929" i="1"/>
  <c r="T929" i="1"/>
  <c r="U929" i="1" s="1"/>
  <c r="V929" i="1" s="1"/>
  <c r="S928" i="1"/>
  <c r="T928" i="1" s="1"/>
  <c r="U928" i="1" s="1"/>
  <c r="V928" i="1" s="1"/>
  <c r="S927" i="1"/>
  <c r="T927" i="1" s="1"/>
  <c r="U927" i="1" s="1"/>
  <c r="V927" i="1" s="1"/>
  <c r="S926" i="1"/>
  <c r="T926" i="1"/>
  <c r="U926" i="1" s="1"/>
  <c r="V926" i="1" s="1"/>
  <c r="S925" i="1"/>
  <c r="T925" i="1" s="1"/>
  <c r="U925" i="1" s="1"/>
  <c r="V925" i="1" s="1"/>
  <c r="S924" i="1"/>
  <c r="T924" i="1" s="1"/>
  <c r="U924" i="1" s="1"/>
  <c r="V924" i="1" s="1"/>
  <c r="S923" i="1"/>
  <c r="T923" i="1"/>
  <c r="U923" i="1" s="1"/>
  <c r="V923" i="1" s="1"/>
  <c r="S922" i="1"/>
  <c r="T922" i="1"/>
  <c r="U922" i="1" s="1"/>
  <c r="V922" i="1" s="1"/>
  <c r="S921" i="1"/>
  <c r="T921" i="1" s="1"/>
  <c r="U921" i="1" s="1"/>
  <c r="V921" i="1" s="1"/>
  <c r="S920" i="1"/>
  <c r="T920" i="1" s="1"/>
  <c r="U920" i="1" s="1"/>
  <c r="V920" i="1" s="1"/>
  <c r="S919" i="1"/>
  <c r="T919" i="1" s="1"/>
  <c r="U919" i="1" s="1"/>
  <c r="V919" i="1" s="1"/>
  <c r="S918" i="1"/>
  <c r="T918" i="1" s="1"/>
  <c r="U918" i="1" s="1"/>
  <c r="V918" i="1" s="1"/>
  <c r="S917" i="1"/>
  <c r="T917" i="1"/>
  <c r="U917" i="1" s="1"/>
  <c r="V917" i="1" s="1"/>
  <c r="S916" i="1"/>
  <c r="T916" i="1"/>
  <c r="U916" i="1" s="1"/>
  <c r="V916" i="1" s="1"/>
  <c r="S915" i="1"/>
  <c r="T915" i="1" s="1"/>
  <c r="U915" i="1" s="1"/>
  <c r="V915" i="1" s="1"/>
  <c r="S914" i="1"/>
  <c r="T914" i="1"/>
  <c r="U914" i="1" s="1"/>
  <c r="V914" i="1" s="1"/>
  <c r="S913" i="1"/>
  <c r="T913" i="1"/>
  <c r="U913" i="1" s="1"/>
  <c r="V913" i="1" s="1"/>
  <c r="S912" i="1"/>
  <c r="T912" i="1" s="1"/>
  <c r="U912" i="1" s="1"/>
  <c r="V912" i="1" s="1"/>
  <c r="T911" i="1"/>
  <c r="U911" i="1" s="1"/>
  <c r="V911" i="1" s="1"/>
  <c r="S911" i="1"/>
  <c r="S910" i="1"/>
  <c r="T910" i="1" s="1"/>
  <c r="U910" i="1" s="1"/>
  <c r="V910" i="1" s="1"/>
  <c r="S909" i="1"/>
  <c r="T909" i="1" s="1"/>
  <c r="U909" i="1" s="1"/>
  <c r="V909" i="1" s="1"/>
  <c r="S908" i="1"/>
  <c r="T908" i="1" s="1"/>
  <c r="U908" i="1" s="1"/>
  <c r="V908" i="1" s="1"/>
  <c r="S907" i="1"/>
  <c r="T907" i="1" s="1"/>
  <c r="U907" i="1" s="1"/>
  <c r="V907" i="1" s="1"/>
  <c r="S906" i="1"/>
  <c r="T906" i="1"/>
  <c r="U906" i="1" s="1"/>
  <c r="V906" i="1" s="1"/>
  <c r="S905" i="1"/>
  <c r="T905" i="1"/>
  <c r="U905" i="1" s="1"/>
  <c r="V905" i="1" s="1"/>
  <c r="S904" i="1"/>
  <c r="T904" i="1" s="1"/>
  <c r="U904" i="1" s="1"/>
  <c r="V904" i="1" s="1"/>
  <c r="S903" i="1"/>
  <c r="T903" i="1"/>
  <c r="U903" i="1" s="1"/>
  <c r="V903" i="1" s="1"/>
  <c r="S902" i="1"/>
  <c r="T902" i="1" s="1"/>
  <c r="U902" i="1" s="1"/>
  <c r="V902" i="1" s="1"/>
  <c r="S901" i="1"/>
  <c r="T901" i="1"/>
  <c r="U901" i="1" s="1"/>
  <c r="V901" i="1" s="1"/>
  <c r="S900" i="1"/>
  <c r="T900" i="1" s="1"/>
  <c r="U900" i="1" s="1"/>
  <c r="V900" i="1" s="1"/>
  <c r="S899" i="1"/>
  <c r="T899" i="1"/>
  <c r="U899" i="1" s="1"/>
  <c r="V899" i="1" s="1"/>
  <c r="S898" i="1"/>
  <c r="T898" i="1"/>
  <c r="U898" i="1" s="1"/>
  <c r="V898" i="1" s="1"/>
  <c r="S897" i="1"/>
  <c r="T897" i="1"/>
  <c r="U897" i="1" s="1"/>
  <c r="V897" i="1" s="1"/>
  <c r="S896" i="1"/>
  <c r="T896" i="1" s="1"/>
  <c r="U896" i="1" s="1"/>
  <c r="V896" i="1" s="1"/>
  <c r="S895" i="1"/>
  <c r="T895" i="1" s="1"/>
  <c r="U895" i="1" s="1"/>
  <c r="V895" i="1" s="1"/>
  <c r="S894" i="1"/>
  <c r="T894" i="1"/>
  <c r="U894" i="1" s="1"/>
  <c r="V894" i="1" s="1"/>
  <c r="S893" i="1"/>
  <c r="T893" i="1"/>
  <c r="U893" i="1" s="1"/>
  <c r="V893" i="1" s="1"/>
  <c r="S892" i="1"/>
  <c r="T892" i="1" s="1"/>
  <c r="U892" i="1" s="1"/>
  <c r="V892" i="1" s="1"/>
  <c r="S891" i="1"/>
  <c r="T891" i="1"/>
  <c r="U891" i="1" s="1"/>
  <c r="V891" i="1" s="1"/>
  <c r="S890" i="1"/>
  <c r="T890" i="1"/>
  <c r="U890" i="1" s="1"/>
  <c r="V890" i="1" s="1"/>
  <c r="S889" i="1"/>
  <c r="T889" i="1" s="1"/>
  <c r="U889" i="1" s="1"/>
  <c r="V889" i="1" s="1"/>
  <c r="S888" i="1"/>
  <c r="T888" i="1"/>
  <c r="U888" i="1" s="1"/>
  <c r="V888" i="1" s="1"/>
  <c r="S887" i="1"/>
  <c r="T887" i="1" s="1"/>
  <c r="U887" i="1" s="1"/>
  <c r="V887" i="1" s="1"/>
  <c r="S886" i="1"/>
  <c r="T886" i="1" s="1"/>
  <c r="U886" i="1" s="1"/>
  <c r="V886" i="1" s="1"/>
  <c r="S885" i="1"/>
  <c r="T885" i="1" s="1"/>
  <c r="U885" i="1" s="1"/>
  <c r="V885" i="1" s="1"/>
  <c r="S884" i="1"/>
  <c r="T884" i="1" s="1"/>
  <c r="U884" i="1" s="1"/>
  <c r="V884" i="1" s="1"/>
  <c r="S883" i="1"/>
  <c r="T883" i="1"/>
  <c r="U883" i="1" s="1"/>
  <c r="V883" i="1" s="1"/>
  <c r="S882" i="1"/>
  <c r="T882" i="1"/>
  <c r="U882" i="1" s="1"/>
  <c r="V882" i="1" s="1"/>
  <c r="S881" i="1"/>
  <c r="T881" i="1" s="1"/>
  <c r="U881" i="1" s="1"/>
  <c r="V881" i="1" s="1"/>
  <c r="S880" i="1"/>
  <c r="T880" i="1" s="1"/>
  <c r="U880" i="1" s="1"/>
  <c r="V880" i="1" s="1"/>
  <c r="S879" i="1"/>
  <c r="T879" i="1" s="1"/>
  <c r="U879" i="1" s="1"/>
  <c r="V879" i="1" s="1"/>
  <c r="S878" i="1"/>
  <c r="T878" i="1" s="1"/>
  <c r="U878" i="1" s="1"/>
  <c r="V878" i="1" s="1"/>
  <c r="S877" i="1"/>
  <c r="T877" i="1"/>
  <c r="U877" i="1" s="1"/>
  <c r="V877" i="1" s="1"/>
  <c r="S876" i="1"/>
  <c r="T876" i="1" s="1"/>
  <c r="U876" i="1" s="1"/>
  <c r="V876" i="1" s="1"/>
  <c r="S875" i="1"/>
  <c r="T875" i="1"/>
  <c r="U875" i="1" s="1"/>
  <c r="V875" i="1" s="1"/>
  <c r="S874" i="1"/>
  <c r="T874" i="1" s="1"/>
  <c r="U874" i="1" s="1"/>
  <c r="V874" i="1" s="1"/>
  <c r="S873" i="1"/>
  <c r="T873" i="1"/>
  <c r="U873" i="1" s="1"/>
  <c r="V873" i="1" s="1"/>
  <c r="S872" i="1"/>
  <c r="T872" i="1"/>
  <c r="U872" i="1" s="1"/>
  <c r="V872" i="1" s="1"/>
  <c r="S871" i="1"/>
  <c r="T871" i="1"/>
  <c r="U871" i="1" s="1"/>
  <c r="V871" i="1" s="1"/>
  <c r="S870" i="1"/>
  <c r="T870" i="1"/>
  <c r="U870" i="1" s="1"/>
  <c r="V870" i="1" s="1"/>
  <c r="S869" i="1"/>
  <c r="T869" i="1"/>
  <c r="U869" i="1" s="1"/>
  <c r="V869" i="1" s="1"/>
  <c r="S868" i="1"/>
  <c r="T868" i="1"/>
  <c r="U868" i="1" s="1"/>
  <c r="V868" i="1" s="1"/>
  <c r="S867" i="1"/>
  <c r="T867" i="1" s="1"/>
  <c r="U867" i="1" s="1"/>
  <c r="V867" i="1" s="1"/>
  <c r="S866" i="1"/>
  <c r="T866" i="1" s="1"/>
  <c r="U866" i="1" s="1"/>
  <c r="V866" i="1" s="1"/>
  <c r="S865" i="1"/>
  <c r="T865" i="1" s="1"/>
  <c r="U865" i="1" s="1"/>
  <c r="V865" i="1" s="1"/>
  <c r="S864" i="1"/>
  <c r="T864" i="1" s="1"/>
  <c r="U864" i="1" s="1"/>
  <c r="V864" i="1" s="1"/>
  <c r="S863" i="1"/>
  <c r="T863" i="1" s="1"/>
  <c r="U863" i="1" s="1"/>
  <c r="V863" i="1" s="1"/>
  <c r="S862" i="1"/>
  <c r="T862" i="1"/>
  <c r="U862" i="1" s="1"/>
  <c r="V862" i="1" s="1"/>
  <c r="S861" i="1"/>
  <c r="T861" i="1"/>
  <c r="U861" i="1" s="1"/>
  <c r="V861" i="1" s="1"/>
  <c r="S860" i="1"/>
  <c r="T860" i="1" s="1"/>
  <c r="U860" i="1" s="1"/>
  <c r="V860" i="1" s="1"/>
  <c r="S859" i="1"/>
  <c r="T859" i="1" s="1"/>
  <c r="U859" i="1" s="1"/>
  <c r="V859" i="1" s="1"/>
  <c r="S858" i="1"/>
  <c r="T858" i="1"/>
  <c r="U858" i="1" s="1"/>
  <c r="V858" i="1" s="1"/>
  <c r="S857" i="1"/>
  <c r="T857" i="1" s="1"/>
  <c r="U857" i="1" s="1"/>
  <c r="V857" i="1" s="1"/>
  <c r="S856" i="1"/>
  <c r="T856" i="1" s="1"/>
  <c r="U856" i="1" s="1"/>
  <c r="V856" i="1" s="1"/>
  <c r="S855" i="1"/>
  <c r="T855" i="1"/>
  <c r="U855" i="1" s="1"/>
  <c r="V855" i="1" s="1"/>
  <c r="S854" i="1"/>
  <c r="T854" i="1"/>
  <c r="U854" i="1" s="1"/>
  <c r="V854" i="1" s="1"/>
  <c r="S853" i="1"/>
  <c r="T853" i="1" s="1"/>
  <c r="U853" i="1" s="1"/>
  <c r="V853" i="1" s="1"/>
  <c r="S852" i="1"/>
  <c r="T852" i="1"/>
  <c r="U852" i="1" s="1"/>
  <c r="V852" i="1" s="1"/>
  <c r="S851" i="1"/>
  <c r="T851" i="1"/>
  <c r="U851" i="1" s="1"/>
  <c r="V851" i="1" s="1"/>
  <c r="S850" i="1"/>
  <c r="T850" i="1"/>
  <c r="U850" i="1" s="1"/>
  <c r="V850" i="1" s="1"/>
  <c r="S849" i="1"/>
  <c r="T849" i="1"/>
  <c r="U849" i="1" s="1"/>
  <c r="V849" i="1" s="1"/>
  <c r="S848" i="1"/>
  <c r="T848" i="1"/>
  <c r="U848" i="1" s="1"/>
  <c r="V848" i="1" s="1"/>
  <c r="S847" i="1"/>
  <c r="T847" i="1"/>
  <c r="U847" i="1" s="1"/>
  <c r="V847" i="1" s="1"/>
  <c r="S846" i="1"/>
  <c r="T846" i="1"/>
  <c r="U846" i="1" s="1"/>
  <c r="V846" i="1" s="1"/>
  <c r="S845" i="1"/>
  <c r="T845" i="1"/>
  <c r="U845" i="1" s="1"/>
  <c r="V845" i="1" s="1"/>
  <c r="S844" i="1"/>
  <c r="T844" i="1"/>
  <c r="U844" i="1" s="1"/>
  <c r="V844" i="1" s="1"/>
  <c r="S843" i="1"/>
  <c r="T843" i="1"/>
  <c r="U843" i="1" s="1"/>
  <c r="V843" i="1" s="1"/>
  <c r="S842" i="1"/>
  <c r="T842" i="1"/>
  <c r="U842" i="1" s="1"/>
  <c r="V842" i="1" s="1"/>
  <c r="S841" i="1"/>
  <c r="T841" i="1"/>
  <c r="U841" i="1" s="1"/>
  <c r="V841" i="1" s="1"/>
  <c r="S840" i="1"/>
  <c r="T840" i="1"/>
  <c r="U840" i="1" s="1"/>
  <c r="V840" i="1" s="1"/>
  <c r="S838" i="1"/>
  <c r="T838" i="1" s="1"/>
  <c r="U838" i="1" s="1"/>
  <c r="V838" i="1" s="1"/>
  <c r="S837" i="1"/>
  <c r="T837" i="1" s="1"/>
  <c r="U837" i="1" s="1"/>
  <c r="V837" i="1" s="1"/>
  <c r="S836" i="1"/>
  <c r="T836" i="1" s="1"/>
  <c r="U836" i="1" s="1"/>
  <c r="V836" i="1" s="1"/>
  <c r="S835" i="1"/>
  <c r="T835" i="1"/>
  <c r="U835" i="1" s="1"/>
  <c r="V835" i="1" s="1"/>
  <c r="S834" i="1"/>
  <c r="T834" i="1"/>
  <c r="U834" i="1" s="1"/>
  <c r="V834" i="1" s="1"/>
  <c r="S833" i="1"/>
  <c r="T833" i="1"/>
  <c r="U833" i="1" s="1"/>
  <c r="V833" i="1" s="1"/>
  <c r="S832" i="1"/>
  <c r="T832" i="1"/>
  <c r="U832" i="1" s="1"/>
  <c r="V832" i="1" s="1"/>
  <c r="S831" i="1"/>
  <c r="T831" i="1"/>
  <c r="U831" i="1" s="1"/>
  <c r="V831" i="1" s="1"/>
  <c r="S830" i="1"/>
  <c r="T830" i="1"/>
  <c r="U830" i="1" s="1"/>
  <c r="V830" i="1" s="1"/>
  <c r="S829" i="1"/>
  <c r="T829" i="1"/>
  <c r="U829" i="1" s="1"/>
  <c r="V829" i="1" s="1"/>
  <c r="S828" i="1"/>
  <c r="T828" i="1"/>
  <c r="U828" i="1" s="1"/>
  <c r="V828" i="1" s="1"/>
  <c r="S827" i="1"/>
  <c r="T827" i="1"/>
  <c r="U827" i="1" s="1"/>
  <c r="V827" i="1" s="1"/>
  <c r="S826" i="1"/>
  <c r="T826" i="1"/>
  <c r="U826" i="1" s="1"/>
  <c r="V826" i="1" s="1"/>
  <c r="S825" i="1"/>
  <c r="T825" i="1" s="1"/>
  <c r="U825" i="1" s="1"/>
  <c r="V825" i="1" s="1"/>
  <c r="S824" i="1"/>
  <c r="T824" i="1" s="1"/>
  <c r="U824" i="1" s="1"/>
  <c r="V824" i="1" s="1"/>
  <c r="S823" i="1"/>
  <c r="T823" i="1"/>
  <c r="U823" i="1" s="1"/>
  <c r="V823" i="1" s="1"/>
  <c r="S822" i="1"/>
  <c r="T822" i="1" s="1"/>
  <c r="U822" i="1" s="1"/>
  <c r="V822" i="1" s="1"/>
  <c r="S821" i="1"/>
  <c r="T821" i="1"/>
  <c r="U821" i="1" s="1"/>
  <c r="V821" i="1" s="1"/>
  <c r="S820" i="1"/>
  <c r="T820" i="1" s="1"/>
  <c r="U820" i="1" s="1"/>
  <c r="V820" i="1" s="1"/>
  <c r="S819" i="1"/>
  <c r="T819" i="1" s="1"/>
  <c r="U819" i="1" s="1"/>
  <c r="V819" i="1" s="1"/>
  <c r="S818" i="1"/>
  <c r="T818" i="1"/>
  <c r="U818" i="1" s="1"/>
  <c r="V818" i="1" s="1"/>
  <c r="S817" i="1"/>
  <c r="T817" i="1" s="1"/>
  <c r="U817" i="1" s="1"/>
  <c r="V817" i="1" s="1"/>
  <c r="S816" i="1"/>
  <c r="T816" i="1" s="1"/>
  <c r="U816" i="1" s="1"/>
  <c r="V816" i="1" s="1"/>
  <c r="S815" i="1"/>
  <c r="T815" i="1"/>
  <c r="U815" i="1" s="1"/>
  <c r="V815" i="1" s="1"/>
  <c r="S814" i="1"/>
  <c r="T814" i="1" s="1"/>
  <c r="U814" i="1" s="1"/>
  <c r="V814" i="1" s="1"/>
  <c r="S813" i="1"/>
  <c r="T813" i="1" s="1"/>
  <c r="U813" i="1" s="1"/>
  <c r="V813" i="1" s="1"/>
  <c r="S812" i="1"/>
  <c r="T812" i="1" s="1"/>
  <c r="U812" i="1" s="1"/>
  <c r="V812" i="1" s="1"/>
  <c r="S811" i="1"/>
  <c r="T811" i="1"/>
  <c r="U811" i="1" s="1"/>
  <c r="V811" i="1" s="1"/>
  <c r="S810" i="1"/>
  <c r="T810" i="1" s="1"/>
  <c r="U810" i="1" s="1"/>
  <c r="V810" i="1" s="1"/>
  <c r="S809" i="1"/>
  <c r="T809" i="1"/>
  <c r="U809" i="1" s="1"/>
  <c r="V809" i="1" s="1"/>
  <c r="S808" i="1"/>
  <c r="T808" i="1" s="1"/>
  <c r="U808" i="1" s="1"/>
  <c r="V808" i="1" s="1"/>
  <c r="S807" i="1"/>
  <c r="T807" i="1" s="1"/>
  <c r="U807" i="1" s="1"/>
  <c r="V807" i="1" s="1"/>
  <c r="S806" i="1"/>
  <c r="T806" i="1"/>
  <c r="U806" i="1" s="1"/>
  <c r="V806" i="1" s="1"/>
  <c r="S805" i="1"/>
  <c r="T805" i="1" s="1"/>
  <c r="U805" i="1" s="1"/>
  <c r="V805" i="1" s="1"/>
  <c r="S804" i="1"/>
  <c r="T804" i="1" s="1"/>
  <c r="U804" i="1" s="1"/>
  <c r="V804" i="1" s="1"/>
  <c r="S803" i="1"/>
  <c r="T803" i="1"/>
  <c r="U803" i="1" s="1"/>
  <c r="V803" i="1" s="1"/>
  <c r="S802" i="1"/>
  <c r="T802" i="1" s="1"/>
  <c r="U802" i="1" s="1"/>
  <c r="V802" i="1" s="1"/>
  <c r="S801" i="1"/>
  <c r="T801" i="1" s="1"/>
  <c r="U801" i="1" s="1"/>
  <c r="V801" i="1" s="1"/>
  <c r="S800" i="1"/>
  <c r="T800" i="1"/>
  <c r="U800" i="1" s="1"/>
  <c r="V800" i="1" s="1"/>
  <c r="S799" i="1"/>
  <c r="T799" i="1"/>
  <c r="U799" i="1" s="1"/>
  <c r="V799" i="1" s="1"/>
  <c r="S798" i="1"/>
  <c r="T798" i="1" s="1"/>
  <c r="U798" i="1" s="1"/>
  <c r="V798" i="1" s="1"/>
  <c r="S797" i="1"/>
  <c r="T797" i="1" s="1"/>
  <c r="U797" i="1" s="1"/>
  <c r="V797" i="1" s="1"/>
  <c r="S796" i="1"/>
  <c r="T796" i="1"/>
  <c r="U796" i="1" s="1"/>
  <c r="V796" i="1" s="1"/>
  <c r="S795" i="1"/>
  <c r="T795" i="1"/>
  <c r="U795" i="1" s="1"/>
  <c r="V795" i="1" s="1"/>
  <c r="S794" i="1"/>
  <c r="T794" i="1" s="1"/>
  <c r="U794" i="1" s="1"/>
  <c r="V794" i="1" s="1"/>
  <c r="S793" i="1"/>
  <c r="T793" i="1" s="1"/>
  <c r="U793" i="1" s="1"/>
  <c r="V793" i="1" s="1"/>
  <c r="S792" i="1"/>
  <c r="T792" i="1" s="1"/>
  <c r="U792" i="1" s="1"/>
  <c r="V792" i="1" s="1"/>
  <c r="S791" i="1"/>
  <c r="T791" i="1" s="1"/>
  <c r="U791" i="1" s="1"/>
  <c r="V791" i="1" s="1"/>
  <c r="S790" i="1"/>
  <c r="T790" i="1"/>
  <c r="U790" i="1" s="1"/>
  <c r="V790" i="1" s="1"/>
  <c r="S789" i="1"/>
  <c r="T789" i="1" s="1"/>
  <c r="U789" i="1" s="1"/>
  <c r="V789" i="1" s="1"/>
  <c r="S788" i="1"/>
  <c r="T788" i="1"/>
  <c r="U788" i="1" s="1"/>
  <c r="V788" i="1" s="1"/>
  <c r="S787" i="1"/>
  <c r="T787" i="1" s="1"/>
  <c r="U787" i="1" s="1"/>
  <c r="V787" i="1" s="1"/>
  <c r="S786" i="1"/>
  <c r="T786" i="1"/>
  <c r="U786" i="1" s="1"/>
  <c r="V786" i="1" s="1"/>
  <c r="S785" i="1"/>
  <c r="T785" i="1"/>
  <c r="U785" i="1" s="1"/>
  <c r="V785" i="1" s="1"/>
  <c r="S784" i="1"/>
  <c r="T784" i="1" s="1"/>
  <c r="U784" i="1" s="1"/>
  <c r="V784" i="1" s="1"/>
  <c r="S783" i="1"/>
  <c r="T783" i="1"/>
  <c r="U783" i="1" s="1"/>
  <c r="V783" i="1" s="1"/>
  <c r="S782" i="1"/>
  <c r="T782" i="1" s="1"/>
  <c r="U782" i="1" s="1"/>
  <c r="V782" i="1" s="1"/>
  <c r="S781" i="1"/>
  <c r="T781" i="1" s="1"/>
  <c r="U781" i="1" s="1"/>
  <c r="V781" i="1" s="1"/>
  <c r="S780" i="1"/>
  <c r="T780" i="1" s="1"/>
  <c r="U780" i="1" s="1"/>
  <c r="V780" i="1" s="1"/>
  <c r="S779" i="1"/>
  <c r="T779" i="1" s="1"/>
  <c r="U779" i="1" s="1"/>
  <c r="V779" i="1" s="1"/>
  <c r="S778" i="1"/>
  <c r="T778" i="1" s="1"/>
  <c r="U778" i="1" s="1"/>
  <c r="V778" i="1" s="1"/>
  <c r="S777" i="1"/>
  <c r="T777" i="1"/>
  <c r="U777" i="1" s="1"/>
  <c r="V777" i="1" s="1"/>
  <c r="S776" i="1"/>
  <c r="T776" i="1"/>
  <c r="U776" i="1" s="1"/>
  <c r="V776" i="1" s="1"/>
  <c r="S775" i="1"/>
  <c r="T775" i="1"/>
  <c r="U775" i="1" s="1"/>
  <c r="V775" i="1" s="1"/>
  <c r="S774" i="1"/>
  <c r="T774" i="1" s="1"/>
  <c r="U774" i="1" s="1"/>
  <c r="V774" i="1" s="1"/>
  <c r="S773" i="1"/>
  <c r="T773" i="1" s="1"/>
  <c r="U773" i="1" s="1"/>
  <c r="V773" i="1" s="1"/>
  <c r="S772" i="1"/>
  <c r="T772" i="1" s="1"/>
  <c r="U772" i="1" s="1"/>
  <c r="V772" i="1" s="1"/>
  <c r="S771" i="1"/>
  <c r="T771" i="1" s="1"/>
  <c r="U771" i="1" s="1"/>
  <c r="V771" i="1" s="1"/>
  <c r="S770" i="1"/>
  <c r="T770" i="1"/>
  <c r="U770" i="1" s="1"/>
  <c r="V770" i="1" s="1"/>
  <c r="S769" i="1"/>
  <c r="T769" i="1" s="1"/>
  <c r="U769" i="1" s="1"/>
  <c r="V769" i="1" s="1"/>
  <c r="S768" i="1"/>
  <c r="T768" i="1"/>
  <c r="U768" i="1" s="1"/>
  <c r="V768" i="1" s="1"/>
  <c r="S767" i="1"/>
  <c r="T767" i="1"/>
  <c r="U767" i="1" s="1"/>
  <c r="V767" i="1" s="1"/>
  <c r="S766" i="1"/>
  <c r="T766" i="1"/>
  <c r="U766" i="1" s="1"/>
  <c r="V766" i="1" s="1"/>
  <c r="S765" i="1"/>
  <c r="T765" i="1"/>
  <c r="U765" i="1" s="1"/>
  <c r="V765" i="1" s="1"/>
  <c r="S764" i="1"/>
  <c r="T764" i="1" s="1"/>
  <c r="U764" i="1" s="1"/>
  <c r="V764" i="1" s="1"/>
  <c r="S763" i="1"/>
  <c r="T763" i="1" s="1"/>
  <c r="U763" i="1" s="1"/>
  <c r="V763" i="1" s="1"/>
  <c r="S762" i="1"/>
  <c r="T762" i="1"/>
  <c r="U762" i="1" s="1"/>
  <c r="V762" i="1" s="1"/>
  <c r="S761" i="1"/>
  <c r="T761" i="1"/>
  <c r="U761" i="1" s="1"/>
  <c r="V761" i="1" s="1"/>
  <c r="S760" i="1"/>
  <c r="T760" i="1"/>
  <c r="U760" i="1" s="1"/>
  <c r="V760" i="1" s="1"/>
  <c r="S759" i="1"/>
  <c r="T759" i="1"/>
  <c r="U759" i="1" s="1"/>
  <c r="V759" i="1" s="1"/>
  <c r="S758" i="1"/>
  <c r="T758" i="1"/>
  <c r="U758" i="1" s="1"/>
  <c r="V758" i="1" s="1"/>
  <c r="S757" i="1"/>
  <c r="T757" i="1"/>
  <c r="U757" i="1" s="1"/>
  <c r="V757" i="1" s="1"/>
  <c r="S756" i="1"/>
  <c r="T756" i="1"/>
  <c r="U756" i="1" s="1"/>
  <c r="V756" i="1" s="1"/>
  <c r="S755" i="1"/>
  <c r="T755" i="1"/>
  <c r="U755" i="1" s="1"/>
  <c r="V755" i="1" s="1"/>
  <c r="S754" i="1"/>
  <c r="T754" i="1"/>
  <c r="U754" i="1" s="1"/>
  <c r="V754" i="1" s="1"/>
  <c r="S753" i="1"/>
  <c r="T753" i="1"/>
  <c r="U753" i="1" s="1"/>
  <c r="V753" i="1" s="1"/>
  <c r="S752" i="1"/>
  <c r="T752" i="1"/>
  <c r="U752" i="1" s="1"/>
  <c r="V752" i="1" s="1"/>
  <c r="S751" i="1"/>
  <c r="T751" i="1" s="1"/>
  <c r="U751" i="1" s="1"/>
  <c r="V751" i="1" s="1"/>
  <c r="S750" i="1"/>
  <c r="T750" i="1" s="1"/>
  <c r="U750" i="1" s="1"/>
  <c r="V750" i="1" s="1"/>
  <c r="S749" i="1"/>
  <c r="T749" i="1" s="1"/>
  <c r="U749" i="1" s="1"/>
  <c r="V749" i="1" s="1"/>
  <c r="S748" i="1"/>
  <c r="T748" i="1" s="1"/>
  <c r="U748" i="1" s="1"/>
  <c r="V748" i="1" s="1"/>
  <c r="S747" i="1"/>
  <c r="T747" i="1"/>
  <c r="U747" i="1" s="1"/>
  <c r="V747" i="1" s="1"/>
  <c r="S746" i="1"/>
  <c r="T746" i="1" s="1"/>
  <c r="U746" i="1" s="1"/>
  <c r="V746" i="1" s="1"/>
  <c r="S745" i="1"/>
  <c r="T745" i="1" s="1"/>
  <c r="U745" i="1" s="1"/>
  <c r="V745" i="1" s="1"/>
  <c r="S744" i="1"/>
  <c r="T744" i="1" s="1"/>
  <c r="U744" i="1" s="1"/>
  <c r="V744" i="1" s="1"/>
  <c r="S743" i="1"/>
  <c r="T743" i="1" s="1"/>
  <c r="U743" i="1" s="1"/>
  <c r="V743" i="1" s="1"/>
  <c r="S742" i="1"/>
  <c r="T742" i="1" s="1"/>
  <c r="U742" i="1" s="1"/>
  <c r="V742" i="1" s="1"/>
  <c r="S741" i="1"/>
  <c r="T741" i="1" s="1"/>
  <c r="U741" i="1" s="1"/>
  <c r="V741" i="1" s="1"/>
  <c r="S740" i="1"/>
  <c r="T740" i="1" s="1"/>
  <c r="U740" i="1" s="1"/>
  <c r="V740" i="1" s="1"/>
  <c r="S739" i="1"/>
  <c r="T739" i="1"/>
  <c r="U739" i="1" s="1"/>
  <c r="V739" i="1" s="1"/>
  <c r="S738" i="1"/>
  <c r="T738" i="1" s="1"/>
  <c r="U738" i="1" s="1"/>
  <c r="V738" i="1" s="1"/>
  <c r="S737" i="1"/>
  <c r="T737" i="1"/>
  <c r="U737" i="1" s="1"/>
  <c r="V737" i="1" s="1"/>
  <c r="S736" i="1"/>
  <c r="T736" i="1"/>
  <c r="U736" i="1" s="1"/>
  <c r="V736" i="1" s="1"/>
  <c r="S735" i="1"/>
  <c r="T735" i="1" s="1"/>
  <c r="U735" i="1" s="1"/>
  <c r="V735" i="1" s="1"/>
  <c r="S734" i="1"/>
  <c r="T734" i="1" s="1"/>
  <c r="U734" i="1" s="1"/>
  <c r="V734" i="1" s="1"/>
  <c r="S733" i="1"/>
  <c r="T733" i="1"/>
  <c r="U733" i="1" s="1"/>
  <c r="V733" i="1" s="1"/>
  <c r="S732" i="1"/>
  <c r="T732" i="1"/>
  <c r="U732" i="1" s="1"/>
  <c r="V732" i="1" s="1"/>
  <c r="S731" i="1"/>
  <c r="T731" i="1" s="1"/>
  <c r="U731" i="1" s="1"/>
  <c r="V731" i="1" s="1"/>
  <c r="S730" i="1"/>
  <c r="T730" i="1"/>
  <c r="U730" i="1" s="1"/>
  <c r="V730" i="1" s="1"/>
  <c r="S729" i="1"/>
  <c r="T729" i="1" s="1"/>
  <c r="U729" i="1" s="1"/>
  <c r="V729" i="1" s="1"/>
  <c r="S728" i="1"/>
  <c r="T728" i="1"/>
  <c r="U728" i="1" s="1"/>
  <c r="V728" i="1" s="1"/>
  <c r="S727" i="1"/>
  <c r="T727" i="1" s="1"/>
  <c r="U727" i="1" s="1"/>
  <c r="V727" i="1" s="1"/>
  <c r="S726" i="1"/>
  <c r="T726" i="1"/>
  <c r="U726" i="1" s="1"/>
  <c r="V726" i="1" s="1"/>
  <c r="S725" i="1"/>
  <c r="T725" i="1"/>
  <c r="U725" i="1" s="1"/>
  <c r="V725" i="1" s="1"/>
  <c r="S724" i="1"/>
  <c r="T724" i="1"/>
  <c r="U724" i="1" s="1"/>
  <c r="V724" i="1" s="1"/>
  <c r="S723" i="1"/>
  <c r="T723" i="1"/>
  <c r="U723" i="1" s="1"/>
  <c r="V723" i="1" s="1"/>
  <c r="S722" i="1"/>
  <c r="T722" i="1"/>
  <c r="U722" i="1" s="1"/>
  <c r="V722" i="1" s="1"/>
  <c r="S721" i="1"/>
  <c r="T721" i="1" s="1"/>
  <c r="U721" i="1" s="1"/>
  <c r="V721" i="1" s="1"/>
  <c r="S720" i="1"/>
  <c r="T720" i="1" s="1"/>
  <c r="U720" i="1" s="1"/>
  <c r="V720" i="1" s="1"/>
  <c r="S719" i="1"/>
  <c r="T719" i="1" s="1"/>
  <c r="U719" i="1" s="1"/>
  <c r="V719" i="1" s="1"/>
  <c r="S718" i="1"/>
  <c r="T718" i="1"/>
  <c r="U718" i="1" s="1"/>
  <c r="V718" i="1" s="1"/>
  <c r="S717" i="1"/>
  <c r="T717" i="1"/>
  <c r="U717" i="1" s="1"/>
  <c r="V717" i="1" s="1"/>
  <c r="S716" i="1"/>
  <c r="T716" i="1"/>
  <c r="U716" i="1" s="1"/>
  <c r="V716" i="1" s="1"/>
  <c r="S715" i="1"/>
  <c r="T715" i="1" s="1"/>
  <c r="U715" i="1" s="1"/>
  <c r="V715" i="1" s="1"/>
  <c r="S714" i="1"/>
  <c r="T714" i="1" s="1"/>
  <c r="U714" i="1" s="1"/>
  <c r="V714" i="1" s="1"/>
  <c r="S713" i="1"/>
  <c r="T713" i="1" s="1"/>
  <c r="U713" i="1" s="1"/>
  <c r="V713" i="1" s="1"/>
  <c r="S712" i="1"/>
  <c r="T712" i="1"/>
  <c r="U712" i="1" s="1"/>
  <c r="V712" i="1" s="1"/>
  <c r="S711" i="1"/>
  <c r="T711" i="1"/>
  <c r="U711" i="1" s="1"/>
  <c r="V711" i="1" s="1"/>
  <c r="S710" i="1"/>
  <c r="T710" i="1" s="1"/>
  <c r="U710" i="1" s="1"/>
  <c r="V710" i="1" s="1"/>
  <c r="S709" i="1"/>
  <c r="T709" i="1" s="1"/>
  <c r="U709" i="1" s="1"/>
  <c r="V709" i="1" s="1"/>
  <c r="S708" i="1"/>
  <c r="T708" i="1" s="1"/>
  <c r="U708" i="1" s="1"/>
  <c r="V708" i="1" s="1"/>
  <c r="S707" i="1"/>
  <c r="T707" i="1" s="1"/>
  <c r="U707" i="1" s="1"/>
  <c r="V707" i="1" s="1"/>
  <c r="S706" i="1"/>
  <c r="T706" i="1" s="1"/>
  <c r="U706" i="1" s="1"/>
  <c r="V706" i="1" s="1"/>
  <c r="S705" i="1"/>
  <c r="T705" i="1"/>
  <c r="U705" i="1" s="1"/>
  <c r="V705" i="1" s="1"/>
  <c r="S704" i="1"/>
  <c r="T704" i="1"/>
  <c r="U704" i="1" s="1"/>
  <c r="V704" i="1" s="1"/>
  <c r="S703" i="1"/>
  <c r="T703" i="1"/>
  <c r="U703" i="1" s="1"/>
  <c r="V703" i="1" s="1"/>
  <c r="S702" i="1"/>
  <c r="T702" i="1" s="1"/>
  <c r="U702" i="1" s="1"/>
  <c r="V702" i="1" s="1"/>
  <c r="S701" i="1"/>
  <c r="T701" i="1"/>
  <c r="U701" i="1" s="1"/>
  <c r="V701" i="1" s="1"/>
  <c r="S700" i="1"/>
  <c r="T700" i="1" s="1"/>
  <c r="U700" i="1" s="1"/>
  <c r="V700" i="1" s="1"/>
  <c r="S699" i="1"/>
  <c r="T699" i="1" s="1"/>
  <c r="U699" i="1" s="1"/>
  <c r="V699" i="1" s="1"/>
  <c r="S698" i="1"/>
  <c r="T698" i="1"/>
  <c r="U698" i="1" s="1"/>
  <c r="V698" i="1" s="1"/>
  <c r="S697" i="1"/>
  <c r="T697" i="1"/>
  <c r="U697" i="1" s="1"/>
  <c r="V697" i="1" s="1"/>
  <c r="S696" i="1"/>
  <c r="T696" i="1"/>
  <c r="U696" i="1" s="1"/>
  <c r="V696" i="1" s="1"/>
  <c r="S695" i="1"/>
  <c r="T695" i="1"/>
  <c r="U695" i="1" s="1"/>
  <c r="V695" i="1" s="1"/>
  <c r="S694" i="1"/>
  <c r="T694" i="1"/>
  <c r="U694" i="1" s="1"/>
  <c r="V694" i="1" s="1"/>
  <c r="S693" i="1"/>
  <c r="T693" i="1"/>
  <c r="U693" i="1" s="1"/>
  <c r="V693" i="1" s="1"/>
  <c r="S692" i="1"/>
  <c r="T692" i="1" s="1"/>
  <c r="U692" i="1" s="1"/>
  <c r="V692" i="1" s="1"/>
  <c r="S691" i="1"/>
  <c r="T691" i="1" s="1"/>
  <c r="U691" i="1" s="1"/>
  <c r="V691" i="1" s="1"/>
  <c r="S690" i="1"/>
  <c r="T690" i="1" s="1"/>
  <c r="U690" i="1" s="1"/>
  <c r="V690" i="1" s="1"/>
  <c r="S689" i="1"/>
  <c r="T689" i="1"/>
  <c r="U689" i="1" s="1"/>
  <c r="V689" i="1" s="1"/>
  <c r="S688" i="1"/>
  <c r="T688" i="1" s="1"/>
  <c r="U688" i="1" s="1"/>
  <c r="V688" i="1" s="1"/>
  <c r="S687" i="1"/>
  <c r="T687" i="1"/>
  <c r="U687" i="1" s="1"/>
  <c r="V687" i="1" s="1"/>
  <c r="S686" i="1"/>
  <c r="T686" i="1"/>
  <c r="U686" i="1" s="1"/>
  <c r="V686" i="1" s="1"/>
  <c r="S685" i="1"/>
  <c r="T685" i="1" s="1"/>
  <c r="U685" i="1" s="1"/>
  <c r="V685" i="1" s="1"/>
  <c r="S684" i="1"/>
  <c r="T684" i="1" s="1"/>
  <c r="U684" i="1" s="1"/>
  <c r="V684" i="1" s="1"/>
  <c r="S683" i="1"/>
  <c r="T683" i="1" s="1"/>
  <c r="U683" i="1" s="1"/>
  <c r="V683" i="1" s="1"/>
  <c r="S682" i="1"/>
  <c r="T682" i="1"/>
  <c r="U682" i="1" s="1"/>
  <c r="V682" i="1" s="1"/>
  <c r="S681" i="1"/>
  <c r="T681" i="1" s="1"/>
  <c r="U681" i="1" s="1"/>
  <c r="V681" i="1" s="1"/>
  <c r="S680" i="1"/>
  <c r="T680" i="1" s="1"/>
  <c r="U680" i="1" s="1"/>
  <c r="V680" i="1" s="1"/>
  <c r="S679" i="1"/>
  <c r="T679" i="1" s="1"/>
  <c r="U679" i="1" s="1"/>
  <c r="V679" i="1" s="1"/>
  <c r="S678" i="1"/>
  <c r="T678" i="1" s="1"/>
  <c r="U678" i="1" s="1"/>
  <c r="V678" i="1" s="1"/>
  <c r="S677" i="1"/>
  <c r="T677" i="1" s="1"/>
  <c r="U677" i="1" s="1"/>
  <c r="V677" i="1" s="1"/>
  <c r="S676" i="1"/>
  <c r="T676" i="1"/>
  <c r="U676" i="1" s="1"/>
  <c r="V676" i="1" s="1"/>
  <c r="S675" i="1"/>
  <c r="T675" i="1"/>
  <c r="U675" i="1" s="1"/>
  <c r="V675" i="1" s="1"/>
  <c r="S674" i="1"/>
  <c r="T674" i="1" s="1"/>
  <c r="U674" i="1" s="1"/>
  <c r="V674" i="1" s="1"/>
  <c r="S673" i="1"/>
  <c r="T673" i="1" s="1"/>
  <c r="U673" i="1" s="1"/>
  <c r="V673" i="1" s="1"/>
  <c r="S672" i="1"/>
  <c r="T672" i="1" s="1"/>
  <c r="U672" i="1" s="1"/>
  <c r="V672" i="1" s="1"/>
  <c r="S671" i="1"/>
  <c r="T671" i="1" s="1"/>
  <c r="U671" i="1" s="1"/>
  <c r="V671" i="1" s="1"/>
  <c r="S670" i="1"/>
  <c r="T670" i="1" s="1"/>
  <c r="U670" i="1" s="1"/>
  <c r="V670" i="1" s="1"/>
  <c r="S669" i="1"/>
  <c r="T669" i="1" s="1"/>
  <c r="U669" i="1" s="1"/>
  <c r="V669" i="1" s="1"/>
  <c r="S668" i="1"/>
  <c r="T668" i="1"/>
  <c r="U668" i="1" s="1"/>
  <c r="V668" i="1" s="1"/>
  <c r="S667" i="1"/>
  <c r="T667" i="1"/>
  <c r="U667" i="1" s="1"/>
  <c r="V667" i="1" s="1"/>
  <c r="S666" i="1"/>
  <c r="T666" i="1"/>
  <c r="U666" i="1" s="1"/>
  <c r="V666" i="1" s="1"/>
  <c r="S665" i="1"/>
  <c r="T665" i="1" s="1"/>
  <c r="U665" i="1" s="1"/>
  <c r="V665" i="1" s="1"/>
  <c r="S664" i="1"/>
  <c r="T664" i="1" s="1"/>
  <c r="U664" i="1" s="1"/>
  <c r="V664" i="1" s="1"/>
  <c r="S663" i="1"/>
  <c r="T663" i="1" s="1"/>
  <c r="U663" i="1" s="1"/>
  <c r="V663" i="1" s="1"/>
  <c r="S662" i="1"/>
  <c r="T662" i="1" s="1"/>
  <c r="U662" i="1" s="1"/>
  <c r="V662" i="1" s="1"/>
  <c r="S661" i="1"/>
  <c r="T661" i="1"/>
  <c r="U661" i="1" s="1"/>
  <c r="V661" i="1" s="1"/>
  <c r="S660" i="1"/>
  <c r="T660" i="1"/>
  <c r="U660" i="1" s="1"/>
  <c r="V660" i="1" s="1"/>
  <c r="S659" i="1"/>
  <c r="T659" i="1"/>
  <c r="U659" i="1" s="1"/>
  <c r="V659" i="1" s="1"/>
  <c r="S658" i="1"/>
  <c r="T658" i="1" s="1"/>
  <c r="U658" i="1" s="1"/>
  <c r="V658" i="1" s="1"/>
  <c r="S657" i="1"/>
  <c r="T657" i="1"/>
  <c r="U657" i="1" s="1"/>
  <c r="V657" i="1" s="1"/>
  <c r="S656" i="1"/>
  <c r="T656" i="1" s="1"/>
  <c r="U656" i="1" s="1"/>
  <c r="V656" i="1" s="1"/>
  <c r="S655" i="1"/>
  <c r="T655" i="1" s="1"/>
  <c r="U655" i="1" s="1"/>
  <c r="V655" i="1" s="1"/>
  <c r="S654" i="1"/>
  <c r="T654" i="1" s="1"/>
  <c r="U654" i="1" s="1"/>
  <c r="V654" i="1" s="1"/>
  <c r="S653" i="1"/>
  <c r="T653" i="1" s="1"/>
  <c r="U653" i="1" s="1"/>
  <c r="V653" i="1" s="1"/>
  <c r="S652" i="1"/>
  <c r="T652" i="1" s="1"/>
  <c r="U652" i="1" s="1"/>
  <c r="V652" i="1" s="1"/>
  <c r="S651" i="1"/>
  <c r="T651" i="1" s="1"/>
  <c r="U651" i="1" s="1"/>
  <c r="V651" i="1" s="1"/>
  <c r="S650" i="1"/>
  <c r="T650" i="1" s="1"/>
  <c r="U650" i="1" s="1"/>
  <c r="V650" i="1" s="1"/>
  <c r="S649" i="1"/>
  <c r="T649" i="1"/>
  <c r="U649" i="1" s="1"/>
  <c r="V649" i="1" s="1"/>
  <c r="S648" i="1"/>
  <c r="T648" i="1"/>
  <c r="U648" i="1" s="1"/>
  <c r="V648" i="1" s="1"/>
  <c r="S647" i="1"/>
  <c r="T647" i="1"/>
  <c r="U647" i="1" s="1"/>
  <c r="V647" i="1" s="1"/>
  <c r="S646" i="1"/>
  <c r="T646" i="1"/>
  <c r="U646" i="1" s="1"/>
  <c r="V646" i="1" s="1"/>
  <c r="S645" i="1"/>
  <c r="T645" i="1"/>
  <c r="U645" i="1" s="1"/>
  <c r="V645" i="1" s="1"/>
  <c r="S644" i="1"/>
  <c r="T644" i="1" s="1"/>
  <c r="U644" i="1" s="1"/>
  <c r="V644" i="1" s="1"/>
  <c r="S643" i="1"/>
  <c r="T643" i="1" s="1"/>
  <c r="U643" i="1" s="1"/>
  <c r="V643" i="1" s="1"/>
  <c r="S642" i="1"/>
  <c r="T642" i="1" s="1"/>
  <c r="U642" i="1" s="1"/>
  <c r="V642" i="1" s="1"/>
  <c r="S641" i="1"/>
  <c r="T641" i="1"/>
  <c r="U641" i="1" s="1"/>
  <c r="V641" i="1" s="1"/>
  <c r="S640" i="1"/>
  <c r="T640" i="1"/>
  <c r="U640" i="1" s="1"/>
  <c r="V640" i="1" s="1"/>
  <c r="S639" i="1"/>
  <c r="T639" i="1"/>
  <c r="U639" i="1" s="1"/>
  <c r="V639" i="1" s="1"/>
  <c r="S638" i="1"/>
  <c r="T638" i="1" s="1"/>
  <c r="U638" i="1" s="1"/>
  <c r="V638" i="1" s="1"/>
  <c r="S637" i="1"/>
  <c r="T637" i="1"/>
  <c r="U637" i="1" s="1"/>
  <c r="V637" i="1" s="1"/>
  <c r="S636" i="1"/>
  <c r="T636" i="1" s="1"/>
  <c r="U636" i="1" s="1"/>
  <c r="V636" i="1" s="1"/>
  <c r="S635" i="1"/>
  <c r="T635" i="1"/>
  <c r="U635" i="1" s="1"/>
  <c r="V635" i="1" s="1"/>
  <c r="S634" i="1"/>
  <c r="T634" i="1" s="1"/>
  <c r="U634" i="1" s="1"/>
  <c r="V634" i="1" s="1"/>
  <c r="S633" i="1"/>
  <c r="T633" i="1" s="1"/>
  <c r="U633" i="1" s="1"/>
  <c r="V633" i="1" s="1"/>
  <c r="S632" i="1"/>
  <c r="T632" i="1" s="1"/>
  <c r="U632" i="1" s="1"/>
  <c r="V632" i="1" s="1"/>
  <c r="S631" i="1"/>
  <c r="T631" i="1" s="1"/>
  <c r="U631" i="1" s="1"/>
  <c r="V631" i="1" s="1"/>
  <c r="S630" i="1"/>
  <c r="T630" i="1" s="1"/>
  <c r="U630" i="1" s="1"/>
  <c r="V630" i="1" s="1"/>
  <c r="S629" i="1"/>
  <c r="T629" i="1" s="1"/>
  <c r="U629" i="1" s="1"/>
  <c r="V629" i="1" s="1"/>
  <c r="S628" i="1"/>
  <c r="T628" i="1" s="1"/>
  <c r="U628" i="1" s="1"/>
  <c r="V628" i="1" s="1"/>
  <c r="S627" i="1"/>
  <c r="T627" i="1" s="1"/>
  <c r="U627" i="1" s="1"/>
  <c r="V627" i="1" s="1"/>
  <c r="S626" i="1"/>
  <c r="T626" i="1" s="1"/>
  <c r="U626" i="1" s="1"/>
  <c r="V626" i="1" s="1"/>
  <c r="S625" i="1"/>
  <c r="T625" i="1" s="1"/>
  <c r="U625" i="1" s="1"/>
  <c r="V625" i="1" s="1"/>
  <c r="S624" i="1"/>
  <c r="T624" i="1" s="1"/>
  <c r="U624" i="1" s="1"/>
  <c r="V624" i="1" s="1"/>
  <c r="S623" i="1"/>
  <c r="T623" i="1" s="1"/>
  <c r="U623" i="1" s="1"/>
  <c r="V623" i="1" s="1"/>
  <c r="S622" i="1"/>
  <c r="T622" i="1" s="1"/>
  <c r="U622" i="1" s="1"/>
  <c r="V622" i="1" s="1"/>
  <c r="S621" i="1"/>
  <c r="T621" i="1" s="1"/>
  <c r="U621" i="1" s="1"/>
  <c r="V621" i="1" s="1"/>
  <c r="S620" i="1"/>
  <c r="T620" i="1" s="1"/>
  <c r="U620" i="1" s="1"/>
  <c r="V620" i="1" s="1"/>
  <c r="S619" i="1"/>
  <c r="T619" i="1" s="1"/>
  <c r="U619" i="1" s="1"/>
  <c r="V619" i="1" s="1"/>
  <c r="S618" i="1"/>
  <c r="T618" i="1"/>
  <c r="U618" i="1" s="1"/>
  <c r="V618" i="1" s="1"/>
  <c r="S617" i="1"/>
  <c r="T617" i="1"/>
  <c r="U617" i="1" s="1"/>
  <c r="V617" i="1" s="1"/>
  <c r="S616" i="1"/>
  <c r="T616" i="1" s="1"/>
  <c r="U616" i="1" s="1"/>
  <c r="V616" i="1" s="1"/>
  <c r="S615" i="1"/>
  <c r="T615" i="1" s="1"/>
  <c r="U615" i="1" s="1"/>
  <c r="V615" i="1" s="1"/>
  <c r="S614" i="1"/>
  <c r="T614" i="1" s="1"/>
  <c r="U614" i="1" s="1"/>
  <c r="V614" i="1" s="1"/>
  <c r="S613" i="1"/>
  <c r="T613" i="1"/>
  <c r="U613" i="1" s="1"/>
  <c r="V613" i="1" s="1"/>
  <c r="S612" i="1"/>
  <c r="T612" i="1"/>
  <c r="U612" i="1" s="1"/>
  <c r="V612" i="1" s="1"/>
  <c r="S611" i="1"/>
  <c r="T611" i="1" s="1"/>
  <c r="U611" i="1" s="1"/>
  <c r="V611" i="1" s="1"/>
  <c r="S610" i="1"/>
  <c r="T610" i="1"/>
  <c r="U610" i="1" s="1"/>
  <c r="V610" i="1" s="1"/>
  <c r="S609" i="1"/>
  <c r="T609" i="1"/>
  <c r="U609" i="1" s="1"/>
  <c r="V609" i="1" s="1"/>
  <c r="S608" i="1"/>
  <c r="T608" i="1"/>
  <c r="U608" i="1" s="1"/>
  <c r="V608" i="1" s="1"/>
  <c r="T607" i="1"/>
  <c r="U607" i="1" s="1"/>
  <c r="V607" i="1" s="1"/>
  <c r="S607" i="1"/>
  <c r="S606" i="1"/>
  <c r="T606" i="1" s="1"/>
  <c r="U606" i="1" s="1"/>
  <c r="V606" i="1" s="1"/>
  <c r="S605" i="1"/>
  <c r="T605" i="1" s="1"/>
  <c r="U605" i="1" s="1"/>
  <c r="V605" i="1" s="1"/>
  <c r="S604" i="1"/>
  <c r="T604" i="1" s="1"/>
  <c r="U604" i="1" s="1"/>
  <c r="V604" i="1" s="1"/>
  <c r="S603" i="1"/>
  <c r="T603" i="1"/>
  <c r="U603" i="1" s="1"/>
  <c r="V603" i="1" s="1"/>
  <c r="S602" i="1"/>
  <c r="T602" i="1"/>
  <c r="U602" i="1" s="1"/>
  <c r="V602" i="1" s="1"/>
  <c r="S601" i="1"/>
  <c r="T601" i="1"/>
  <c r="U601" i="1" s="1"/>
  <c r="V601" i="1" s="1"/>
  <c r="S600" i="1"/>
  <c r="T600" i="1"/>
  <c r="U600" i="1" s="1"/>
  <c r="V600" i="1" s="1"/>
  <c r="S599" i="1"/>
  <c r="T599" i="1" s="1"/>
  <c r="U599" i="1" s="1"/>
  <c r="V599" i="1" s="1"/>
  <c r="S598" i="1"/>
  <c r="T598" i="1" s="1"/>
  <c r="U598" i="1" s="1"/>
  <c r="V598" i="1" s="1"/>
  <c r="S597" i="1"/>
  <c r="T597" i="1" s="1"/>
  <c r="U597" i="1" s="1"/>
  <c r="V597" i="1" s="1"/>
  <c r="S596" i="1"/>
  <c r="T596" i="1"/>
  <c r="U596" i="1" s="1"/>
  <c r="V596" i="1" s="1"/>
  <c r="S595" i="1"/>
  <c r="T595" i="1" s="1"/>
  <c r="U595" i="1" s="1"/>
  <c r="V595" i="1" s="1"/>
  <c r="S594" i="1"/>
  <c r="T594" i="1" s="1"/>
  <c r="U594" i="1" s="1"/>
  <c r="V594" i="1" s="1"/>
  <c r="S593" i="1"/>
  <c r="T593" i="1" s="1"/>
  <c r="U593" i="1" s="1"/>
  <c r="V593" i="1" s="1"/>
  <c r="S592" i="1"/>
  <c r="T592" i="1"/>
  <c r="U592" i="1" s="1"/>
  <c r="V592" i="1" s="1"/>
  <c r="S591" i="1"/>
  <c r="T591" i="1" s="1"/>
  <c r="U591" i="1" s="1"/>
  <c r="V591" i="1" s="1"/>
  <c r="S590" i="1"/>
  <c r="T590" i="1"/>
  <c r="U590" i="1" s="1"/>
  <c r="V590" i="1" s="1"/>
  <c r="S589" i="1"/>
  <c r="T589" i="1" s="1"/>
  <c r="U589" i="1" s="1"/>
  <c r="V589" i="1" s="1"/>
  <c r="S588" i="1"/>
  <c r="T588" i="1" s="1"/>
  <c r="U588" i="1" s="1"/>
  <c r="V588" i="1" s="1"/>
  <c r="S587" i="1"/>
  <c r="T587" i="1"/>
  <c r="U587" i="1" s="1"/>
  <c r="V587" i="1" s="1"/>
  <c r="S586" i="1"/>
  <c r="T586" i="1" s="1"/>
  <c r="U586" i="1" s="1"/>
  <c r="V586" i="1" s="1"/>
  <c r="S585" i="1"/>
  <c r="T585" i="1" s="1"/>
  <c r="U585" i="1" s="1"/>
  <c r="V585" i="1" s="1"/>
  <c r="S584" i="1"/>
  <c r="T584" i="1" s="1"/>
  <c r="U584" i="1" s="1"/>
  <c r="V584" i="1" s="1"/>
  <c r="S583" i="1"/>
  <c r="T583" i="1" s="1"/>
  <c r="U583" i="1" s="1"/>
  <c r="V583" i="1" s="1"/>
  <c r="S582" i="1"/>
  <c r="T582" i="1" s="1"/>
  <c r="U582" i="1" s="1"/>
  <c r="V582" i="1" s="1"/>
  <c r="S581" i="1"/>
  <c r="T581" i="1" s="1"/>
  <c r="U581" i="1" s="1"/>
  <c r="V581" i="1" s="1"/>
  <c r="S580" i="1"/>
  <c r="T580" i="1" s="1"/>
  <c r="U580" i="1" s="1"/>
  <c r="V580" i="1" s="1"/>
  <c r="S579" i="1"/>
  <c r="T579" i="1"/>
  <c r="U579" i="1" s="1"/>
  <c r="V579" i="1" s="1"/>
  <c r="S578" i="1"/>
  <c r="T578" i="1"/>
  <c r="U578" i="1" s="1"/>
  <c r="V578" i="1" s="1"/>
  <c r="S577" i="1"/>
  <c r="T577" i="1"/>
  <c r="U577" i="1" s="1"/>
  <c r="V577" i="1" s="1"/>
  <c r="S576" i="1"/>
  <c r="T576" i="1"/>
  <c r="U576" i="1" s="1"/>
  <c r="V576" i="1" s="1"/>
  <c r="S575" i="1"/>
  <c r="T575" i="1"/>
  <c r="U575" i="1" s="1"/>
  <c r="V575" i="1" s="1"/>
  <c r="S574" i="1"/>
  <c r="T574" i="1"/>
  <c r="U574" i="1" s="1"/>
  <c r="V574" i="1" s="1"/>
  <c r="S573" i="1"/>
  <c r="T573" i="1" s="1"/>
  <c r="U573" i="1" s="1"/>
  <c r="V573" i="1" s="1"/>
  <c r="S572" i="1"/>
  <c r="T572" i="1"/>
  <c r="U572" i="1" s="1"/>
  <c r="V572" i="1" s="1"/>
  <c r="S571" i="1"/>
  <c r="T571" i="1" s="1"/>
  <c r="U571" i="1" s="1"/>
  <c r="V571" i="1" s="1"/>
  <c r="S570" i="1"/>
  <c r="T570" i="1" s="1"/>
  <c r="U570" i="1" s="1"/>
  <c r="V570" i="1" s="1"/>
  <c r="S569" i="1"/>
  <c r="T569" i="1"/>
  <c r="U569" i="1" s="1"/>
  <c r="V569" i="1" s="1"/>
  <c r="S568" i="1"/>
  <c r="T568" i="1"/>
  <c r="U568" i="1" s="1"/>
  <c r="V568" i="1" s="1"/>
  <c r="S567" i="1"/>
  <c r="T567" i="1"/>
  <c r="U567" i="1" s="1"/>
  <c r="V567" i="1" s="1"/>
  <c r="S566" i="1"/>
  <c r="T566" i="1"/>
  <c r="U566" i="1" s="1"/>
  <c r="V566" i="1" s="1"/>
  <c r="S565" i="1"/>
  <c r="T565" i="1"/>
  <c r="U565" i="1" s="1"/>
  <c r="V565" i="1" s="1"/>
  <c r="S564" i="1"/>
  <c r="T564" i="1"/>
  <c r="U564" i="1" s="1"/>
  <c r="V564" i="1" s="1"/>
  <c r="S563" i="1"/>
  <c r="T563" i="1" s="1"/>
  <c r="U563" i="1" s="1"/>
  <c r="V563" i="1" s="1"/>
  <c r="S562" i="1"/>
  <c r="T562" i="1" s="1"/>
  <c r="U562" i="1" s="1"/>
  <c r="V562" i="1" s="1"/>
  <c r="S561" i="1"/>
  <c r="T561" i="1" s="1"/>
  <c r="U561" i="1" s="1"/>
  <c r="V561" i="1" s="1"/>
  <c r="S560" i="1"/>
  <c r="T560" i="1" s="1"/>
  <c r="U560" i="1" s="1"/>
  <c r="V560" i="1" s="1"/>
  <c r="S559" i="1"/>
  <c r="T559" i="1"/>
  <c r="U559" i="1" s="1"/>
  <c r="V559" i="1" s="1"/>
  <c r="S558" i="1"/>
  <c r="T558" i="1"/>
  <c r="U558" i="1" s="1"/>
  <c r="V558" i="1" s="1"/>
  <c r="S557" i="1"/>
  <c r="T557" i="1" s="1"/>
  <c r="U557" i="1" s="1"/>
  <c r="V557" i="1" s="1"/>
  <c r="S556" i="1"/>
  <c r="T556" i="1" s="1"/>
  <c r="U556" i="1" s="1"/>
  <c r="V556" i="1" s="1"/>
  <c r="S555" i="1"/>
  <c r="T555" i="1"/>
  <c r="U555" i="1" s="1"/>
  <c r="V555" i="1" s="1"/>
  <c r="S554" i="1"/>
  <c r="T554" i="1"/>
  <c r="U554" i="1" s="1"/>
  <c r="V554" i="1" s="1"/>
  <c r="S553" i="1"/>
  <c r="T553" i="1"/>
  <c r="U553" i="1" s="1"/>
  <c r="V553" i="1" s="1"/>
  <c r="S552" i="1"/>
  <c r="T552" i="1"/>
  <c r="U552" i="1" s="1"/>
  <c r="V552" i="1" s="1"/>
  <c r="S551" i="1"/>
  <c r="T551" i="1"/>
  <c r="U551" i="1" s="1"/>
  <c r="V551" i="1" s="1"/>
  <c r="S550" i="1"/>
  <c r="T550" i="1"/>
  <c r="U550" i="1" s="1"/>
  <c r="V550" i="1" s="1"/>
  <c r="S549" i="1"/>
  <c r="T549" i="1" s="1"/>
  <c r="U549" i="1" s="1"/>
  <c r="V549" i="1" s="1"/>
  <c r="S548" i="1"/>
  <c r="T548" i="1"/>
  <c r="U548" i="1" s="1"/>
  <c r="V548" i="1" s="1"/>
  <c r="S547" i="1"/>
  <c r="T547" i="1" s="1"/>
  <c r="U547" i="1" s="1"/>
  <c r="V547" i="1" s="1"/>
  <c r="S546" i="1"/>
  <c r="T546" i="1" s="1"/>
  <c r="U546" i="1" s="1"/>
  <c r="V546" i="1" s="1"/>
  <c r="S545" i="1"/>
  <c r="T545" i="1" s="1"/>
  <c r="U545" i="1" s="1"/>
  <c r="V545" i="1" s="1"/>
  <c r="S544" i="1"/>
  <c r="T544" i="1" s="1"/>
  <c r="U544" i="1" s="1"/>
  <c r="V544" i="1" s="1"/>
  <c r="S543" i="1"/>
  <c r="T543" i="1" s="1"/>
  <c r="U543" i="1" s="1"/>
  <c r="V543" i="1" s="1"/>
  <c r="S542" i="1"/>
  <c r="T542" i="1" s="1"/>
  <c r="U542" i="1" s="1"/>
  <c r="V542" i="1" s="1"/>
  <c r="S541" i="1"/>
  <c r="T541" i="1" s="1"/>
  <c r="U541" i="1" s="1"/>
  <c r="V541" i="1" s="1"/>
  <c r="S540" i="1"/>
  <c r="T540" i="1" s="1"/>
  <c r="U540" i="1" s="1"/>
  <c r="V540" i="1" s="1"/>
  <c r="S539" i="1"/>
  <c r="T539" i="1"/>
  <c r="U539" i="1" s="1"/>
  <c r="V539" i="1" s="1"/>
  <c r="S538" i="1"/>
  <c r="T538" i="1" s="1"/>
  <c r="U538" i="1" s="1"/>
  <c r="V538" i="1" s="1"/>
  <c r="S537" i="1"/>
  <c r="T537" i="1" s="1"/>
  <c r="U537" i="1" s="1"/>
  <c r="V537" i="1" s="1"/>
  <c r="S536" i="1"/>
  <c r="T536" i="1"/>
  <c r="U536" i="1" s="1"/>
  <c r="V536" i="1" s="1"/>
  <c r="S535" i="1"/>
  <c r="T535" i="1"/>
  <c r="U535" i="1" s="1"/>
  <c r="V535" i="1" s="1"/>
  <c r="S534" i="1"/>
  <c r="T534" i="1" s="1"/>
  <c r="U534" i="1" s="1"/>
  <c r="V534" i="1" s="1"/>
  <c r="S533" i="1"/>
  <c r="T533" i="1" s="1"/>
  <c r="U533" i="1" s="1"/>
  <c r="V533" i="1" s="1"/>
  <c r="S532" i="1"/>
  <c r="T532" i="1" s="1"/>
  <c r="U532" i="1" s="1"/>
  <c r="V532" i="1" s="1"/>
  <c r="S531" i="1"/>
  <c r="T531" i="1"/>
  <c r="U531" i="1" s="1"/>
  <c r="V531" i="1" s="1"/>
  <c r="S530" i="1"/>
  <c r="T530" i="1"/>
  <c r="U530" i="1" s="1"/>
  <c r="V530" i="1" s="1"/>
  <c r="S529" i="1"/>
  <c r="T529" i="1" s="1"/>
  <c r="U529" i="1" s="1"/>
  <c r="V529" i="1" s="1"/>
  <c r="S528" i="1"/>
  <c r="T528" i="1" s="1"/>
  <c r="U528" i="1" s="1"/>
  <c r="V528" i="1" s="1"/>
  <c r="S527" i="1"/>
  <c r="T527" i="1" s="1"/>
  <c r="U527" i="1" s="1"/>
  <c r="V527" i="1" s="1"/>
  <c r="S526" i="1"/>
  <c r="T526" i="1" s="1"/>
  <c r="U526" i="1" s="1"/>
  <c r="V526" i="1" s="1"/>
  <c r="S525" i="1"/>
  <c r="T525" i="1"/>
  <c r="U525" i="1" s="1"/>
  <c r="V525" i="1" s="1"/>
  <c r="S524" i="1"/>
  <c r="T524" i="1"/>
  <c r="U524" i="1" s="1"/>
  <c r="V524" i="1" s="1"/>
  <c r="S523" i="1"/>
  <c r="T523" i="1" s="1"/>
  <c r="U523" i="1" s="1"/>
  <c r="V523" i="1" s="1"/>
  <c r="S522" i="1"/>
  <c r="T522" i="1" s="1"/>
  <c r="U522" i="1" s="1"/>
  <c r="V522" i="1" s="1"/>
  <c r="S521" i="1"/>
  <c r="T521" i="1" s="1"/>
  <c r="U521" i="1" s="1"/>
  <c r="V521" i="1" s="1"/>
  <c r="S520" i="1"/>
  <c r="T520" i="1" s="1"/>
  <c r="U520" i="1" s="1"/>
  <c r="V520" i="1" s="1"/>
  <c r="S519" i="1"/>
  <c r="T519" i="1"/>
  <c r="U519" i="1" s="1"/>
  <c r="V519" i="1" s="1"/>
  <c r="S518" i="1"/>
  <c r="T518" i="1"/>
  <c r="U518" i="1" s="1"/>
  <c r="V518" i="1" s="1"/>
  <c r="S517" i="1"/>
  <c r="T517" i="1" s="1"/>
  <c r="U517" i="1" s="1"/>
  <c r="V517" i="1" s="1"/>
  <c r="S516" i="1"/>
  <c r="T516" i="1" s="1"/>
  <c r="U516" i="1" s="1"/>
  <c r="V516" i="1" s="1"/>
  <c r="S515" i="1"/>
  <c r="T515" i="1" s="1"/>
  <c r="U515" i="1" s="1"/>
  <c r="V515" i="1" s="1"/>
  <c r="S514" i="1"/>
  <c r="T514" i="1" s="1"/>
  <c r="U514" i="1" s="1"/>
  <c r="V514" i="1" s="1"/>
  <c r="S513" i="1"/>
  <c r="T513" i="1"/>
  <c r="U513" i="1" s="1"/>
  <c r="V513" i="1" s="1"/>
  <c r="S512" i="1"/>
  <c r="T512" i="1" s="1"/>
  <c r="U512" i="1" s="1"/>
  <c r="V512" i="1" s="1"/>
  <c r="S511" i="1"/>
  <c r="T511" i="1" s="1"/>
  <c r="U511" i="1" s="1"/>
  <c r="V511" i="1" s="1"/>
  <c r="S510" i="1"/>
  <c r="T510" i="1" s="1"/>
  <c r="U510" i="1" s="1"/>
  <c r="V510" i="1" s="1"/>
  <c r="S509" i="1"/>
  <c r="T509" i="1" s="1"/>
  <c r="U509" i="1" s="1"/>
  <c r="V509" i="1" s="1"/>
  <c r="S508" i="1"/>
  <c r="T508" i="1" s="1"/>
  <c r="U508" i="1" s="1"/>
  <c r="V508" i="1" s="1"/>
  <c r="S507" i="1"/>
  <c r="T507" i="1"/>
  <c r="U507" i="1" s="1"/>
  <c r="V507" i="1" s="1"/>
  <c r="S506" i="1"/>
  <c r="T506" i="1"/>
  <c r="U506" i="1" s="1"/>
  <c r="V506" i="1" s="1"/>
  <c r="S505" i="1"/>
  <c r="T505" i="1"/>
  <c r="U505" i="1" s="1"/>
  <c r="V505" i="1" s="1"/>
  <c r="S504" i="1"/>
  <c r="T504" i="1"/>
  <c r="U504" i="1" s="1"/>
  <c r="V504" i="1" s="1"/>
  <c r="S503" i="1"/>
  <c r="T503" i="1"/>
  <c r="U503" i="1" s="1"/>
  <c r="V503" i="1" s="1"/>
  <c r="S502" i="1"/>
  <c r="T502" i="1" s="1"/>
  <c r="U502" i="1" s="1"/>
  <c r="V502" i="1" s="1"/>
  <c r="S501" i="1"/>
  <c r="T501" i="1" s="1"/>
  <c r="U501" i="1" s="1"/>
  <c r="V501" i="1" s="1"/>
  <c r="S500" i="1"/>
  <c r="T500" i="1" s="1"/>
  <c r="U500" i="1" s="1"/>
  <c r="V500" i="1" s="1"/>
  <c r="S499" i="1"/>
  <c r="T499" i="1"/>
  <c r="U499" i="1" s="1"/>
  <c r="V499" i="1" s="1"/>
  <c r="S498" i="1"/>
  <c r="T498" i="1" s="1"/>
  <c r="U498" i="1" s="1"/>
  <c r="V498" i="1" s="1"/>
  <c r="S497" i="1"/>
  <c r="T497" i="1" s="1"/>
  <c r="U497" i="1" s="1"/>
  <c r="V497" i="1" s="1"/>
  <c r="S496" i="1"/>
  <c r="T496" i="1" s="1"/>
  <c r="U496" i="1" s="1"/>
  <c r="V496" i="1" s="1"/>
  <c r="S495" i="1"/>
  <c r="T495" i="1" s="1"/>
  <c r="U495" i="1" s="1"/>
  <c r="V495" i="1" s="1"/>
  <c r="S494" i="1"/>
  <c r="T494" i="1" s="1"/>
  <c r="U494" i="1" s="1"/>
  <c r="V494" i="1" s="1"/>
  <c r="S493" i="1"/>
  <c r="T493" i="1" s="1"/>
  <c r="U493" i="1" s="1"/>
  <c r="V493" i="1" s="1"/>
  <c r="S492" i="1"/>
  <c r="T492" i="1"/>
  <c r="U492" i="1" s="1"/>
  <c r="V492" i="1" s="1"/>
  <c r="S491" i="1"/>
  <c r="T491" i="1" s="1"/>
  <c r="U491" i="1" s="1"/>
  <c r="V491" i="1" s="1"/>
  <c r="S490" i="1"/>
  <c r="T490" i="1"/>
  <c r="U490" i="1" s="1"/>
  <c r="V490" i="1" s="1"/>
  <c r="S489" i="1"/>
  <c r="T489" i="1" s="1"/>
  <c r="U489" i="1" s="1"/>
  <c r="V489" i="1" s="1"/>
  <c r="S488" i="1"/>
  <c r="T488" i="1" s="1"/>
  <c r="U488" i="1" s="1"/>
  <c r="V488" i="1" s="1"/>
  <c r="S487" i="1"/>
  <c r="T487" i="1" s="1"/>
  <c r="U487" i="1" s="1"/>
  <c r="V487" i="1" s="1"/>
  <c r="S486" i="1"/>
  <c r="T486" i="1" s="1"/>
  <c r="U486" i="1" s="1"/>
  <c r="V486" i="1" s="1"/>
  <c r="S485" i="1"/>
  <c r="T485" i="1"/>
  <c r="U485" i="1" s="1"/>
  <c r="V485" i="1" s="1"/>
  <c r="S484" i="1"/>
  <c r="T484" i="1"/>
  <c r="U484" i="1" s="1"/>
  <c r="V484" i="1" s="1"/>
  <c r="S483" i="1"/>
  <c r="T483" i="1" s="1"/>
  <c r="U483" i="1" s="1"/>
  <c r="V483" i="1" s="1"/>
  <c r="S482" i="1"/>
  <c r="T482" i="1"/>
  <c r="U482" i="1" s="1"/>
  <c r="V482" i="1" s="1"/>
  <c r="S481" i="1"/>
  <c r="T481" i="1" s="1"/>
  <c r="U481" i="1" s="1"/>
  <c r="V481" i="1" s="1"/>
  <c r="S480" i="1"/>
  <c r="T480" i="1" s="1"/>
  <c r="U480" i="1" s="1"/>
  <c r="V480" i="1" s="1"/>
  <c r="S479" i="1"/>
  <c r="T479" i="1"/>
  <c r="U479" i="1" s="1"/>
  <c r="V479" i="1" s="1"/>
  <c r="S478" i="1"/>
  <c r="T478" i="1" s="1"/>
  <c r="U478" i="1" s="1"/>
  <c r="V478" i="1" s="1"/>
  <c r="S477" i="1"/>
  <c r="T477" i="1" s="1"/>
  <c r="U477" i="1" s="1"/>
  <c r="V477" i="1" s="1"/>
  <c r="S476" i="1"/>
  <c r="T476" i="1"/>
  <c r="U476" i="1" s="1"/>
  <c r="V476" i="1" s="1"/>
  <c r="S475" i="1"/>
  <c r="T475" i="1" s="1"/>
  <c r="U475" i="1" s="1"/>
  <c r="V475" i="1" s="1"/>
  <c r="S474" i="1"/>
  <c r="T474" i="1" s="1"/>
  <c r="U474" i="1" s="1"/>
  <c r="V474" i="1" s="1"/>
  <c r="S473" i="1"/>
  <c r="T473" i="1" s="1"/>
  <c r="U473" i="1" s="1"/>
  <c r="V473" i="1" s="1"/>
  <c r="S472" i="1"/>
  <c r="T472" i="1"/>
  <c r="U472" i="1" s="1"/>
  <c r="V472" i="1" s="1"/>
  <c r="S471" i="1"/>
  <c r="T471" i="1"/>
  <c r="U471" i="1" s="1"/>
  <c r="V471" i="1" s="1"/>
  <c r="S470" i="1"/>
  <c r="T470" i="1"/>
  <c r="U470" i="1" s="1"/>
  <c r="V470" i="1" s="1"/>
  <c r="S469" i="1"/>
  <c r="T469" i="1"/>
  <c r="U469" i="1" s="1"/>
  <c r="V469" i="1" s="1"/>
  <c r="S468" i="1"/>
  <c r="T468" i="1"/>
  <c r="U468" i="1" s="1"/>
  <c r="V468" i="1" s="1"/>
  <c r="S467" i="1"/>
  <c r="T467" i="1" s="1"/>
  <c r="U467" i="1" s="1"/>
  <c r="V467" i="1" s="1"/>
  <c r="S466" i="1"/>
  <c r="T466" i="1" s="1"/>
  <c r="U466" i="1" s="1"/>
  <c r="V466" i="1" s="1"/>
  <c r="S465" i="1"/>
  <c r="T465" i="1" s="1"/>
  <c r="U465" i="1" s="1"/>
  <c r="V465" i="1" s="1"/>
  <c r="S464" i="1"/>
  <c r="T464" i="1" s="1"/>
  <c r="U464" i="1" s="1"/>
  <c r="V464" i="1" s="1"/>
  <c r="S463" i="1"/>
  <c r="T463" i="1" s="1"/>
  <c r="U463" i="1" s="1"/>
  <c r="V463" i="1" s="1"/>
  <c r="S462" i="1"/>
  <c r="T462" i="1" s="1"/>
  <c r="U462" i="1" s="1"/>
  <c r="V462" i="1" s="1"/>
  <c r="S461" i="1"/>
  <c r="T461" i="1" s="1"/>
  <c r="U461" i="1" s="1"/>
  <c r="V461" i="1" s="1"/>
  <c r="S460" i="1"/>
  <c r="T460" i="1" s="1"/>
  <c r="U460" i="1" s="1"/>
  <c r="V460" i="1" s="1"/>
  <c r="S459" i="1"/>
  <c r="T459" i="1" s="1"/>
  <c r="U459" i="1" s="1"/>
  <c r="V459" i="1" s="1"/>
  <c r="S458" i="1"/>
  <c r="T458" i="1" s="1"/>
  <c r="U458" i="1" s="1"/>
  <c r="V458" i="1" s="1"/>
  <c r="S457" i="1"/>
  <c r="T457" i="1" s="1"/>
  <c r="U457" i="1" s="1"/>
  <c r="V457" i="1" s="1"/>
  <c r="S456" i="1"/>
  <c r="T456" i="1" s="1"/>
  <c r="U456" i="1" s="1"/>
  <c r="V456" i="1" s="1"/>
  <c r="S455" i="1"/>
  <c r="T455" i="1" s="1"/>
  <c r="U455" i="1" s="1"/>
  <c r="V455" i="1" s="1"/>
  <c r="S454" i="1"/>
  <c r="T454" i="1" s="1"/>
  <c r="U454" i="1" s="1"/>
  <c r="V454" i="1" s="1"/>
  <c r="S453" i="1"/>
  <c r="T453" i="1" s="1"/>
  <c r="U453" i="1" s="1"/>
  <c r="V453" i="1" s="1"/>
  <c r="S452" i="1"/>
  <c r="T452" i="1" s="1"/>
  <c r="U452" i="1" s="1"/>
  <c r="V452" i="1" s="1"/>
  <c r="S451" i="1"/>
  <c r="T451" i="1" s="1"/>
  <c r="U451" i="1" s="1"/>
  <c r="V451" i="1" s="1"/>
  <c r="S450" i="1"/>
  <c r="T450" i="1" s="1"/>
  <c r="U450" i="1" s="1"/>
  <c r="V450" i="1" s="1"/>
  <c r="S449" i="1"/>
  <c r="T449" i="1" s="1"/>
  <c r="U449" i="1" s="1"/>
  <c r="V449" i="1" s="1"/>
  <c r="S448" i="1"/>
  <c r="T448" i="1" s="1"/>
  <c r="U448" i="1" s="1"/>
  <c r="V448" i="1" s="1"/>
  <c r="S447" i="1"/>
  <c r="T447" i="1" s="1"/>
  <c r="U447" i="1" s="1"/>
  <c r="V447" i="1" s="1"/>
  <c r="S446" i="1"/>
  <c r="T446" i="1" s="1"/>
  <c r="U446" i="1" s="1"/>
  <c r="V446" i="1" s="1"/>
  <c r="S445" i="1"/>
  <c r="T445" i="1" s="1"/>
  <c r="U445" i="1" s="1"/>
  <c r="V445" i="1" s="1"/>
  <c r="S444" i="1"/>
  <c r="T444" i="1" s="1"/>
  <c r="U444" i="1" s="1"/>
  <c r="V444" i="1" s="1"/>
  <c r="S443" i="1"/>
  <c r="T443" i="1"/>
  <c r="U443" i="1" s="1"/>
  <c r="V443" i="1" s="1"/>
  <c r="S442" i="1"/>
  <c r="T442" i="1" s="1"/>
  <c r="U442" i="1" s="1"/>
  <c r="V442" i="1" s="1"/>
  <c r="S441" i="1"/>
  <c r="T441" i="1" s="1"/>
  <c r="U441" i="1" s="1"/>
  <c r="V441" i="1" s="1"/>
  <c r="S440" i="1"/>
  <c r="T440" i="1"/>
  <c r="U440" i="1" s="1"/>
  <c r="V440" i="1" s="1"/>
  <c r="S439" i="1"/>
  <c r="T439" i="1" s="1"/>
  <c r="U439" i="1" s="1"/>
  <c r="V439" i="1" s="1"/>
  <c r="S438" i="1"/>
  <c r="T438" i="1" s="1"/>
  <c r="U438" i="1" s="1"/>
  <c r="V438" i="1" s="1"/>
  <c r="S437" i="1"/>
  <c r="T437" i="1" s="1"/>
  <c r="U437" i="1" s="1"/>
  <c r="V437" i="1" s="1"/>
  <c r="S436" i="1"/>
  <c r="T436" i="1" s="1"/>
  <c r="U436" i="1" s="1"/>
  <c r="V436" i="1" s="1"/>
  <c r="S435" i="1"/>
  <c r="T435" i="1"/>
  <c r="U435" i="1" s="1"/>
  <c r="V435" i="1" s="1"/>
  <c r="S434" i="1"/>
  <c r="T434" i="1" s="1"/>
  <c r="U434" i="1" s="1"/>
  <c r="V434" i="1" s="1"/>
  <c r="S433" i="1"/>
  <c r="T433" i="1"/>
  <c r="U433" i="1" s="1"/>
  <c r="V433" i="1" s="1"/>
  <c r="S432" i="1"/>
  <c r="T432" i="1"/>
  <c r="U432" i="1" s="1"/>
  <c r="V432" i="1" s="1"/>
  <c r="S431" i="1"/>
  <c r="T431" i="1"/>
  <c r="U431" i="1" s="1"/>
  <c r="V431" i="1" s="1"/>
  <c r="S430" i="1"/>
  <c r="T430" i="1" s="1"/>
  <c r="U430" i="1" s="1"/>
  <c r="V430" i="1" s="1"/>
  <c r="S429" i="1"/>
  <c r="T429" i="1" s="1"/>
  <c r="U429" i="1" s="1"/>
  <c r="V429" i="1" s="1"/>
  <c r="S428" i="1"/>
  <c r="T428" i="1" s="1"/>
  <c r="U428" i="1" s="1"/>
  <c r="V428" i="1" s="1"/>
  <c r="S427" i="1"/>
  <c r="T427" i="1" s="1"/>
  <c r="U427" i="1" s="1"/>
  <c r="V427" i="1" s="1"/>
  <c r="S426" i="1"/>
  <c r="T426" i="1" s="1"/>
  <c r="U426" i="1" s="1"/>
  <c r="V426" i="1" s="1"/>
  <c r="S425" i="1"/>
  <c r="T425" i="1"/>
  <c r="U425" i="1" s="1"/>
  <c r="V425" i="1" s="1"/>
  <c r="S424" i="1"/>
  <c r="T424" i="1"/>
  <c r="U424" i="1" s="1"/>
  <c r="V424" i="1" s="1"/>
  <c r="S423" i="1"/>
  <c r="T423" i="1"/>
  <c r="U423" i="1" s="1"/>
  <c r="V423" i="1" s="1"/>
  <c r="S422" i="1"/>
  <c r="T422" i="1"/>
  <c r="U422" i="1" s="1"/>
  <c r="V422" i="1" s="1"/>
  <c r="S421" i="1"/>
  <c r="T421" i="1"/>
  <c r="U421" i="1" s="1"/>
  <c r="V421" i="1" s="1"/>
  <c r="S420" i="1"/>
  <c r="T420" i="1"/>
  <c r="U420" i="1" s="1"/>
  <c r="V420" i="1" s="1"/>
  <c r="S419" i="1"/>
  <c r="T419" i="1"/>
  <c r="U419" i="1" s="1"/>
  <c r="V419" i="1" s="1"/>
  <c r="S418" i="1"/>
  <c r="T418" i="1" s="1"/>
  <c r="U418" i="1" s="1"/>
  <c r="V418" i="1" s="1"/>
  <c r="S417" i="1"/>
  <c r="T417" i="1" s="1"/>
  <c r="U417" i="1" s="1"/>
  <c r="V417" i="1" s="1"/>
  <c r="S416" i="1"/>
  <c r="T416" i="1"/>
  <c r="U416" i="1" s="1"/>
  <c r="V416" i="1" s="1"/>
  <c r="S415" i="1"/>
  <c r="T415" i="1"/>
  <c r="U415" i="1" s="1"/>
  <c r="V415" i="1" s="1"/>
  <c r="S414" i="1"/>
  <c r="T414" i="1"/>
  <c r="U414" i="1" s="1"/>
  <c r="V414" i="1" s="1"/>
  <c r="S413" i="1"/>
  <c r="T413" i="1"/>
  <c r="U413" i="1" s="1"/>
  <c r="V413" i="1" s="1"/>
  <c r="S412" i="1"/>
  <c r="T412" i="1" s="1"/>
  <c r="U412" i="1" s="1"/>
  <c r="V412" i="1" s="1"/>
  <c r="S411" i="1"/>
  <c r="T411" i="1"/>
  <c r="U411" i="1" s="1"/>
  <c r="V411" i="1" s="1"/>
  <c r="S410" i="1"/>
  <c r="T410" i="1" s="1"/>
  <c r="U410" i="1" s="1"/>
  <c r="V410" i="1" s="1"/>
  <c r="S409" i="1"/>
  <c r="T409" i="1" s="1"/>
  <c r="U409" i="1" s="1"/>
  <c r="V409" i="1" s="1"/>
  <c r="S408" i="1"/>
  <c r="T408" i="1" s="1"/>
  <c r="U408" i="1" s="1"/>
  <c r="V408" i="1" s="1"/>
  <c r="S407" i="1"/>
  <c r="T407" i="1"/>
  <c r="U407" i="1" s="1"/>
  <c r="V407" i="1" s="1"/>
  <c r="S406" i="1"/>
  <c r="T406" i="1" s="1"/>
  <c r="U406" i="1" s="1"/>
  <c r="V406" i="1" s="1"/>
  <c r="S405" i="1"/>
  <c r="T405" i="1" s="1"/>
  <c r="U405" i="1" s="1"/>
  <c r="V405" i="1" s="1"/>
  <c r="S404" i="1"/>
  <c r="T404" i="1" s="1"/>
  <c r="U404" i="1" s="1"/>
  <c r="V404" i="1" s="1"/>
  <c r="S403" i="1"/>
  <c r="T403" i="1"/>
  <c r="U403" i="1" s="1"/>
  <c r="V403" i="1" s="1"/>
  <c r="S402" i="1"/>
  <c r="T402" i="1"/>
  <c r="U402" i="1" s="1"/>
  <c r="V402" i="1" s="1"/>
  <c r="S401" i="1"/>
  <c r="T401" i="1"/>
  <c r="U401" i="1" s="1"/>
  <c r="V401" i="1" s="1"/>
  <c r="S400" i="1"/>
  <c r="T400" i="1"/>
  <c r="U400" i="1" s="1"/>
  <c r="V400" i="1" s="1"/>
  <c r="S399" i="1"/>
  <c r="T399" i="1" s="1"/>
  <c r="U399" i="1" s="1"/>
  <c r="V399" i="1" s="1"/>
  <c r="S398" i="1"/>
  <c r="T398" i="1"/>
  <c r="U398" i="1" s="1"/>
  <c r="V398" i="1" s="1"/>
  <c r="S397" i="1"/>
  <c r="T397" i="1"/>
  <c r="U397" i="1" s="1"/>
  <c r="V397" i="1" s="1"/>
  <c r="S396" i="1"/>
  <c r="T396" i="1"/>
  <c r="U396" i="1" s="1"/>
  <c r="V396" i="1" s="1"/>
  <c r="S395" i="1"/>
  <c r="T395" i="1"/>
  <c r="U395" i="1" s="1"/>
  <c r="V395" i="1" s="1"/>
  <c r="S394" i="1"/>
  <c r="T394" i="1"/>
  <c r="U394" i="1" s="1"/>
  <c r="V394" i="1" s="1"/>
  <c r="S393" i="1"/>
  <c r="T393" i="1"/>
  <c r="U393" i="1" s="1"/>
  <c r="V393" i="1" s="1"/>
  <c r="S392" i="1"/>
  <c r="T392" i="1" s="1"/>
  <c r="U392" i="1" s="1"/>
  <c r="V392" i="1" s="1"/>
  <c r="S391" i="1"/>
  <c r="T391" i="1" s="1"/>
  <c r="U391" i="1" s="1"/>
  <c r="V391" i="1" s="1"/>
  <c r="S390" i="1"/>
  <c r="T390" i="1" s="1"/>
  <c r="U390" i="1" s="1"/>
  <c r="V390" i="1" s="1"/>
  <c r="S389" i="1"/>
  <c r="T389" i="1" s="1"/>
  <c r="U389" i="1" s="1"/>
  <c r="V389" i="1" s="1"/>
  <c r="S388" i="1"/>
  <c r="T388" i="1" s="1"/>
  <c r="U388" i="1" s="1"/>
  <c r="V388" i="1" s="1"/>
  <c r="S387" i="1"/>
  <c r="T387" i="1" s="1"/>
  <c r="U387" i="1" s="1"/>
  <c r="V387" i="1" s="1"/>
  <c r="S386" i="1"/>
  <c r="T386" i="1" s="1"/>
  <c r="U386" i="1" s="1"/>
  <c r="V386" i="1" s="1"/>
  <c r="S385" i="1"/>
  <c r="T385" i="1"/>
  <c r="U385" i="1" s="1"/>
  <c r="V385" i="1" s="1"/>
  <c r="S384" i="1"/>
  <c r="T384" i="1" s="1"/>
  <c r="U384" i="1" s="1"/>
  <c r="V384" i="1" s="1"/>
  <c r="S383" i="1"/>
  <c r="T383" i="1" s="1"/>
  <c r="U383" i="1" s="1"/>
  <c r="V383" i="1" s="1"/>
  <c r="S382" i="1"/>
  <c r="T382" i="1"/>
  <c r="U382" i="1" s="1"/>
  <c r="V382" i="1" s="1"/>
  <c r="S381" i="1"/>
  <c r="T381" i="1" s="1"/>
  <c r="U381" i="1" s="1"/>
  <c r="V381" i="1" s="1"/>
  <c r="S380" i="1"/>
  <c r="T380" i="1" s="1"/>
  <c r="U380" i="1" s="1"/>
  <c r="V380" i="1" s="1"/>
  <c r="S379" i="1"/>
  <c r="T379" i="1"/>
  <c r="U379" i="1" s="1"/>
  <c r="V379" i="1" s="1"/>
  <c r="S378" i="1"/>
  <c r="T378" i="1"/>
  <c r="U378" i="1" s="1"/>
  <c r="V378" i="1" s="1"/>
  <c r="S377" i="1"/>
  <c r="T377" i="1"/>
  <c r="U377" i="1" s="1"/>
  <c r="V377" i="1" s="1"/>
  <c r="S376" i="1"/>
  <c r="T376" i="1"/>
  <c r="U376" i="1" s="1"/>
  <c r="V376" i="1" s="1"/>
  <c r="S375" i="1"/>
  <c r="T375" i="1" s="1"/>
  <c r="U375" i="1" s="1"/>
  <c r="V375" i="1" s="1"/>
  <c r="S374" i="1"/>
  <c r="T374" i="1" s="1"/>
  <c r="U374" i="1" s="1"/>
  <c r="V374" i="1" s="1"/>
  <c r="S373" i="1"/>
  <c r="T373" i="1" s="1"/>
  <c r="U373" i="1" s="1"/>
  <c r="V373" i="1" s="1"/>
  <c r="S372" i="1"/>
  <c r="T372" i="1"/>
  <c r="U372" i="1" s="1"/>
  <c r="V372" i="1" s="1"/>
  <c r="S371" i="1"/>
  <c r="T371" i="1" s="1"/>
  <c r="U371" i="1" s="1"/>
  <c r="V371" i="1" s="1"/>
  <c r="S370" i="1"/>
  <c r="T370" i="1" s="1"/>
  <c r="U370" i="1" s="1"/>
  <c r="V370" i="1" s="1"/>
  <c r="S369" i="1"/>
  <c r="T369" i="1"/>
  <c r="U369" i="1" s="1"/>
  <c r="V369" i="1" s="1"/>
  <c r="S368" i="1"/>
  <c r="T368" i="1" s="1"/>
  <c r="U368" i="1" s="1"/>
  <c r="V368" i="1" s="1"/>
  <c r="S367" i="1"/>
  <c r="T367" i="1"/>
  <c r="U367" i="1" s="1"/>
  <c r="V367" i="1" s="1"/>
  <c r="S366" i="1"/>
  <c r="T366" i="1" s="1"/>
  <c r="U366" i="1" s="1"/>
  <c r="V366" i="1" s="1"/>
  <c r="S365" i="1"/>
  <c r="T365" i="1" s="1"/>
  <c r="U365" i="1" s="1"/>
  <c r="V365" i="1" s="1"/>
  <c r="S364" i="1"/>
  <c r="T364" i="1" s="1"/>
  <c r="U364" i="1" s="1"/>
  <c r="V364" i="1" s="1"/>
  <c r="S363" i="1"/>
  <c r="T363" i="1"/>
  <c r="U363" i="1" s="1"/>
  <c r="V363" i="1" s="1"/>
  <c r="S362" i="1"/>
  <c r="T362" i="1"/>
  <c r="U362" i="1" s="1"/>
  <c r="V362" i="1" s="1"/>
  <c r="S361" i="1"/>
  <c r="T361" i="1"/>
  <c r="U361" i="1" s="1"/>
  <c r="V361" i="1" s="1"/>
  <c r="S360" i="1"/>
  <c r="T360" i="1" s="1"/>
  <c r="U360" i="1" s="1"/>
  <c r="V360" i="1" s="1"/>
  <c r="S359" i="1"/>
  <c r="T359" i="1"/>
  <c r="U359" i="1" s="1"/>
  <c r="V359" i="1" s="1"/>
  <c r="S358" i="1"/>
  <c r="T358" i="1" s="1"/>
  <c r="U358" i="1" s="1"/>
  <c r="V358" i="1" s="1"/>
  <c r="S357" i="1"/>
  <c r="T357" i="1" s="1"/>
  <c r="U357" i="1" s="1"/>
  <c r="V357" i="1" s="1"/>
  <c r="S356" i="1"/>
  <c r="T356" i="1"/>
  <c r="U356" i="1" s="1"/>
  <c r="V356" i="1" s="1"/>
  <c r="S355" i="1"/>
  <c r="T355" i="1"/>
  <c r="U355" i="1" s="1"/>
  <c r="V355" i="1" s="1"/>
  <c r="S354" i="1"/>
  <c r="T354" i="1" s="1"/>
  <c r="U354" i="1" s="1"/>
  <c r="V354" i="1" s="1"/>
  <c r="S353" i="1"/>
  <c r="T353" i="1" s="1"/>
  <c r="U353" i="1" s="1"/>
  <c r="V353" i="1" s="1"/>
  <c r="S352" i="1"/>
  <c r="T352" i="1"/>
  <c r="U352" i="1" s="1"/>
  <c r="V352" i="1" s="1"/>
  <c r="S351" i="1"/>
  <c r="T351" i="1" s="1"/>
  <c r="U351" i="1" s="1"/>
  <c r="V351" i="1" s="1"/>
  <c r="S350" i="1"/>
  <c r="T350" i="1" s="1"/>
  <c r="U350" i="1" s="1"/>
  <c r="V350" i="1" s="1"/>
  <c r="S349" i="1"/>
  <c r="T349" i="1" s="1"/>
  <c r="U349" i="1" s="1"/>
  <c r="V349" i="1" s="1"/>
  <c r="S348" i="1"/>
  <c r="T348" i="1" s="1"/>
  <c r="U348" i="1" s="1"/>
  <c r="V348" i="1" s="1"/>
  <c r="S347" i="1"/>
  <c r="T347" i="1" s="1"/>
  <c r="U347" i="1" s="1"/>
  <c r="V347" i="1" s="1"/>
  <c r="S346" i="1"/>
  <c r="T346" i="1" s="1"/>
  <c r="U346" i="1" s="1"/>
  <c r="V346" i="1" s="1"/>
  <c r="S345" i="1"/>
  <c r="T345" i="1" s="1"/>
  <c r="U345" i="1" s="1"/>
  <c r="V345" i="1" s="1"/>
  <c r="S344" i="1"/>
  <c r="T344" i="1"/>
  <c r="U344" i="1" s="1"/>
  <c r="V344" i="1" s="1"/>
  <c r="S343" i="1"/>
  <c r="T343" i="1" s="1"/>
  <c r="U343" i="1" s="1"/>
  <c r="V343" i="1" s="1"/>
  <c r="S342" i="1"/>
  <c r="T342" i="1"/>
  <c r="U342" i="1" s="1"/>
  <c r="V342" i="1" s="1"/>
  <c r="S341" i="1"/>
  <c r="T341" i="1"/>
  <c r="U341" i="1" s="1"/>
  <c r="V341" i="1" s="1"/>
  <c r="S340" i="1"/>
  <c r="T340" i="1"/>
  <c r="U340" i="1" s="1"/>
  <c r="V340" i="1" s="1"/>
  <c r="S339" i="1"/>
  <c r="T339" i="1" s="1"/>
  <c r="U339" i="1" s="1"/>
  <c r="V339" i="1" s="1"/>
  <c r="S338" i="1"/>
  <c r="T338" i="1"/>
  <c r="U338" i="1" s="1"/>
  <c r="V338" i="1" s="1"/>
  <c r="S337" i="1"/>
  <c r="T337" i="1" s="1"/>
  <c r="U337" i="1" s="1"/>
  <c r="V337" i="1" s="1"/>
  <c r="S336" i="1"/>
  <c r="T336" i="1"/>
  <c r="U336" i="1" s="1"/>
  <c r="V336" i="1" s="1"/>
  <c r="S335" i="1"/>
  <c r="T335" i="1"/>
  <c r="U335" i="1" s="1"/>
  <c r="V335" i="1" s="1"/>
  <c r="S334" i="1"/>
  <c r="T334" i="1"/>
  <c r="U334" i="1" s="1"/>
  <c r="V334" i="1" s="1"/>
  <c r="S333" i="1"/>
  <c r="T333" i="1"/>
  <c r="U333" i="1" s="1"/>
  <c r="V333" i="1" s="1"/>
  <c r="S332" i="1"/>
  <c r="T332" i="1"/>
  <c r="U332" i="1" s="1"/>
  <c r="V332" i="1" s="1"/>
  <c r="S331" i="1"/>
  <c r="T331" i="1" s="1"/>
  <c r="U331" i="1" s="1"/>
  <c r="V331" i="1" s="1"/>
  <c r="S330" i="1"/>
  <c r="T330" i="1" s="1"/>
  <c r="U330" i="1" s="1"/>
  <c r="V330" i="1" s="1"/>
  <c r="S329" i="1"/>
  <c r="T329" i="1" s="1"/>
  <c r="U329" i="1" s="1"/>
  <c r="V329" i="1" s="1"/>
  <c r="S328" i="1"/>
  <c r="T328" i="1"/>
  <c r="U328" i="1" s="1"/>
  <c r="V328" i="1" s="1"/>
  <c r="S327" i="1"/>
  <c r="T327" i="1"/>
  <c r="U327" i="1" s="1"/>
  <c r="V327" i="1" s="1"/>
  <c r="S326" i="1"/>
  <c r="T326" i="1" s="1"/>
  <c r="U326" i="1" s="1"/>
  <c r="V326" i="1" s="1"/>
  <c r="S325" i="1"/>
  <c r="T325" i="1" s="1"/>
  <c r="U325" i="1" s="1"/>
  <c r="V325" i="1" s="1"/>
  <c r="S324" i="1"/>
  <c r="T324" i="1"/>
  <c r="U324" i="1" s="1"/>
  <c r="V324" i="1" s="1"/>
  <c r="S323" i="1"/>
  <c r="T323" i="1" s="1"/>
  <c r="U323" i="1" s="1"/>
  <c r="V323" i="1" s="1"/>
  <c r="S322" i="1"/>
  <c r="T322" i="1" s="1"/>
  <c r="U322" i="1" s="1"/>
  <c r="V322" i="1" s="1"/>
  <c r="S321" i="1"/>
  <c r="T321" i="1" s="1"/>
  <c r="U321" i="1" s="1"/>
  <c r="V321" i="1" s="1"/>
  <c r="S320" i="1"/>
  <c r="T320" i="1" s="1"/>
  <c r="U320" i="1" s="1"/>
  <c r="V320" i="1" s="1"/>
  <c r="S319" i="1"/>
  <c r="T319" i="1" s="1"/>
  <c r="U319" i="1" s="1"/>
  <c r="V319" i="1" s="1"/>
  <c r="S318" i="1"/>
  <c r="T318" i="1" s="1"/>
  <c r="U318" i="1" s="1"/>
  <c r="V318" i="1" s="1"/>
  <c r="S317" i="1"/>
  <c r="T317" i="1"/>
  <c r="U317" i="1" s="1"/>
  <c r="V317" i="1" s="1"/>
  <c r="S316" i="1"/>
  <c r="T316" i="1" s="1"/>
  <c r="U316" i="1" s="1"/>
  <c r="V316" i="1" s="1"/>
  <c r="S315" i="1"/>
  <c r="T315" i="1" s="1"/>
  <c r="U315" i="1" s="1"/>
  <c r="V315" i="1" s="1"/>
  <c r="S314" i="1"/>
  <c r="T314" i="1" s="1"/>
  <c r="U314" i="1" s="1"/>
  <c r="V314" i="1" s="1"/>
  <c r="S313" i="1"/>
  <c r="T313" i="1" s="1"/>
  <c r="U313" i="1" s="1"/>
  <c r="V313" i="1" s="1"/>
  <c r="S312" i="1"/>
  <c r="T312" i="1" s="1"/>
  <c r="U312" i="1" s="1"/>
  <c r="V312" i="1" s="1"/>
  <c r="S311" i="1"/>
  <c r="T311" i="1" s="1"/>
  <c r="U311" i="1" s="1"/>
  <c r="V311" i="1" s="1"/>
  <c r="S310" i="1"/>
  <c r="T310" i="1" s="1"/>
  <c r="U310" i="1" s="1"/>
  <c r="V310" i="1" s="1"/>
  <c r="S309" i="1"/>
  <c r="T309" i="1"/>
  <c r="U309" i="1" s="1"/>
  <c r="V309" i="1" s="1"/>
  <c r="S308" i="1"/>
  <c r="T308" i="1" s="1"/>
  <c r="U308" i="1" s="1"/>
  <c r="V308" i="1" s="1"/>
  <c r="S307" i="1"/>
  <c r="T307" i="1" s="1"/>
  <c r="U307" i="1" s="1"/>
  <c r="V307" i="1" s="1"/>
  <c r="S306" i="1"/>
  <c r="T306" i="1" s="1"/>
  <c r="U306" i="1" s="1"/>
  <c r="V306" i="1" s="1"/>
  <c r="S305" i="1"/>
  <c r="T305" i="1"/>
  <c r="U305" i="1" s="1"/>
  <c r="V305" i="1" s="1"/>
  <c r="T304" i="1"/>
  <c r="U304" i="1" s="1"/>
  <c r="V304" i="1" s="1"/>
  <c r="S304" i="1"/>
  <c r="S303" i="1"/>
  <c r="T303" i="1" s="1"/>
  <c r="U303" i="1" s="1"/>
  <c r="V303" i="1" s="1"/>
  <c r="S302" i="1"/>
  <c r="T302" i="1" s="1"/>
  <c r="U302" i="1" s="1"/>
  <c r="V302" i="1" s="1"/>
  <c r="S301" i="1"/>
  <c r="T301" i="1" s="1"/>
  <c r="U301" i="1" s="1"/>
  <c r="V301" i="1" s="1"/>
  <c r="S300" i="1"/>
  <c r="T300" i="1"/>
  <c r="U300" i="1" s="1"/>
  <c r="V300" i="1" s="1"/>
  <c r="S299" i="1"/>
  <c r="T299" i="1"/>
  <c r="U299" i="1" s="1"/>
  <c r="V299" i="1" s="1"/>
  <c r="S298" i="1"/>
  <c r="T298" i="1"/>
  <c r="U298" i="1" s="1"/>
  <c r="V298" i="1" s="1"/>
  <c r="S297" i="1"/>
  <c r="T297" i="1"/>
  <c r="U297" i="1" s="1"/>
  <c r="V297" i="1" s="1"/>
  <c r="S296" i="1"/>
  <c r="T296" i="1" s="1"/>
  <c r="U296" i="1" s="1"/>
  <c r="V296" i="1" s="1"/>
  <c r="S295" i="1"/>
  <c r="T295" i="1" s="1"/>
  <c r="U295" i="1" s="1"/>
  <c r="V295" i="1" s="1"/>
  <c r="S294" i="1"/>
  <c r="T294" i="1" s="1"/>
  <c r="U294" i="1" s="1"/>
  <c r="V294" i="1" s="1"/>
  <c r="S293" i="1"/>
  <c r="T293" i="1" s="1"/>
  <c r="U293" i="1" s="1"/>
  <c r="V293" i="1" s="1"/>
  <c r="S292" i="1"/>
  <c r="T292" i="1" s="1"/>
  <c r="U292" i="1" s="1"/>
  <c r="V292" i="1" s="1"/>
  <c r="S291" i="1"/>
  <c r="T291" i="1" s="1"/>
  <c r="U291" i="1" s="1"/>
  <c r="V291" i="1" s="1"/>
  <c r="S290" i="1"/>
  <c r="T290" i="1"/>
  <c r="U290" i="1" s="1"/>
  <c r="V290" i="1" s="1"/>
  <c r="S289" i="1"/>
  <c r="T289" i="1" s="1"/>
  <c r="U289" i="1" s="1"/>
  <c r="V289" i="1" s="1"/>
  <c r="S288" i="1"/>
  <c r="T288" i="1" s="1"/>
  <c r="U288" i="1" s="1"/>
  <c r="V288" i="1" s="1"/>
  <c r="S287" i="1"/>
  <c r="T287" i="1"/>
  <c r="U287" i="1" s="1"/>
  <c r="V287" i="1" s="1"/>
  <c r="S286" i="1"/>
  <c r="T286" i="1" s="1"/>
  <c r="U286" i="1" s="1"/>
  <c r="V286" i="1" s="1"/>
  <c r="S285" i="1"/>
  <c r="T285" i="1" s="1"/>
  <c r="U285" i="1" s="1"/>
  <c r="V285" i="1" s="1"/>
  <c r="S284" i="1"/>
  <c r="T284" i="1" s="1"/>
  <c r="U284" i="1" s="1"/>
  <c r="V284" i="1" s="1"/>
  <c r="S283" i="1"/>
  <c r="T283" i="1" s="1"/>
  <c r="U283" i="1" s="1"/>
  <c r="V283" i="1" s="1"/>
  <c r="S282" i="1"/>
  <c r="T282" i="1" s="1"/>
  <c r="U282" i="1" s="1"/>
  <c r="V282" i="1" s="1"/>
  <c r="S281" i="1"/>
  <c r="T281" i="1" s="1"/>
  <c r="U281" i="1" s="1"/>
  <c r="V281" i="1" s="1"/>
  <c r="S280" i="1"/>
  <c r="T280" i="1" s="1"/>
  <c r="U280" i="1" s="1"/>
  <c r="V280" i="1" s="1"/>
  <c r="S279" i="1"/>
  <c r="T279" i="1" s="1"/>
  <c r="U279" i="1" s="1"/>
  <c r="V279" i="1" s="1"/>
  <c r="S278" i="1"/>
  <c r="T278" i="1"/>
  <c r="U278" i="1" s="1"/>
  <c r="V278" i="1" s="1"/>
  <c r="S277" i="1"/>
  <c r="T277" i="1"/>
  <c r="U277" i="1" s="1"/>
  <c r="V277" i="1" s="1"/>
  <c r="S276" i="1"/>
  <c r="T276" i="1"/>
  <c r="U276" i="1" s="1"/>
  <c r="V276" i="1" s="1"/>
  <c r="S275" i="1"/>
  <c r="T275" i="1" s="1"/>
  <c r="U275" i="1" s="1"/>
  <c r="V275" i="1" s="1"/>
  <c r="S274" i="1"/>
  <c r="T274" i="1"/>
  <c r="U274" i="1" s="1"/>
  <c r="V274" i="1" s="1"/>
  <c r="S273" i="1"/>
  <c r="T273" i="1"/>
  <c r="U273" i="1" s="1"/>
  <c r="V273" i="1" s="1"/>
  <c r="S272" i="1"/>
  <c r="T272" i="1"/>
  <c r="U272" i="1" s="1"/>
  <c r="V272" i="1" s="1"/>
  <c r="S271" i="1"/>
  <c r="T271" i="1"/>
  <c r="U271" i="1" s="1"/>
  <c r="V271" i="1" s="1"/>
  <c r="S270" i="1"/>
  <c r="T270" i="1"/>
  <c r="U270" i="1" s="1"/>
  <c r="V270" i="1" s="1"/>
  <c r="S269" i="1"/>
  <c r="T269" i="1"/>
  <c r="U269" i="1" s="1"/>
  <c r="V269" i="1" s="1"/>
  <c r="S268" i="1"/>
  <c r="T268" i="1" s="1"/>
  <c r="U268" i="1" s="1"/>
  <c r="V268" i="1" s="1"/>
  <c r="S267" i="1"/>
  <c r="T267" i="1"/>
  <c r="U267" i="1" s="1"/>
  <c r="V267" i="1" s="1"/>
  <c r="S266" i="1"/>
  <c r="T266" i="1" s="1"/>
  <c r="U266" i="1" s="1"/>
  <c r="V266" i="1" s="1"/>
  <c r="S265" i="1"/>
  <c r="T265" i="1"/>
  <c r="U265" i="1" s="1"/>
  <c r="V265" i="1" s="1"/>
  <c r="S264" i="1"/>
  <c r="T264" i="1"/>
  <c r="U264" i="1" s="1"/>
  <c r="V264" i="1" s="1"/>
  <c r="S263" i="1"/>
  <c r="T263" i="1"/>
  <c r="U263" i="1" s="1"/>
  <c r="V263" i="1" s="1"/>
  <c r="S262" i="1"/>
  <c r="T262" i="1"/>
  <c r="U262" i="1" s="1"/>
  <c r="V262" i="1" s="1"/>
  <c r="S261" i="1"/>
  <c r="T261" i="1"/>
  <c r="U261" i="1" s="1"/>
  <c r="V261" i="1" s="1"/>
  <c r="S260" i="1"/>
  <c r="T260" i="1" s="1"/>
  <c r="U260" i="1" s="1"/>
  <c r="V260" i="1" s="1"/>
  <c r="S259" i="1"/>
  <c r="T259" i="1" s="1"/>
  <c r="U259" i="1" s="1"/>
  <c r="V259" i="1" s="1"/>
  <c r="S258" i="1"/>
  <c r="T258" i="1"/>
  <c r="U258" i="1" s="1"/>
  <c r="V258" i="1" s="1"/>
  <c r="S257" i="1"/>
  <c r="T257" i="1"/>
  <c r="U257" i="1" s="1"/>
  <c r="V257" i="1" s="1"/>
  <c r="S256" i="1"/>
  <c r="T256" i="1" s="1"/>
  <c r="U256" i="1" s="1"/>
  <c r="V256" i="1" s="1"/>
  <c r="S255" i="1"/>
  <c r="T255" i="1" s="1"/>
  <c r="U255" i="1" s="1"/>
  <c r="V255" i="1" s="1"/>
  <c r="S254" i="1"/>
  <c r="T254" i="1" s="1"/>
  <c r="U254" i="1" s="1"/>
  <c r="V254" i="1" s="1"/>
  <c r="S253" i="1"/>
  <c r="T253" i="1"/>
  <c r="U253" i="1" s="1"/>
  <c r="V253" i="1" s="1"/>
  <c r="S252" i="1"/>
  <c r="T252" i="1" s="1"/>
  <c r="U252" i="1" s="1"/>
  <c r="V252" i="1" s="1"/>
  <c r="S251" i="1"/>
  <c r="T251" i="1" s="1"/>
  <c r="U251" i="1" s="1"/>
  <c r="V251" i="1" s="1"/>
  <c r="S250" i="1"/>
  <c r="T250" i="1" s="1"/>
  <c r="U250" i="1" s="1"/>
  <c r="V250" i="1" s="1"/>
  <c r="S249" i="1"/>
  <c r="T249" i="1" s="1"/>
  <c r="U249" i="1" s="1"/>
  <c r="V249" i="1" s="1"/>
  <c r="S248" i="1"/>
  <c r="T248" i="1" s="1"/>
  <c r="U248" i="1" s="1"/>
  <c r="V248" i="1" s="1"/>
  <c r="S247" i="1"/>
  <c r="T247" i="1" s="1"/>
  <c r="U247" i="1" s="1"/>
  <c r="V247" i="1" s="1"/>
  <c r="S246" i="1"/>
  <c r="T246" i="1" s="1"/>
  <c r="U246" i="1" s="1"/>
  <c r="V246" i="1" s="1"/>
  <c r="S245" i="1"/>
  <c r="T245" i="1" s="1"/>
  <c r="U245" i="1" s="1"/>
  <c r="V245" i="1" s="1"/>
  <c r="S244" i="1"/>
  <c r="T244" i="1" s="1"/>
  <c r="U244" i="1" s="1"/>
  <c r="V244" i="1" s="1"/>
  <c r="S243" i="1"/>
  <c r="T243" i="1" s="1"/>
  <c r="U243" i="1" s="1"/>
  <c r="V243" i="1" s="1"/>
  <c r="S242" i="1"/>
  <c r="T242" i="1" s="1"/>
  <c r="U242" i="1" s="1"/>
  <c r="V242" i="1" s="1"/>
  <c r="S241" i="1"/>
  <c r="T241" i="1" s="1"/>
  <c r="U241" i="1" s="1"/>
  <c r="V241" i="1" s="1"/>
  <c r="S240" i="1"/>
  <c r="T240" i="1" s="1"/>
  <c r="U240" i="1" s="1"/>
  <c r="V240" i="1" s="1"/>
  <c r="S239" i="1"/>
  <c r="T239" i="1" s="1"/>
  <c r="U239" i="1" s="1"/>
  <c r="V239" i="1" s="1"/>
  <c r="S238" i="1"/>
  <c r="T238" i="1" s="1"/>
  <c r="U238" i="1" s="1"/>
  <c r="V238" i="1" s="1"/>
  <c r="S237" i="1"/>
  <c r="T237" i="1" s="1"/>
  <c r="U237" i="1" s="1"/>
  <c r="V237" i="1" s="1"/>
  <c r="S236" i="1"/>
  <c r="T236" i="1" s="1"/>
  <c r="U236" i="1" s="1"/>
  <c r="V236" i="1" s="1"/>
  <c r="S235" i="1"/>
  <c r="T235" i="1" s="1"/>
  <c r="U235" i="1" s="1"/>
  <c r="V235" i="1" s="1"/>
  <c r="S234" i="1"/>
  <c r="T234" i="1"/>
  <c r="U234" i="1" s="1"/>
  <c r="V234" i="1" s="1"/>
  <c r="S233" i="1"/>
  <c r="T233" i="1" s="1"/>
  <c r="U233" i="1" s="1"/>
  <c r="V233" i="1" s="1"/>
  <c r="S232" i="1"/>
  <c r="T232" i="1" s="1"/>
  <c r="U232" i="1" s="1"/>
  <c r="V232" i="1" s="1"/>
  <c r="S231" i="1"/>
  <c r="T231" i="1" s="1"/>
  <c r="U231" i="1" s="1"/>
  <c r="V231" i="1" s="1"/>
  <c r="S230" i="1"/>
  <c r="T230" i="1" s="1"/>
  <c r="U230" i="1" s="1"/>
  <c r="V230" i="1" s="1"/>
  <c r="S229" i="1"/>
  <c r="T229" i="1" s="1"/>
  <c r="U229" i="1" s="1"/>
  <c r="V229" i="1" s="1"/>
  <c r="S228" i="1"/>
  <c r="T228" i="1" s="1"/>
  <c r="U228" i="1" s="1"/>
  <c r="V228" i="1" s="1"/>
  <c r="S227" i="1"/>
  <c r="T227" i="1" s="1"/>
  <c r="U227" i="1" s="1"/>
  <c r="V227" i="1" s="1"/>
  <c r="S226" i="1"/>
  <c r="T226" i="1" s="1"/>
  <c r="U226" i="1" s="1"/>
  <c r="V226" i="1" s="1"/>
  <c r="S225" i="1"/>
  <c r="T225" i="1" s="1"/>
  <c r="U225" i="1" s="1"/>
  <c r="V225" i="1" s="1"/>
  <c r="S224" i="1"/>
  <c r="T224" i="1"/>
  <c r="U224" i="1" s="1"/>
  <c r="V224" i="1" s="1"/>
  <c r="S223" i="1"/>
  <c r="T223" i="1"/>
  <c r="U223" i="1" s="1"/>
  <c r="V223" i="1" s="1"/>
  <c r="S222" i="1"/>
  <c r="T222" i="1" s="1"/>
  <c r="U222" i="1" s="1"/>
  <c r="V222" i="1" s="1"/>
  <c r="S221" i="1"/>
  <c r="T221" i="1"/>
  <c r="U221" i="1" s="1"/>
  <c r="V221" i="1" s="1"/>
  <c r="S220" i="1"/>
  <c r="T220" i="1" s="1"/>
  <c r="U220" i="1" s="1"/>
  <c r="V220" i="1" s="1"/>
  <c r="S219" i="1"/>
  <c r="T219" i="1" s="1"/>
  <c r="U219" i="1" s="1"/>
  <c r="V219" i="1" s="1"/>
  <c r="S218" i="1"/>
  <c r="T218" i="1"/>
  <c r="U218" i="1" s="1"/>
  <c r="V218" i="1" s="1"/>
  <c r="S217" i="1"/>
  <c r="T217" i="1" s="1"/>
  <c r="U217" i="1" s="1"/>
  <c r="V217" i="1" s="1"/>
  <c r="S216" i="1"/>
  <c r="T216" i="1"/>
  <c r="U216" i="1" s="1"/>
  <c r="V216" i="1" s="1"/>
  <c r="S215" i="1"/>
  <c r="T215" i="1" s="1"/>
  <c r="U215" i="1" s="1"/>
  <c r="V215" i="1" s="1"/>
  <c r="S214" i="1"/>
  <c r="T214" i="1" s="1"/>
  <c r="U214" i="1" s="1"/>
  <c r="V214" i="1" s="1"/>
  <c r="S213" i="1"/>
  <c r="T213" i="1" s="1"/>
  <c r="U213" i="1" s="1"/>
  <c r="V213" i="1" s="1"/>
  <c r="S212" i="1"/>
  <c r="T212" i="1" s="1"/>
  <c r="U212" i="1" s="1"/>
  <c r="V212" i="1" s="1"/>
  <c r="S211" i="1"/>
  <c r="T211" i="1" s="1"/>
  <c r="U211" i="1" s="1"/>
  <c r="V211" i="1" s="1"/>
  <c r="S210" i="1"/>
  <c r="T210" i="1"/>
  <c r="U210" i="1" s="1"/>
  <c r="V210" i="1" s="1"/>
  <c r="S209" i="1"/>
  <c r="T209" i="1"/>
  <c r="U209" i="1" s="1"/>
  <c r="V209" i="1" s="1"/>
  <c r="S208" i="1"/>
  <c r="T208" i="1"/>
  <c r="U208" i="1" s="1"/>
  <c r="V208" i="1" s="1"/>
  <c r="S207" i="1"/>
  <c r="T207" i="1"/>
  <c r="U207" i="1" s="1"/>
  <c r="V207" i="1" s="1"/>
  <c r="S206" i="1"/>
  <c r="T206" i="1"/>
  <c r="U206" i="1" s="1"/>
  <c r="V206" i="1" s="1"/>
  <c r="S205" i="1"/>
  <c r="T205" i="1" s="1"/>
  <c r="U205" i="1" s="1"/>
  <c r="V205" i="1" s="1"/>
  <c r="S204" i="1"/>
  <c r="T204" i="1" s="1"/>
  <c r="U204" i="1" s="1"/>
  <c r="V204" i="1" s="1"/>
  <c r="S203" i="1"/>
  <c r="T203" i="1"/>
  <c r="U203" i="1" s="1"/>
  <c r="V203" i="1" s="1"/>
  <c r="S202" i="1"/>
  <c r="T202" i="1"/>
  <c r="U202" i="1" s="1"/>
  <c r="V202" i="1" s="1"/>
  <c r="S201" i="1"/>
  <c r="T201" i="1"/>
  <c r="U201" i="1" s="1"/>
  <c r="V201" i="1" s="1"/>
  <c r="S200" i="1"/>
  <c r="T200" i="1"/>
  <c r="U200" i="1" s="1"/>
  <c r="V200" i="1" s="1"/>
  <c r="S199" i="1"/>
  <c r="T199" i="1"/>
  <c r="U199" i="1" s="1"/>
  <c r="V199" i="1" s="1"/>
  <c r="S198" i="1"/>
  <c r="T198" i="1"/>
  <c r="U198" i="1" s="1"/>
  <c r="V198" i="1" s="1"/>
  <c r="S197" i="1"/>
  <c r="T197" i="1"/>
  <c r="U197" i="1" s="1"/>
  <c r="V197" i="1" s="1"/>
  <c r="S196" i="1"/>
  <c r="T196" i="1"/>
  <c r="U196" i="1" s="1"/>
  <c r="V196" i="1" s="1"/>
  <c r="S195" i="1"/>
  <c r="T195" i="1"/>
  <c r="U195" i="1" s="1"/>
  <c r="V195" i="1" s="1"/>
  <c r="S194" i="1"/>
  <c r="T194" i="1"/>
  <c r="U194" i="1" s="1"/>
  <c r="V194" i="1" s="1"/>
  <c r="S193" i="1"/>
  <c r="T193" i="1"/>
  <c r="U193" i="1" s="1"/>
  <c r="V193" i="1" s="1"/>
  <c r="S192" i="1"/>
  <c r="T192" i="1"/>
  <c r="U192" i="1" s="1"/>
  <c r="V192" i="1" s="1"/>
  <c r="S191" i="1"/>
  <c r="T191" i="1"/>
  <c r="U191" i="1" s="1"/>
  <c r="V191" i="1" s="1"/>
  <c r="S190" i="1"/>
  <c r="T190" i="1"/>
  <c r="U190" i="1" s="1"/>
  <c r="V190" i="1" s="1"/>
  <c r="S189" i="1"/>
  <c r="T189" i="1"/>
  <c r="U189" i="1" s="1"/>
  <c r="V189" i="1" s="1"/>
  <c r="S188" i="1"/>
  <c r="T188" i="1" s="1"/>
  <c r="U188" i="1" s="1"/>
  <c r="V188" i="1" s="1"/>
  <c r="S187" i="1"/>
  <c r="T187" i="1" s="1"/>
  <c r="U187" i="1" s="1"/>
  <c r="V187" i="1" s="1"/>
  <c r="S186" i="1"/>
  <c r="T186" i="1" s="1"/>
  <c r="U186" i="1" s="1"/>
  <c r="V186" i="1" s="1"/>
  <c r="S185" i="1"/>
  <c r="T185" i="1" s="1"/>
  <c r="U185" i="1" s="1"/>
  <c r="V185" i="1" s="1"/>
  <c r="S184" i="1"/>
  <c r="T184" i="1" s="1"/>
  <c r="U184" i="1" s="1"/>
  <c r="V184" i="1" s="1"/>
  <c r="S183" i="1"/>
  <c r="T183" i="1"/>
  <c r="U183" i="1" s="1"/>
  <c r="V183" i="1" s="1"/>
  <c r="S182" i="1"/>
  <c r="T182" i="1"/>
  <c r="U182" i="1" s="1"/>
  <c r="V182" i="1" s="1"/>
  <c r="S181" i="1"/>
  <c r="T181" i="1" s="1"/>
  <c r="U181" i="1" s="1"/>
  <c r="V181" i="1" s="1"/>
  <c r="S180" i="1"/>
  <c r="T180" i="1" s="1"/>
  <c r="U180" i="1" s="1"/>
  <c r="V180" i="1" s="1"/>
  <c r="S179" i="1"/>
  <c r="T179" i="1" s="1"/>
  <c r="U179" i="1" s="1"/>
  <c r="V179" i="1" s="1"/>
  <c r="S178" i="1"/>
  <c r="T178" i="1" s="1"/>
  <c r="U178" i="1" s="1"/>
  <c r="V178" i="1" s="1"/>
  <c r="S177" i="1"/>
  <c r="T177" i="1"/>
  <c r="U177" i="1" s="1"/>
  <c r="V177" i="1" s="1"/>
  <c r="S176" i="1"/>
  <c r="T176" i="1" s="1"/>
  <c r="U176" i="1" s="1"/>
  <c r="V176" i="1" s="1"/>
  <c r="S175" i="1"/>
  <c r="T175" i="1"/>
  <c r="U175" i="1" s="1"/>
  <c r="V175" i="1" s="1"/>
  <c r="S174" i="1"/>
  <c r="T174" i="1" s="1"/>
  <c r="U174" i="1" s="1"/>
  <c r="V174" i="1" s="1"/>
  <c r="S173" i="1"/>
  <c r="T173" i="1" s="1"/>
  <c r="U173" i="1" s="1"/>
  <c r="V173" i="1" s="1"/>
  <c r="S172" i="1"/>
  <c r="T172" i="1" s="1"/>
  <c r="U172" i="1" s="1"/>
  <c r="V172" i="1" s="1"/>
  <c r="S171" i="1"/>
  <c r="T171" i="1"/>
  <c r="U171" i="1" s="1"/>
  <c r="V171" i="1" s="1"/>
  <c r="S170" i="1"/>
  <c r="T170" i="1" s="1"/>
  <c r="U170" i="1" s="1"/>
  <c r="V170" i="1" s="1"/>
  <c r="S169" i="1"/>
  <c r="T169" i="1" s="1"/>
  <c r="U169" i="1" s="1"/>
  <c r="V169" i="1" s="1"/>
  <c r="S168" i="1"/>
  <c r="T168" i="1" s="1"/>
  <c r="U168" i="1" s="1"/>
  <c r="V168" i="1" s="1"/>
  <c r="S167" i="1"/>
  <c r="T167" i="1" s="1"/>
  <c r="U167" i="1" s="1"/>
  <c r="V167" i="1" s="1"/>
  <c r="S166" i="1"/>
  <c r="T166" i="1" s="1"/>
  <c r="U166" i="1" s="1"/>
  <c r="V166" i="1" s="1"/>
  <c r="S165" i="1"/>
  <c r="T165" i="1" s="1"/>
  <c r="U165" i="1" s="1"/>
  <c r="V165" i="1" s="1"/>
  <c r="S164" i="1"/>
  <c r="T164" i="1" s="1"/>
  <c r="U164" i="1" s="1"/>
  <c r="V164" i="1" s="1"/>
  <c r="S163" i="1"/>
  <c r="T163" i="1" s="1"/>
  <c r="U163" i="1" s="1"/>
  <c r="V163" i="1" s="1"/>
  <c r="S162" i="1"/>
  <c r="T162" i="1" s="1"/>
  <c r="U162" i="1" s="1"/>
  <c r="V162" i="1" s="1"/>
  <c r="S161" i="1"/>
  <c r="T161" i="1" s="1"/>
  <c r="U161" i="1" s="1"/>
  <c r="V161" i="1" s="1"/>
  <c r="S160" i="1"/>
  <c r="T160" i="1" s="1"/>
  <c r="U160" i="1" s="1"/>
  <c r="V160" i="1" s="1"/>
  <c r="S159" i="1"/>
  <c r="T159" i="1" s="1"/>
  <c r="U159" i="1" s="1"/>
  <c r="V159" i="1" s="1"/>
  <c r="S158" i="1"/>
  <c r="T158" i="1" s="1"/>
  <c r="U158" i="1" s="1"/>
  <c r="V158" i="1" s="1"/>
  <c r="S157" i="1"/>
  <c r="T157" i="1"/>
  <c r="U157" i="1" s="1"/>
  <c r="V157" i="1" s="1"/>
  <c r="S156" i="1"/>
  <c r="T156" i="1"/>
  <c r="U156" i="1" s="1"/>
  <c r="V156" i="1" s="1"/>
  <c r="S155" i="1"/>
  <c r="T155" i="1" s="1"/>
  <c r="U155" i="1" s="1"/>
  <c r="V155" i="1" s="1"/>
  <c r="S154" i="1"/>
  <c r="T154" i="1" s="1"/>
  <c r="U154" i="1" s="1"/>
  <c r="V154" i="1" s="1"/>
  <c r="S153" i="1"/>
  <c r="T153" i="1" s="1"/>
  <c r="U153" i="1" s="1"/>
  <c r="V153" i="1" s="1"/>
  <c r="S152" i="1"/>
  <c r="T152" i="1" s="1"/>
  <c r="U152" i="1" s="1"/>
  <c r="V152" i="1" s="1"/>
  <c r="S151" i="1"/>
  <c r="T151" i="1" s="1"/>
  <c r="U151" i="1" s="1"/>
  <c r="V151" i="1" s="1"/>
  <c r="S150" i="1"/>
  <c r="T150" i="1" s="1"/>
  <c r="U150" i="1" s="1"/>
  <c r="V150" i="1" s="1"/>
  <c r="S149" i="1"/>
  <c r="T149" i="1" s="1"/>
  <c r="U149" i="1" s="1"/>
  <c r="V149" i="1" s="1"/>
  <c r="S148" i="1"/>
  <c r="T148" i="1" s="1"/>
  <c r="U148" i="1" s="1"/>
  <c r="V148" i="1" s="1"/>
  <c r="S147" i="1"/>
  <c r="T147" i="1" s="1"/>
  <c r="U147" i="1" s="1"/>
  <c r="V147" i="1" s="1"/>
  <c r="S146" i="1"/>
  <c r="T146" i="1" s="1"/>
  <c r="U146" i="1" s="1"/>
  <c r="V146" i="1" s="1"/>
  <c r="S145" i="1"/>
  <c r="T145" i="1" s="1"/>
  <c r="U145" i="1" s="1"/>
  <c r="V145" i="1" s="1"/>
  <c r="S144" i="1"/>
  <c r="T144" i="1" s="1"/>
  <c r="U144" i="1" s="1"/>
  <c r="V144" i="1" s="1"/>
  <c r="S143" i="1"/>
  <c r="T143" i="1" s="1"/>
  <c r="U143" i="1" s="1"/>
  <c r="V143" i="1" s="1"/>
  <c r="S142" i="1"/>
  <c r="T142" i="1" s="1"/>
  <c r="U142" i="1" s="1"/>
  <c r="V142" i="1" s="1"/>
  <c r="S141" i="1"/>
  <c r="T141" i="1"/>
  <c r="U141" i="1" s="1"/>
  <c r="V141" i="1" s="1"/>
  <c r="S140" i="1"/>
  <c r="T140" i="1" s="1"/>
  <c r="U140" i="1" s="1"/>
  <c r="V140" i="1" s="1"/>
  <c r="S139" i="1"/>
  <c r="T139" i="1"/>
  <c r="U139" i="1" s="1"/>
  <c r="V139" i="1" s="1"/>
  <c r="S138" i="1"/>
  <c r="T138" i="1" s="1"/>
  <c r="U138" i="1" s="1"/>
  <c r="V138" i="1" s="1"/>
  <c r="S137" i="1"/>
  <c r="T137" i="1" s="1"/>
  <c r="U137" i="1" s="1"/>
  <c r="V137" i="1" s="1"/>
  <c r="S136" i="1"/>
  <c r="T136" i="1" s="1"/>
  <c r="U136" i="1" s="1"/>
  <c r="V136" i="1" s="1"/>
  <c r="S135" i="1"/>
  <c r="T135" i="1"/>
  <c r="U135" i="1" s="1"/>
  <c r="V135" i="1" s="1"/>
  <c r="S134" i="1"/>
  <c r="T134" i="1" s="1"/>
  <c r="U134" i="1" s="1"/>
  <c r="V134" i="1" s="1"/>
  <c r="S133" i="1"/>
  <c r="T133" i="1" s="1"/>
  <c r="U133" i="1" s="1"/>
  <c r="V133" i="1" s="1"/>
  <c r="S132" i="1"/>
  <c r="T132" i="1" s="1"/>
  <c r="U132" i="1" s="1"/>
  <c r="V132" i="1" s="1"/>
  <c r="S131" i="1"/>
  <c r="T131" i="1" s="1"/>
  <c r="U131" i="1" s="1"/>
  <c r="V131" i="1" s="1"/>
  <c r="S130" i="1"/>
  <c r="T130" i="1" s="1"/>
  <c r="U130" i="1" s="1"/>
  <c r="V130" i="1" s="1"/>
  <c r="S129" i="1"/>
  <c r="T129" i="1"/>
  <c r="U129" i="1" s="1"/>
  <c r="V129" i="1" s="1"/>
  <c r="S128" i="1"/>
  <c r="T128" i="1" s="1"/>
  <c r="U128" i="1" s="1"/>
  <c r="V128" i="1" s="1"/>
  <c r="S127" i="1"/>
  <c r="T127" i="1" s="1"/>
  <c r="U127" i="1" s="1"/>
  <c r="V127" i="1" s="1"/>
  <c r="S126" i="1"/>
  <c r="T126" i="1"/>
  <c r="U126" i="1" s="1"/>
  <c r="V126" i="1" s="1"/>
  <c r="S125" i="1"/>
  <c r="T125" i="1" s="1"/>
  <c r="U125" i="1" s="1"/>
  <c r="V125" i="1" s="1"/>
  <c r="S124" i="1"/>
  <c r="T124" i="1" s="1"/>
  <c r="U124" i="1" s="1"/>
  <c r="V124" i="1" s="1"/>
  <c r="S123" i="1"/>
  <c r="T123" i="1" s="1"/>
  <c r="U123" i="1" s="1"/>
  <c r="V123" i="1" s="1"/>
  <c r="S122" i="1"/>
  <c r="T122" i="1" s="1"/>
  <c r="U122" i="1" s="1"/>
  <c r="V122" i="1" s="1"/>
  <c r="S121" i="1"/>
  <c r="T121" i="1" s="1"/>
  <c r="U121" i="1" s="1"/>
  <c r="V121" i="1" s="1"/>
  <c r="S120" i="1"/>
  <c r="T120" i="1" s="1"/>
  <c r="U120" i="1" s="1"/>
  <c r="V120" i="1" s="1"/>
  <c r="S119" i="1"/>
  <c r="T119" i="1"/>
  <c r="U119" i="1" s="1"/>
  <c r="V119" i="1" s="1"/>
  <c r="S118" i="1"/>
  <c r="T118" i="1"/>
  <c r="U118" i="1" s="1"/>
  <c r="V118" i="1" s="1"/>
  <c r="S117" i="1"/>
  <c r="T117" i="1" s="1"/>
  <c r="U117" i="1" s="1"/>
  <c r="V117" i="1" s="1"/>
  <c r="S116" i="1"/>
  <c r="T116" i="1" s="1"/>
  <c r="U116" i="1" s="1"/>
  <c r="V116" i="1" s="1"/>
  <c r="S115" i="1"/>
  <c r="T115" i="1" s="1"/>
  <c r="U115" i="1" s="1"/>
  <c r="V115" i="1" s="1"/>
  <c r="S114" i="1"/>
  <c r="T114" i="1" s="1"/>
  <c r="U114" i="1" s="1"/>
  <c r="V114" i="1" s="1"/>
  <c r="S113" i="1"/>
  <c r="T113" i="1" s="1"/>
  <c r="U113" i="1" s="1"/>
  <c r="V113" i="1" s="1"/>
  <c r="S112" i="1"/>
  <c r="T112" i="1" s="1"/>
  <c r="U112" i="1" s="1"/>
  <c r="V112" i="1" s="1"/>
  <c r="S111" i="1"/>
  <c r="T111" i="1" s="1"/>
  <c r="U111" i="1" s="1"/>
  <c r="V111" i="1" s="1"/>
  <c r="S110" i="1"/>
  <c r="T110" i="1" s="1"/>
  <c r="U110" i="1" s="1"/>
  <c r="V110" i="1" s="1"/>
  <c r="S109" i="1"/>
  <c r="T109" i="1"/>
  <c r="U109" i="1" s="1"/>
  <c r="V109" i="1" s="1"/>
  <c r="S108" i="1"/>
  <c r="T108" i="1" s="1"/>
  <c r="U108" i="1" s="1"/>
  <c r="V108" i="1" s="1"/>
  <c r="S107" i="1"/>
  <c r="T107" i="1" s="1"/>
  <c r="U107" i="1" s="1"/>
  <c r="V107" i="1" s="1"/>
  <c r="S106" i="1"/>
  <c r="T106" i="1" s="1"/>
  <c r="U106" i="1" s="1"/>
  <c r="V106" i="1" s="1"/>
  <c r="S105" i="1"/>
  <c r="T105" i="1" s="1"/>
  <c r="U105" i="1" s="1"/>
  <c r="V105" i="1" s="1"/>
  <c r="S104" i="1"/>
  <c r="T104" i="1" s="1"/>
  <c r="U104" i="1" s="1"/>
  <c r="V104" i="1" s="1"/>
  <c r="S103" i="1"/>
  <c r="T103" i="1" s="1"/>
  <c r="U103" i="1" s="1"/>
  <c r="V103" i="1" s="1"/>
  <c r="S102" i="1"/>
  <c r="T102" i="1" s="1"/>
  <c r="U102" i="1" s="1"/>
  <c r="V102" i="1" s="1"/>
  <c r="S101" i="1"/>
  <c r="T101" i="1" s="1"/>
  <c r="U101" i="1" s="1"/>
  <c r="V101" i="1" s="1"/>
  <c r="S100" i="1"/>
  <c r="T100" i="1" s="1"/>
  <c r="U100" i="1" s="1"/>
  <c r="V100" i="1" s="1"/>
  <c r="S99" i="1"/>
  <c r="T99" i="1" s="1"/>
  <c r="U99" i="1" s="1"/>
  <c r="V99" i="1" s="1"/>
  <c r="S98" i="1"/>
  <c r="T98" i="1" s="1"/>
  <c r="U98" i="1" s="1"/>
  <c r="V98" i="1" s="1"/>
  <c r="S97" i="1"/>
  <c r="T97" i="1" s="1"/>
  <c r="U97" i="1" s="1"/>
  <c r="V97" i="1" s="1"/>
  <c r="S96" i="1"/>
  <c r="T96" i="1" s="1"/>
  <c r="U96" i="1" s="1"/>
  <c r="V96" i="1" s="1"/>
  <c r="S95" i="1"/>
  <c r="T95" i="1" s="1"/>
  <c r="U95" i="1" s="1"/>
  <c r="V95" i="1" s="1"/>
  <c r="S94" i="1"/>
  <c r="T94" i="1" s="1"/>
  <c r="U94" i="1" s="1"/>
  <c r="V94" i="1" s="1"/>
  <c r="S93" i="1"/>
  <c r="T93" i="1" s="1"/>
  <c r="U93" i="1" s="1"/>
  <c r="V93" i="1" s="1"/>
  <c r="S92" i="1"/>
  <c r="T92" i="1" s="1"/>
  <c r="U92" i="1" s="1"/>
  <c r="V92" i="1" s="1"/>
  <c r="S91" i="1"/>
  <c r="T91" i="1" s="1"/>
  <c r="U91" i="1" s="1"/>
  <c r="V91" i="1" s="1"/>
  <c r="S90" i="1"/>
  <c r="T90" i="1" s="1"/>
  <c r="U90" i="1" s="1"/>
  <c r="V90" i="1" s="1"/>
  <c r="S89" i="1"/>
  <c r="T89" i="1" s="1"/>
  <c r="U89" i="1" s="1"/>
  <c r="V89" i="1" s="1"/>
  <c r="S88" i="1"/>
  <c r="T88" i="1" s="1"/>
  <c r="U88" i="1" s="1"/>
  <c r="V88" i="1" s="1"/>
  <c r="S87" i="1"/>
  <c r="T87" i="1" s="1"/>
  <c r="U87" i="1" s="1"/>
  <c r="V87" i="1" s="1"/>
  <c r="S86" i="1"/>
  <c r="T86" i="1" s="1"/>
  <c r="U86" i="1" s="1"/>
  <c r="V86" i="1" s="1"/>
  <c r="S85" i="1"/>
  <c r="T85" i="1" s="1"/>
  <c r="U85" i="1" s="1"/>
  <c r="V85" i="1" s="1"/>
  <c r="S84" i="1"/>
  <c r="T84" i="1" s="1"/>
  <c r="U84" i="1" s="1"/>
  <c r="V84" i="1" s="1"/>
  <c r="S83" i="1"/>
  <c r="T83" i="1" s="1"/>
  <c r="U83" i="1" s="1"/>
  <c r="V83" i="1" s="1"/>
  <c r="S82" i="1"/>
  <c r="T82" i="1"/>
  <c r="U82" i="1" s="1"/>
  <c r="V82" i="1" s="1"/>
  <c r="S81" i="1"/>
  <c r="T81" i="1" s="1"/>
  <c r="U81" i="1" s="1"/>
  <c r="V81" i="1" s="1"/>
  <c r="S80" i="1"/>
  <c r="T80" i="1"/>
  <c r="U80" i="1" s="1"/>
  <c r="V80" i="1" s="1"/>
  <c r="S79" i="1"/>
  <c r="T79" i="1"/>
  <c r="U79" i="1" s="1"/>
  <c r="V79" i="1" s="1"/>
  <c r="S78" i="1"/>
  <c r="T78" i="1" s="1"/>
  <c r="U78" i="1" s="1"/>
  <c r="V78" i="1" s="1"/>
  <c r="S77" i="1"/>
  <c r="T77" i="1" s="1"/>
  <c r="U77" i="1" s="1"/>
  <c r="V77" i="1" s="1"/>
  <c r="S76" i="1"/>
  <c r="T76" i="1" s="1"/>
  <c r="U76" i="1" s="1"/>
  <c r="V76" i="1" s="1"/>
  <c r="S75" i="1"/>
  <c r="T75" i="1"/>
  <c r="U75" i="1" s="1"/>
  <c r="V75" i="1" s="1"/>
  <c r="S74" i="1"/>
  <c r="T74" i="1" s="1"/>
  <c r="U74" i="1" s="1"/>
  <c r="V74" i="1" s="1"/>
  <c r="S73" i="1"/>
  <c r="T73" i="1"/>
  <c r="U73" i="1" s="1"/>
  <c r="V73" i="1" s="1"/>
  <c r="S72" i="1"/>
  <c r="T72" i="1" s="1"/>
  <c r="U72" i="1" s="1"/>
  <c r="V72" i="1" s="1"/>
  <c r="S71" i="1"/>
  <c r="T71" i="1" s="1"/>
  <c r="U71" i="1" s="1"/>
  <c r="V71" i="1" s="1"/>
  <c r="S70" i="1"/>
  <c r="T70" i="1"/>
  <c r="U70" i="1" s="1"/>
  <c r="V70" i="1" s="1"/>
  <c r="S69" i="1"/>
  <c r="T69" i="1"/>
  <c r="U69" i="1" s="1"/>
  <c r="V69" i="1" s="1"/>
  <c r="S68" i="1"/>
  <c r="T68" i="1" s="1"/>
  <c r="U68" i="1" s="1"/>
  <c r="V68" i="1" s="1"/>
  <c r="S67" i="1"/>
  <c r="T67" i="1"/>
  <c r="U67" i="1" s="1"/>
  <c r="V67" i="1" s="1"/>
  <c r="S66" i="1"/>
  <c r="T66" i="1" s="1"/>
  <c r="U66" i="1" s="1"/>
  <c r="V66" i="1" s="1"/>
  <c r="S65" i="1"/>
  <c r="T65" i="1"/>
  <c r="U65" i="1" s="1"/>
  <c r="V65" i="1" s="1"/>
  <c r="S64" i="1"/>
  <c r="T64" i="1" s="1"/>
  <c r="U64" i="1" s="1"/>
  <c r="V64" i="1" s="1"/>
  <c r="S63" i="1"/>
  <c r="T63" i="1" s="1"/>
  <c r="U63" i="1" s="1"/>
  <c r="V63" i="1" s="1"/>
  <c r="S62" i="1"/>
  <c r="T62" i="1" s="1"/>
  <c r="U62" i="1" s="1"/>
  <c r="V62" i="1" s="1"/>
  <c r="S61" i="1"/>
  <c r="T61" i="1" s="1"/>
  <c r="U61" i="1" s="1"/>
  <c r="V61" i="1" s="1"/>
  <c r="S60" i="1"/>
  <c r="T60" i="1" s="1"/>
  <c r="U60" i="1" s="1"/>
  <c r="V60" i="1" s="1"/>
  <c r="S59" i="1"/>
  <c r="T59" i="1"/>
  <c r="U59" i="1" s="1"/>
  <c r="V59" i="1" s="1"/>
  <c r="S58" i="1"/>
  <c r="T58" i="1"/>
  <c r="U58" i="1" s="1"/>
  <c r="V58" i="1" s="1"/>
  <c r="S57" i="1"/>
  <c r="T57" i="1"/>
  <c r="U57" i="1" s="1"/>
  <c r="V57" i="1" s="1"/>
  <c r="S56" i="1"/>
  <c r="T56" i="1"/>
  <c r="U56" i="1" s="1"/>
  <c r="V56" i="1" s="1"/>
  <c r="S55" i="1"/>
  <c r="T55" i="1" s="1"/>
  <c r="U55" i="1" s="1"/>
  <c r="V55" i="1" s="1"/>
  <c r="S54" i="1"/>
  <c r="T54" i="1" s="1"/>
  <c r="U54" i="1" s="1"/>
  <c r="V54" i="1" s="1"/>
  <c r="S53" i="1"/>
  <c r="T53" i="1"/>
  <c r="U53" i="1" s="1"/>
  <c r="V53" i="1" s="1"/>
  <c r="S52" i="1"/>
  <c r="T52" i="1"/>
  <c r="U52" i="1" s="1"/>
  <c r="V52" i="1" s="1"/>
  <c r="S51" i="1"/>
  <c r="T51" i="1"/>
  <c r="U51" i="1" s="1"/>
  <c r="V51" i="1" s="1"/>
  <c r="S50" i="1"/>
  <c r="T50" i="1" s="1"/>
  <c r="U50" i="1" s="1"/>
  <c r="V50" i="1" s="1"/>
  <c r="S49" i="1"/>
  <c r="T49" i="1" s="1"/>
  <c r="U49" i="1" s="1"/>
  <c r="V49" i="1" s="1"/>
  <c r="S48" i="1"/>
  <c r="T48" i="1"/>
  <c r="U48" i="1" s="1"/>
  <c r="V48" i="1" s="1"/>
  <c r="S47" i="1"/>
  <c r="T47" i="1"/>
  <c r="U47" i="1" s="1"/>
  <c r="V47" i="1" s="1"/>
  <c r="S46" i="1"/>
  <c r="T46" i="1" s="1"/>
  <c r="U46" i="1" s="1"/>
  <c r="V46" i="1" s="1"/>
  <c r="S45" i="1"/>
  <c r="T45" i="1" s="1"/>
  <c r="U45" i="1" s="1"/>
  <c r="V45" i="1" s="1"/>
  <c r="S44" i="1"/>
  <c r="T44" i="1"/>
  <c r="U44" i="1" s="1"/>
  <c r="V44" i="1" s="1"/>
  <c r="S43" i="1"/>
  <c r="T43" i="1"/>
  <c r="U43" i="1" s="1"/>
  <c r="V43" i="1" s="1"/>
  <c r="S42" i="1"/>
  <c r="T42" i="1"/>
  <c r="U42" i="1" s="1"/>
  <c r="V42" i="1" s="1"/>
  <c r="S41" i="1"/>
  <c r="T41" i="1"/>
  <c r="U41" i="1" s="1"/>
  <c r="V41" i="1" s="1"/>
  <c r="S40" i="1"/>
  <c r="T40" i="1" s="1"/>
  <c r="U40" i="1" s="1"/>
  <c r="V40" i="1" s="1"/>
  <c r="S39" i="1"/>
  <c r="T39" i="1"/>
  <c r="U39" i="1" s="1"/>
  <c r="V39" i="1" s="1"/>
  <c r="S38" i="1"/>
  <c r="T38" i="1"/>
  <c r="U38" i="1" s="1"/>
  <c r="V38" i="1" s="1"/>
  <c r="S37" i="1"/>
  <c r="T37" i="1"/>
  <c r="U37" i="1" s="1"/>
  <c r="V37" i="1" s="1"/>
  <c r="S36" i="1"/>
  <c r="T36" i="1" s="1"/>
  <c r="U36" i="1" s="1"/>
  <c r="V36" i="1" s="1"/>
  <c r="S35" i="1"/>
  <c r="T35" i="1"/>
  <c r="U35" i="1" s="1"/>
  <c r="V35" i="1" s="1"/>
  <c r="S34" i="1"/>
  <c r="T34" i="1" s="1"/>
  <c r="U34" i="1" s="1"/>
  <c r="V34" i="1" s="1"/>
  <c r="S33" i="1"/>
  <c r="T33" i="1"/>
  <c r="U33" i="1" s="1"/>
  <c r="V33" i="1" s="1"/>
  <c r="S32" i="1"/>
  <c r="T32" i="1"/>
  <c r="U32" i="1" s="1"/>
  <c r="V32" i="1" s="1"/>
  <c r="S31" i="1"/>
  <c r="T31" i="1" s="1"/>
  <c r="U31" i="1" s="1"/>
  <c r="V31" i="1" s="1"/>
  <c r="S30" i="1"/>
  <c r="T30" i="1"/>
  <c r="U30" i="1" s="1"/>
  <c r="V30" i="1" s="1"/>
  <c r="S29" i="1"/>
  <c r="T29" i="1"/>
  <c r="U29" i="1" s="1"/>
  <c r="V29" i="1" s="1"/>
  <c r="S28" i="1"/>
  <c r="T28" i="1" s="1"/>
  <c r="U28" i="1" s="1"/>
  <c r="V28" i="1" s="1"/>
  <c r="S27" i="1"/>
  <c r="T27" i="1" s="1"/>
  <c r="U27" i="1" s="1"/>
  <c r="V27" i="1" s="1"/>
  <c r="S26" i="1"/>
  <c r="T26" i="1" s="1"/>
  <c r="U26" i="1" s="1"/>
  <c r="V26" i="1" s="1"/>
  <c r="S25" i="1"/>
  <c r="T25" i="1" s="1"/>
  <c r="U25" i="1" s="1"/>
  <c r="V25" i="1" s="1"/>
  <c r="S24" i="1"/>
  <c r="T24" i="1"/>
  <c r="U24" i="1" s="1"/>
  <c r="V24" i="1" s="1"/>
  <c r="S23" i="1"/>
  <c r="T23" i="1" s="1"/>
  <c r="U23" i="1" s="1"/>
  <c r="V23" i="1" s="1"/>
  <c r="S22" i="1"/>
  <c r="T22" i="1" s="1"/>
  <c r="U22" i="1" s="1"/>
  <c r="V22" i="1" s="1"/>
  <c r="S21" i="1"/>
  <c r="T21" i="1" s="1"/>
  <c r="U21" i="1" s="1"/>
  <c r="V21" i="1" s="1"/>
  <c r="S20" i="1"/>
  <c r="T20" i="1"/>
  <c r="U20" i="1" s="1"/>
  <c r="V20" i="1" s="1"/>
  <c r="S19" i="1"/>
  <c r="T19" i="1" s="1"/>
  <c r="U19" i="1" s="1"/>
  <c r="V19" i="1" s="1"/>
  <c r="S18" i="1"/>
  <c r="T18" i="1" s="1"/>
  <c r="U18" i="1" s="1"/>
  <c r="V18" i="1" s="1"/>
  <c r="S17" i="1"/>
  <c r="T17" i="1" s="1"/>
  <c r="U17" i="1" s="1"/>
  <c r="V17" i="1" s="1"/>
  <c r="S16" i="1"/>
  <c r="T16" i="1" s="1"/>
  <c r="U16" i="1" s="1"/>
  <c r="V16" i="1" s="1"/>
  <c r="S15" i="1"/>
  <c r="T15" i="1" s="1"/>
  <c r="U15" i="1" s="1"/>
  <c r="V15" i="1" s="1"/>
  <c r="S14" i="1"/>
  <c r="T14" i="1" s="1"/>
  <c r="U14" i="1" s="1"/>
  <c r="V14" i="1" s="1"/>
  <c r="S13" i="1"/>
  <c r="T13" i="1" s="1"/>
  <c r="U13" i="1" s="1"/>
  <c r="V13" i="1" s="1"/>
  <c r="S12" i="1"/>
  <c r="T12" i="1" s="1"/>
  <c r="U12" i="1" s="1"/>
  <c r="V12" i="1" s="1"/>
  <c r="S11" i="1"/>
  <c r="T11" i="1"/>
  <c r="U11" i="1" s="1"/>
  <c r="V11" i="1" s="1"/>
  <c r="S10" i="1"/>
  <c r="T10" i="1" s="1"/>
  <c r="U10" i="1" s="1"/>
  <c r="V10" i="1" s="1"/>
  <c r="S9" i="1"/>
  <c r="T9" i="1"/>
  <c r="U9" i="1" s="1"/>
  <c r="V9" i="1" s="1"/>
  <c r="S8" i="1"/>
  <c r="T8" i="1" s="1"/>
  <c r="U8" i="1" s="1"/>
  <c r="V8" i="1" s="1"/>
  <c r="S7" i="1"/>
  <c r="T7" i="1"/>
  <c r="U7" i="1" s="1"/>
  <c r="V7" i="1" s="1"/>
  <c r="S6" i="1"/>
  <c r="T6" i="1" s="1"/>
  <c r="U6" i="1" s="1"/>
  <c r="V6" i="1" s="1"/>
  <c r="S5" i="1"/>
  <c r="T5" i="1"/>
  <c r="U5" i="1" s="1"/>
  <c r="V5" i="1" s="1"/>
  <c r="S4" i="1"/>
  <c r="T4" i="1"/>
  <c r="U4" i="1" s="1"/>
  <c r="V4" i="1" s="1"/>
  <c r="S3" i="1"/>
  <c r="T3" i="1" s="1"/>
  <c r="U3" i="1" s="1"/>
  <c r="V3" i="1" s="1"/>
  <c r="S2" i="1"/>
  <c r="T2" i="1" s="1"/>
  <c r="U2" i="1" s="1"/>
  <c r="V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408AA2-DCEA-4567-AC88-2050342D851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<sst xmlns="http://schemas.openxmlformats.org/spreadsheetml/2006/main" count="26653" uniqueCount="1642">
  <si>
    <t>Order_ID</t>
  </si>
  <si>
    <t>Customer_ID</t>
  </si>
  <si>
    <t>Order_Date</t>
  </si>
  <si>
    <t>Product_ID</t>
  </si>
  <si>
    <t>Product_Name</t>
  </si>
  <si>
    <t>Category</t>
  </si>
  <si>
    <t>Sub_Category</t>
  </si>
  <si>
    <t>Quantity</t>
  </si>
  <si>
    <t>Unit_Price</t>
  </si>
  <si>
    <t>Discount_%</t>
  </si>
  <si>
    <t>Shipping_Cost</t>
  </si>
  <si>
    <t>City</t>
  </si>
  <si>
    <t>State</t>
  </si>
  <si>
    <t>Sales_Channel</t>
  </si>
  <si>
    <t>Payment_Method</t>
  </si>
  <si>
    <t>Order_Status</t>
  </si>
  <si>
    <t>Customer_Rating</t>
  </si>
  <si>
    <t>Gross_Sales</t>
  </si>
  <si>
    <t>Discount_Amount</t>
  </si>
  <si>
    <t>Net_Sales</t>
  </si>
  <si>
    <t>Profit</t>
  </si>
  <si>
    <t>Profit_Margin_%</t>
  </si>
  <si>
    <t>Month</t>
  </si>
  <si>
    <t>ORD-10001</t>
  </si>
  <si>
    <t>CUST1280</t>
  </si>
  <si>
    <t>P011</t>
  </si>
  <si>
    <t>Notebook</t>
  </si>
  <si>
    <t>Stationery</t>
  </si>
  <si>
    <t>Office</t>
  </si>
  <si>
    <t>Gurgaon</t>
  </si>
  <si>
    <t>Haryana</t>
  </si>
  <si>
    <t>Website</t>
  </si>
  <si>
    <t>Net Banking</t>
  </si>
  <si>
    <t>Delivered</t>
  </si>
  <si>
    <t>ORD-10002</t>
  </si>
  <si>
    <t>P001</t>
  </si>
  <si>
    <t>Wireless Mouse</t>
  </si>
  <si>
    <t>Electronics</t>
  </si>
  <si>
    <t>Accessories</t>
  </si>
  <si>
    <t>Delhi</t>
  </si>
  <si>
    <t>Instagram</t>
  </si>
  <si>
    <t>Credit Card</t>
  </si>
  <si>
    <t>ORD-10003</t>
  </si>
  <si>
    <t>CUST1080</t>
  </si>
  <si>
    <t>P010</t>
  </si>
  <si>
    <t>Desk Lamp</t>
  </si>
  <si>
    <t>Home &amp; Kitchen</t>
  </si>
  <si>
    <t>Home Decor</t>
  </si>
  <si>
    <t>Mumbai</t>
  </si>
  <si>
    <t>Maharashtra</t>
  </si>
  <si>
    <t>Amazon</t>
  </si>
  <si>
    <t>Debit Card</t>
  </si>
  <si>
    <t>Shipped</t>
  </si>
  <si>
    <t>ORD-10004</t>
  </si>
  <si>
    <t>CUST1275</t>
  </si>
  <si>
    <t>P002</t>
  </si>
  <si>
    <t>Mechanical Keyboard</t>
  </si>
  <si>
    <t>Bengaluru</t>
  </si>
  <si>
    <t>Karnataka</t>
  </si>
  <si>
    <t>Cash on Delivery</t>
  </si>
  <si>
    <t>ORD-10005</t>
  </si>
  <si>
    <t>CUST1024</t>
  </si>
  <si>
    <t>P009</t>
  </si>
  <si>
    <t>Water Bottle</t>
  </si>
  <si>
    <t>Kitchen</t>
  </si>
  <si>
    <t>ORD-10006</t>
  </si>
  <si>
    <t>CUST1182</t>
  </si>
  <si>
    <t>P004</t>
  </si>
  <si>
    <t>USB-C Hub</t>
  </si>
  <si>
    <t>ORD-10007</t>
  </si>
  <si>
    <t>CUST1195</t>
  </si>
  <si>
    <t>Flipkart</t>
  </si>
  <si>
    <t>ORD-10008</t>
  </si>
  <si>
    <t>CUST1138</t>
  </si>
  <si>
    <t>Pune</t>
  </si>
  <si>
    <t>ORD-10009</t>
  </si>
  <si>
    <t>CUST1136</t>
  </si>
  <si>
    <t>P012</t>
  </si>
  <si>
    <t>Office Chair</t>
  </si>
  <si>
    <t>Furniture</t>
  </si>
  <si>
    <t>Returned</t>
  </si>
  <si>
    <t>ORD-10010</t>
  </si>
  <si>
    <t>CUST1113</t>
  </si>
  <si>
    <t>Chennai</t>
  </si>
  <si>
    <t>Tamil Nadu</t>
  </si>
  <si>
    <t>Cancelled</t>
  </si>
  <si>
    <t>ORD-10011</t>
  </si>
  <si>
    <t>CUST1033</t>
  </si>
  <si>
    <t>ORD-10012</t>
  </si>
  <si>
    <t>CUST1137</t>
  </si>
  <si>
    <t>P008</t>
  </si>
  <si>
    <t>Smart Watch</t>
  </si>
  <si>
    <t>Wearables</t>
  </si>
  <si>
    <t>UPI</t>
  </si>
  <si>
    <t>ORD-10013</t>
  </si>
  <si>
    <t>CUST1153</t>
  </si>
  <si>
    <t>P007</t>
  </si>
  <si>
    <t>Backpack</t>
  </si>
  <si>
    <t>Fashion</t>
  </si>
  <si>
    <t>Bags</t>
  </si>
  <si>
    <t>Noida</t>
  </si>
  <si>
    <t>Uttar Pradesh</t>
  </si>
  <si>
    <t>Myntra</t>
  </si>
  <si>
    <t>ORD-10014</t>
  </si>
  <si>
    <t>CUST1251</t>
  </si>
  <si>
    <t>P003</t>
  </si>
  <si>
    <t>Bluetooth Speaker</t>
  </si>
  <si>
    <t>Audio</t>
  </si>
  <si>
    <t>ORD-10015</t>
  </si>
  <si>
    <t>CUST1273</t>
  </si>
  <si>
    <t>P005</t>
  </si>
  <si>
    <t>Running Shoes</t>
  </si>
  <si>
    <t>Footwear</t>
  </si>
  <si>
    <t>Jaipur</t>
  </si>
  <si>
    <t>Rajasthan</t>
  </si>
  <si>
    <t>ORD-10016</t>
  </si>
  <si>
    <t>CUST1160</t>
  </si>
  <si>
    <t>ORD-10017</t>
  </si>
  <si>
    <t>CUST1118</t>
  </si>
  <si>
    <t>Hyderabad</t>
  </si>
  <si>
    <t>Telangana</t>
  </si>
  <si>
    <t>ORD-10018</t>
  </si>
  <si>
    <t>CUST1249</t>
  </si>
  <si>
    <t>ORD-10019</t>
  </si>
  <si>
    <t>CUST1050</t>
  </si>
  <si>
    <t>Kolkata</t>
  </si>
  <si>
    <t>West Bengal</t>
  </si>
  <si>
    <t>ORD-10020</t>
  </si>
  <si>
    <t>CUST1207</t>
  </si>
  <si>
    <t>ORD-10021</t>
  </si>
  <si>
    <t>CUST1039</t>
  </si>
  <si>
    <t>ORD-10022</t>
  </si>
  <si>
    <t>CUST1110</t>
  </si>
  <si>
    <t>ORD-10023</t>
  </si>
  <si>
    <t>CUST1250</t>
  </si>
  <si>
    <t>ORD-10024</t>
  </si>
  <si>
    <t>CUST1300</t>
  </si>
  <si>
    <t>ORD-10025</t>
  </si>
  <si>
    <t>CUST1035</t>
  </si>
  <si>
    <t>ORD-10026</t>
  </si>
  <si>
    <t>CUST1290</t>
  </si>
  <si>
    <t>ORD-10027</t>
  </si>
  <si>
    <t>CUST1162</t>
  </si>
  <si>
    <t>ORD-10028</t>
  </si>
  <si>
    <t>CUST1179</t>
  </si>
  <si>
    <t>ORD-10029</t>
  </si>
  <si>
    <t>CUST1005</t>
  </si>
  <si>
    <t>ORD-10030</t>
  </si>
  <si>
    <t>CUST1108</t>
  </si>
  <si>
    <t>ORD-10031</t>
  </si>
  <si>
    <t>CUST1023</t>
  </si>
  <si>
    <t>ORD-10032</t>
  </si>
  <si>
    <t>CUST1058</t>
  </si>
  <si>
    <t>ORD-10033</t>
  </si>
  <si>
    <t>CUST1021</t>
  </si>
  <si>
    <t>ORD-10034</t>
  </si>
  <si>
    <t>CUST1084</t>
  </si>
  <si>
    <t>ORD-10035</t>
  </si>
  <si>
    <t>CUST1082</t>
  </si>
  <si>
    <t>ORD-10036</t>
  </si>
  <si>
    <t>CUST1099</t>
  </si>
  <si>
    <t>ORD-10037</t>
  </si>
  <si>
    <t>CUST1060</t>
  </si>
  <si>
    <t>ORD-10038</t>
  </si>
  <si>
    <t>CUST1262</t>
  </si>
  <si>
    <t>ORD-10039</t>
  </si>
  <si>
    <t>CUST1187</t>
  </si>
  <si>
    <t>ORD-10040</t>
  </si>
  <si>
    <t>CUST1210</t>
  </si>
  <si>
    <t>P006</t>
  </si>
  <si>
    <t>Cotton T-Shirt</t>
  </si>
  <si>
    <t>Clothing</t>
  </si>
  <si>
    <t>ORD-10041</t>
  </si>
  <si>
    <t>CUST1292</t>
  </si>
  <si>
    <t>ORD-10042</t>
  </si>
  <si>
    <t>CUST1227</t>
  </si>
  <si>
    <t>ORD-10043</t>
  </si>
  <si>
    <t>CUST1048</t>
  </si>
  <si>
    <t>ORD-10044</t>
  </si>
  <si>
    <t>CUST1295</t>
  </si>
  <si>
    <t>ORD-10045</t>
  </si>
  <si>
    <t>CUST1091</t>
  </si>
  <si>
    <t>JAIPUR</t>
  </si>
  <si>
    <t>ORD-10046</t>
  </si>
  <si>
    <t>CUST1287</t>
  </si>
  <si>
    <t>ORD-10047</t>
  </si>
  <si>
    <t>CUST1244</t>
  </si>
  <si>
    <t>ORD-10048</t>
  </si>
  <si>
    <t>CUST1040</t>
  </si>
  <si>
    <t>flipkart</t>
  </si>
  <si>
    <t>ORD-10049</t>
  </si>
  <si>
    <t>ORD-10050</t>
  </si>
  <si>
    <t>CUST1011</t>
  </si>
  <si>
    <t xml:space="preserve"> Chennai </t>
  </si>
  <si>
    <t>ORD-10051</t>
  </si>
  <si>
    <t>ORD-10052</t>
  </si>
  <si>
    <t>CUST1240</t>
  </si>
  <si>
    <t>ORD-10053</t>
  </si>
  <si>
    <t>CUST1237</t>
  </si>
  <si>
    <t>ORD-10054</t>
  </si>
  <si>
    <t>CUST1130</t>
  </si>
  <si>
    <t>ORD-10055</t>
  </si>
  <si>
    <t>CUST1016</t>
  </si>
  <si>
    <t>ORD-10056</t>
  </si>
  <si>
    <t>CUST1239</t>
  </si>
  <si>
    <t>ORD-10057</t>
  </si>
  <si>
    <t>ORD-10058</t>
  </si>
  <si>
    <t>CUST1062</t>
  </si>
  <si>
    <t>ORD-10059</t>
  </si>
  <si>
    <t xml:space="preserve"> Bengaluru </t>
  </si>
  <si>
    <t>ORD-10060</t>
  </si>
  <si>
    <t>CUST1276</t>
  </si>
  <si>
    <t>ORD-10061</t>
  </si>
  <si>
    <t>ORD-10062</t>
  </si>
  <si>
    <t>CUST1144</t>
  </si>
  <si>
    <t>ORD-10063</t>
  </si>
  <si>
    <t>CUST1124</t>
  </si>
  <si>
    <t>ORD-10064</t>
  </si>
  <si>
    <t>CUST1189</t>
  </si>
  <si>
    <t>ORD-10065</t>
  </si>
  <si>
    <t>CUST1157</t>
  </si>
  <si>
    <t>ORD-10066</t>
  </si>
  <si>
    <t>CUST1142</t>
  </si>
  <si>
    <t>ORD-10067</t>
  </si>
  <si>
    <t>CUST1274</t>
  </si>
  <si>
    <t>ORD-10068</t>
  </si>
  <si>
    <t>CUST1294</t>
  </si>
  <si>
    <t>ORD-10069</t>
  </si>
  <si>
    <t>CUST1206</t>
  </si>
  <si>
    <t>ORD-10070</t>
  </si>
  <si>
    <t>CUST1214</t>
  </si>
  <si>
    <t>ORD-10071</t>
  </si>
  <si>
    <t>CUST1220</t>
  </si>
  <si>
    <t>ORD-10072</t>
  </si>
  <si>
    <t>CUST1081</t>
  </si>
  <si>
    <t>ORD-10073</t>
  </si>
  <si>
    <t>CUST1119</t>
  </si>
  <si>
    <t>ORD-10074</t>
  </si>
  <si>
    <t>CUST1059</t>
  </si>
  <si>
    <t>ORD-10075</t>
  </si>
  <si>
    <t>CUST1148</t>
  </si>
  <si>
    <t>ORD-10076</t>
  </si>
  <si>
    <t>ORD-10077</t>
  </si>
  <si>
    <t>CUST1296</t>
  </si>
  <si>
    <t>ORD-10078</t>
  </si>
  <si>
    <t>CUST1241</t>
  </si>
  <si>
    <t>ORD-10079</t>
  </si>
  <si>
    <t>CUST1282</t>
  </si>
  <si>
    <t>ORD-10080</t>
  </si>
  <si>
    <t>ORD-10081</t>
  </si>
  <si>
    <t>ORD-10082</t>
  </si>
  <si>
    <t>ORD-10083</t>
  </si>
  <si>
    <t>CUST1150</t>
  </si>
  <si>
    <t>myntra</t>
  </si>
  <si>
    <t>ORD-10084</t>
  </si>
  <si>
    <t>CUST1070</t>
  </si>
  <si>
    <t>ORD-10085</t>
  </si>
  <si>
    <t>CUST1297</t>
  </si>
  <si>
    <t>ORD-10086</t>
  </si>
  <si>
    <t>CUST1123</t>
  </si>
  <si>
    <t>ORD-10087</t>
  </si>
  <si>
    <t>CUST1254</t>
  </si>
  <si>
    <t>ORD-10088</t>
  </si>
  <si>
    <t>ORD-10089</t>
  </si>
  <si>
    <t>ORD-10090</t>
  </si>
  <si>
    <t>CUST1223</t>
  </si>
  <si>
    <t>ORD-10091</t>
  </si>
  <si>
    <t>CUST1192</t>
  </si>
  <si>
    <t>ORD-10092</t>
  </si>
  <si>
    <t>ORD-10093</t>
  </si>
  <si>
    <t>ORD-10094</t>
  </si>
  <si>
    <t>CUST1197</t>
  </si>
  <si>
    <t>instagram</t>
  </si>
  <si>
    <t>ORD-10095</t>
  </si>
  <si>
    <t>CUST1141</t>
  </si>
  <si>
    <t>ORD-10096</t>
  </si>
  <si>
    <t>ORD-10097</t>
  </si>
  <si>
    <t>ORD-10098</t>
  </si>
  <si>
    <t>CUST1257</t>
  </si>
  <si>
    <t>ORD-10099</t>
  </si>
  <si>
    <t>CUST1204</t>
  </si>
  <si>
    <t>ORD-10100</t>
  </si>
  <si>
    <t>ORD-10101</t>
  </si>
  <si>
    <t>CUST1238</t>
  </si>
  <si>
    <t>ORD-10102</t>
  </si>
  <si>
    <t>DELHI</t>
  </si>
  <si>
    <t>ORD-10103</t>
  </si>
  <si>
    <t>CUST1209</t>
  </si>
  <si>
    <t>ORD-10104</t>
  </si>
  <si>
    <t>CUST1184</t>
  </si>
  <si>
    <t>ORD-10105</t>
  </si>
  <si>
    <t>ORD-10106</t>
  </si>
  <si>
    <t>CUST1076</t>
  </si>
  <si>
    <t>ORD-10107</t>
  </si>
  <si>
    <t>ORD-10108</t>
  </si>
  <si>
    <t>ORD-10109</t>
  </si>
  <si>
    <t>CUST1155</t>
  </si>
  <si>
    <t>ORD-10110</t>
  </si>
  <si>
    <t>CUST1165</t>
  </si>
  <si>
    <t>ORD-10111</t>
  </si>
  <si>
    <t>CUST1272</t>
  </si>
  <si>
    <t>ORD-10112</t>
  </si>
  <si>
    <t>CUST1111</t>
  </si>
  <si>
    <t>ORD-10113</t>
  </si>
  <si>
    <t>CUST1161</t>
  </si>
  <si>
    <t>ORD-10114</t>
  </si>
  <si>
    <t>CUST1067</t>
  </si>
  <si>
    <t>ORD-10115</t>
  </si>
  <si>
    <t>ORD-10116</t>
  </si>
  <si>
    <t>CUST1285</t>
  </si>
  <si>
    <t>ORD-10117</t>
  </si>
  <si>
    <t>CUST1014</t>
  </si>
  <si>
    <t>ORD-10118</t>
  </si>
  <si>
    <t>ORD-10119</t>
  </si>
  <si>
    <t>ORD-10120</t>
  </si>
  <si>
    <t>CUST1140</t>
  </si>
  <si>
    <t>ORD-10121</t>
  </si>
  <si>
    <t>CUST1146</t>
  </si>
  <si>
    <t>ORD-10122</t>
  </si>
  <si>
    <t>CUST1109</t>
  </si>
  <si>
    <t>ORD-10123</t>
  </si>
  <si>
    <t>ORD-10124</t>
  </si>
  <si>
    <t>ORD-10125</t>
  </si>
  <si>
    <t>CUST1046</t>
  </si>
  <si>
    <t>ORD-10126</t>
  </si>
  <si>
    <t>CUST1114</t>
  </si>
  <si>
    <t>ORD-10127</t>
  </si>
  <si>
    <t>CUST1121</t>
  </si>
  <si>
    <t>ORD-10128</t>
  </si>
  <si>
    <t>CUST1289</t>
  </si>
  <si>
    <t>ORD-10129</t>
  </si>
  <si>
    <t>ORD-10130</t>
  </si>
  <si>
    <t>CUST1147</t>
  </si>
  <si>
    <t>ORD-10131</t>
  </si>
  <si>
    <t>CUST1293</t>
  </si>
  <si>
    <t>ORD-10132</t>
  </si>
  <si>
    <t>CUST1259</t>
  </si>
  <si>
    <t>ORD-10133</t>
  </si>
  <si>
    <t>CUST1145</t>
  </si>
  <si>
    <t>ORD-10134</t>
  </si>
  <si>
    <t>CUST1286</t>
  </si>
  <si>
    <t>ORD-10135</t>
  </si>
  <si>
    <t>CUST1159</t>
  </si>
  <si>
    <t>ORD-10136</t>
  </si>
  <si>
    <t>ORD-10137</t>
  </si>
  <si>
    <t>CUST1071</t>
  </si>
  <si>
    <t>ORD-10138</t>
  </si>
  <si>
    <t>CUST1193</t>
  </si>
  <si>
    <t>ORD-10139</t>
  </si>
  <si>
    <t>CUST1122</t>
  </si>
  <si>
    <t>ORD-10140</t>
  </si>
  <si>
    <t>ORD-10141</t>
  </si>
  <si>
    <t>CUST1129</t>
  </si>
  <si>
    <t>ORD-10142</t>
  </si>
  <si>
    <t>CUST1083</t>
  </si>
  <si>
    <t>ORD-10143</t>
  </si>
  <si>
    <t>CUST1028</t>
  </si>
  <si>
    <t>ORD-10144</t>
  </si>
  <si>
    <t>CUST1075</t>
  </si>
  <si>
    <t>ORD-10145</t>
  </si>
  <si>
    <t>CUST1132</t>
  </si>
  <si>
    <t>ORD-10146</t>
  </si>
  <si>
    <t>ORD-10147</t>
  </si>
  <si>
    <t>ORD-10148</t>
  </si>
  <si>
    <t>CUST1269</t>
  </si>
  <si>
    <t>ORD-10149</t>
  </si>
  <si>
    <t>CUST1199</t>
  </si>
  <si>
    <t>ORD-10150</t>
  </si>
  <si>
    <t>CUST1298</t>
  </si>
  <si>
    <t>ORD-10151</t>
  </si>
  <si>
    <t>CUST1094</t>
  </si>
  <si>
    <t>ORD-10152</t>
  </si>
  <si>
    <t>CUST1264</t>
  </si>
  <si>
    <t>ORD-10153</t>
  </si>
  <si>
    <t>ORD-10154</t>
  </si>
  <si>
    <t>ORD-10155</t>
  </si>
  <si>
    <t>CUST1041</t>
  </si>
  <si>
    <t>ORD-10156</t>
  </si>
  <si>
    <t>CUST1181</t>
  </si>
  <si>
    <t>ORD-10157</t>
  </si>
  <si>
    <t>ORD-10158</t>
  </si>
  <si>
    <t>CUST1017</t>
  </si>
  <si>
    <t>ORD-10159</t>
  </si>
  <si>
    <t>ORD-10160</t>
  </si>
  <si>
    <t>ORD-10161</t>
  </si>
  <si>
    <t>CUST1164</t>
  </si>
  <si>
    <t>ORD-10162</t>
  </si>
  <si>
    <t>CUST1186</t>
  </si>
  <si>
    <t>ORD-10163</t>
  </si>
  <si>
    <t>ORD-10164</t>
  </si>
  <si>
    <t>CUST1065</t>
  </si>
  <si>
    <t>ORD-10165</t>
  </si>
  <si>
    <t>CUST1258</t>
  </si>
  <si>
    <t>ORD-10166</t>
  </si>
  <si>
    <t>ORD-10167</t>
  </si>
  <si>
    <t>ORD-10168</t>
  </si>
  <si>
    <t>ORD-10169</t>
  </si>
  <si>
    <t>ORD-10170</t>
  </si>
  <si>
    <t>CUST1248</t>
  </si>
  <si>
    <t>ORD-10171</t>
  </si>
  <si>
    <t>CUST1190</t>
  </si>
  <si>
    <t xml:space="preserve"> Noida </t>
  </si>
  <si>
    <t>ORD-10172</t>
  </si>
  <si>
    <t>CUST1149</t>
  </si>
  <si>
    <t>ORD-10173</t>
  </si>
  <si>
    <t>ORD-10174</t>
  </si>
  <si>
    <t>ORD-10175</t>
  </si>
  <si>
    <t>CUST1056</t>
  </si>
  <si>
    <t>ORD-10176</t>
  </si>
  <si>
    <t>CUST1100</t>
  </si>
  <si>
    <t>ORD-10177</t>
  </si>
  <si>
    <t>CUST1061</t>
  </si>
  <si>
    <t>ORD-10178</t>
  </si>
  <si>
    <t>ORD-10179</t>
  </si>
  <si>
    <t>CUST1168</t>
  </si>
  <si>
    <t>ORD-10180</t>
  </si>
  <si>
    <t>ORD-10181</t>
  </si>
  <si>
    <t>CUST1243</t>
  </si>
  <si>
    <t>ORD-10182</t>
  </si>
  <si>
    <t>ORD-10183</t>
  </si>
  <si>
    <t>CUST1211</t>
  </si>
  <si>
    <t>ORD-10184</t>
  </si>
  <si>
    <t>CUST1270</t>
  </si>
  <si>
    <t>ORD-10185</t>
  </si>
  <si>
    <t>ORD-10186</t>
  </si>
  <si>
    <t>CUST1163</t>
  </si>
  <si>
    <t>ORD-10187</t>
  </si>
  <si>
    <t>ORD-10188</t>
  </si>
  <si>
    <t>CUST1104</t>
  </si>
  <si>
    <t>ORD-10189</t>
  </si>
  <si>
    <t>amazon</t>
  </si>
  <si>
    <t>ORD-10190</t>
  </si>
  <si>
    <t>ORD-10191</t>
  </si>
  <si>
    <t>ORD-10192</t>
  </si>
  <si>
    <t>ORD-10193</t>
  </si>
  <si>
    <t>ORD-10194</t>
  </si>
  <si>
    <t>CUST1096</t>
  </si>
  <si>
    <t>ORD-10195</t>
  </si>
  <si>
    <t>ORD-10196</t>
  </si>
  <si>
    <t>ORD-10197</t>
  </si>
  <si>
    <t>CUST1032</t>
  </si>
  <si>
    <t>ORD-10198</t>
  </si>
  <si>
    <t>ORD-10199</t>
  </si>
  <si>
    <t>ORD-10200</t>
  </si>
  <si>
    <t>ORD-10201</t>
  </si>
  <si>
    <t>CUST1299</t>
  </si>
  <si>
    <t>ORD-10202</t>
  </si>
  <si>
    <t>ORD-10203</t>
  </si>
  <si>
    <t>CUST1278</t>
  </si>
  <si>
    <t>ORD-10204</t>
  </si>
  <si>
    <t>CUST1196</t>
  </si>
  <si>
    <t>ORD-10205</t>
  </si>
  <si>
    <t>CUST1066</t>
  </si>
  <si>
    <t>ORD-10206</t>
  </si>
  <si>
    <t>CUST1236</t>
  </si>
  <si>
    <t>ORD-10207</t>
  </si>
  <si>
    <t>ORD-10208</t>
  </si>
  <si>
    <t>CUST1120</t>
  </si>
  <si>
    <t xml:space="preserve"> Credit Card </t>
  </si>
  <si>
    <t>ORD-10209</t>
  </si>
  <si>
    <t>ORD-10210</t>
  </si>
  <si>
    <t>ORD-10211</t>
  </si>
  <si>
    <t>ORD-10212</t>
  </si>
  <si>
    <t>ORD-10213</t>
  </si>
  <si>
    <t>CUST1231</t>
  </si>
  <si>
    <t>ORD-10214</t>
  </si>
  <si>
    <t>CUST1097</t>
  </si>
  <si>
    <t>ORD-10215</t>
  </si>
  <si>
    <t>ORD-10216</t>
  </si>
  <si>
    <t>ORD-10217</t>
  </si>
  <si>
    <t>CUST1105</t>
  </si>
  <si>
    <t>ORD-10218</t>
  </si>
  <si>
    <t>ORD-10219</t>
  </si>
  <si>
    <t>ORD-10220</t>
  </si>
  <si>
    <t>ORD-10221</t>
  </si>
  <si>
    <t>CUST1078</t>
  </si>
  <si>
    <t>ORD-10222</t>
  </si>
  <si>
    <t>CUST1009</t>
  </si>
  <si>
    <t>ORD-10223</t>
  </si>
  <si>
    <t>CUST1092</t>
  </si>
  <si>
    <t>ORD-10224</t>
  </si>
  <si>
    <t>ORD-10225</t>
  </si>
  <si>
    <t>ORD-10226</t>
  </si>
  <si>
    <t>CUST1170</t>
  </si>
  <si>
    <t>ORD-10227</t>
  </si>
  <si>
    <t>ORD-10228</t>
  </si>
  <si>
    <t>ORD-10229</t>
  </si>
  <si>
    <t>CUST1072</t>
  </si>
  <si>
    <t>ORD-10230</t>
  </si>
  <si>
    <t xml:space="preserve"> UPI </t>
  </si>
  <si>
    <t>ORD-10231</t>
  </si>
  <si>
    <t>ORD-10232</t>
  </si>
  <si>
    <t>ORD-10233</t>
  </si>
  <si>
    <t>CUST1230</t>
  </si>
  <si>
    <t>ORD-10234</t>
  </si>
  <si>
    <t>CUST1198</t>
  </si>
  <si>
    <t>ORD-10235</t>
  </si>
  <si>
    <t>CUST1087</t>
  </si>
  <si>
    <t>ORD-10236</t>
  </si>
  <si>
    <t>ORD-10237</t>
  </si>
  <si>
    <t>CUST1203</t>
  </si>
  <si>
    <t>ORD-10238</t>
  </si>
  <si>
    <t>CUST1103</t>
  </si>
  <si>
    <t>ORD-10239</t>
  </si>
  <si>
    <t>ORD-10240</t>
  </si>
  <si>
    <t>ORD-10241</t>
  </si>
  <si>
    <t xml:space="preserve"> Gurgaon </t>
  </si>
  <si>
    <t>ORD-10242</t>
  </si>
  <si>
    <t>CUST1215</t>
  </si>
  <si>
    <t>ORD-10243</t>
  </si>
  <si>
    <t>CUST1086</t>
  </si>
  <si>
    <t>ORD-10244</t>
  </si>
  <si>
    <t>ORD-10245</t>
  </si>
  <si>
    <t>ORD-10246</t>
  </si>
  <si>
    <t>ORD-10247</t>
  </si>
  <si>
    <t>ORD-10248</t>
  </si>
  <si>
    <t>CUST1265</t>
  </si>
  <si>
    <t>ORD-10249</t>
  </si>
  <si>
    <t>ORD-10250</t>
  </si>
  <si>
    <t>CUST1106</t>
  </si>
  <si>
    <t>ORD-10251</t>
  </si>
  <si>
    <t>CUST1271</t>
  </si>
  <si>
    <t>ORD-10252</t>
  </si>
  <si>
    <t>ORD-10253</t>
  </si>
  <si>
    <t>ORD-10254</t>
  </si>
  <si>
    <t>ORD-10255</t>
  </si>
  <si>
    <t>ORD-10256</t>
  </si>
  <si>
    <t>CUST1043</t>
  </si>
  <si>
    <t>ORD-10257</t>
  </si>
  <si>
    <t>ORD-10258</t>
  </si>
  <si>
    <t>ORD-10259</t>
  </si>
  <si>
    <t>ORD-10260</t>
  </si>
  <si>
    <t>ORD-10261</t>
  </si>
  <si>
    <t>ORD-10262</t>
  </si>
  <si>
    <t>CUST1128</t>
  </si>
  <si>
    <t>ORD-10263</t>
  </si>
  <si>
    <t>CUST1232</t>
  </si>
  <si>
    <t>ORD-10264</t>
  </si>
  <si>
    <t>ORD-10265</t>
  </si>
  <si>
    <t>CUST1173</t>
  </si>
  <si>
    <t>ORD-10266</t>
  </si>
  <si>
    <t>ORD-10267</t>
  </si>
  <si>
    <t>ORD-10268</t>
  </si>
  <si>
    <t>ORD-10269</t>
  </si>
  <si>
    <t>ORD-10270</t>
  </si>
  <si>
    <t>CUST1053</t>
  </si>
  <si>
    <t>ORD-10271</t>
  </si>
  <si>
    <t>ORD-10272</t>
  </si>
  <si>
    <t>ORD-10273</t>
  </si>
  <si>
    <t>ORD-10274</t>
  </si>
  <si>
    <t>CUST1266</t>
  </si>
  <si>
    <t>ORD-10275</t>
  </si>
  <si>
    <t>CUST1256</t>
  </si>
  <si>
    <t>ORD-10276</t>
  </si>
  <si>
    <t>ORD-10277</t>
  </si>
  <si>
    <t>CUST1260</t>
  </si>
  <si>
    <t>ORD-10278</t>
  </si>
  <si>
    <t>CUST1143</t>
  </si>
  <si>
    <t>BENGALURU</t>
  </si>
  <si>
    <t>ORD-10279</t>
  </si>
  <si>
    <t>ORD-10280</t>
  </si>
  <si>
    <t>CUST1090</t>
  </si>
  <si>
    <t>ORD-10281</t>
  </si>
  <si>
    <t>CUST1191</t>
  </si>
  <si>
    <t>ORD-10282</t>
  </si>
  <si>
    <t>ORD-10283</t>
  </si>
  <si>
    <t>ORD-10284</t>
  </si>
  <si>
    <t>CUST1077</t>
  </si>
  <si>
    <t>ORD-10285</t>
  </si>
  <si>
    <t>ORD-10286</t>
  </si>
  <si>
    <t>ORD-10287</t>
  </si>
  <si>
    <t>CUST1125</t>
  </si>
  <si>
    <t>ORD-10288</t>
  </si>
  <si>
    <t>ORD-10289</t>
  </si>
  <si>
    <t>CUST1054</t>
  </si>
  <si>
    <t>ORD-10290</t>
  </si>
  <si>
    <t>CUST1267</t>
  </si>
  <si>
    <t>ORD-10291</t>
  </si>
  <si>
    <t>CUST1291</t>
  </si>
  <si>
    <t>ORD-10292</t>
  </si>
  <si>
    <t>ORD-10293</t>
  </si>
  <si>
    <t>ORD-10294</t>
  </si>
  <si>
    <t>CUST1047</t>
  </si>
  <si>
    <t>ORD-10295</t>
  </si>
  <si>
    <t>ORD-10296</t>
  </si>
  <si>
    <t>ORD-10297</t>
  </si>
  <si>
    <t>ORD-10298</t>
  </si>
  <si>
    <t>CUST1063</t>
  </si>
  <si>
    <t>ORD-10299</t>
  </si>
  <si>
    <t>CUST1089</t>
  </si>
  <si>
    <t>ORD-10300</t>
  </si>
  <si>
    <t>CUST1152</t>
  </si>
  <si>
    <t>ORD-10301</t>
  </si>
  <si>
    <t>ORD-10302</t>
  </si>
  <si>
    <t>ORD-10303</t>
  </si>
  <si>
    <t>ORD-10304</t>
  </si>
  <si>
    <t>ORD-10305</t>
  </si>
  <si>
    <t>CUST1073</t>
  </si>
  <si>
    <t>ORD-10306</t>
  </si>
  <si>
    <t>ORD-10307</t>
  </si>
  <si>
    <t>CUST1031</t>
  </si>
  <si>
    <t>ORD-10308</t>
  </si>
  <si>
    <t>CUST1052</t>
  </si>
  <si>
    <t>ORD-10309</t>
  </si>
  <si>
    <t>CUST1288</t>
  </si>
  <si>
    <t>ORD-10310</t>
  </si>
  <si>
    <t>ORD-10311</t>
  </si>
  <si>
    <t>CUST1255</t>
  </si>
  <si>
    <t>ORD-10312</t>
  </si>
  <si>
    <t>CUST1229</t>
  </si>
  <si>
    <t>ORD-10313</t>
  </si>
  <si>
    <t>ORD-10314</t>
  </si>
  <si>
    <t>ORD-10315</t>
  </si>
  <si>
    <t>ORD-10316</t>
  </si>
  <si>
    <t>ORD-10317</t>
  </si>
  <si>
    <t>ORD-10318</t>
  </si>
  <si>
    <t>CUST1219</t>
  </si>
  <si>
    <t>ORD-10319</t>
  </si>
  <si>
    <t>CUST1042</t>
  </si>
  <si>
    <t>ORD-10320</t>
  </si>
  <si>
    <t>CUST1095</t>
  </si>
  <si>
    <t>ORD-10321</t>
  </si>
  <si>
    <t>ORD-10322</t>
  </si>
  <si>
    <t>CUST1268</t>
  </si>
  <si>
    <t>ORD-10323</t>
  </si>
  <si>
    <t>ORD-10324</t>
  </si>
  <si>
    <t>CUST1022</t>
  </si>
  <si>
    <t>KOLKATA</t>
  </si>
  <si>
    <t>ORD-10325</t>
  </si>
  <si>
    <t>ORD-10326</t>
  </si>
  <si>
    <t>ORD-10327</t>
  </si>
  <si>
    <t>ORD-10328</t>
  </si>
  <si>
    <t>ORD-10329</t>
  </si>
  <si>
    <t>ORD-10330</t>
  </si>
  <si>
    <t>CUST1154</t>
  </si>
  <si>
    <t xml:space="preserve"> Debit Card </t>
  </si>
  <si>
    <t>ORD-10331</t>
  </si>
  <si>
    <t>ORD-10332</t>
  </si>
  <si>
    <t>ORD-10333</t>
  </si>
  <si>
    <t>ORD-10334</t>
  </si>
  <si>
    <t>CUST1283</t>
  </si>
  <si>
    <t>ORD-10335</t>
  </si>
  <si>
    <t>CUST1116</t>
  </si>
  <si>
    <t>ORD-10336</t>
  </si>
  <si>
    <t>ORD-10337</t>
  </si>
  <si>
    <t>ORD-10338</t>
  </si>
  <si>
    <t>ORD-10339</t>
  </si>
  <si>
    <t>ORD-10340</t>
  </si>
  <si>
    <t>ORD-10341</t>
  </si>
  <si>
    <t>ORD-10342</t>
  </si>
  <si>
    <t>ORD-10343</t>
  </si>
  <si>
    <t>ORD-10344</t>
  </si>
  <si>
    <t>ORD-10345</t>
  </si>
  <si>
    <t>ORD-10346</t>
  </si>
  <si>
    <t>ORD-10347</t>
  </si>
  <si>
    <t>ORD-10348</t>
  </si>
  <si>
    <t>CUST1003</t>
  </si>
  <si>
    <t>ORD-10349</t>
  </si>
  <si>
    <t>ORD-10350</t>
  </si>
  <si>
    <t>ORD-10351</t>
  </si>
  <si>
    <t>CUST1085</t>
  </si>
  <si>
    <t>ORD-10352</t>
  </si>
  <si>
    <t>CUST1020</t>
  </si>
  <si>
    <t>ORD-10353</t>
  </si>
  <si>
    <t>ORD-10354</t>
  </si>
  <si>
    <t>ORD-10355</t>
  </si>
  <si>
    <t>ORD-10356</t>
  </si>
  <si>
    <t>ORD-10357</t>
  </si>
  <si>
    <t>ORD-10358</t>
  </si>
  <si>
    <t>ORD-10359</t>
  </si>
  <si>
    <t xml:space="preserve"> Delhi </t>
  </si>
  <si>
    <t>ORD-10360</t>
  </si>
  <si>
    <t>ORD-10361</t>
  </si>
  <si>
    <t>CUST1216</t>
  </si>
  <si>
    <t>ORD-10362</t>
  </si>
  <si>
    <t>CUST1225</t>
  </si>
  <si>
    <t>ORD-10363</t>
  </si>
  <si>
    <t>ORD-10364</t>
  </si>
  <si>
    <t>ORD-10365</t>
  </si>
  <si>
    <t>ORD-10366</t>
  </si>
  <si>
    <t>ORD-10367</t>
  </si>
  <si>
    <t>CUST1228</t>
  </si>
  <si>
    <t>ORD-10368</t>
  </si>
  <si>
    <t>CUST1212</t>
  </si>
  <si>
    <t>ORD-10369</t>
  </si>
  <si>
    <t>CUST1234</t>
  </si>
  <si>
    <t>ORD-10370</t>
  </si>
  <si>
    <t>ORD-10371</t>
  </si>
  <si>
    <t>ORD-10372</t>
  </si>
  <si>
    <t>ORD-10373</t>
  </si>
  <si>
    <t>CUST1064</t>
  </si>
  <si>
    <t>ORD-10374</t>
  </si>
  <si>
    <t>CUST1222</t>
  </si>
  <si>
    <t>ORD-10375</t>
  </si>
  <si>
    <t>ORD-10376</t>
  </si>
  <si>
    <t>CUST1263</t>
  </si>
  <si>
    <t>ORD-10377</t>
  </si>
  <si>
    <t>CUST1068</t>
  </si>
  <si>
    <t>ORD-10378</t>
  </si>
  <si>
    <t>ORD-10379</t>
  </si>
  <si>
    <t>ORD-10380</t>
  </si>
  <si>
    <t>ORD-10381</t>
  </si>
  <si>
    <t>CUST1025</t>
  </si>
  <si>
    <t>ORD-10382</t>
  </si>
  <si>
    <t>ORD-10383</t>
  </si>
  <si>
    <t>ORD-10384</t>
  </si>
  <si>
    <t>ORD-10385</t>
  </si>
  <si>
    <t>CUST1252</t>
  </si>
  <si>
    <t>ORD-10386</t>
  </si>
  <si>
    <t>CUST1279</t>
  </si>
  <si>
    <t>ORD-10387</t>
  </si>
  <si>
    <t>ORD-10388</t>
  </si>
  <si>
    <t>ORD-10389</t>
  </si>
  <si>
    <t>CUST1261</t>
  </si>
  <si>
    <t>ORD-10390</t>
  </si>
  <si>
    <t>CUST1034</t>
  </si>
  <si>
    <t>ORD-10391</t>
  </si>
  <si>
    <t>CUST1037</t>
  </si>
  <si>
    <t>ORD-10392</t>
  </si>
  <si>
    <t>ORD-10393</t>
  </si>
  <si>
    <t>ORD-10394</t>
  </si>
  <si>
    <t>ORD-10395</t>
  </si>
  <si>
    <t>ORD-10396</t>
  </si>
  <si>
    <t>ORD-10397</t>
  </si>
  <si>
    <t>ORD-10398</t>
  </si>
  <si>
    <t>ORD-10399</t>
  </si>
  <si>
    <t>ORD-10400</t>
  </si>
  <si>
    <t>ORD-10401</t>
  </si>
  <si>
    <t>ORD-10402</t>
  </si>
  <si>
    <t>ORD-10403</t>
  </si>
  <si>
    <t>ORD-10404</t>
  </si>
  <si>
    <t>CUST1208</t>
  </si>
  <si>
    <t>ORD-10405</t>
  </si>
  <si>
    <t>CUST1115</t>
  </si>
  <si>
    <t>ORD-10406</t>
  </si>
  <si>
    <t>ORD-10407</t>
  </si>
  <si>
    <t>ORD-10408</t>
  </si>
  <si>
    <t>CUST1185</t>
  </si>
  <si>
    <t>ORD-10409</t>
  </si>
  <si>
    <t>CUST1135</t>
  </si>
  <si>
    <t>ORD-10410</t>
  </si>
  <si>
    <t>ORD-10411</t>
  </si>
  <si>
    <t>ORD-10412</t>
  </si>
  <si>
    <t>MUMBAI</t>
  </si>
  <si>
    <t>ORD-10413</t>
  </si>
  <si>
    <t>CUST1012</t>
  </si>
  <si>
    <t>ORD-10414</t>
  </si>
  <si>
    <t>ORD-10415</t>
  </si>
  <si>
    <t>CUST1044</t>
  </si>
  <si>
    <t>ORD-10416</t>
  </si>
  <si>
    <t>ORD-10417</t>
  </si>
  <si>
    <t>ORD-10418</t>
  </si>
  <si>
    <t>ORD-10419</t>
  </si>
  <si>
    <t>ORD-10420</t>
  </si>
  <si>
    <t>CUST1051</t>
  </si>
  <si>
    <t>ORD-10421</t>
  </si>
  <si>
    <t>ORD-10422</t>
  </si>
  <si>
    <t>ORD-10423</t>
  </si>
  <si>
    <t>ORD-10424</t>
  </si>
  <si>
    <t>CUST1177</t>
  </si>
  <si>
    <t>HYDERABAD</t>
  </si>
  <si>
    <t>ORD-10425</t>
  </si>
  <si>
    <t>ORD-10426</t>
  </si>
  <si>
    <t>ORD-10427</t>
  </si>
  <si>
    <t>ORD-10428</t>
  </si>
  <si>
    <t>CUST1018</t>
  </si>
  <si>
    <t>ORD-10429</t>
  </si>
  <si>
    <t>ORD-10430</t>
  </si>
  <si>
    <t>ORD-10431</t>
  </si>
  <si>
    <t>ORD-10432</t>
  </si>
  <si>
    <t>ORD-10433</t>
  </si>
  <si>
    <t>ORD-10434</t>
  </si>
  <si>
    <t>ORD-10435</t>
  </si>
  <si>
    <t>CUST1284</t>
  </si>
  <si>
    <t>ORD-10436</t>
  </si>
  <si>
    <t>ORD-10437</t>
  </si>
  <si>
    <t>ORD-10438</t>
  </si>
  <si>
    <t>ORD-10439</t>
  </si>
  <si>
    <t>ORD-10440</t>
  </si>
  <si>
    <t>CUST1007</t>
  </si>
  <si>
    <t>NOIDA</t>
  </si>
  <si>
    <t>ORD-10441</t>
  </si>
  <si>
    <t>CUST1242</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</si>
  <si>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</si>
  <si>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</si>
  <si>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</si>
  <si>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</si>
  <si>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</si>
  <si>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</si>
  <si>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</si>
  <si>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</si>
  <si>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</si>
  <si>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</si>
  <si>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</si>
  <si>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</si>
  <si>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</si>
  <si>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</si>
  <si>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</si>
  <si>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</si>
  <si>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</si>
  <si>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CUST1224</t>
  </si>
  <si>
    <t>ORD-10459</t>
  </si>
  <si>
    <t>ORD-10460</t>
  </si>
  <si>
    <t>ORD-10461</t>
  </si>
  <si>
    <t>ORD-10462</t>
  </si>
  <si>
    <t>CUST1008</t>
  </si>
  <si>
    <t>ORD-10463</t>
  </si>
  <si>
    <t>ORD-10464</t>
  </si>
  <si>
    <t>ORD-10465</t>
  </si>
  <si>
    <t>CUST1107</t>
  </si>
  <si>
    <t>ORD-10466</t>
  </si>
  <si>
    <t>ORD-10467</t>
  </si>
  <si>
    <t>ORD-10468</t>
  </si>
  <si>
    <t>ORD-10469</t>
  </si>
  <si>
    <t>CUST1183</t>
  </si>
  <si>
    <t>ORD-10470</t>
  </si>
  <si>
    <t>ORD-10471</t>
  </si>
  <si>
    <t>ORD-10472</t>
  </si>
  <si>
    <t>CUST1036</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</si>
  <si>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</si>
  <si>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</si>
  <si>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</si>
  <si>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</si>
  <si>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</si>
  <si>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</si>
  <si>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</si>
  <si>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</si>
  <si>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</si>
  <si>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</si>
  <si>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</si>
  <si>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</si>
  <si>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</si>
  <si>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</si>
  <si>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</si>
  <si>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</si>
  <si>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CUST1006</t>
  </si>
  <si>
    <t>ORD-10489</t>
  </si>
  <si>
    <t>CUST1079</t>
  </si>
  <si>
    <t>ORD-10490</t>
  </si>
  <si>
    <t>ORD-10491</t>
  </si>
  <si>
    <t>ORD-10492</t>
  </si>
  <si>
    <t>ORD-10493</t>
  </si>
  <si>
    <t>CUST1188</t>
  </si>
  <si>
    <t>ORD-10494</t>
  </si>
  <si>
    <t>ORD-10495</t>
  </si>
  <si>
    <t>ORD-10496</t>
  </si>
  <si>
    <t>ORD-10497</t>
  </si>
  <si>
    <t>ORD-10498</t>
  </si>
  <si>
    <t>ORD-10499</t>
  </si>
  <si>
    <t>ORD-10500</t>
  </si>
  <si>
    <t>ORD-10501</t>
  </si>
  <si>
    <t>ORD-10502</t>
  </si>
  <si>
    <t>CUST1202</t>
  </si>
  <si>
    <t>ORD-10503</t>
  </si>
  <si>
    <t>ORD-10504</t>
  </si>
  <si>
    <t>ORD-10505</t>
  </si>
  <si>
    <t>ORD-10506</t>
  </si>
  <si>
    <t>CUST1156</t>
  </si>
  <si>
    <t>ORD-10507</t>
  </si>
  <si>
    <t>ORD-10508</t>
  </si>
  <si>
    <t>ORD-10509</t>
  </si>
  <si>
    <t>ORD-10510</t>
  </si>
  <si>
    <t>ORD-10511</t>
  </si>
  <si>
    <t>website</t>
  </si>
  <si>
    <t>ORD-10512</t>
  </si>
  <si>
    <t>CUST1026</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</si>
  <si>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</si>
  <si>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</si>
  <si>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</si>
  <si>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</si>
  <si>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</si>
  <si>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</si>
  <si>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</si>
  <si>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</si>
  <si>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</si>
  <si>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</si>
  <si>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</si>
  <si>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</si>
  <si>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</si>
  <si>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</si>
  <si>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</si>
  <si>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</si>
  <si>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</si>
  <si>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</si>
  <si>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CUST1247</t>
  </si>
  <si>
    <t>ORD-10531</t>
  </si>
  <si>
    <t>ORD-10532</t>
  </si>
  <si>
    <t>ORD-10533</t>
  </si>
  <si>
    <t>ORD-10534</t>
  </si>
  <si>
    <t>ORD-10535</t>
  </si>
  <si>
    <t>ORD-10536</t>
  </si>
  <si>
    <t>ORD-10537</t>
  </si>
  <si>
    <t>ORD-10538</t>
  </si>
  <si>
    <t>ORD-10539</t>
  </si>
  <si>
    <t>CUST1180</t>
  </si>
  <si>
    <t>ORD-10540</t>
  </si>
  <si>
    <t>ORD-10541</t>
  </si>
  <si>
    <t>ORD-10542</t>
  </si>
  <si>
    <t>ORD-10543</t>
  </si>
  <si>
    <t>CUST1201</t>
  </si>
  <si>
    <t>ORD-10544</t>
  </si>
  <si>
    <t>CUST1088</t>
  </si>
  <si>
    <t>ORD-10545</t>
  </si>
  <si>
    <t>ORD-10546</t>
  </si>
  <si>
    <t>ORD-10547</t>
  </si>
  <si>
    <t>ORD-10548</t>
  </si>
  <si>
    <t>CUST1158</t>
  </si>
  <si>
    <t>ORD-10549</t>
  </si>
  <si>
    <t>ORD-10550</t>
  </si>
  <si>
    <t>ORD-10551</t>
  </si>
  <si>
    <t>ORD-10552</t>
  </si>
  <si>
    <t>ORD-10553</t>
  </si>
  <si>
    <t>ORD-10554</t>
  </si>
  <si>
    <t>ORD-10555</t>
  </si>
  <si>
    <t>CUST1213</t>
  </si>
  <si>
    <t>ORD-10556</t>
  </si>
  <si>
    <t>ORD-10557</t>
  </si>
  <si>
    <t>ORD-10558</t>
  </si>
  <si>
    <t>ORD-10559</t>
  </si>
  <si>
    <t>CUST1277</t>
  </si>
  <si>
    <t>ORD-10560</t>
  </si>
  <si>
    <t>ORD-10561</t>
  </si>
  <si>
    <t>CUST1134</t>
  </si>
  <si>
    <t>ORD-10562</t>
  </si>
  <si>
    <t>ORD-10563</t>
  </si>
  <si>
    <t>ORD-10564</t>
  </si>
  <si>
    <t>ORD-10565</t>
  </si>
  <si>
    <t>ORD-10566</t>
  </si>
  <si>
    <t>ORD-10567</t>
  </si>
  <si>
    <t>ORD-10568</t>
  </si>
  <si>
    <t>CUST1172</t>
  </si>
  <si>
    <t>ORD-10569</t>
  </si>
  <si>
    <t>ORD-10570</t>
  </si>
  <si>
    <t>ORD-10571</t>
  </si>
  <si>
    <t>PUNE</t>
  </si>
  <si>
    <t>ORD-10572</t>
  </si>
  <si>
    <t>ORD-10573</t>
  </si>
  <si>
    <t>CUST1166</t>
  </si>
  <si>
    <t>ORD-10574</t>
  </si>
  <si>
    <t>ORD-10575</t>
  </si>
  <si>
    <t>CUST1112</t>
  </si>
  <si>
    <t>ORD-10576</t>
  </si>
  <si>
    <t>CUST1010</t>
  </si>
  <si>
    <t>ORD-10577</t>
  </si>
  <si>
    <t>ORD-10578</t>
  </si>
  <si>
    <t>CUST1002</t>
  </si>
  <si>
    <t>ORD-10579</t>
  </si>
  <si>
    <t>ORD-10580</t>
  </si>
  <si>
    <t>ORD-10581</t>
  </si>
  <si>
    <t>ORD-10582</t>
  </si>
  <si>
    <t>ORD-10583</t>
  </si>
  <si>
    <t>CUST1235</t>
  </si>
  <si>
    <t>ORD-10584</t>
  </si>
  <si>
    <t>ORD-10585</t>
  </si>
  <si>
    <t>ORD-10586</t>
  </si>
  <si>
    <t>ORD-10587</t>
  </si>
  <si>
    <t>ORD-10588</t>
  </si>
  <si>
    <t>CUST1069</t>
  </si>
  <si>
    <t>ORD-10589</t>
  </si>
  <si>
    <t>ORD-10590</t>
  </si>
  <si>
    <t>ORD-10591</t>
  </si>
  <si>
    <t>ORD-10592</t>
  </si>
  <si>
    <t>ORD-10593</t>
  </si>
  <si>
    <t>ORD-10594</t>
  </si>
  <si>
    <t>ORD-10595</t>
  </si>
  <si>
    <t>ORD-10596</t>
  </si>
  <si>
    <t>CUST1038</t>
  </si>
  <si>
    <t>ORD-10597</t>
  </si>
  <si>
    <t>ORD-10598</t>
  </si>
  <si>
    <t>ORD-10599</t>
  </si>
  <si>
    <t xml:space="preserve"> Jaipur </t>
  </si>
  <si>
    <t>ORD-10600</t>
  </si>
  <si>
    <t>ORD-10601</t>
  </si>
  <si>
    <t>ORD-10602</t>
  </si>
  <si>
    <t>ORD-10603</t>
  </si>
  <si>
    <t>ORD-10604</t>
  </si>
  <si>
    <t>ORD-10605</t>
  </si>
  <si>
    <t>ORD-10606</t>
  </si>
  <si>
    <t>ORD-10607</t>
  </si>
  <si>
    <t>ORD-10608</t>
  </si>
  <si>
    <t>ORD-10609</t>
  </si>
  <si>
    <t>ORD-10610</t>
  </si>
  <si>
    <t>CHENNAI</t>
  </si>
  <si>
    <t>ORD-10611</t>
  </si>
  <si>
    <t>ORD-10612</t>
  </si>
  <si>
    <t>ORD-10613</t>
  </si>
  <si>
    <t>CUST1176</t>
  </si>
  <si>
    <t>ORD-10614</t>
  </si>
  <si>
    <t>ORD-10615</t>
  </si>
  <si>
    <t>ORD-10616</t>
  </si>
  <si>
    <t>ORD-10617</t>
  </si>
  <si>
    <t>ORD-10618</t>
  </si>
  <si>
    <t>ORD-10619</t>
  </si>
  <si>
    <t>CUST1246</t>
  </si>
  <si>
    <t>ORD-10620</t>
  </si>
  <si>
    <t>ORD-10621</t>
  </si>
  <si>
    <t>ORD-10622</t>
  </si>
  <si>
    <t>ORD-10623</t>
  </si>
  <si>
    <t>ORD-10624</t>
  </si>
  <si>
    <t>CUST1074</t>
  </si>
  <si>
    <t>ORD-10625</t>
  </si>
  <si>
    <t>ORD-10626</t>
  </si>
  <si>
    <t>ORD-10627</t>
  </si>
  <si>
    <t>ORD-10628</t>
  </si>
  <si>
    <t>ORD-10629</t>
  </si>
  <si>
    <t>ORD-10630</t>
  </si>
  <si>
    <t>ORD-10631</t>
  </si>
  <si>
    <t>ORD-10632</t>
  </si>
  <si>
    <t>CUST1139</t>
  </si>
  <si>
    <t>ORD-10633</t>
  </si>
  <si>
    <t>ORD-10634</t>
  </si>
  <si>
    <t>ORD-10635</t>
  </si>
  <si>
    <t>ORD-10636</t>
  </si>
  <si>
    <t>ORD-10637</t>
  </si>
  <si>
    <t>ORD-10638</t>
  </si>
  <si>
    <t>ORD-10639</t>
  </si>
  <si>
    <t>CUST1015</t>
  </si>
  <si>
    <t>ORD-10640</t>
  </si>
  <si>
    <t>ORD-10641</t>
  </si>
  <si>
    <t>ORD-10642</t>
  </si>
  <si>
    <t>ORD-10643</t>
  </si>
  <si>
    <t>ORD-10644</t>
  </si>
  <si>
    <t>ORD-10645</t>
  </si>
  <si>
    <t>ORD-10646</t>
  </si>
  <si>
    <t>ORD-10647</t>
  </si>
  <si>
    <t>ORD-10648</t>
  </si>
  <si>
    <t>ORD-10649</t>
  </si>
  <si>
    <t>ORD-10650</t>
  </si>
  <si>
    <t>ORD-10651</t>
  </si>
  <si>
    <t>ORD-10652</t>
  </si>
  <si>
    <t>ORD-10653</t>
  </si>
  <si>
    <t>CUST1221</t>
  </si>
  <si>
    <t>ORD-10654</t>
  </si>
  <si>
    <t>ORD-10655</t>
  </si>
  <si>
    <t>ORD-10656</t>
  </si>
  <si>
    <t>CUST1175</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</si>
  <si>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</si>
  <si>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</si>
  <si>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</si>
  <si>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</si>
  <si>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</si>
  <si>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</si>
  <si>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</si>
  <si>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</si>
  <si>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</si>
  <si>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</si>
  <si>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</si>
  <si>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</si>
  <si>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</si>
  <si>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</si>
  <si>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</si>
  <si>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</si>
  <si>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</si>
  <si>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CUST1217</t>
  </si>
  <si>
    <t>ORD-10674</t>
  </si>
  <si>
    <t>ORD-10675</t>
  </si>
  <si>
    <t>ORD-10676</t>
  </si>
  <si>
    <t>ORD-10677</t>
  </si>
  <si>
    <t>ORD-10678</t>
  </si>
  <si>
    <t>CUST1027</t>
  </si>
  <si>
    <t xml:space="preserve"> Kolkata </t>
  </si>
  <si>
    <t>ORD-10679</t>
  </si>
  <si>
    <t>CUST1057</t>
  </si>
  <si>
    <t>ORD-10680</t>
  </si>
  <si>
    <t>ORD-10681</t>
  </si>
  <si>
    <t>CUST1194</t>
  </si>
  <si>
    <t>ORD-10682</t>
  </si>
  <si>
    <t>ORD-10683</t>
  </si>
  <si>
    <t>ORD-10684</t>
  </si>
  <si>
    <t>ORD-10685</t>
  </si>
  <si>
    <t>ORD-10686</t>
  </si>
  <si>
    <t>ORD-10687</t>
  </si>
  <si>
    <t>ORD-10688</t>
  </si>
  <si>
    <t>ORD-10689</t>
  </si>
  <si>
    <t>ORD-10690</t>
  </si>
  <si>
    <t>ORD-10691</t>
  </si>
  <si>
    <t>ORD-10692</t>
  </si>
  <si>
    <t>ORD-10693</t>
  </si>
  <si>
    <t>ORD-10694</t>
  </si>
  <si>
    <t>ORD-10695</t>
  </si>
  <si>
    <t>ORD-10696</t>
  </si>
  <si>
    <t>CUST1169</t>
  </si>
  <si>
    <t>ORD-10697</t>
  </si>
  <si>
    <t>ORD-10698</t>
  </si>
  <si>
    <t>CUST1167</t>
  </si>
  <si>
    <t>ORD-10699</t>
  </si>
  <si>
    <t>ORD-10700</t>
  </si>
  <si>
    <t>ORD-10701</t>
  </si>
  <si>
    <t>ORD-10702</t>
  </si>
  <si>
    <t>ORD-10703</t>
  </si>
  <si>
    <t>ORD-10704</t>
  </si>
  <si>
    <t>ORD-10705</t>
  </si>
  <si>
    <t>CUST1049</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</si>
  <si>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</si>
  <si>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</si>
  <si>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</si>
  <si>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</si>
  <si>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</si>
  <si>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</si>
  <si>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</si>
  <si>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</si>
  <si>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</si>
  <si>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</si>
  <si>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</si>
  <si>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</si>
  <si>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</si>
  <si>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</si>
  <si>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</si>
  <si>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</si>
  <si>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</si>
  <si>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CUST1055</t>
  </si>
  <si>
    <t>ORD-10723</t>
  </si>
  <si>
    <t>ORD-10724</t>
  </si>
  <si>
    <t>ORD-10725</t>
  </si>
  <si>
    <t>ORD-10726</t>
  </si>
  <si>
    <t>ORD-10727</t>
  </si>
  <si>
    <t>ORD-10728</t>
  </si>
  <si>
    <t>CUST1030</t>
  </si>
  <si>
    <t>ORD-10729</t>
  </si>
  <si>
    <t>ORD-10730</t>
  </si>
  <si>
    <t>CUST1102</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</si>
  <si>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</si>
  <si>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</si>
  <si>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</si>
  <si>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</si>
  <si>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</si>
  <si>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</si>
  <si>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</si>
  <si>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</si>
  <si>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</si>
  <si>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</si>
  <si>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</si>
  <si>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</si>
  <si>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</si>
  <si>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</si>
  <si>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</si>
  <si>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</si>
  <si>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</si>
  <si>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</si>
  <si>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</si>
  <si>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</si>
  <si>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</si>
  <si>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</si>
  <si>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</si>
  <si>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</si>
  <si>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</si>
  <si>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</si>
  <si>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</si>
  <si>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</si>
  <si>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</si>
  <si>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</si>
  <si>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</si>
  <si>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</si>
  <si>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</si>
  <si>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</si>
  <si>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</si>
  <si>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</si>
  <si>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</si>
  <si>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</si>
  <si>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</si>
  <si>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</si>
  <si>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CUST1171</t>
  </si>
  <si>
    <t>ORD-10771</t>
  </si>
  <si>
    <t>ORD-10772</t>
  </si>
  <si>
    <t>ORD-10773</t>
  </si>
  <si>
    <t>ORD-10774</t>
  </si>
  <si>
    <t>ORD-10775</t>
  </si>
  <si>
    <t>ORD-10776</t>
  </si>
  <si>
    <t>ORD-10777</t>
  </si>
  <si>
    <t>ORD-10778</t>
  </si>
  <si>
    <t>ORD-10779</t>
  </si>
  <si>
    <t>ORD-10780</t>
  </si>
  <si>
    <t>ORD-10781</t>
  </si>
  <si>
    <t>CUST1004</t>
  </si>
  <si>
    <t>ORD-10782</t>
  </si>
  <si>
    <t>ORD-10783</t>
  </si>
  <si>
    <t>ORD-10784</t>
  </si>
  <si>
    <t>ORD-10785</t>
  </si>
  <si>
    <t>ORD-10786</t>
  </si>
  <si>
    <t>ORD-10787</t>
  </si>
  <si>
    <t>ORD-10788</t>
  </si>
  <si>
    <t>ORD-10789</t>
  </si>
  <si>
    <t>ORD-10790</t>
  </si>
  <si>
    <t>ORD-10791</t>
  </si>
  <si>
    <t>ORD-10792</t>
  </si>
  <si>
    <t>ORD-10793</t>
  </si>
  <si>
    <t>ORD-10794</t>
  </si>
  <si>
    <t>ORD-10795</t>
  </si>
  <si>
    <t>CUST1098</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</si>
  <si>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</si>
  <si>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</si>
  <si>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</si>
  <si>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</si>
  <si>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</si>
  <si>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</si>
  <si>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</si>
  <si>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</si>
  <si>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</si>
  <si>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</si>
  <si>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</si>
  <si>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</si>
  <si>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</si>
  <si>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</si>
  <si>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</si>
  <si>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</si>
  <si>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</si>
  <si>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</si>
  <si>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</si>
  <si>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</si>
  <si>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</si>
  <si>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</si>
  <si>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</si>
  <si>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</si>
  <si>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</si>
  <si>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</si>
  <si>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 xml:space="preserve"> Hyderabad </t>
  </si>
  <si>
    <t>ORD-10822</t>
  </si>
  <si>
    <t>ORD-10823</t>
  </si>
  <si>
    <t>ORD-10824</t>
  </si>
  <si>
    <t>ORD-10825</t>
  </si>
  <si>
    <t>ORD-10826</t>
  </si>
  <si>
    <t>ORD-10827</t>
  </si>
  <si>
    <t>ORD-10828</t>
  </si>
  <si>
    <t>ORD-10829</t>
  </si>
  <si>
    <t>ORD-10830</t>
  </si>
  <si>
    <t>ORD-10831</t>
  </si>
  <si>
    <t>ORD-10832</t>
  </si>
  <si>
    <t>ORD-10833</t>
  </si>
  <si>
    <t>CUST1101</t>
  </si>
  <si>
    <t>ORD-10834</t>
  </si>
  <si>
    <t>ORD-10835</t>
  </si>
  <si>
    <t>ORD-10836</t>
  </si>
  <si>
    <t>CUST1127</t>
  </si>
  <si>
    <t>ORD-10837</t>
  </si>
  <si>
    <t>CUST1131</t>
  </si>
  <si>
    <t>ORD-10838</t>
  </si>
  <si>
    <t>ORD-10839</t>
  </si>
  <si>
    <t>ORD-10840</t>
  </si>
  <si>
    <t>ORD-10841</t>
  </si>
  <si>
    <t>ORD-10842</t>
  </si>
  <si>
    <t>ORD-10843</t>
  </si>
  <si>
    <t>ORD-10844</t>
  </si>
  <si>
    <t>ORD-10845</t>
  </si>
  <si>
    <t>ORD-10846</t>
  </si>
  <si>
    <t>ORD-10847</t>
  </si>
  <si>
    <t>ORD-10848</t>
  </si>
  <si>
    <t>ORD-10849</t>
  </si>
  <si>
    <t>ORD-10850</t>
  </si>
  <si>
    <t>ORD-10851</t>
  </si>
  <si>
    <t>CUST1045</t>
  </si>
  <si>
    <t>ORD-10852</t>
  </si>
  <si>
    <t>ORD-10853</t>
  </si>
  <si>
    <t>ORD-10854</t>
  </si>
  <si>
    <t>ORD-10855</t>
  </si>
  <si>
    <t>ORD-10856</t>
  </si>
  <si>
    <t xml:space="preserve"> Pune </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</si>
  <si>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</si>
  <si>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</si>
  <si>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</si>
  <si>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</si>
  <si>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</si>
  <si>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</si>
  <si>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</si>
  <si>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</si>
  <si>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</si>
  <si>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</si>
  <si>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</si>
  <si>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</si>
  <si>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</si>
  <si>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</si>
  <si>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</si>
  <si>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</si>
  <si>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</si>
  <si>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CUST1001</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</si>
  <si>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</si>
  <si>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</si>
  <si>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</si>
  <si>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</si>
  <si>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</si>
  <si>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</si>
  <si>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</si>
  <si>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</si>
  <si>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</si>
  <si>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</si>
  <si>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</si>
  <si>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</si>
  <si>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</si>
  <si>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</si>
  <si>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</si>
  <si>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</si>
  <si>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</si>
  <si>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</si>
  <si>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</si>
  <si>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</si>
  <si>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</si>
  <si>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</si>
  <si>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</si>
  <si>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</si>
  <si>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</si>
  <si>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</si>
  <si>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</si>
  <si>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</si>
  <si>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</si>
  <si>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</si>
  <si>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</si>
  <si>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</si>
  <si>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</si>
  <si>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</si>
  <si>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</si>
  <si>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</si>
  <si>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</si>
  <si>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</si>
  <si>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</si>
  <si>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</si>
  <si>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</si>
  <si>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</si>
  <si>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</si>
  <si>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</si>
  <si>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</si>
  <si>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</si>
  <si>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</si>
  <si>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CUST1233</t>
  </si>
  <si>
    <t>ORD-10921</t>
  </si>
  <si>
    <t>ORD-10922</t>
  </si>
  <si>
    <t>CUST1174</t>
  </si>
  <si>
    <t>ORD-10923</t>
  </si>
  <si>
    <t>CUST1029</t>
  </si>
  <si>
    <t>ORD-10924</t>
  </si>
  <si>
    <t>ORD-10925</t>
  </si>
  <si>
    <t>ORD-10926</t>
  </si>
  <si>
    <t>ORD-10927</t>
  </si>
  <si>
    <t>ORD-10928</t>
  </si>
  <si>
    <t>ORD-10929</t>
  </si>
  <si>
    <t>ORD-10930</t>
  </si>
  <si>
    <t>ORD-10931</t>
  </si>
  <si>
    <t>ORD-10932</t>
  </si>
  <si>
    <t>ORD-10933</t>
  </si>
  <si>
    <t>ORD-10934</t>
  </si>
  <si>
    <t>CUST1218</t>
  </si>
  <si>
    <t>ORD-10935</t>
  </si>
  <si>
    <t>ORD-10936</t>
  </si>
  <si>
    <t>ORD-10937</t>
  </si>
  <si>
    <t>ORD-10938</t>
  </si>
  <si>
    <t>ORD-10939</t>
  </si>
  <si>
    <t>ORD-10940</t>
  </si>
  <si>
    <t>CUST1245</t>
  </si>
  <si>
    <t>ORD-10941</t>
  </si>
  <si>
    <t>ORD-10942</t>
  </si>
  <si>
    <t>ORD-10943</t>
  </si>
  <si>
    <t>ORD-10944</t>
  </si>
  <si>
    <t>ORD-10945</t>
  </si>
  <si>
    <t>ORD-10946</t>
  </si>
  <si>
    <t>ORD-10947</t>
  </si>
  <si>
    <t>ORD-10948</t>
  </si>
  <si>
    <t>ORD-10949</t>
  </si>
  <si>
    <t>ORD-10950</t>
  </si>
  <si>
    <t>ORD-10951</t>
  </si>
  <si>
    <t>CUST1226</t>
  </si>
  <si>
    <t>ORD-10952</t>
  </si>
  <si>
    <t>ORD-10953</t>
  </si>
  <si>
    <t>ORD-10954</t>
  </si>
  <si>
    <t>ORD-10955</t>
  </si>
  <si>
    <t>ORD-10956</t>
  </si>
  <si>
    <t>ORD-10957</t>
  </si>
  <si>
    <t>ORD-10958</t>
  </si>
  <si>
    <t>CUST1133</t>
  </si>
  <si>
    <t>ORD-10959</t>
  </si>
  <si>
    <t>ORD-10960</t>
  </si>
  <si>
    <t>ORD-10961</t>
  </si>
  <si>
    <t>ORD-10962</t>
  </si>
  <si>
    <t>CUST1019</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</si>
  <si>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</si>
  <si>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</si>
  <si>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</si>
  <si>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</si>
  <si>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</si>
  <si>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</si>
  <si>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</si>
  <si>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</si>
  <si>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</si>
  <si>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</si>
  <si>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</si>
  <si>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</si>
  <si>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</si>
  <si>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</si>
  <si>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</si>
  <si>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</si>
  <si>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</si>
  <si>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</si>
  <si>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</si>
  <si>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</si>
  <si>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CUST1151</t>
  </si>
  <si>
    <t>ORD-10983</t>
  </si>
  <si>
    <t>ORD-10984</t>
  </si>
  <si>
    <t>ORD-10985</t>
  </si>
  <si>
    <t>ORD-10986</t>
  </si>
  <si>
    <t>CUST1093</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</si>
  <si>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</si>
  <si>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</si>
  <si>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</si>
  <si>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</si>
  <si>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</si>
  <si>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</si>
  <si>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</si>
  <si>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</si>
  <si>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</si>
  <si>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</si>
  <si>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</si>
  <si>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</si>
  <si>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</si>
  <si>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</si>
  <si>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</si>
  <si>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</si>
  <si>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</si>
  <si>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</si>
  <si>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</si>
  <si>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CUST1253</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</si>
  <si>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</si>
  <si>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</si>
  <si>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</si>
  <si>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</si>
  <si>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</si>
  <si>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</si>
  <si>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</si>
  <si>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</si>
  <si>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</si>
  <si>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</si>
  <si>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</si>
  <si>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</si>
  <si>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</si>
  <si>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</si>
  <si>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</si>
  <si>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</si>
  <si>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</si>
  <si>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</si>
  <si>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</si>
  <si>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</si>
  <si>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</si>
  <si>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</si>
  <si>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</si>
  <si>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</si>
  <si>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</si>
  <si>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</si>
  <si>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</si>
  <si>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</si>
  <si>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</si>
  <si>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</si>
  <si>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</si>
  <si>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</si>
  <si>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</si>
  <si>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</si>
  <si>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</si>
  <si>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</si>
  <si>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</si>
  <si>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</si>
  <si>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</si>
  <si>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</si>
  <si>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</si>
  <si>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</si>
  <si>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</si>
  <si>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</si>
  <si>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</si>
  <si>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</si>
  <si>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</si>
  <si>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</si>
  <si>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 xml:space="preserve"> Net Banking </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</si>
  <si>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</si>
  <si>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</si>
  <si>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</si>
  <si>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</si>
  <si>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</si>
  <si>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</si>
  <si>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</si>
  <si>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</si>
  <si>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</si>
  <si>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</si>
  <si>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</si>
  <si>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</si>
  <si>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</si>
  <si>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</si>
  <si>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</si>
  <si>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</si>
  <si>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</si>
  <si>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</si>
  <si>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</si>
  <si>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</si>
  <si>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</si>
  <si>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</si>
  <si>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</si>
  <si>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</si>
  <si>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</si>
  <si>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</si>
  <si>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</si>
  <si>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</si>
  <si>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</si>
  <si>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CUST1013</t>
  </si>
  <si>
    <t>ORD-11083</t>
  </si>
  <si>
    <t>ORD-11084</t>
  </si>
  <si>
    <t>ORD-11085</t>
  </si>
  <si>
    <t>ORD-11086</t>
  </si>
  <si>
    <t>ORD-11087</t>
  </si>
  <si>
    <t>ORD-11088</t>
  </si>
  <si>
    <t>ORD-11089</t>
  </si>
  <si>
    <t>ORD-11090</t>
  </si>
  <si>
    <t>ORD-11091</t>
  </si>
  <si>
    <t>ORD-11092</t>
  </si>
  <si>
    <t>ORD-11093</t>
  </si>
  <si>
    <t>ORD-11094</t>
  </si>
  <si>
    <t>ORD-11095</t>
  </si>
  <si>
    <t>CUST1126</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</si>
  <si>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</si>
  <si>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</si>
  <si>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</si>
  <si>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</si>
  <si>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</si>
  <si>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</si>
  <si>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</si>
  <si>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</si>
  <si>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</si>
  <si>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</si>
  <si>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</si>
  <si>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</si>
  <si>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</si>
  <si>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</si>
  <si>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</si>
  <si>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</si>
  <si>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</si>
  <si>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</si>
  <si>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</si>
  <si>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</si>
  <si>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</si>
  <si>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</si>
  <si>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</si>
  <si>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</si>
  <si>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CUST1205</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</si>
  <si>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</si>
  <si>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</si>
  <si>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</si>
  <si>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</si>
  <si>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</si>
  <si>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</si>
  <si>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</si>
  <si>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</si>
  <si>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</si>
  <si>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</si>
  <si>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</si>
  <si>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</si>
  <si>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</si>
  <si>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</si>
  <si>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</si>
  <si>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</si>
  <si>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</si>
  <si>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</si>
  <si>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</si>
  <si>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</si>
  <si>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</si>
  <si>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</si>
  <si>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</si>
  <si>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</si>
  <si>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</si>
  <si>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</si>
  <si>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</si>
  <si>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</si>
  <si>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</si>
  <si>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</si>
  <si>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</si>
  <si>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</si>
  <si>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</si>
  <si>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</si>
  <si>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</si>
  <si>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</si>
  <si>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</si>
  <si>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</si>
  <si>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</si>
  <si>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</si>
  <si>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</si>
  <si>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</si>
  <si>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</si>
  <si>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</si>
  <si>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</si>
  <si>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</si>
  <si>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</si>
  <si>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</si>
  <si>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</si>
  <si>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</si>
  <si>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</si>
  <si>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</si>
  <si>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</si>
  <si>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</si>
  <si>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</si>
  <si>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</si>
  <si>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</si>
  <si>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</si>
  <si>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</si>
  <si>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</si>
  <si>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</si>
  <si>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</si>
  <si>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</si>
  <si>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CUST1200</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</si>
  <si>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</si>
  <si>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</si>
  <si>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</si>
  <si>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</si>
  <si>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</si>
  <si>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</si>
  <si>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</si>
  <si>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</si>
  <si>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</si>
  <si>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</si>
  <si>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</si>
  <si>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</si>
  <si>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</si>
  <si>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</si>
  <si>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</si>
  <si>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</si>
  <si>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</si>
  <si>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</si>
  <si>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COLUMNS</t>
  </si>
  <si>
    <t>Not Assigned</t>
  </si>
  <si>
    <t>Discount_amount</t>
  </si>
  <si>
    <t>Net_Sale</t>
  </si>
  <si>
    <t>Profit_Margin</t>
  </si>
  <si>
    <t>Columns</t>
  </si>
  <si>
    <t>Count of Order_ID</t>
  </si>
  <si>
    <t>Sum of Net_Sale</t>
  </si>
  <si>
    <t>Sum of Profit</t>
  </si>
  <si>
    <t>Sum of Profit_Margin</t>
  </si>
  <si>
    <t>Row Labels</t>
  </si>
  <si>
    <t>Jan</t>
  </si>
  <si>
    <t>Feb</t>
  </si>
  <si>
    <t>Mar</t>
  </si>
  <si>
    <t>Apr</t>
  </si>
  <si>
    <t>May</t>
  </si>
  <si>
    <t>Jun</t>
  </si>
  <si>
    <t>Jul</t>
  </si>
  <si>
    <t>Aug</t>
  </si>
  <si>
    <t>Sep</t>
  </si>
  <si>
    <t>Oct</t>
  </si>
  <si>
    <t>Nov</t>
  </si>
  <si>
    <t>Dec</t>
  </si>
  <si>
    <t>Average of Profit_Margin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</si>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</sst>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h:mm"/>
    <numFmt numFmtId="165" formatCode="\₹#,##0.00"/>
    <numFmt numFmtId="166" formatCode="0.0%"/>
  </numFmts>
  <fonts count="8" x14ac:knownFonts="1">
    <font>
      <sz val="11"/>
      <color theme="1"/>
      <name val="Calibri"/>
      <family val="2"/>
      <scheme val="minor"/>
    </font>
    <font>
      <b/>
      <sz val="11"/>
      <name val="Calibri"/>
      <family val="2"/>
    </font>
    <font>
      <b/>
      <sz val="11"/>
      <color theme="0"/>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1" tint="0.34998626667073579"/>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2" tint="-0.249977111117893"/>
        <bgColor indexed="64"/>
      </patternFill>
    </fill>
    <fill>
      <patternFill patternType="solid">
        <fgColor theme="1"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1" fillId="0" borderId="1" xfId="0" applyFont="1" applyBorder="1" applyAlignment="1">
      <alignment horizontal="center"/>
    </xf>
    <xf numFmtId="164" fontId="0" fillId="0" borderId="0" xfId="0" applyNumberFormat="1"/>
    <xf numFmtId="165" fontId="0" fillId="0" borderId="0" xfId="0" applyNumberFormat="1"/>
    <xf numFmtId="10" fontId="0" fillId="0" borderId="0" xfId="0" applyNumberFormat="1"/>
    <xf numFmtId="0" fontId="2" fillId="2" borderId="0" xfId="0" applyFont="1" applyFill="1" applyAlignment="1">
      <alignment horizontal="center" vertical="center"/>
    </xf>
    <xf numFmtId="14" fontId="0" fillId="0" borderId="0" xfId="0" applyNumberFormat="1"/>
    <xf numFmtId="166" fontId="0" fillId="0" borderId="0" xfId="1" applyNumberFormat="1" applyFont="1"/>
    <xf numFmtId="0" fontId="4" fillId="3" borderId="0" xfId="0" applyFont="1" applyFill="1"/>
    <xf numFmtId="0" fontId="0" fillId="0" borderId="0" xfId="0" pivotButton="1"/>
    <xf numFmtId="166" fontId="0" fillId="0" borderId="0" xfId="0" applyNumberFormat="1"/>
    <xf numFmtId="0" fontId="0" fillId="0" borderId="0" xfId="0" applyAlignment="1">
      <alignment horizontal="left"/>
    </xf>
    <xf numFmtId="1" fontId="0" fillId="0" borderId="0" xfId="0" applyNumberFormat="1"/>
    <xf numFmtId="0" fontId="0" fillId="4" borderId="0" xfId="0" applyFill="1"/>
    <xf numFmtId="0" fontId="6" fillId="4" borderId="0" xfId="0" applyFont="1" applyFill="1"/>
    <xf numFmtId="1" fontId="5" fillId="4" borderId="0" xfId="0" applyNumberFormat="1" applyFont="1" applyFill="1"/>
    <xf numFmtId="166" fontId="5" fillId="4" borderId="0" xfId="1" applyNumberFormat="1" applyFont="1" applyFill="1"/>
    <xf numFmtId="0" fontId="7" fillId="4" borderId="0" xfId="0" applyFont="1" applyFill="1"/>
  </cellXfs>
  <cellStyles count="2">
    <cellStyle name="Normal" xfId="0" builtinId="0"/>
    <cellStyle name="Percent" xfId="1" builtinId="5"/>
  </cellStyles>
  <dxfs count="25">
    <dxf>
      <numFmt numFmtId="1" formatCode="0"/>
    </dxf>
    <dxf>
      <numFmt numFmtId="1" formatCode="0"/>
    </dxf>
    <dxf>
      <numFmt numFmtId="1" formatCode="0"/>
    </dxf>
    <dxf>
      <numFmt numFmtId="1" formatCode="0"/>
    </dxf>
    <dxf>
      <numFmt numFmtId="1" formatCode="0"/>
    </dxf>
    <dxf>
      <numFmt numFmtId="0" formatCode="General"/>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font>
        <color theme="0"/>
      </font>
      <fill>
        <patternFill>
          <bgColor theme="1"/>
        </patternFill>
      </fill>
      <border diagonalUp="0" diagonalDown="0">
        <left/>
        <right/>
        <top/>
        <bottom/>
        <vertical/>
        <horizontal/>
      </border>
    </dxf>
    <dxf>
      <font>
        <color theme="1"/>
      </font>
      <fill>
        <patternFill>
          <bgColor theme="1"/>
        </patternFill>
      </fill>
      <border diagonalUp="0" diagonalDown="0">
        <left/>
        <right/>
        <top/>
        <bottom/>
        <vertical/>
        <horizontal/>
      </border>
    </dxf>
  </dxfs>
  <tableStyles count="1" defaultTableStyle="TableStyleMedium9" defaultPivotStyle="PivotStyleLight16">
    <tableStyle name="My Dark Theme " pivot="0" table="0" count="10" xr9:uid="{4949FD21-B281-4B79-B2D0-EEE1483BC178}">
      <tableStyleElement type="wholeTable" dxfId="24"/>
      <tableStyleElement type="headerRow" dxfId="23"/>
    </tableStyle>
  </tableStyles>
  <colors>
    <mruColors>
      <color rgb="FF33333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1"/>
          </font>
          <fill>
            <patternFill patternType="solid">
              <fgColor theme="4"/>
              <bgColor rgb="FF92D05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theme="1"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y Dark Theme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[Ecommerce_Dashboard.xlsx]Pivot_Table!PivotTable3</c:name>
    <c:fmtId val="33"/>
  </c:pivotSource>
  <c:chart>
    <c:title>
      <c:tx>
        <c:rich>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r>
              <a:rPr lang="en-US" sz="1600" b="1" i="1" u="sng"/>
              <a:t>MONTH-WISE SALE</a:t>
            </a:r>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4.1407867494824016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16E-2"/>
              <c:y val="6.018518518518518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5576259489302961E-2"/>
              <c:y val="-5.092592592592597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0731538992408657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9.1097308488612944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7.4534161490683232E-2"/>
              <c:y val="-6.0185185185185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92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2.7605244996549445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8336783988958001E-2"/>
              <c:y val="4.166666666666666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6563146997929608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4.1407867494824016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16E-2"/>
              <c:y val="6.018518518518518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5576259489302961E-2"/>
              <c:y val="-5.092592592592597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0731538992408657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9.1097308488612944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7.4534161490683232E-2"/>
              <c:y val="-6.0185185185185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92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2.7605244996549445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8336783988958001E-2"/>
              <c:y val="4.166666666666666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6563146997929608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28575" cap="rnd">
            <a:solidFill>
              <a:schemeClr val="accent2"/>
            </a:solidFill>
            <a:round/>
          </a:ln>
          <a:effectLst/>
        </c:spPr>
        <c:marker>
          <c:symbol val="circle"/>
          <c:size val="5"/>
        </c:marker>
        <c:dLbl>
          <c:idx val="0"/>
          <c:layout>
            <c:manualLayout>
              <c:x val="-4.1407867494824016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8575" cap="rnd">
            <a:solidFill>
              <a:schemeClr val="accent2"/>
            </a:solidFill>
            <a:round/>
          </a:ln>
          <a:effectLst/>
        </c:spPr>
        <c:marker>
          <c:symbol val="circle"/>
          <c:size val="5"/>
        </c:marker>
        <c:dLbl>
          <c:idx val="0"/>
          <c:layout>
            <c:manualLayout>
              <c:x val="-5.5210489993098716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28575" cap="rnd">
            <a:solidFill>
              <a:schemeClr val="accent2"/>
            </a:solidFill>
            <a:round/>
          </a:ln>
          <a:effectLst/>
        </c:spPr>
        <c:marker>
          <c:symbol val="circle"/>
          <c:size val="5"/>
        </c:marker>
        <c:dLbl>
          <c:idx val="0"/>
          <c:layout>
            <c:manualLayout>
              <c:x val="-5.797101449275362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1"/>
          </a:solidFill>
          <a:ln w="28575" cap="rnd">
            <a:solidFill>
              <a:schemeClr val="accent2"/>
            </a:solidFill>
            <a:round/>
          </a:ln>
          <a:effectLst/>
        </c:spPr>
        <c:marker>
          <c:symbol val="circle"/>
          <c:size val="5"/>
        </c:marker>
        <c:dLbl>
          <c:idx val="0"/>
          <c:layout>
            <c:manualLayout>
              <c:x val="-5.797101449275362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1"/>
          </a:solidFill>
          <a:ln w="28575" cap="rnd">
            <a:solidFill>
              <a:schemeClr val="accent2"/>
            </a:solidFill>
            <a:round/>
          </a:ln>
          <a:effectLst/>
        </c:spPr>
        <c:marker>
          <c:symbol val="circle"/>
          <c:size val="5"/>
        </c:marker>
        <c:dLbl>
          <c:idx val="0"/>
          <c:layout>
            <c:manualLayout>
              <c:x val="-8.5576259489302961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28575" cap="rnd">
            <a:solidFill>
              <a:schemeClr val="accent2"/>
            </a:solidFill>
            <a:round/>
          </a:ln>
          <a:effectLst/>
        </c:spPr>
        <c:marker>
          <c:symbol val="circle"/>
          <c:size val="5"/>
        </c:marker>
        <c:dLbl>
          <c:idx val="0"/>
          <c:layout>
            <c:manualLayout>
              <c:x val="-6.0731538992408657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28575" cap="rnd">
            <a:solidFill>
              <a:schemeClr val="accent2"/>
            </a:solidFill>
            <a:round/>
          </a:ln>
          <a:effectLst/>
        </c:spPr>
        <c:marker>
          <c:symbol val="circle"/>
          <c:size val="5"/>
        </c:marker>
        <c:dLbl>
          <c:idx val="0"/>
          <c:layout>
            <c:manualLayout>
              <c:x val="-9.109730848861294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28575" cap="rnd">
            <a:solidFill>
              <a:schemeClr val="accent2"/>
            </a:solidFill>
            <a:round/>
          </a:ln>
          <a:effectLst/>
        </c:spPr>
        <c:marker>
          <c:symbol val="circle"/>
          <c:size val="5"/>
        </c:marker>
        <c:dLbl>
          <c:idx val="0"/>
          <c:layout>
            <c:manualLayout>
              <c:x val="-7.4534161490683232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1"/>
          </a:solidFill>
          <a:ln w="28575" cap="rnd">
            <a:solidFill>
              <a:schemeClr val="accent2"/>
            </a:solidFill>
            <a:round/>
          </a:ln>
          <a:effectLst/>
        </c:spPr>
        <c:marker>
          <c:symbol val="circle"/>
          <c:size val="5"/>
        </c:marker>
        <c:dLbl>
          <c:idx val="0"/>
          <c:layout>
            <c:manualLayout>
              <c:x val="-5.521048999309879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1"/>
          </a:solidFill>
          <a:ln w="28575" cap="rnd">
            <a:solidFill>
              <a:schemeClr val="accent2"/>
            </a:solidFill>
            <a:round/>
          </a:ln>
          <a:effectLst/>
        </c:spPr>
        <c:marker>
          <c:symbol val="circle"/>
          <c:size val="5"/>
        </c:marker>
        <c:dLbl>
          <c:idx val="0"/>
          <c:layout>
            <c:manualLayout>
              <c:x val="-2.760524499654944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28575" cap="rnd">
            <a:solidFill>
              <a:schemeClr val="accent2"/>
            </a:solidFill>
            <a:round/>
          </a:ln>
          <a:effectLst/>
        </c:spPr>
        <c:marker>
          <c:symbol val="circle"/>
          <c:size val="5"/>
        </c:marker>
        <c:dLbl>
          <c:idx val="0"/>
          <c:layout>
            <c:manualLayout>
              <c:x val="-8.8336783988958001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1"/>
          </a:solidFill>
          <a:ln w="28575" cap="rnd">
            <a:solidFill>
              <a:schemeClr val="accent2"/>
            </a:solidFill>
            <a:round/>
          </a:ln>
          <a:effectLst/>
        </c:spPr>
        <c:marker>
          <c:symbol val="circle"/>
          <c:size val="5"/>
        </c:marker>
        <c:dLbl>
          <c:idx val="0"/>
          <c:layout>
            <c:manualLayout>
              <c:x val="-1.6563146997929608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1407867494824016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210489993098716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797101449275362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797101449275362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5576259489302961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0731538992408657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109730848861294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4534161490683232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21048999309879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60524499654944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8336783988958001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6563146997929608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1407867494824016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210489993098716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797101449275362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797101449275362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5576259489302961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0731538992408657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109730848861294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4534161490683232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521048999309879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60524499654944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8336783988958001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6563146997929608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8300373521748244E-2"/>
          <c:y val="0.16516910528288067"/>
          <c:w val="0.87262105557612279"/>
          <c:h val="0.73015699637143905"/>
        </c:manualLayout>
      </c:layout>
      <c:lineChart>
        <c:grouping val="standard"/>
        <c:varyColors val="0"/>
        <c:ser>
          <c:idx val="0"/>
          <c:order val="0"/>
          <c:tx>
            <c:strRef>
              <c:f>Pivot_Table!$B$7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A0A2-43F1-BC0E-49BACFCD115A}"/>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A0A2-43F1-BC0E-49BACFCD115A}"/>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A0A2-43F1-BC0E-49BACFCD115A}"/>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7-A0A2-43F1-BC0E-49BACFCD115A}"/>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9-A0A2-43F1-BC0E-49BACFCD115A}"/>
              </c:ext>
            </c:extLst>
          </c:dPt>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B-A0A2-43F1-BC0E-49BACFCD115A}"/>
              </c:ext>
            </c:extLst>
          </c:dPt>
          <c:dPt>
            <c:idx val="6"/>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D-A0A2-43F1-BC0E-49BACFCD115A}"/>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F-A0A2-43F1-BC0E-49BACFCD115A}"/>
              </c:ext>
            </c:extLst>
          </c:dPt>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1-A0A2-43F1-BC0E-49BACFCD115A}"/>
              </c:ext>
            </c:extLst>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3-A0A2-43F1-BC0E-49BACFCD115A}"/>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5-A0A2-43F1-BC0E-49BACFCD115A}"/>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7-A0A2-43F1-BC0E-49BACFCD115A}"/>
              </c:ext>
            </c:extLst>
          </c:dPt>
          <c:dLbls>
            <c:dLbl>
              <c:idx val="0"/>
              <c:layout>
                <c:manualLayout>
                  <c:x val="-4.1407867494824016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A2-43F1-BC0E-49BACFCD115A}"/>
                </c:ext>
              </c:extLst>
            </c:dLbl>
            <c:dLbl>
              <c:idx val="1"/>
              <c:layout>
                <c:manualLayout>
                  <c:x val="-5.521048999309871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A2-43F1-BC0E-49BACFCD115A}"/>
                </c:ext>
              </c:extLst>
            </c:dLbl>
            <c:dLbl>
              <c:idx val="2"/>
              <c:layout>
                <c:manualLayout>
                  <c:x val="-5.797101449275362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A2-43F1-BC0E-49BACFCD115A}"/>
                </c:ext>
              </c:extLst>
            </c:dLbl>
            <c:dLbl>
              <c:idx val="3"/>
              <c:layout>
                <c:manualLayout>
                  <c:x val="-5.797101449275362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A2-43F1-BC0E-49BACFCD115A}"/>
                </c:ext>
              </c:extLst>
            </c:dLbl>
            <c:dLbl>
              <c:idx val="4"/>
              <c:layout>
                <c:manualLayout>
                  <c:x val="-8.5576259489302961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A2-43F1-BC0E-49BACFCD115A}"/>
                </c:ext>
              </c:extLst>
            </c:dLbl>
            <c:dLbl>
              <c:idx val="5"/>
              <c:layout>
                <c:manualLayout>
                  <c:x val="-6.0731538992408657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0A2-43F1-BC0E-49BACFCD115A}"/>
                </c:ext>
              </c:extLst>
            </c:dLbl>
            <c:dLbl>
              <c:idx val="6"/>
              <c:layout>
                <c:manualLayout>
                  <c:x val="-9.109730848861294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A2-43F1-BC0E-49BACFCD115A}"/>
                </c:ext>
              </c:extLst>
            </c:dLbl>
            <c:dLbl>
              <c:idx val="7"/>
              <c:layout>
                <c:manualLayout>
                  <c:x val="-7.4534161490683232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0A2-43F1-BC0E-49BACFCD115A}"/>
                </c:ext>
              </c:extLst>
            </c:dLbl>
            <c:dLbl>
              <c:idx val="8"/>
              <c:layout>
                <c:manualLayout>
                  <c:x val="-5.521048999309879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0A2-43F1-BC0E-49BACFCD115A}"/>
                </c:ext>
              </c:extLst>
            </c:dLbl>
            <c:dLbl>
              <c:idx val="9"/>
              <c:layout>
                <c:manualLayout>
                  <c:x val="-2.760524499654944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0A2-43F1-BC0E-49BACFCD115A}"/>
                </c:ext>
              </c:extLst>
            </c:dLbl>
            <c:dLbl>
              <c:idx val="10"/>
              <c:layout>
                <c:manualLayout>
                  <c:x val="-8.8336783988958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0A2-43F1-BC0E-49BACFCD115A}"/>
                </c:ext>
              </c:extLst>
            </c:dLbl>
            <c:dLbl>
              <c:idx val="11"/>
              <c:layout>
                <c:manualLayout>
                  <c:x val="-1.6563146997929608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0A2-43F1-BC0E-49BACFCD1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Pivot_Table!$A$8:$A$19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Pivot_Table!$B$8:$B$19</c:f>
              <c:numCache>
                <c:formatCode>0</c:formatCode>
                <c:ptCount val="12"/>
                <c:pt idx="0">
                  <c:v>414726.94999999995</c:v>
                </c:pt>
                <c:pt idx="1">
                  <c:v>317290.8</c:v>
                </c:pt>
                <c:pt idx="2">
                  <c:v>364303.14999999997</c:v>
                </c:pt>
                <c:pt idx="3">
                  <c:v>293682.35000000003</c:v>
                </c:pt>
                <c:pt idx="4">
                  <c:v>302307.09999999998</c:v>
                </c:pt>
                <c:pt idx="5">
                  <c:v>401107.69999999995</c:v>
                </c:pt>
                <c:pt idx="6">
                  <c:v>345675.5499999997</c:v>
                </c:pt>
                <c:pt idx="7">
                  <c:v>342529.14999999991</c:v>
                </c:pt>
                <c:pt idx="8">
                  <c:v>427615.24999999994</c:v>
                </c:pt>
                <c:pt idx="9">
                  <c:v>381042.95</c:v>
                </c:pt>
                <c:pt idx="10">
                  <c:v>299011.64999999997</c:v>
                </c:pt>
                <c:pt idx="11">
                  <c:v>335347.8</c:v>
                </c:pt>
              </c:numCache>
            </c:numRef>
          </c:val>
          <c:smooth val="0"/>
          <c:extLst>
            <c:ext xmlns:c16="http://schemas.microsoft.com/office/drawing/2014/chart" uri="{C3380CC4-5D6E-409C-BE32-E72D297353CC}">
              <c16:uniqueId val="{00000018-A0A2-43F1-BC0E-49BACFCD115A}"/>
            </c:ext>
          </c:extLst>
        </c:ser>
        <c:dLbls>
          <c:showLegendKey val="0"/>
          <c:showVal val="0"/>
          <c:showCatName val="0"/>
          <c:showSerName val="0"/>
          <c:showPercent val="0"/>
          <c:showBubbleSize val="0"/>
        </c:dLbls>
        <c:marker val="1"/>
        <c:smooth val="0"/>
        <c:axId val="640375952"/>
        <c:axId val="640372784"/>
      </c:lineChart>
      <c:catAx>
        <c:axId val="6403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40372784"/>
        <c:crosses val="autoZero"/>
        <c:auto val="1"/>
        <c:lblAlgn val="ctr"/>
        <c:lblOffset val="100"/>
        <c:noMultiLvlLbl val="0"/>
      </c:catAx>
      <c:valAx>
        <c:axId val="64037278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0375952"/>
        <c:crosses val="autoZero"/>
        <c:crossBetween val="between"/>
        <c:majorUnit val="100000"/>
        <c:min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sng" strike="noStrike" kern="1200" cap="all" spc="120" normalizeH="0" baseline="0">
                <a:solidFill>
                  <a:schemeClr val="lt1"/>
                </a:solidFill>
                <a:latin typeface="+mn-lt"/>
                <a:ea typeface="+mn-ea"/>
                <a:cs typeface="+mn-cs"/>
              </a:defRPr>
            </a:pPr>
            <a:r>
              <a:rPr lang="en-US" i="1" u="sng"/>
              <a:t>Month-Wise profit</a:t>
            </a:r>
          </a:p>
        </c:rich>
      </c:tx>
      <c:overlay val="0"/>
      <c:spPr>
        <a:noFill/>
        <a:ln>
          <a:noFill/>
        </a:ln>
        <a:effectLst/>
      </c:spPr>
      <c:txPr>
        <a:bodyPr rot="0" spcFirstLastPara="1" vertOverflow="ellipsis" vert="horz" wrap="square" anchor="ctr" anchorCtr="1"/>
        <a:lstStyle/>
        <a:p>
          <a:pPr>
            <a:defRPr sz="1600" b="1" i="1" u="sng" strike="noStrike" kern="1200" cap="all" spc="120" normalizeH="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3"/>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2.9812461053871565E-2"/>
          <c:y val="0.32804456812813337"/>
          <c:w val="0.94037507789225683"/>
          <c:h val="0.58218017376799958"/>
        </c:manualLayout>
      </c:layout>
      <c:barChart>
        <c:barDir val="col"/>
        <c:grouping val="clustered"/>
        <c:varyColors val="0"/>
        <c:ser>
          <c:idx val="0"/>
          <c:order val="0"/>
          <c:tx>
            <c:v>Total</c:v>
          </c:tx>
          <c:spPr>
            <a:solidFill>
              <a:srgbClr val="92D050"/>
            </a:solidFill>
            <a:ln>
              <a:solidFill>
                <a:schemeClr val="accent3"/>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101210.95000000001</c:v>
              </c:pt>
              <c:pt idx="1">
                <c:v>74903.89999999998</c:v>
              </c:pt>
              <c:pt idx="2">
                <c:v>94931.250000000015</c:v>
              </c:pt>
              <c:pt idx="3">
                <c:v>72312.950000000012</c:v>
              </c:pt>
              <c:pt idx="4">
                <c:v>79006.399999999965</c:v>
              </c:pt>
              <c:pt idx="5">
                <c:v>96208</c:v>
              </c:pt>
              <c:pt idx="6">
                <c:v>83761.45</c:v>
              </c:pt>
              <c:pt idx="7">
                <c:v>87347.650000000009</c:v>
              </c:pt>
              <c:pt idx="8">
                <c:v>107356.85</c:v>
              </c:pt>
              <c:pt idx="9">
                <c:v>95475.849999999991</c:v>
              </c:pt>
              <c:pt idx="10">
                <c:v>76364.75</c:v>
              </c:pt>
              <c:pt idx="11">
                <c:v>80553.400000000038</c:v>
              </c:pt>
            </c:numLit>
          </c:val>
          <c:extLst>
            <c:ext xmlns:c16="http://schemas.microsoft.com/office/drawing/2014/chart" uri="{C3380CC4-5D6E-409C-BE32-E72D297353CC}">
              <c16:uniqueId val="{00000000-5832-46C0-AA55-9158778A5C5D}"/>
            </c:ext>
          </c:extLst>
        </c:ser>
        <c:dLbls>
          <c:dLblPos val="outEnd"/>
          <c:showLegendKey val="0"/>
          <c:showVal val="1"/>
          <c:showCatName val="0"/>
          <c:showSerName val="0"/>
          <c:showPercent val="0"/>
          <c:showBubbleSize val="0"/>
        </c:dLbls>
        <c:gapWidth val="444"/>
        <c:overlap val="-90"/>
        <c:axId val="774871992"/>
        <c:axId val="640618544"/>
      </c:barChart>
      <c:catAx>
        <c:axId val="77487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lt1"/>
                </a:solidFill>
                <a:latin typeface="+mn-lt"/>
                <a:ea typeface="+mn-ea"/>
                <a:cs typeface="+mn-cs"/>
              </a:defRPr>
            </a:pPr>
            <a:endParaRPr lang="en-US"/>
          </a:p>
        </c:txPr>
        <c:crossAx val="640618544"/>
        <c:crosses val="autoZero"/>
        <c:auto val="1"/>
        <c:lblAlgn val="ctr"/>
        <c:lblOffset val="100"/>
        <c:noMultiLvlLbl val="0"/>
      </c:catAx>
      <c:valAx>
        <c:axId val="640618544"/>
        <c:scaling>
          <c:orientation val="minMax"/>
        </c:scaling>
        <c:delete val="1"/>
        <c:axPos val="l"/>
        <c:numFmt formatCode="General" sourceLinked="1"/>
        <c:majorTickMark val="none"/>
        <c:minorTickMark val="none"/>
        <c:tickLblPos val="nextTo"/>
        <c:crossAx val="77487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[Ecommerce_Dashboard.xlsx]Pivot_Table!PivotTable4</c:name>
    <c:fmtId val="42"/>
  </c:pivotSource>
  <c:chart>
    <c:title>
      <c:tx>
        <c:rich>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r>
              <a:rPr lang="en-US" sz="1600" b="1" i="1" u="sng"/>
              <a:t>PRODUCT PERFORMANCE</a:t>
            </a:r>
          </a:p>
          <a:p>
            <a:pPr>
              <a:defRPr sz="1600" b="1" i="1" u="sng"/>
            </a:pPr>
            <a:endParaRPr lang="en-US" sz="1600" b="1" i="1" u="sng"/>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3"/>
        <c:spPr>
          <a:solidFill>
            <a:schemeClr val="accent1"/>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4"/>
        <c:spPr>
          <a:solidFill>
            <a:schemeClr val="accent1"/>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5"/>
        <c:spPr>
          <a:solidFill>
            <a:schemeClr val="accent1"/>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6"/>
        <c:spPr>
          <a:solidFill>
            <a:schemeClr val="accent1"/>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7"/>
        <c:spPr>
          <a:solidFill>
            <a:schemeClr val="accent1"/>
          </a:solidFill>
          <a:ln>
            <a:noFill/>
          </a:ln>
          <a:effectLst/>
        </c:spPr>
        <c:dLbl>
          <c:idx val="0"/>
          <c:layout>
            <c:manualLayout>
              <c:x val="0.21775859835702355"/>
              <c:y val="-4.66198859898345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7.95383304359682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77970480962606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0759859563009166E-2"/>
              <c:y val="-9.437908061979990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8297167399529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14"/>
        <c:spPr>
          <a:solidFill>
            <a:schemeClr val="accent1"/>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15"/>
        <c:spPr>
          <a:solidFill>
            <a:schemeClr val="accent1"/>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16"/>
        <c:spPr>
          <a:solidFill>
            <a:schemeClr val="accent1"/>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17"/>
        <c:spPr>
          <a:solidFill>
            <a:schemeClr val="accent1"/>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5.8297167399529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6.0759859563009166E-2"/>
              <c:y val="-9.437908061979990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5.77970480962606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7.95383304359682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21775859835702355"/>
              <c:y val="-4.66198859898345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92D050"/>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26"/>
        <c:spPr>
          <a:solidFill>
            <a:srgbClr val="92D050"/>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27"/>
        <c:spPr>
          <a:solidFill>
            <a:srgbClr val="92D050"/>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28"/>
        <c:spPr>
          <a:solidFill>
            <a:srgbClr val="92D050"/>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29"/>
        <c:spPr>
          <a:solidFill>
            <a:srgbClr val="92D050"/>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30"/>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solidFill>
              <a:schemeClr val="accent2"/>
            </a:solidFill>
          </a:ln>
          <a:effectLst/>
        </c:spPr>
        <c:dLbl>
          <c:idx val="0"/>
          <c:layout>
            <c:manualLayout>
              <c:x val="5.829716739952947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solidFill>
              <a:schemeClr val="accent2"/>
            </a:solidFill>
          </a:ln>
          <a:effectLst/>
        </c:spPr>
        <c:dLbl>
          <c:idx val="0"/>
          <c:layout>
            <c:manualLayout>
              <c:x val="6.0759859563009166E-2"/>
              <c:y val="-9.4379080619799901E-17"/>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solidFill>
              <a:schemeClr val="accent2"/>
            </a:solidFill>
          </a:ln>
          <a:effectLst/>
        </c:spPr>
        <c:dLbl>
          <c:idx val="0"/>
          <c:layout>
            <c:manualLayout>
              <c:x val="5.779704809626069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solidFill>
              <a:schemeClr val="accent2"/>
            </a:solidFill>
          </a:ln>
          <a:effectLst/>
        </c:spPr>
        <c:dLbl>
          <c:idx val="0"/>
          <c:layout>
            <c:manualLayout>
              <c:x val="7.953833043596823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solidFill>
              <a:schemeClr val="accent2"/>
            </a:solidFill>
          </a:ln>
          <a:effectLst/>
        </c:spPr>
        <c:dLbl>
          <c:idx val="0"/>
          <c:layout>
            <c:manualLayout>
              <c:x val="0.21775859835702355"/>
              <c:y val="-4.6619885989834502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rgbClr val="92D050"/>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38"/>
        <c:spPr>
          <a:solidFill>
            <a:srgbClr val="92D050"/>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39"/>
        <c:spPr>
          <a:solidFill>
            <a:srgbClr val="92D050"/>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40"/>
        <c:spPr>
          <a:solidFill>
            <a:srgbClr val="92D050"/>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41"/>
        <c:spPr>
          <a:solidFill>
            <a:srgbClr val="92D050"/>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42"/>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solidFill>
              <a:schemeClr val="accent2"/>
            </a:solidFill>
          </a:ln>
          <a:effectLst/>
        </c:spPr>
        <c:dLbl>
          <c:idx val="0"/>
          <c:layout>
            <c:manualLayout>
              <c:x val="5.829716739952947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2"/>
          </a:solidFill>
          <a:ln>
            <a:solidFill>
              <a:schemeClr val="accent2"/>
            </a:solidFill>
          </a:ln>
          <a:effectLst/>
        </c:spPr>
        <c:dLbl>
          <c:idx val="0"/>
          <c:layout>
            <c:manualLayout>
              <c:x val="6.0759859563009166E-2"/>
              <c:y val="-9.4379080619799901E-17"/>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2"/>
          </a:solidFill>
          <a:ln>
            <a:solidFill>
              <a:schemeClr val="accent2"/>
            </a:solidFill>
          </a:ln>
          <a:effectLst/>
        </c:spPr>
        <c:dLbl>
          <c:idx val="0"/>
          <c:layout>
            <c:manualLayout>
              <c:x val="5.779704809626069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2"/>
          </a:solidFill>
          <a:ln>
            <a:solidFill>
              <a:schemeClr val="accent2"/>
            </a:solidFill>
          </a:ln>
          <a:effectLst/>
        </c:spPr>
        <c:dLbl>
          <c:idx val="0"/>
          <c:layout>
            <c:manualLayout>
              <c:x val="7.953833043596823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2"/>
          </a:solidFill>
          <a:ln>
            <a:solidFill>
              <a:schemeClr val="accent2"/>
            </a:solidFill>
          </a:ln>
          <a:effectLst/>
        </c:spPr>
        <c:dLbl>
          <c:idx val="0"/>
          <c:layout>
            <c:manualLayout>
              <c:x val="0.21775859835702355"/>
              <c:y val="-4.6619885989834502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solidFill>
            <a:srgbClr val="92D050"/>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50"/>
        <c:spPr>
          <a:solidFill>
            <a:srgbClr val="92D050"/>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51"/>
        <c:spPr>
          <a:solidFill>
            <a:srgbClr val="92D050"/>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52"/>
        <c:spPr>
          <a:solidFill>
            <a:srgbClr val="92D050"/>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53"/>
        <c:spPr>
          <a:solidFill>
            <a:srgbClr val="92D050"/>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54"/>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solidFill>
          <a:ln>
            <a:solidFill>
              <a:schemeClr val="accent2"/>
            </a:solidFill>
          </a:ln>
          <a:effectLst/>
        </c:spPr>
        <c:dLbl>
          <c:idx val="0"/>
          <c:layout>
            <c:manualLayout>
              <c:x val="5.829716739952947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2"/>
          </a:solidFill>
          <a:ln>
            <a:solidFill>
              <a:schemeClr val="accent2"/>
            </a:solidFill>
          </a:ln>
          <a:effectLst/>
        </c:spPr>
        <c:dLbl>
          <c:idx val="0"/>
          <c:layout>
            <c:manualLayout>
              <c:x val="6.0759859563009166E-2"/>
              <c:y val="-9.4379080619799901E-17"/>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2"/>
          </a:solidFill>
          <a:ln>
            <a:solidFill>
              <a:schemeClr val="accent2"/>
            </a:solidFill>
          </a:ln>
          <a:effectLst/>
        </c:spPr>
        <c:dLbl>
          <c:idx val="0"/>
          <c:layout>
            <c:manualLayout>
              <c:x val="5.779704809626069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solidFill>
              <a:schemeClr val="accent2"/>
            </a:solidFill>
          </a:ln>
          <a:effectLst/>
        </c:spPr>
        <c:dLbl>
          <c:idx val="0"/>
          <c:layout>
            <c:manualLayout>
              <c:x val="7.953833043596823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solidFill>
          <a:ln>
            <a:solidFill>
              <a:schemeClr val="accent2"/>
            </a:solidFill>
          </a:ln>
          <a:effectLst/>
        </c:spPr>
        <c:dLbl>
          <c:idx val="0"/>
          <c:layout>
            <c:manualLayout>
              <c:x val="0.21775859835702355"/>
              <c:y val="-4.6619885989834502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96276905177427E-2"/>
          <c:y val="0.1365880372424019"/>
          <c:w val="0.62634897910488463"/>
          <c:h val="0.68263171100778164"/>
        </c:manualLayout>
      </c:layout>
      <c:barChart>
        <c:barDir val="bar"/>
        <c:grouping val="percentStacked"/>
        <c:varyColors val="0"/>
        <c:ser>
          <c:idx val="0"/>
          <c:order val="0"/>
          <c:tx>
            <c:strRef>
              <c:f>Pivot_Table!$B$24</c:f>
              <c:strCache>
                <c:ptCount val="1"/>
                <c:pt idx="0">
                  <c:v>Sum of Net_Sale</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19FC-4179-B760-45D5CE8609AC}"/>
              </c:ext>
            </c:extLst>
          </c:dPt>
          <c:dPt>
            <c:idx val="1"/>
            <c:invertIfNegative val="0"/>
            <c:bubble3D val="0"/>
            <c:spPr>
              <a:solidFill>
                <a:srgbClr val="92D050"/>
              </a:solidFill>
              <a:ln>
                <a:noFill/>
              </a:ln>
              <a:effectLst/>
            </c:spPr>
            <c:extLst>
              <c:ext xmlns:c16="http://schemas.microsoft.com/office/drawing/2014/chart" uri="{C3380CC4-5D6E-409C-BE32-E72D297353CC}">
                <c16:uniqueId val="{00000003-19FC-4179-B760-45D5CE8609AC}"/>
              </c:ext>
            </c:extLst>
          </c:dPt>
          <c:dPt>
            <c:idx val="2"/>
            <c:invertIfNegative val="0"/>
            <c:bubble3D val="0"/>
            <c:spPr>
              <a:solidFill>
                <a:srgbClr val="92D050"/>
              </a:solidFill>
              <a:ln>
                <a:noFill/>
              </a:ln>
              <a:effectLst/>
            </c:spPr>
            <c:extLst>
              <c:ext xmlns:c16="http://schemas.microsoft.com/office/drawing/2014/chart" uri="{C3380CC4-5D6E-409C-BE32-E72D297353CC}">
                <c16:uniqueId val="{00000005-19FC-4179-B760-45D5CE8609AC}"/>
              </c:ext>
            </c:extLst>
          </c:dPt>
          <c:dPt>
            <c:idx val="3"/>
            <c:invertIfNegative val="0"/>
            <c:bubble3D val="0"/>
            <c:spPr>
              <a:solidFill>
                <a:srgbClr val="92D050"/>
              </a:solidFill>
              <a:ln>
                <a:noFill/>
              </a:ln>
              <a:effectLst/>
            </c:spPr>
            <c:extLst>
              <c:ext xmlns:c16="http://schemas.microsoft.com/office/drawing/2014/chart" uri="{C3380CC4-5D6E-409C-BE32-E72D297353CC}">
                <c16:uniqueId val="{00000007-19FC-4179-B760-45D5CE8609AC}"/>
              </c:ext>
            </c:extLst>
          </c:dPt>
          <c:dPt>
            <c:idx val="4"/>
            <c:invertIfNegative val="0"/>
            <c:bubble3D val="0"/>
            <c:spPr>
              <a:solidFill>
                <a:srgbClr val="92D050"/>
              </a:solidFill>
              <a:ln>
                <a:noFill/>
              </a:ln>
              <a:effectLst/>
            </c:spPr>
            <c:extLst>
              <c:ext xmlns:c16="http://schemas.microsoft.com/office/drawing/2014/chart" uri="{C3380CC4-5D6E-409C-BE32-E72D297353CC}">
                <c16:uniqueId val="{00000009-19FC-4179-B760-45D5CE8609AC}"/>
              </c:ext>
            </c:extLst>
          </c:dPt>
          <c:dLbls>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 xmlns:c16="http://schemas.microsoft.com/office/drawing/2014/chart" uri="{C3380CC4-5D6E-409C-BE32-E72D297353CC}">
                  <c16:uniqueId val="{00000001-19FC-4179-B760-45D5CE8609AC}"/>
                </c:ext>
              </c:extLst>
            </c:dLbl>
            <c:dLbl>
              <c:idx val="1"/>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 xmlns:c16="http://schemas.microsoft.com/office/drawing/2014/chart" uri="{C3380CC4-5D6E-409C-BE32-E72D297353CC}">
                  <c16:uniqueId val="{00000003-19FC-4179-B760-45D5CE8609AC}"/>
                </c:ext>
              </c:extLst>
            </c:dLbl>
            <c:dLbl>
              <c:idx val="2"/>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 xmlns:c16="http://schemas.microsoft.com/office/drawing/2014/chart" uri="{C3380CC4-5D6E-409C-BE32-E72D297353CC}">
                  <c16:uniqueId val="{00000005-19FC-4179-B760-45D5CE8609AC}"/>
                </c:ext>
              </c:extLst>
            </c:dLbl>
            <c:dLbl>
              <c:idx val="3"/>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 xmlns:c16="http://schemas.microsoft.com/office/drawing/2014/chart" uri="{C3380CC4-5D6E-409C-BE32-E72D297353CC}">
                  <c16:uniqueId val="{00000007-19FC-4179-B760-45D5CE8609AC}"/>
                </c:ext>
              </c:extLst>
            </c:dLbl>
            <c:dLbl>
              <c:idx val="4"/>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 xmlns:c16="http://schemas.microsoft.com/office/drawing/2014/chart" uri="{C3380CC4-5D6E-409C-BE32-E72D297353CC}">
                  <c16:uniqueId val="{00000009-19FC-4179-B760-45D5CE8609A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Pivot_Table!$A$25:$A$29</c:f>
              <c:strCache>
                <c:ptCount val="5"/>
                <c:pt idx="0">
                  <c:v>Electronics</c:v>
                </c:pt>
                <c:pt idx="1">
                  <c:v>Fashion</c:v>
                </c:pt>
                <c:pt idx="2">
                  <c:v>Furniture</c:v>
                </c:pt>
                <c:pt idx="3">
                  <c:v>Home &amp; Kitchen</c:v>
                </c:pt>
                <c:pt idx="4">
                  <c:v>Stationery</c:v>
                </c:pt>
              </c:strCache>
            </c:strRef>
          </c:cat>
          <c:val>
            <c:numRef>
              <c:f>Pivot_Table!$B$25:$B$29</c:f>
              <c:numCache>
                <c:formatCode>General</c:formatCode>
                <c:ptCount val="5"/>
                <c:pt idx="0">
                  <c:v>1618345.4000000018</c:v>
                </c:pt>
                <c:pt idx="1">
                  <c:v>877661.14999999991</c:v>
                </c:pt>
                <c:pt idx="2">
                  <c:v>1323543.6000000006</c:v>
                </c:pt>
                <c:pt idx="3">
                  <c:v>348181.99999999988</c:v>
                </c:pt>
                <c:pt idx="4">
                  <c:v>56908.250000000015</c:v>
                </c:pt>
              </c:numCache>
            </c:numRef>
          </c:val>
          <c:extLst>
            <c:ext xmlns:c16="http://schemas.microsoft.com/office/drawing/2014/chart" uri="{C3380CC4-5D6E-409C-BE32-E72D297353CC}">
              <c16:uniqueId val="{0000000A-19FC-4179-B760-45D5CE8609AC}"/>
            </c:ext>
          </c:extLst>
        </c:ser>
        <c:ser>
          <c:idx val="1"/>
          <c:order val="1"/>
          <c:tx>
            <c:strRef>
              <c:f>Pivot_Table!$C$24</c:f>
              <c:strCache>
                <c:ptCount val="1"/>
                <c:pt idx="0">
                  <c:v>Average of Profit_Margin</c:v>
                </c:pt>
              </c:strCache>
            </c:strRef>
          </c:tx>
          <c:spPr>
            <a:solidFill>
              <a:schemeClr val="accent2"/>
            </a:solidFill>
            <a:ln>
              <a:solidFill>
                <a:schemeClr val="accent2"/>
              </a:solid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C-19FC-4179-B760-45D5CE8609AC}"/>
              </c:ext>
            </c:extLst>
          </c:dPt>
          <c:dPt>
            <c:idx val="1"/>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0E-19FC-4179-B760-45D5CE8609AC}"/>
              </c:ext>
            </c:extLst>
          </c:dPt>
          <c:dPt>
            <c:idx val="2"/>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10-19FC-4179-B760-45D5CE8609AC}"/>
              </c:ext>
            </c:extLst>
          </c:dPt>
          <c:dPt>
            <c:idx val="3"/>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12-19FC-4179-B760-45D5CE8609AC}"/>
              </c:ext>
            </c:extLst>
          </c:dPt>
          <c:dPt>
            <c:idx val="4"/>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14-19FC-4179-B760-45D5CE8609AC}"/>
              </c:ext>
            </c:extLst>
          </c:dPt>
          <c:dLbls>
            <c:dLbl>
              <c:idx val="0"/>
              <c:layout>
                <c:manualLayout>
                  <c:x val="5.82971673995294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9FC-4179-B760-45D5CE8609AC}"/>
                </c:ext>
              </c:extLst>
            </c:dLbl>
            <c:dLbl>
              <c:idx val="1"/>
              <c:layout>
                <c:manualLayout>
                  <c:x val="6.0759859563009166E-2"/>
                  <c:y val="-9.437908061979990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9FC-4179-B760-45D5CE8609AC}"/>
                </c:ext>
              </c:extLst>
            </c:dLbl>
            <c:dLbl>
              <c:idx val="2"/>
              <c:layout>
                <c:manualLayout>
                  <c:x val="5.77970480962606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9FC-4179-B760-45D5CE8609AC}"/>
                </c:ext>
              </c:extLst>
            </c:dLbl>
            <c:dLbl>
              <c:idx val="3"/>
              <c:layout>
                <c:manualLayout>
                  <c:x val="7.953833043596823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9FC-4179-B760-45D5CE8609AC}"/>
                </c:ext>
              </c:extLst>
            </c:dLbl>
            <c:dLbl>
              <c:idx val="4"/>
              <c:layout>
                <c:manualLayout>
                  <c:x val="0.21775859835702355"/>
                  <c:y val="-4.66198859898345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9FC-4179-B760-45D5CE8609AC}"/>
                </c:ext>
              </c:extLst>
            </c:dLbl>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Pivot_Table!$A$25:$A$29</c:f>
              <c:strCache>
                <c:ptCount val="5"/>
                <c:pt idx="0">
                  <c:v>Electronics</c:v>
                </c:pt>
                <c:pt idx="1">
                  <c:v>Fashion</c:v>
                </c:pt>
                <c:pt idx="2">
                  <c:v>Furniture</c:v>
                </c:pt>
                <c:pt idx="3">
                  <c:v>Home &amp; Kitchen</c:v>
                </c:pt>
                <c:pt idx="4">
                  <c:v>Stationery</c:v>
                </c:pt>
              </c:strCache>
            </c:strRef>
          </c:cat>
          <c:val>
            <c:numRef>
              <c:f>Pivot_Table!$C$25:$C$29</c:f>
              <c:numCache>
                <c:formatCode>0.0%</c:formatCode>
                <c:ptCount val="5"/>
                <c:pt idx="0">
                  <c:v>0.25809942730120955</c:v>
                </c:pt>
                <c:pt idx="1">
                  <c:v>0.25141651635994938</c:v>
                </c:pt>
                <c:pt idx="2">
                  <c:v>0.23225212622942915</c:v>
                </c:pt>
                <c:pt idx="3">
                  <c:v>0.26292266732957126</c:v>
                </c:pt>
                <c:pt idx="4">
                  <c:v>0.34244926071524528</c:v>
                </c:pt>
              </c:numCache>
            </c:numRef>
          </c:val>
          <c:extLst>
            <c:ext xmlns:c16="http://schemas.microsoft.com/office/drawing/2014/chart" uri="{C3380CC4-5D6E-409C-BE32-E72D297353CC}">
              <c16:uniqueId val="{00000015-19FC-4179-B760-45D5CE8609AC}"/>
            </c:ext>
          </c:extLst>
        </c:ser>
        <c:dLbls>
          <c:showLegendKey val="0"/>
          <c:showVal val="1"/>
          <c:showCatName val="0"/>
          <c:showSerName val="0"/>
          <c:showPercent val="0"/>
          <c:showBubbleSize val="0"/>
        </c:dLbls>
        <c:gapWidth val="219"/>
        <c:overlap val="100"/>
        <c:axId val="640378416"/>
        <c:axId val="638580976"/>
      </c:barChart>
      <c:catAx>
        <c:axId val="640378416"/>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38580976"/>
        <c:crosses val="autoZero"/>
        <c:auto val="1"/>
        <c:lblAlgn val="ctr"/>
        <c:lblOffset val="100"/>
        <c:noMultiLvlLbl val="0"/>
      </c:catAx>
      <c:valAx>
        <c:axId val="638580976"/>
        <c:scaling>
          <c:orientation val="minMax"/>
        </c:scaling>
        <c:delete val="1"/>
        <c:axPos val="b"/>
        <c:numFmt formatCode="0%" sourceLinked="1"/>
        <c:majorTickMark val="none"/>
        <c:minorTickMark val="none"/>
        <c:tickLblPos val="nextTo"/>
        <c:crossAx val="640378416"/>
        <c:crosses val="autoZero"/>
        <c:crossBetween val="between"/>
      </c:valAx>
      <c:spPr>
        <a:noFill/>
        <a:ln>
          <a:noFill/>
        </a:ln>
        <a:effectLst/>
      </c:spPr>
    </c:plotArea>
    <c:legend>
      <c:legendPos val="b"/>
      <c:layout>
        <c:manualLayout>
          <c:xMode val="edge"/>
          <c:yMode val="edge"/>
          <c:x val="0.22518246689917928"/>
          <c:y val="0.86164664145087932"/>
          <c:w val="0.54491839128899622"/>
          <c:h val="8.68732653336700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a:defRPr sz="1400" b="0" i="0" u="none" strike="noStrike" kern="1200" spc="0" baseline="0">
                <a:solidFill>
                  <a:schemeClr val="lt1"/>
                </a:solidFill>
                <a:latin typeface="+mn-lt"/>
                <a:ea typeface="+mn-ea"/>
                <a:cs typeface="+mn-cs"/>
              </a:defRPr>
            </a:pPr>
            <a:r>
              <a:rPr lang="en-US" sz="1600" b="1" i="1" u="sng"/>
              <a:t>ORDER STATUS</a:t>
            </a:r>
          </a:p>
        </c:rich>
      </c:tx>
      <c:layout>
        <c:manualLayout>
          <c:xMode val="edge"/>
          <c:yMode val="edge"/>
          <c:x val="0.27641267216385645"/>
          <c:y val="4.7963582734358828E-2"/>
        </c:manualLayout>
      </c:layout>
      <c:overlay val="0"/>
      <c:spPr>
        <a:solidFill>
          <a:schemeClr val="tx1"/>
        </a:solidFill>
        <a:ln>
          <a:noFill/>
        </a:ln>
        <a:effectLst/>
      </c:spPr>
      <c:txPr>
        <a:bodyPr rot="0" spcFirstLastPara="1" vertOverflow="ellipsis" vert="horz" wrap="square" anchor="ctr" anchorCtr="1"/>
        <a:lstStyle/>
        <a:p>
          <a:pPr algn="ct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6.2150264421293601E-2"/>
              <c:y val="-8.8495575221238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2.644003777148253E-2"/>
              <c:y val="-2.46412924026193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5.66572237960339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3.39943342776204E-2"/>
              <c:y val="-9.856516961047735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2.644003777148253E-2"/>
              <c:y val="-2.46412924026193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w="19050">
            <a:solidFill>
              <a:schemeClr val="lt1"/>
            </a:solidFill>
          </a:ln>
          <a:effectLst/>
        </c:spPr>
        <c:dLbl>
          <c:idx val="0"/>
          <c:layout>
            <c:manualLayout>
              <c:x val="6.2150264421293601E-2"/>
              <c:y val="-8.8495575221238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w="19050">
            <a:solidFill>
              <a:schemeClr val="lt1"/>
            </a:solidFill>
          </a:ln>
          <a:effectLst/>
        </c:spPr>
        <c:dLbl>
          <c:idx val="0"/>
          <c:layout>
            <c:manualLayout>
              <c:x val="-3.39943342776204E-2"/>
              <c:y val="-9.856516961047735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w="19050">
            <a:solidFill>
              <a:schemeClr val="lt1"/>
            </a:solidFill>
          </a:ln>
          <a:effectLst/>
        </c:spPr>
        <c:dLbl>
          <c:idx val="0"/>
          <c:layout>
            <c:manualLayout>
              <c:x val="-5.66572237960339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3"/>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tint val="58000"/>
            </a:schemeClr>
          </a:solidFill>
          <a:ln w="19050">
            <a:noFill/>
          </a:ln>
          <a:effectLst/>
        </c:spPr>
        <c:dLbl>
          <c:idx val="0"/>
          <c:layout>
            <c:manualLayout>
              <c:x val="2.644003777148253E-2"/>
              <c:y val="-2.46412924026193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tint val="86000"/>
            </a:schemeClr>
          </a:solidFill>
          <a:ln w="19050">
            <a:noFill/>
          </a:ln>
          <a:effectLst/>
        </c:spPr>
        <c:dLbl>
          <c:idx val="0"/>
          <c:layout>
            <c:manualLayout>
              <c:x val="6.2150264421293601E-2"/>
              <c:y val="-8.8495575221238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hade val="86000"/>
            </a:schemeClr>
          </a:solidFill>
          <a:ln w="19050">
            <a:noFill/>
          </a:ln>
          <a:effectLst/>
        </c:spPr>
        <c:dLbl>
          <c:idx val="0"/>
          <c:layout>
            <c:manualLayout>
              <c:x val="-3.39943342776204E-2"/>
              <c:y val="-9.856516961047735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3">
              <a:shade val="58000"/>
            </a:schemeClr>
          </a:solidFill>
          <a:ln w="19050">
            <a:noFill/>
          </a:ln>
          <a:effectLst/>
        </c:spPr>
        <c:dLbl>
          <c:idx val="0"/>
          <c:layout>
            <c:manualLayout>
              <c:x val="-5.66572237960339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555938910953602"/>
          <c:y val="0.2892153828975077"/>
          <c:w val="0.43986402704621808"/>
          <c:h val="0.64256613084654746"/>
        </c:manualLayout>
      </c:layout>
      <c:pieChart>
        <c:varyColors val="1"/>
        <c:ser>
          <c:idx val="0"/>
          <c:order val="0"/>
          <c:tx>
            <c:v>Total</c:v>
          </c:tx>
          <c:spPr>
            <a:ln>
              <a:noFill/>
            </a:ln>
          </c:spPr>
          <c:dPt>
            <c:idx val="0"/>
            <c:bubble3D val="0"/>
            <c:spPr>
              <a:solidFill>
                <a:schemeClr val="accent3">
                  <a:tint val="58000"/>
                </a:schemeClr>
              </a:solidFill>
              <a:ln w="19050">
                <a:noFill/>
              </a:ln>
              <a:effectLst/>
            </c:spPr>
            <c:extLst>
              <c:ext xmlns:c16="http://schemas.microsoft.com/office/drawing/2014/chart" uri="{C3380CC4-5D6E-409C-BE32-E72D297353CC}">
                <c16:uniqueId val="{00000001-9982-4E28-8CCC-2508771E3BC4}"/>
              </c:ext>
            </c:extLst>
          </c:dPt>
          <c:dPt>
            <c:idx val="1"/>
            <c:bubble3D val="0"/>
            <c:spPr>
              <a:solidFill>
                <a:schemeClr val="accent3">
                  <a:tint val="86000"/>
                </a:schemeClr>
              </a:solidFill>
              <a:ln w="19050">
                <a:noFill/>
              </a:ln>
              <a:effectLst/>
            </c:spPr>
            <c:extLst>
              <c:ext xmlns:c16="http://schemas.microsoft.com/office/drawing/2014/chart" uri="{C3380CC4-5D6E-409C-BE32-E72D297353CC}">
                <c16:uniqueId val="{00000003-9982-4E28-8CCC-2508771E3BC4}"/>
              </c:ext>
            </c:extLst>
          </c:dPt>
          <c:dPt>
            <c:idx val="2"/>
            <c:bubble3D val="0"/>
            <c:spPr>
              <a:solidFill>
                <a:schemeClr val="accent3">
                  <a:shade val="86000"/>
                </a:schemeClr>
              </a:solidFill>
              <a:ln w="19050">
                <a:noFill/>
              </a:ln>
              <a:effectLst/>
            </c:spPr>
            <c:extLst>
              <c:ext xmlns:c16="http://schemas.microsoft.com/office/drawing/2014/chart" uri="{C3380CC4-5D6E-409C-BE32-E72D297353CC}">
                <c16:uniqueId val="{00000005-9982-4E28-8CCC-2508771E3BC4}"/>
              </c:ext>
            </c:extLst>
          </c:dPt>
          <c:dPt>
            <c:idx val="3"/>
            <c:bubble3D val="0"/>
            <c:spPr>
              <a:solidFill>
                <a:schemeClr val="accent3">
                  <a:shade val="58000"/>
                </a:schemeClr>
              </a:solidFill>
              <a:ln w="19050">
                <a:noFill/>
              </a:ln>
              <a:effectLst/>
            </c:spPr>
            <c:extLst>
              <c:ext xmlns:c16="http://schemas.microsoft.com/office/drawing/2014/chart" uri="{C3380CC4-5D6E-409C-BE32-E72D297353CC}">
                <c16:uniqueId val="{00000007-9982-4E28-8CCC-2508771E3BC4}"/>
              </c:ext>
            </c:extLst>
          </c:dPt>
          <c:dLbls>
            <c:dLbl>
              <c:idx val="0"/>
              <c:layout>
                <c:manualLayout>
                  <c:x val="2.644003777148253E-2"/>
                  <c:y val="-2.464129240261934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82-4E28-8CCC-2508771E3BC4}"/>
                </c:ext>
              </c:extLst>
            </c:dLbl>
            <c:dLbl>
              <c:idx val="1"/>
              <c:layout>
                <c:manualLayout>
                  <c:x val="6.2150264421293601E-2"/>
                  <c:y val="-8.84955752212389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82-4E28-8CCC-2508771E3BC4}"/>
                </c:ext>
              </c:extLst>
            </c:dLbl>
            <c:dLbl>
              <c:idx val="2"/>
              <c:layout>
                <c:manualLayout>
                  <c:x val="-3.39943342776204E-2"/>
                  <c:y val="-9.8565169610477358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82-4E28-8CCC-2508771E3BC4}"/>
                </c:ext>
              </c:extLst>
            </c:dLbl>
            <c:dLbl>
              <c:idx val="3"/>
              <c:layout>
                <c:manualLayout>
                  <c:x val="-5.6657223796033995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82-4E28-8CCC-2508771E3BC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7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Returned</c:v>
              </c:pt>
              <c:pt idx="3">
                <c:v>Shipped</c:v>
              </c:pt>
            </c:strLit>
          </c:cat>
          <c:val>
            <c:numLit>
              <c:formatCode>General</c:formatCode>
              <c:ptCount val="4"/>
              <c:pt idx="0">
                <c:v>190</c:v>
              </c:pt>
              <c:pt idx="1">
                <c:v>577</c:v>
              </c:pt>
              <c:pt idx="2">
                <c:v>230</c:v>
              </c:pt>
              <c:pt idx="3">
                <c:v>203</c:v>
              </c:pt>
            </c:numLit>
          </c:val>
          <c:extLst>
            <c:ext xmlns:c16="http://schemas.microsoft.com/office/drawing/2014/chart" uri="{C3380CC4-5D6E-409C-BE32-E72D297353CC}">
              <c16:uniqueId val="{00000008-9982-4E28-8CCC-2508771E3BC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r>
              <a:rPr lang="en-US" sz="1600" b="1" i="1" u="sng"/>
              <a:t>SALES CHANNEL &amp; PAYMENT</a:t>
            </a:r>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v>Cash on Delivery</c:v>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44</c:v>
              </c:pt>
              <c:pt idx="1">
                <c:v>46</c:v>
              </c:pt>
              <c:pt idx="2">
                <c:v>61</c:v>
              </c:pt>
              <c:pt idx="3">
                <c:v>44</c:v>
              </c:pt>
              <c:pt idx="4">
                <c:v>42</c:v>
              </c:pt>
            </c:numLit>
          </c:val>
          <c:extLst>
            <c:ext xmlns:c16="http://schemas.microsoft.com/office/drawing/2014/chart" uri="{C3380CC4-5D6E-409C-BE32-E72D297353CC}">
              <c16:uniqueId val="{00000000-4D01-4C27-82A4-CC61A6098FBE}"/>
            </c:ext>
          </c:extLst>
        </c:ser>
        <c:ser>
          <c:idx val="1"/>
          <c:order val="1"/>
          <c:tx>
            <c:v>Credit Card</c:v>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57</c:v>
              </c:pt>
              <c:pt idx="1">
                <c:v>53</c:v>
              </c:pt>
              <c:pt idx="2">
                <c:v>48</c:v>
              </c:pt>
              <c:pt idx="3">
                <c:v>49</c:v>
              </c:pt>
              <c:pt idx="4">
                <c:v>42</c:v>
              </c:pt>
            </c:numLit>
          </c:val>
          <c:extLst>
            <c:ext xmlns:c16="http://schemas.microsoft.com/office/drawing/2014/chart" uri="{C3380CC4-5D6E-409C-BE32-E72D297353CC}">
              <c16:uniqueId val="{00000001-4D01-4C27-82A4-CC61A6098FBE}"/>
            </c:ext>
          </c:extLst>
        </c:ser>
        <c:ser>
          <c:idx val="2"/>
          <c:order val="2"/>
          <c:tx>
            <c:v>Debit Card</c:v>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50</c:v>
              </c:pt>
              <c:pt idx="1">
                <c:v>38</c:v>
              </c:pt>
              <c:pt idx="2">
                <c:v>50</c:v>
              </c:pt>
              <c:pt idx="3">
                <c:v>54</c:v>
              </c:pt>
              <c:pt idx="4">
                <c:v>55</c:v>
              </c:pt>
            </c:numLit>
          </c:val>
          <c:extLst>
            <c:ext xmlns:c16="http://schemas.microsoft.com/office/drawing/2014/chart" uri="{C3380CC4-5D6E-409C-BE32-E72D297353CC}">
              <c16:uniqueId val="{00000002-4D01-4C27-82A4-CC61A6098FBE}"/>
            </c:ext>
          </c:extLst>
        </c:ser>
        <c:ser>
          <c:idx val="3"/>
          <c:order val="3"/>
          <c:tx>
            <c:v>Net Banking</c:v>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40</c:v>
              </c:pt>
              <c:pt idx="1">
                <c:v>36</c:v>
              </c:pt>
              <c:pt idx="2">
                <c:v>34</c:v>
              </c:pt>
              <c:pt idx="3">
                <c:v>50</c:v>
              </c:pt>
              <c:pt idx="4">
                <c:v>48</c:v>
              </c:pt>
            </c:numLit>
          </c:val>
          <c:extLst>
            <c:ext xmlns:c16="http://schemas.microsoft.com/office/drawing/2014/chart" uri="{C3380CC4-5D6E-409C-BE32-E72D297353CC}">
              <c16:uniqueId val="{00000003-4D01-4C27-82A4-CC61A6098FBE}"/>
            </c:ext>
          </c:extLst>
        </c:ser>
        <c:ser>
          <c:idx val="4"/>
          <c:order val="4"/>
          <c:tx>
            <c:v>UPI</c:v>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56</c:v>
              </c:pt>
              <c:pt idx="1">
                <c:v>57</c:v>
              </c:pt>
              <c:pt idx="2">
                <c:v>58</c:v>
              </c:pt>
              <c:pt idx="3">
                <c:v>46</c:v>
              </c:pt>
              <c:pt idx="4">
                <c:v>42</c:v>
              </c:pt>
            </c:numLit>
          </c:val>
          <c:extLst>
            <c:ext xmlns:c16="http://schemas.microsoft.com/office/drawing/2014/chart" uri="{C3380CC4-5D6E-409C-BE32-E72D297353CC}">
              <c16:uniqueId val="{00000004-4D01-4C27-82A4-CC61A6098FBE}"/>
            </c:ext>
          </c:extLst>
        </c:ser>
        <c:dLbls>
          <c:showLegendKey val="0"/>
          <c:showVal val="0"/>
          <c:showCatName val="0"/>
          <c:showSerName val="0"/>
          <c:showPercent val="0"/>
          <c:showBubbleSize val="0"/>
        </c:dLbls>
        <c:gapWidth val="150"/>
        <c:overlap val="100"/>
        <c:axId val="757064560"/>
        <c:axId val="757061392"/>
      </c:barChart>
      <c:catAx>
        <c:axId val="75706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757061392"/>
        <c:crosses val="autoZero"/>
        <c:auto val="1"/>
        <c:lblAlgn val="ctr"/>
        <c:lblOffset val="100"/>
        <c:noMultiLvlLbl val="0"/>
      </c:catAx>
      <c:valAx>
        <c:axId val="757061392"/>
        <c:scaling>
          <c:orientation val="minMax"/>
        </c:scaling>
        <c:delete val="1"/>
        <c:axPos val="b"/>
        <c:numFmt formatCode="0%" sourceLinked="1"/>
        <c:majorTickMark val="none"/>
        <c:minorTickMark val="none"/>
        <c:tickLblPos val="nextTo"/>
        <c:crossAx val="75706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[Ecommerce_Dashboard.xlsx]Pivot_Table!PivotTable3</c:name>
    <c:fmtId val="29"/>
  </c:pivotSource>
  <c:chart>
    <c:title>
      <c:tx>
        <c:rich>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r>
              <a:rPr lang="en-US" sz="1600" b="1" i="1" u="sng"/>
              <a:t>MONTH-WISE SALE</a:t>
            </a:r>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4.1407867494824016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16E-2"/>
              <c:y val="6.018518518518518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5576259489302961E-2"/>
              <c:y val="-5.092592592592597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0731538992408657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9.1097308488612944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7.4534161490683232E-2"/>
              <c:y val="-6.0185185185185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92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2.7605244996549445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8336783988958001E-2"/>
              <c:y val="4.166666666666666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6563146997929608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4.1407867494824016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16E-2"/>
              <c:y val="6.018518518518518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5.555555555555555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7971014492753624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5576259489302961E-2"/>
              <c:y val="-5.0925925925925972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6.0731538992408657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9.1097308488612944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7.4534161490683232E-2"/>
              <c:y val="-6.0185185185185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5.5210489993098792E-2"/>
              <c:y val="-5.0925925925925923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2.7605244996549445E-2"/>
              <c:y val="-4.629629629629629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8.8336783988958001E-2"/>
              <c:y val="4.1666666666666664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a:noFill/>
          </a:ln>
          <a:effectLst/>
        </c:spPr>
        <c:marker>
          <c:symbol val="circle"/>
          <c:size val="5"/>
          <c:spPr>
            <a:solidFill>
              <a:schemeClr val="accent1"/>
            </a:solidFill>
            <a:ln w="9525">
              <a:solidFill>
                <a:schemeClr val="accent1"/>
              </a:solidFill>
            </a:ln>
            <a:effectLst/>
          </c:spPr>
        </c:marker>
        <c:dLbl>
          <c:idx val="0"/>
          <c:layout>
            <c:manualLayout>
              <c:x val="-1.6563146997929608E-2"/>
              <c:y val="-5.5555555555555601E-2"/>
            </c:manualLayout>
          </c:layout>
          <c:spPr>
            <a:solidFill>
              <a:srgbClr val="EEECE1">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28575" cap="rnd">
            <a:solidFill>
              <a:schemeClr val="accent2"/>
            </a:solidFill>
            <a:round/>
          </a:ln>
          <a:effectLst/>
        </c:spPr>
        <c:marker>
          <c:symbol val="circle"/>
          <c:size val="5"/>
        </c:marker>
        <c:dLbl>
          <c:idx val="0"/>
          <c:layout>
            <c:manualLayout>
              <c:x val="-4.1407867494824016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28575" cap="rnd">
            <a:solidFill>
              <a:schemeClr val="accent2"/>
            </a:solidFill>
            <a:round/>
          </a:ln>
          <a:effectLst/>
        </c:spPr>
        <c:marker>
          <c:symbol val="circle"/>
          <c:size val="5"/>
        </c:marker>
        <c:dLbl>
          <c:idx val="0"/>
          <c:layout>
            <c:manualLayout>
              <c:x val="-5.5210489993098716E-2"/>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28575" cap="rnd">
            <a:solidFill>
              <a:schemeClr val="accent2"/>
            </a:solidFill>
            <a:round/>
          </a:ln>
          <a:effectLst/>
        </c:spPr>
        <c:marker>
          <c:symbol val="circle"/>
          <c:size val="5"/>
        </c:marker>
        <c:dLbl>
          <c:idx val="0"/>
          <c:layout>
            <c:manualLayout>
              <c:x val="-5.7971014492753624E-2"/>
              <c:y val="-5.555555555555555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28575" cap="rnd">
            <a:solidFill>
              <a:schemeClr val="accent2"/>
            </a:solidFill>
            <a:round/>
          </a:ln>
          <a:effectLst/>
        </c:spPr>
        <c:marker>
          <c:symbol val="circle"/>
          <c:size val="5"/>
        </c:marker>
        <c:dLbl>
          <c:idx val="0"/>
          <c:layout>
            <c:manualLayout>
              <c:x val="-5.797101449275362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28575" cap="rnd">
            <a:solidFill>
              <a:schemeClr val="accent2"/>
            </a:solidFill>
            <a:round/>
          </a:ln>
          <a:effectLst/>
        </c:spPr>
        <c:marker>
          <c:symbol val="circle"/>
          <c:size val="5"/>
        </c:marker>
        <c:dLbl>
          <c:idx val="0"/>
          <c:layout>
            <c:manualLayout>
              <c:x val="-8.5576259489302961E-2"/>
              <c:y val="-5.09259259259259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28575" cap="rnd">
            <a:solidFill>
              <a:schemeClr val="accent2"/>
            </a:solidFill>
            <a:round/>
          </a:ln>
          <a:effectLst/>
        </c:spPr>
        <c:marker>
          <c:symbol val="circle"/>
          <c:size val="5"/>
        </c:marker>
        <c:dLbl>
          <c:idx val="0"/>
          <c:layout>
            <c:manualLayout>
              <c:x val="-6.0731538992408657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28575" cap="rnd">
            <a:solidFill>
              <a:schemeClr val="accent2"/>
            </a:solidFill>
            <a:round/>
          </a:ln>
          <a:effectLst/>
        </c:spPr>
        <c:marker>
          <c:symbol val="circle"/>
          <c:size val="5"/>
        </c:marker>
        <c:dLbl>
          <c:idx val="0"/>
          <c:layout>
            <c:manualLayout>
              <c:x val="-9.1097308488612944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ln w="28575" cap="rnd">
            <a:solidFill>
              <a:schemeClr val="accent2"/>
            </a:solidFill>
            <a:round/>
          </a:ln>
          <a:effectLst/>
        </c:spPr>
        <c:marker>
          <c:symbol val="circle"/>
          <c:size val="5"/>
        </c:marker>
        <c:dLbl>
          <c:idx val="0"/>
          <c:layout>
            <c:manualLayout>
              <c:x val="-7.4534161490683232E-2"/>
              <c:y val="-6.0185185185185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28575" cap="rnd">
            <a:solidFill>
              <a:schemeClr val="accent2"/>
            </a:solidFill>
            <a:round/>
          </a:ln>
          <a:effectLst/>
        </c:spPr>
        <c:marker>
          <c:symbol val="circle"/>
          <c:size val="5"/>
        </c:marker>
        <c:dLbl>
          <c:idx val="0"/>
          <c:layout>
            <c:manualLayout>
              <c:x val="-5.521048999309879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ln w="28575" cap="rnd">
            <a:solidFill>
              <a:schemeClr val="accent2"/>
            </a:solidFill>
            <a:round/>
          </a:ln>
          <a:effectLst/>
        </c:spPr>
        <c:marker>
          <c:symbol val="circle"/>
          <c:size val="5"/>
        </c:marker>
        <c:dLbl>
          <c:idx val="0"/>
          <c:layout>
            <c:manualLayout>
              <c:x val="-2.7605244996549445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ln w="28575" cap="rnd">
            <a:solidFill>
              <a:schemeClr val="accent2"/>
            </a:solidFill>
            <a:round/>
          </a:ln>
          <a:effectLst/>
        </c:spPr>
        <c:marker>
          <c:symbol val="circle"/>
          <c:size val="5"/>
        </c:marker>
        <c:dLbl>
          <c:idx val="0"/>
          <c:layout>
            <c:manualLayout>
              <c:x val="-8.8336783988958001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ln w="28575" cap="rnd">
            <a:solidFill>
              <a:schemeClr val="accent2"/>
            </a:solidFill>
            <a:round/>
          </a:ln>
          <a:effectLst/>
        </c:spPr>
        <c:marker>
          <c:symbol val="circle"/>
          <c:size val="5"/>
        </c:marker>
        <c:dLbl>
          <c:idx val="0"/>
          <c:layout>
            <c:manualLayout>
              <c:x val="-1.6563146997929608E-2"/>
              <c:y val="-5.55555555555556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8300373521748244E-2"/>
          <c:y val="0.16516910528288067"/>
          <c:w val="0.87262105557612279"/>
          <c:h val="0.73015699637143905"/>
        </c:manualLayout>
      </c:layout>
      <c:lineChart>
        <c:grouping val="standard"/>
        <c:varyColors val="0"/>
        <c:ser>
          <c:idx val="0"/>
          <c:order val="0"/>
          <c:tx>
            <c:strRef>
              <c:f>Pivot_Table!$B$7</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1-A652-45D0-BB76-36095443C4FC}"/>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2-A652-45D0-BB76-36095443C4FC}"/>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3-A652-45D0-BB76-36095443C4FC}"/>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4-A652-45D0-BB76-36095443C4FC}"/>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5-A652-45D0-BB76-36095443C4FC}"/>
              </c:ext>
            </c:extLst>
          </c:dPt>
          <c:dPt>
            <c:idx val="5"/>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6-A652-45D0-BB76-36095443C4FC}"/>
              </c:ext>
            </c:extLst>
          </c:dPt>
          <c:dPt>
            <c:idx val="6"/>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7-A652-45D0-BB76-36095443C4FC}"/>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8-A652-45D0-BB76-36095443C4FC}"/>
              </c:ext>
            </c:extLst>
          </c:dPt>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9-A652-45D0-BB76-36095443C4FC}"/>
              </c:ext>
            </c:extLst>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A-A652-45D0-BB76-36095443C4FC}"/>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B-A652-45D0-BB76-36095443C4FC}"/>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C-A652-45D0-BB76-36095443C4FC}"/>
              </c:ext>
            </c:extLst>
          </c:dPt>
          <c:dLbls>
            <c:dLbl>
              <c:idx val="0"/>
              <c:layout>
                <c:manualLayout>
                  <c:x val="-4.1407867494824016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52-45D0-BB76-36095443C4FC}"/>
                </c:ext>
              </c:extLst>
            </c:dLbl>
            <c:dLbl>
              <c:idx val="1"/>
              <c:layout>
                <c:manualLayout>
                  <c:x val="-5.521048999309871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652-45D0-BB76-36095443C4FC}"/>
                </c:ext>
              </c:extLst>
            </c:dLbl>
            <c:dLbl>
              <c:idx val="2"/>
              <c:layout>
                <c:manualLayout>
                  <c:x val="-5.797101449275362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652-45D0-BB76-36095443C4FC}"/>
                </c:ext>
              </c:extLst>
            </c:dLbl>
            <c:dLbl>
              <c:idx val="3"/>
              <c:layout>
                <c:manualLayout>
                  <c:x val="-5.797101449275362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652-45D0-BB76-36095443C4FC}"/>
                </c:ext>
              </c:extLst>
            </c:dLbl>
            <c:dLbl>
              <c:idx val="4"/>
              <c:layout>
                <c:manualLayout>
                  <c:x val="-8.5576259489302961E-2"/>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652-45D0-BB76-36095443C4FC}"/>
                </c:ext>
              </c:extLst>
            </c:dLbl>
            <c:dLbl>
              <c:idx val="5"/>
              <c:layout>
                <c:manualLayout>
                  <c:x val="-6.0731538992408657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A652-45D0-BB76-36095443C4FC}"/>
                </c:ext>
              </c:extLst>
            </c:dLbl>
            <c:dLbl>
              <c:idx val="6"/>
              <c:layout>
                <c:manualLayout>
                  <c:x val="-9.1097308488612944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A652-45D0-BB76-36095443C4FC}"/>
                </c:ext>
              </c:extLst>
            </c:dLbl>
            <c:dLbl>
              <c:idx val="7"/>
              <c:layout>
                <c:manualLayout>
                  <c:x val="-7.4534161490683232E-2"/>
                  <c:y val="-6.018518518518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A652-45D0-BB76-36095443C4FC}"/>
                </c:ext>
              </c:extLst>
            </c:dLbl>
            <c:dLbl>
              <c:idx val="8"/>
              <c:layout>
                <c:manualLayout>
                  <c:x val="-5.521048999309879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A652-45D0-BB76-36095443C4FC}"/>
                </c:ext>
              </c:extLst>
            </c:dLbl>
            <c:dLbl>
              <c:idx val="9"/>
              <c:layout>
                <c:manualLayout>
                  <c:x val="-2.760524499654944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652-45D0-BB76-36095443C4FC}"/>
                </c:ext>
              </c:extLst>
            </c:dLbl>
            <c:dLbl>
              <c:idx val="10"/>
              <c:layout>
                <c:manualLayout>
                  <c:x val="-8.8336783988958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A652-45D0-BB76-36095443C4FC}"/>
                </c:ext>
              </c:extLst>
            </c:dLbl>
            <c:dLbl>
              <c:idx val="11"/>
              <c:layout>
                <c:manualLayout>
                  <c:x val="-1.6563146997929608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652-45D0-BB76-36095443C4F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Pivot_Table!$A$8:$A$19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Pivot_Table!$B$8:$B$19</c:f>
              <c:numCache>
                <c:formatCode>0</c:formatCode>
                <c:ptCount val="12"/>
                <c:pt idx="0">
                  <c:v>414726.94999999995</c:v>
                </c:pt>
                <c:pt idx="1">
                  <c:v>317290.8</c:v>
                </c:pt>
                <c:pt idx="2">
                  <c:v>364303.14999999997</c:v>
                </c:pt>
                <c:pt idx="3">
                  <c:v>293682.35000000003</c:v>
                </c:pt>
                <c:pt idx="4">
                  <c:v>302307.09999999998</c:v>
                </c:pt>
                <c:pt idx="5">
                  <c:v>401107.69999999995</c:v>
                </c:pt>
                <c:pt idx="6">
                  <c:v>345675.5499999997</c:v>
                </c:pt>
                <c:pt idx="7">
                  <c:v>342529.14999999991</c:v>
                </c:pt>
                <c:pt idx="8">
                  <c:v>427615.24999999994</c:v>
                </c:pt>
                <c:pt idx="9">
                  <c:v>381042.95</c:v>
                </c:pt>
                <c:pt idx="10">
                  <c:v>299011.64999999997</c:v>
                </c:pt>
                <c:pt idx="11">
                  <c:v>335347.8</c:v>
                </c:pt>
              </c:numCache>
            </c:numRef>
          </c:val>
          <c:smooth val="0"/>
          <c:extLst>
            <c:ext xmlns:c16="http://schemas.microsoft.com/office/drawing/2014/chart" uri="{C3380CC4-5D6E-409C-BE32-E72D297353CC}">
              <c16:uniqueId val="{00000010-A652-45D0-BB76-36095443C4FC}"/>
            </c:ext>
          </c:extLst>
        </c:ser>
        <c:dLbls>
          <c:showLegendKey val="0"/>
          <c:showVal val="0"/>
          <c:showCatName val="0"/>
          <c:showSerName val="0"/>
          <c:showPercent val="0"/>
          <c:showBubbleSize val="0"/>
        </c:dLbls>
        <c:marker val="1"/>
        <c:smooth val="0"/>
        <c:axId val="640375952"/>
        <c:axId val="640372784"/>
      </c:lineChart>
      <c:catAx>
        <c:axId val="64037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40372784"/>
        <c:crosses val="autoZero"/>
        <c:auto val="1"/>
        <c:lblAlgn val="ctr"/>
        <c:lblOffset val="100"/>
        <c:noMultiLvlLbl val="0"/>
      </c:catAx>
      <c:valAx>
        <c:axId val="64037278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0375952"/>
        <c:crosses val="autoZero"/>
        <c:crossBetween val="between"/>
        <c:majorUnit val="100000"/>
        <c:min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sng" strike="noStrike" kern="1200" cap="all" spc="120" normalizeH="0" baseline="0">
                <a:solidFill>
                  <a:schemeClr val="lt1"/>
                </a:solidFill>
                <a:latin typeface="+mn-lt"/>
                <a:ea typeface="+mn-ea"/>
                <a:cs typeface="+mn-cs"/>
              </a:defRPr>
            </a:pPr>
            <a:r>
              <a:rPr lang="en-US" i="1" u="sng"/>
              <a:t>Month-Wise profit</a:t>
            </a:r>
          </a:p>
        </c:rich>
      </c:tx>
      <c:overlay val="0"/>
      <c:spPr>
        <a:noFill/>
        <a:ln>
          <a:noFill/>
        </a:ln>
        <a:effectLst/>
      </c:spPr>
      <c:txPr>
        <a:bodyPr rot="0" spcFirstLastPara="1" vertOverflow="ellipsis" vert="horz" wrap="square" anchor="ctr" anchorCtr="1"/>
        <a:lstStyle/>
        <a:p>
          <a:pPr>
            <a:defRPr sz="1600" b="1" i="1" u="sng" strike="noStrike" kern="1200" cap="all" spc="120" normalizeH="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3"/>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2.9812461053871565E-2"/>
          <c:y val="0.27565678861535486"/>
          <c:w val="0.94037507789225683"/>
          <c:h val="0.63456763707137653"/>
        </c:manualLayout>
      </c:layout>
      <c:barChart>
        <c:barDir val="col"/>
        <c:grouping val="clustered"/>
        <c:varyColors val="0"/>
        <c:ser>
          <c:idx val="0"/>
          <c:order val="0"/>
          <c:tx>
            <c:v>Total</c:v>
          </c:tx>
          <c:spPr>
            <a:solidFill>
              <a:srgbClr val="92D050"/>
            </a:solidFill>
            <a:ln>
              <a:solidFill>
                <a:schemeClr val="accent3"/>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101210.95000000001</c:v>
              </c:pt>
              <c:pt idx="1">
                <c:v>74903.89999999998</c:v>
              </c:pt>
              <c:pt idx="2">
                <c:v>94931.250000000015</c:v>
              </c:pt>
              <c:pt idx="3">
                <c:v>72312.950000000012</c:v>
              </c:pt>
              <c:pt idx="4">
                <c:v>79006.399999999965</c:v>
              </c:pt>
              <c:pt idx="5">
                <c:v>96208</c:v>
              </c:pt>
              <c:pt idx="6">
                <c:v>83761.45</c:v>
              </c:pt>
              <c:pt idx="7">
                <c:v>87347.650000000009</c:v>
              </c:pt>
              <c:pt idx="8">
                <c:v>107356.85</c:v>
              </c:pt>
              <c:pt idx="9">
                <c:v>95475.849999999991</c:v>
              </c:pt>
              <c:pt idx="10">
                <c:v>76364.75</c:v>
              </c:pt>
              <c:pt idx="11">
                <c:v>80553.400000000038</c:v>
              </c:pt>
            </c:numLit>
          </c:val>
          <c:extLst>
            <c:ext xmlns:c16="http://schemas.microsoft.com/office/drawing/2014/chart" uri="{C3380CC4-5D6E-409C-BE32-E72D297353CC}">
              <c16:uniqueId val="{00000004-29E2-409F-AEE3-74209A4F8692}"/>
            </c:ext>
          </c:extLst>
        </c:ser>
        <c:dLbls>
          <c:dLblPos val="outEnd"/>
          <c:showLegendKey val="0"/>
          <c:showVal val="1"/>
          <c:showCatName val="0"/>
          <c:showSerName val="0"/>
          <c:showPercent val="0"/>
          <c:showBubbleSize val="0"/>
        </c:dLbls>
        <c:gapWidth val="444"/>
        <c:overlap val="-90"/>
        <c:axId val="774871992"/>
        <c:axId val="640618544"/>
      </c:barChart>
      <c:catAx>
        <c:axId val="77487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lt1"/>
                </a:solidFill>
                <a:latin typeface="+mn-lt"/>
                <a:ea typeface="+mn-ea"/>
                <a:cs typeface="+mn-cs"/>
              </a:defRPr>
            </a:pPr>
            <a:endParaRPr lang="en-US"/>
          </a:p>
        </c:txPr>
        <c:crossAx val="640618544"/>
        <c:crosses val="autoZero"/>
        <c:auto val="1"/>
        <c:lblAlgn val="ctr"/>
        <c:lblOffset val="100"/>
        <c:noMultiLvlLbl val="0"/>
      </c:catAx>
      <c:valAx>
        <c:axId val="640618544"/>
        <c:scaling>
          <c:orientation val="minMax"/>
        </c:scaling>
        <c:delete val="1"/>
        <c:axPos val="l"/>
        <c:numFmt formatCode="General" sourceLinked="1"/>
        <c:majorTickMark val="none"/>
        <c:minorTickMark val="none"/>
        <c:tickLblPos val="nextTo"/>
        <c:crossAx val="774871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[Ecommerce_Dashboard.xlsx]Pivot_Table!PivotTable4</c:name>
    <c:fmtId val="39"/>
  </c:pivotSource>
  <c:chart>
    <c:title>
      <c:tx>
        <c:rich>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r>
              <a:rPr lang="en-US" sz="1600" b="1" i="1" u="sng"/>
              <a:t>PRODUCT PERFORMANCE</a:t>
            </a:r>
          </a:p>
          <a:p>
            <a:pPr>
              <a:defRPr sz="1600" b="1" i="1" u="sng"/>
            </a:pPr>
            <a:endParaRPr lang="en-US" sz="1600" b="1" i="1" u="sng"/>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3"/>
        <c:spPr>
          <a:solidFill>
            <a:schemeClr val="accent1"/>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4"/>
        <c:spPr>
          <a:solidFill>
            <a:schemeClr val="accent1"/>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5"/>
        <c:spPr>
          <a:solidFill>
            <a:schemeClr val="accent1"/>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6"/>
        <c:spPr>
          <a:solidFill>
            <a:schemeClr val="accent1"/>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7"/>
        <c:spPr>
          <a:solidFill>
            <a:schemeClr val="accent1"/>
          </a:solidFill>
          <a:ln>
            <a:noFill/>
          </a:ln>
          <a:effectLst/>
        </c:spPr>
        <c:dLbl>
          <c:idx val="0"/>
          <c:layout>
            <c:manualLayout>
              <c:x val="0.21775859835702355"/>
              <c:y val="-4.66198859898345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7.95383304359682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77970480962606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0759859563009166E-2"/>
              <c:y val="-9.437908061979990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5.8297167399529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14"/>
        <c:spPr>
          <a:solidFill>
            <a:schemeClr val="accent1"/>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15"/>
        <c:spPr>
          <a:solidFill>
            <a:schemeClr val="accent1"/>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16"/>
        <c:spPr>
          <a:solidFill>
            <a:schemeClr val="accent1"/>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17"/>
        <c:spPr>
          <a:solidFill>
            <a:schemeClr val="accent1"/>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5.829716739952947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6.0759859563009166E-2"/>
              <c:y val="-9.437908061979990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5.779704809626069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7.953833043596823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21775859835702355"/>
              <c:y val="-4.66198859898345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2D05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rgbClr val="92D050"/>
          </a:solidFill>
          <a:ln>
            <a:noFill/>
          </a:ln>
          <a:effectLst/>
        </c:spPr>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Lst>
        </c:dLbl>
      </c:pivotFmt>
      <c:pivotFmt>
        <c:idx val="26"/>
        <c:spPr>
          <a:solidFill>
            <a:srgbClr val="92D050"/>
          </a:solidFill>
          <a:ln>
            <a:noFill/>
          </a:ln>
          <a:effectLst/>
        </c:spPr>
        <c:dLbl>
          <c:idx val="0"/>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Lst>
        </c:dLbl>
      </c:pivotFmt>
      <c:pivotFmt>
        <c:idx val="27"/>
        <c:spPr>
          <a:solidFill>
            <a:srgbClr val="92D050"/>
          </a:solidFill>
          <a:ln>
            <a:noFill/>
          </a:ln>
          <a:effectLst/>
        </c:spPr>
        <c:dLbl>
          <c:idx val="0"/>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Lst>
        </c:dLbl>
      </c:pivotFmt>
      <c:pivotFmt>
        <c:idx val="28"/>
        <c:spPr>
          <a:solidFill>
            <a:srgbClr val="92D050"/>
          </a:solidFill>
          <a:ln>
            <a:noFill/>
          </a:ln>
          <a:effectLst/>
        </c:spPr>
        <c:dLbl>
          <c:idx val="0"/>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Lst>
        </c:dLbl>
      </c:pivotFmt>
      <c:pivotFmt>
        <c:idx val="29"/>
        <c:spPr>
          <a:solidFill>
            <a:srgbClr val="92D050"/>
          </a:solidFill>
          <a:ln>
            <a:noFill/>
          </a:ln>
          <a:effectLst/>
        </c:spPr>
        <c:dLbl>
          <c:idx val="0"/>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Lst>
        </c:dLbl>
      </c:pivotFmt>
      <c:pivotFmt>
        <c:idx val="30"/>
        <c:spPr>
          <a:solidFill>
            <a:schemeClr val="accent1"/>
          </a:solidFill>
          <a:ln>
            <a:solidFill>
              <a:schemeClr val="accent2"/>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solidFill>
              <a:schemeClr val="accent2"/>
            </a:solidFill>
          </a:ln>
          <a:effectLst/>
        </c:spPr>
        <c:dLbl>
          <c:idx val="0"/>
          <c:layout>
            <c:manualLayout>
              <c:x val="5.829716739952947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solidFill>
              <a:schemeClr val="accent2"/>
            </a:solidFill>
          </a:ln>
          <a:effectLst/>
        </c:spPr>
        <c:dLbl>
          <c:idx val="0"/>
          <c:layout>
            <c:manualLayout>
              <c:x val="6.0759859563009166E-2"/>
              <c:y val="-9.4379080619799901E-17"/>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solidFill>
              <a:schemeClr val="accent2"/>
            </a:solidFill>
          </a:ln>
          <a:effectLst/>
        </c:spPr>
        <c:dLbl>
          <c:idx val="0"/>
          <c:layout>
            <c:manualLayout>
              <c:x val="5.779704809626069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solidFill>
              <a:schemeClr val="accent2"/>
            </a:solidFill>
          </a:ln>
          <a:effectLst/>
        </c:spPr>
        <c:dLbl>
          <c:idx val="0"/>
          <c:layout>
            <c:manualLayout>
              <c:x val="7.9538330435968238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solidFill>
              <a:schemeClr val="accent2"/>
            </a:solidFill>
          </a:ln>
          <a:effectLst/>
        </c:spPr>
        <c:dLbl>
          <c:idx val="0"/>
          <c:layout>
            <c:manualLayout>
              <c:x val="0.21775859835702355"/>
              <c:y val="-4.6619885989834502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96276905177427E-2"/>
          <c:y val="0.1365880372424019"/>
          <c:w val="0.62634897910488463"/>
          <c:h val="0.68263171100778164"/>
        </c:manualLayout>
      </c:layout>
      <c:barChart>
        <c:barDir val="bar"/>
        <c:grouping val="percentStacked"/>
        <c:varyColors val="0"/>
        <c:ser>
          <c:idx val="0"/>
          <c:order val="0"/>
          <c:tx>
            <c:strRef>
              <c:f>Pivot_Table!$B$24</c:f>
              <c:strCache>
                <c:ptCount val="1"/>
                <c:pt idx="0">
                  <c:v>Sum of Net_Sale</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DA93-4F26-8D9E-39DC63E48E8F}"/>
              </c:ext>
            </c:extLst>
          </c:dPt>
          <c:dPt>
            <c:idx val="1"/>
            <c:invertIfNegative val="0"/>
            <c:bubble3D val="0"/>
            <c:spPr>
              <a:solidFill>
                <a:srgbClr val="92D050"/>
              </a:solidFill>
              <a:ln>
                <a:noFill/>
              </a:ln>
              <a:effectLst/>
            </c:spPr>
            <c:extLst>
              <c:ext xmlns:c16="http://schemas.microsoft.com/office/drawing/2014/chart" uri="{C3380CC4-5D6E-409C-BE32-E72D297353CC}">
                <c16:uniqueId val="{00000003-DA93-4F26-8D9E-39DC63E48E8F}"/>
              </c:ext>
            </c:extLst>
          </c:dPt>
          <c:dPt>
            <c:idx val="2"/>
            <c:invertIfNegative val="0"/>
            <c:bubble3D val="0"/>
            <c:spPr>
              <a:solidFill>
                <a:srgbClr val="92D050"/>
              </a:solidFill>
              <a:ln>
                <a:noFill/>
              </a:ln>
              <a:effectLst/>
            </c:spPr>
            <c:extLst>
              <c:ext xmlns:c16="http://schemas.microsoft.com/office/drawing/2014/chart" uri="{C3380CC4-5D6E-409C-BE32-E72D297353CC}">
                <c16:uniqueId val="{00000005-DA93-4F26-8D9E-39DC63E48E8F}"/>
              </c:ext>
            </c:extLst>
          </c:dPt>
          <c:dPt>
            <c:idx val="3"/>
            <c:invertIfNegative val="0"/>
            <c:bubble3D val="0"/>
            <c:spPr>
              <a:solidFill>
                <a:srgbClr val="92D050"/>
              </a:solidFill>
              <a:ln>
                <a:noFill/>
              </a:ln>
              <a:effectLst/>
            </c:spPr>
            <c:extLst>
              <c:ext xmlns:c16="http://schemas.microsoft.com/office/drawing/2014/chart" uri="{C3380CC4-5D6E-409C-BE32-E72D297353CC}">
                <c16:uniqueId val="{00000007-DA93-4F26-8D9E-39DC63E48E8F}"/>
              </c:ext>
            </c:extLst>
          </c:dPt>
          <c:dPt>
            <c:idx val="4"/>
            <c:invertIfNegative val="0"/>
            <c:bubble3D val="0"/>
            <c:spPr>
              <a:solidFill>
                <a:srgbClr val="92D050"/>
              </a:solidFill>
              <a:ln>
                <a:noFill/>
              </a:ln>
              <a:effectLst/>
            </c:spPr>
            <c:extLst>
              <c:ext xmlns:c16="http://schemas.microsoft.com/office/drawing/2014/chart" uri="{C3380CC4-5D6E-409C-BE32-E72D297353CC}">
                <c16:uniqueId val="{00000009-DA93-4F26-8D9E-39DC63E48E8F}"/>
              </c:ext>
            </c:extLst>
          </c:dPt>
          <c:dLbls>
            <c:dLbl>
              <c:idx val="0"/>
              <c:layout>
                <c:manualLayout>
                  <c:x val="-0.20053366056515662"/>
                  <c:y val="3.923999168211407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1669"/>
                        <a:gd name="adj2" fmla="val -35163"/>
                      </a:avLst>
                    </a:prstGeom>
                    <a:noFill/>
                    <a:ln>
                      <a:noFill/>
                    </a:ln>
                  </c15:spPr>
                </c:ext>
                <c:ext xmlns:c16="http://schemas.microsoft.com/office/drawing/2014/chart" uri="{C3380CC4-5D6E-409C-BE32-E72D297353CC}">
                  <c16:uniqueId val="{00000001-DA93-4F26-8D9E-39DC63E48E8F}"/>
                </c:ext>
              </c:extLst>
            </c:dLbl>
            <c:dLbl>
              <c:idx val="1"/>
              <c:layout>
                <c:manualLayout>
                  <c:x val="-0.20929283839520063"/>
                  <c:y val="5.517004036931080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88926"/>
                        <a:gd name="adj2" fmla="val -51765"/>
                      </a:avLst>
                    </a:prstGeom>
                    <a:noFill/>
                    <a:ln>
                      <a:noFill/>
                    </a:ln>
                  </c15:spPr>
                </c:ext>
                <c:ext xmlns:c16="http://schemas.microsoft.com/office/drawing/2014/chart" uri="{C3380CC4-5D6E-409C-BE32-E72D297353CC}">
                  <c16:uniqueId val="{00000003-DA93-4F26-8D9E-39DC63E48E8F}"/>
                </c:ext>
              </c:extLst>
            </c:dLbl>
            <c:dLbl>
              <c:idx val="2"/>
              <c:layout>
                <c:manualLayout>
                  <c:x val="-0.20096887889013879"/>
                  <c:y val="5.419799892418766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23442"/>
                        <a:gd name="adj2" fmla="val -45117"/>
                      </a:avLst>
                    </a:prstGeom>
                    <a:noFill/>
                    <a:ln>
                      <a:noFill/>
                    </a:ln>
                  </c15:spPr>
                </c:ext>
                <c:ext xmlns:c16="http://schemas.microsoft.com/office/drawing/2014/chart" uri="{C3380CC4-5D6E-409C-BE32-E72D297353CC}">
                  <c16:uniqueId val="{00000005-DA93-4F26-8D9E-39DC63E48E8F}"/>
                </c:ext>
              </c:extLst>
            </c:dLbl>
            <c:dLbl>
              <c:idx val="3"/>
              <c:layout>
                <c:manualLayout>
                  <c:x val="-0.18900951017486448"/>
                  <c:y val="4.4388001003659139E-2"/>
                </c:manualLayout>
              </c:layout>
              <c:spPr>
                <a:xfrm>
                  <a:off x="1015084" y="873529"/>
                  <a:ext cx="535139" cy="156288"/>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3924"/>
                        <a:gd name="adj2" fmla="val -48476"/>
                      </a:avLst>
                    </a:prstGeom>
                    <a:noFill/>
                    <a:ln>
                      <a:noFill/>
                    </a:ln>
                  </c15:spPr>
                  <c15:layout>
                    <c:manualLayout>
                      <c:w val="0.14592903159832291"/>
                      <c:h val="6.3352132350050036E-2"/>
                    </c:manualLayout>
                  </c15:layout>
                </c:ext>
                <c:ext xmlns:c16="http://schemas.microsoft.com/office/drawing/2014/chart" uri="{C3380CC4-5D6E-409C-BE32-E72D297353CC}">
                  <c16:uniqueId val="{00000007-DA93-4F26-8D9E-39DC63E48E8F}"/>
                </c:ext>
              </c:extLst>
            </c:dLbl>
            <c:dLbl>
              <c:idx val="4"/>
              <c:layout>
                <c:manualLayout>
                  <c:x val="-6.9342877594846128E-2"/>
                  <c:y val="3.6036065250815451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942"/>
                        <a:gd name="adj2" fmla="val -25878"/>
                      </a:avLst>
                    </a:prstGeom>
                    <a:noFill/>
                    <a:ln>
                      <a:noFill/>
                    </a:ln>
                  </c15:spPr>
                </c:ext>
                <c:ext xmlns:c16="http://schemas.microsoft.com/office/drawing/2014/chart" uri="{C3380CC4-5D6E-409C-BE32-E72D297353CC}">
                  <c16:uniqueId val="{00000009-DA93-4F26-8D9E-39DC63E48E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Pivot_Table!$A$25:$A$29</c:f>
              <c:strCache>
                <c:ptCount val="5"/>
                <c:pt idx="0">
                  <c:v>Electronics</c:v>
                </c:pt>
                <c:pt idx="1">
                  <c:v>Fashion</c:v>
                </c:pt>
                <c:pt idx="2">
                  <c:v>Furniture</c:v>
                </c:pt>
                <c:pt idx="3">
                  <c:v>Home &amp; Kitchen</c:v>
                </c:pt>
                <c:pt idx="4">
                  <c:v>Stationery</c:v>
                </c:pt>
              </c:strCache>
            </c:strRef>
          </c:cat>
          <c:val>
            <c:numRef>
              <c:f>Pivot_Table!$B$25:$B$29</c:f>
              <c:numCache>
                <c:formatCode>General</c:formatCode>
                <c:ptCount val="5"/>
                <c:pt idx="0">
                  <c:v>1618345.4000000018</c:v>
                </c:pt>
                <c:pt idx="1">
                  <c:v>877661.14999999991</c:v>
                </c:pt>
                <c:pt idx="2">
                  <c:v>1323543.6000000006</c:v>
                </c:pt>
                <c:pt idx="3">
                  <c:v>348181.99999999988</c:v>
                </c:pt>
                <c:pt idx="4">
                  <c:v>56908.250000000015</c:v>
                </c:pt>
              </c:numCache>
            </c:numRef>
          </c:val>
          <c:extLst>
            <c:ext xmlns:c16="http://schemas.microsoft.com/office/drawing/2014/chart" uri="{C3380CC4-5D6E-409C-BE32-E72D297353CC}">
              <c16:uniqueId val="{0000001B-4812-4320-B4F5-8A37BD75AFDB}"/>
            </c:ext>
          </c:extLst>
        </c:ser>
        <c:ser>
          <c:idx val="1"/>
          <c:order val="1"/>
          <c:tx>
            <c:strRef>
              <c:f>Pivot_Table!$C$24</c:f>
              <c:strCache>
                <c:ptCount val="1"/>
                <c:pt idx="0">
                  <c:v>Average of Profit_Margin</c:v>
                </c:pt>
              </c:strCache>
            </c:strRef>
          </c:tx>
          <c:spPr>
            <a:solidFill>
              <a:schemeClr val="accent2"/>
            </a:solidFill>
            <a:ln>
              <a:solidFill>
                <a:schemeClr val="accent2"/>
              </a:solidFill>
            </a:ln>
            <a:effectLst/>
          </c:spPr>
          <c:invertIfNegative val="0"/>
          <c:dPt>
            <c:idx val="0"/>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1D-4812-4320-B4F5-8A37BD75AFDB}"/>
              </c:ext>
            </c:extLst>
          </c:dPt>
          <c:dPt>
            <c:idx val="1"/>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1E-4812-4320-B4F5-8A37BD75AFDB}"/>
              </c:ext>
            </c:extLst>
          </c:dPt>
          <c:dPt>
            <c:idx val="2"/>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1F-4812-4320-B4F5-8A37BD75AFDB}"/>
              </c:ext>
            </c:extLst>
          </c:dPt>
          <c:dPt>
            <c:idx val="3"/>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20-4812-4320-B4F5-8A37BD75AFDB}"/>
              </c:ext>
            </c:extLst>
          </c:dPt>
          <c:dPt>
            <c:idx val="4"/>
            <c:invertIfNegative val="0"/>
            <c:bubble3D val="0"/>
            <c:spPr>
              <a:solidFill>
                <a:schemeClr val="accent2"/>
              </a:solidFill>
              <a:ln>
                <a:solidFill>
                  <a:schemeClr val="accent2"/>
                </a:solidFill>
              </a:ln>
              <a:effectLst/>
            </c:spPr>
            <c:extLst>
              <c:ext xmlns:c16="http://schemas.microsoft.com/office/drawing/2014/chart" uri="{C3380CC4-5D6E-409C-BE32-E72D297353CC}">
                <c16:uniqueId val="{00000021-4812-4320-B4F5-8A37BD75AFDB}"/>
              </c:ext>
            </c:extLst>
          </c:dPt>
          <c:dLbls>
            <c:dLbl>
              <c:idx val="0"/>
              <c:layout>
                <c:manualLayout>
                  <c:x val="5.82971673995294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4812-4320-B4F5-8A37BD75AFDB}"/>
                </c:ext>
              </c:extLst>
            </c:dLbl>
            <c:dLbl>
              <c:idx val="1"/>
              <c:layout>
                <c:manualLayout>
                  <c:x val="6.0759859563009166E-2"/>
                  <c:y val="-9.437908061979990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4812-4320-B4F5-8A37BD75AFDB}"/>
                </c:ext>
              </c:extLst>
            </c:dLbl>
            <c:dLbl>
              <c:idx val="2"/>
              <c:layout>
                <c:manualLayout>
                  <c:x val="5.77970480962606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4812-4320-B4F5-8A37BD75AFDB}"/>
                </c:ext>
              </c:extLst>
            </c:dLbl>
            <c:dLbl>
              <c:idx val="3"/>
              <c:layout>
                <c:manualLayout>
                  <c:x val="7.953833043596823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4812-4320-B4F5-8A37BD75AFDB}"/>
                </c:ext>
              </c:extLst>
            </c:dLbl>
            <c:dLbl>
              <c:idx val="4"/>
              <c:layout>
                <c:manualLayout>
                  <c:x val="0.21775859835702355"/>
                  <c:y val="-4.66198859898345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4812-4320-B4F5-8A37BD75AFDB}"/>
                </c:ext>
              </c:extLst>
            </c:dLbl>
            <c:spPr>
              <a:no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Pivot_Table!$A$25:$A$29</c:f>
              <c:strCache>
                <c:ptCount val="5"/>
                <c:pt idx="0">
                  <c:v>Electronics</c:v>
                </c:pt>
                <c:pt idx="1">
                  <c:v>Fashion</c:v>
                </c:pt>
                <c:pt idx="2">
                  <c:v>Furniture</c:v>
                </c:pt>
                <c:pt idx="3">
                  <c:v>Home &amp; Kitchen</c:v>
                </c:pt>
                <c:pt idx="4">
                  <c:v>Stationery</c:v>
                </c:pt>
              </c:strCache>
            </c:strRef>
          </c:cat>
          <c:val>
            <c:numRef>
              <c:f>Pivot_Table!$C$25:$C$29</c:f>
              <c:numCache>
                <c:formatCode>0.0%</c:formatCode>
                <c:ptCount val="5"/>
                <c:pt idx="0">
                  <c:v>0.25809942730120955</c:v>
                </c:pt>
                <c:pt idx="1">
                  <c:v>0.25141651635994938</c:v>
                </c:pt>
                <c:pt idx="2">
                  <c:v>0.23225212622942915</c:v>
                </c:pt>
                <c:pt idx="3">
                  <c:v>0.26292266732957126</c:v>
                </c:pt>
                <c:pt idx="4">
                  <c:v>0.34244926071524528</c:v>
                </c:pt>
              </c:numCache>
            </c:numRef>
          </c:val>
          <c:extLst>
            <c:ext xmlns:c16="http://schemas.microsoft.com/office/drawing/2014/chart" uri="{C3380CC4-5D6E-409C-BE32-E72D297353CC}">
              <c16:uniqueId val="{0000001C-4812-4320-B4F5-8A37BD75AFDB}"/>
            </c:ext>
          </c:extLst>
        </c:ser>
        <c:dLbls>
          <c:showLegendKey val="0"/>
          <c:showVal val="1"/>
          <c:showCatName val="0"/>
          <c:showSerName val="0"/>
          <c:showPercent val="0"/>
          <c:showBubbleSize val="0"/>
        </c:dLbls>
        <c:gapWidth val="219"/>
        <c:overlap val="100"/>
        <c:axId val="640378416"/>
        <c:axId val="638580976"/>
      </c:barChart>
      <c:catAx>
        <c:axId val="640378416"/>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638580976"/>
        <c:crosses val="autoZero"/>
        <c:auto val="1"/>
        <c:lblAlgn val="ctr"/>
        <c:lblOffset val="100"/>
        <c:noMultiLvlLbl val="0"/>
      </c:catAx>
      <c:valAx>
        <c:axId val="638580976"/>
        <c:scaling>
          <c:orientation val="minMax"/>
        </c:scaling>
        <c:delete val="1"/>
        <c:axPos val="b"/>
        <c:numFmt formatCode="0%" sourceLinked="1"/>
        <c:majorTickMark val="none"/>
        <c:minorTickMark val="none"/>
        <c:tickLblPos val="nextTo"/>
        <c:crossAx val="640378416"/>
        <c:crosses val="autoZero"/>
        <c:crossBetween val="between"/>
      </c:valAx>
      <c:spPr>
        <a:noFill/>
        <a:ln>
          <a:noFill/>
        </a:ln>
        <a:effectLst/>
      </c:spPr>
    </c:plotArea>
    <c:legend>
      <c:legendPos val="b"/>
      <c:layout>
        <c:manualLayout>
          <c:xMode val="edge"/>
          <c:yMode val="edge"/>
          <c:x val="0.22518246689917928"/>
          <c:y val="0.86164664145087932"/>
          <c:w val="0.54491839128899622"/>
          <c:h val="8.68732653336700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r>
              <a:rPr lang="en-US" sz="1600" b="1" i="1" u="sng"/>
              <a:t>SALES CHANNEL &amp; PAYMENT</a:t>
            </a:r>
          </a:p>
        </c:rich>
      </c:tx>
      <c:overlay val="0"/>
      <c:spPr>
        <a:noFill/>
        <a:ln>
          <a:noFill/>
        </a:ln>
        <a:effectLst/>
      </c:spPr>
      <c:txPr>
        <a:bodyPr rot="0" spcFirstLastPara="1" vertOverflow="ellipsis" vert="horz" wrap="square" anchor="ctr" anchorCtr="1"/>
        <a:lstStyle/>
        <a:p>
          <a:pPr>
            <a:defRPr sz="1600" b="1" i="1" u="sng"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v>Cash on Delivery</c:v>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44</c:v>
              </c:pt>
              <c:pt idx="1">
                <c:v>46</c:v>
              </c:pt>
              <c:pt idx="2">
                <c:v>61</c:v>
              </c:pt>
              <c:pt idx="3">
                <c:v>44</c:v>
              </c:pt>
              <c:pt idx="4">
                <c:v>42</c:v>
              </c:pt>
            </c:numLit>
          </c:val>
          <c:extLst>
            <c:ext xmlns:c16="http://schemas.microsoft.com/office/drawing/2014/chart" uri="{C3380CC4-5D6E-409C-BE32-E72D297353CC}">
              <c16:uniqueId val="{00000011-F301-4B69-B3E5-404272BBEDE8}"/>
            </c:ext>
          </c:extLst>
        </c:ser>
        <c:ser>
          <c:idx val="1"/>
          <c:order val="1"/>
          <c:tx>
            <c:v>Credit Card</c:v>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57</c:v>
              </c:pt>
              <c:pt idx="1">
                <c:v>53</c:v>
              </c:pt>
              <c:pt idx="2">
                <c:v>48</c:v>
              </c:pt>
              <c:pt idx="3">
                <c:v>49</c:v>
              </c:pt>
              <c:pt idx="4">
                <c:v>42</c:v>
              </c:pt>
            </c:numLit>
          </c:val>
          <c:extLst>
            <c:ext xmlns:c16="http://schemas.microsoft.com/office/drawing/2014/chart" uri="{C3380CC4-5D6E-409C-BE32-E72D297353CC}">
              <c16:uniqueId val="{00000012-F301-4B69-B3E5-404272BBEDE8}"/>
            </c:ext>
          </c:extLst>
        </c:ser>
        <c:ser>
          <c:idx val="2"/>
          <c:order val="2"/>
          <c:tx>
            <c:v>Debit Card</c:v>
          </c:tx>
          <c:spPr>
            <a:solidFill>
              <a:schemeClr val="accent3"/>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50</c:v>
              </c:pt>
              <c:pt idx="1">
                <c:v>38</c:v>
              </c:pt>
              <c:pt idx="2">
                <c:v>50</c:v>
              </c:pt>
              <c:pt idx="3">
                <c:v>54</c:v>
              </c:pt>
              <c:pt idx="4">
                <c:v>55</c:v>
              </c:pt>
            </c:numLit>
          </c:val>
          <c:extLst>
            <c:ext xmlns:c16="http://schemas.microsoft.com/office/drawing/2014/chart" uri="{C3380CC4-5D6E-409C-BE32-E72D297353CC}">
              <c16:uniqueId val="{00000013-F301-4B69-B3E5-404272BBEDE8}"/>
            </c:ext>
          </c:extLst>
        </c:ser>
        <c:ser>
          <c:idx val="3"/>
          <c:order val="3"/>
          <c:tx>
            <c:v>Net Banking</c:v>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40</c:v>
              </c:pt>
              <c:pt idx="1">
                <c:v>36</c:v>
              </c:pt>
              <c:pt idx="2">
                <c:v>34</c:v>
              </c:pt>
              <c:pt idx="3">
                <c:v>50</c:v>
              </c:pt>
              <c:pt idx="4">
                <c:v>48</c:v>
              </c:pt>
            </c:numLit>
          </c:val>
          <c:extLst>
            <c:ext xmlns:c16="http://schemas.microsoft.com/office/drawing/2014/chart" uri="{C3380CC4-5D6E-409C-BE32-E72D297353CC}">
              <c16:uniqueId val="{00000014-F301-4B69-B3E5-404272BBEDE8}"/>
            </c:ext>
          </c:extLst>
        </c:ser>
        <c:ser>
          <c:idx val="4"/>
          <c:order val="4"/>
          <c:tx>
            <c:v>UPI</c:v>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Lit>
              <c:ptCount val="5"/>
              <c:pt idx="0">
                <c:v>Amazon</c:v>
              </c:pt>
              <c:pt idx="1">
                <c:v>Flipkart</c:v>
              </c:pt>
              <c:pt idx="2">
                <c:v>Instagram</c:v>
              </c:pt>
              <c:pt idx="3">
                <c:v>Myntra</c:v>
              </c:pt>
              <c:pt idx="4">
                <c:v>Website</c:v>
              </c:pt>
            </c:strLit>
          </c:cat>
          <c:val>
            <c:numLit>
              <c:formatCode>General</c:formatCode>
              <c:ptCount val="5"/>
              <c:pt idx="0">
                <c:v>56</c:v>
              </c:pt>
              <c:pt idx="1">
                <c:v>57</c:v>
              </c:pt>
              <c:pt idx="2">
                <c:v>58</c:v>
              </c:pt>
              <c:pt idx="3">
                <c:v>46</c:v>
              </c:pt>
              <c:pt idx="4">
                <c:v>42</c:v>
              </c:pt>
            </c:numLit>
          </c:val>
          <c:extLst>
            <c:ext xmlns:c16="http://schemas.microsoft.com/office/drawing/2014/chart" uri="{C3380CC4-5D6E-409C-BE32-E72D297353CC}">
              <c16:uniqueId val="{00000015-F301-4B69-B3E5-404272BBEDE8}"/>
            </c:ext>
          </c:extLst>
        </c:ser>
        <c:dLbls>
          <c:showLegendKey val="0"/>
          <c:showVal val="0"/>
          <c:showCatName val="0"/>
          <c:showSerName val="0"/>
          <c:showPercent val="0"/>
          <c:showBubbleSize val="0"/>
        </c:dLbls>
        <c:gapWidth val="150"/>
        <c:overlap val="100"/>
        <c:axId val="757064560"/>
        <c:axId val="757061392"/>
      </c:barChart>
      <c:catAx>
        <c:axId val="75706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757061392"/>
        <c:crosses val="autoZero"/>
        <c:auto val="1"/>
        <c:lblAlgn val="ctr"/>
        <c:lblOffset val="100"/>
        <c:noMultiLvlLbl val="0"/>
      </c:catAx>
      <c:valAx>
        <c:axId val="757061392"/>
        <c:scaling>
          <c:orientation val="minMax"/>
        </c:scaling>
        <c:delete val="1"/>
        <c:axPos val="b"/>
        <c:numFmt formatCode="0%" sourceLinked="1"/>
        <c:majorTickMark val="none"/>
        <c:minorTickMark val="none"/>
        <c:tickLblPos val="nextTo"/>
        <c:crossAx val="757064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600" b="1" i="1" u="sng"/>
              <a:t>ORDER STATUS</a:t>
            </a:r>
          </a:p>
        </c:rich>
      </c:tx>
      <c:layout>
        <c:manualLayout>
          <c:xMode val="edge"/>
          <c:yMode val="edge"/>
          <c:x val="0.36847767516202334"/>
          <c:y val="5.4062744874599646E-2"/>
        </c:manualLayout>
      </c:layout>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6.2150264421293601E-2"/>
              <c:y val="-8.8495575221238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2.644003777148253E-2"/>
              <c:y val="-2.46412924026193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5.66572237960339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3.39943342776204E-2"/>
              <c:y val="-9.856516961047735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3"/>
          </a:solidFill>
          <a:ln w="19050">
            <a:solidFill>
              <a:schemeClr val="lt1"/>
            </a:solidFill>
          </a:ln>
          <a:effectLst/>
        </c:spPr>
        <c:dLbl>
          <c:idx val="0"/>
          <c:layout>
            <c:manualLayout>
              <c:x val="2.644003777148253E-2"/>
              <c:y val="-2.46412924026193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w="19050">
            <a:solidFill>
              <a:schemeClr val="lt1"/>
            </a:solidFill>
          </a:ln>
          <a:effectLst/>
        </c:spPr>
        <c:dLbl>
          <c:idx val="0"/>
          <c:layout>
            <c:manualLayout>
              <c:x val="6.2150264421293601E-2"/>
              <c:y val="-8.8495575221238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3"/>
          </a:solidFill>
          <a:ln w="19050">
            <a:solidFill>
              <a:schemeClr val="lt1"/>
            </a:solidFill>
          </a:ln>
          <a:effectLst/>
        </c:spPr>
        <c:dLbl>
          <c:idx val="0"/>
          <c:layout>
            <c:manualLayout>
              <c:x val="-3.39943342776204E-2"/>
              <c:y val="-9.856516961047735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w="19050">
            <a:solidFill>
              <a:schemeClr val="lt1"/>
            </a:solidFill>
          </a:ln>
          <a:effectLst/>
        </c:spPr>
        <c:dLbl>
          <c:idx val="0"/>
          <c:layout>
            <c:manualLayout>
              <c:x val="-5.66572237960339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3"/>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3">
              <a:tint val="58000"/>
            </a:schemeClr>
          </a:solidFill>
          <a:ln w="19050">
            <a:noFill/>
          </a:ln>
          <a:effectLst/>
        </c:spPr>
        <c:dLbl>
          <c:idx val="0"/>
          <c:layout>
            <c:manualLayout>
              <c:x val="2.644003777148253E-2"/>
              <c:y val="-2.464129240261934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3">
              <a:tint val="86000"/>
            </a:schemeClr>
          </a:solidFill>
          <a:ln w="19050">
            <a:noFill/>
          </a:ln>
          <a:effectLst/>
        </c:spPr>
        <c:dLbl>
          <c:idx val="0"/>
          <c:layout>
            <c:manualLayout>
              <c:x val="6.2150264421293601E-2"/>
              <c:y val="-8.84955752212389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3">
              <a:shade val="86000"/>
            </a:schemeClr>
          </a:solidFill>
          <a:ln w="19050">
            <a:noFill/>
          </a:ln>
          <a:effectLst/>
        </c:spPr>
        <c:dLbl>
          <c:idx val="0"/>
          <c:layout>
            <c:manualLayout>
              <c:x val="-3.39943342776204E-2"/>
              <c:y val="-9.8565169610477358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3">
              <a:shade val="58000"/>
            </a:schemeClr>
          </a:solidFill>
          <a:ln w="19050">
            <a:noFill/>
          </a:ln>
          <a:effectLst/>
        </c:spPr>
        <c:dLbl>
          <c:idx val="0"/>
          <c:layout>
            <c:manualLayout>
              <c:x val="-5.665722379603399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2555938910953602"/>
          <c:y val="0.2892153828975077"/>
          <c:w val="0.43986402704621808"/>
          <c:h val="0.64256613084654746"/>
        </c:manualLayout>
      </c:layout>
      <c:pieChart>
        <c:varyColors val="1"/>
        <c:ser>
          <c:idx val="0"/>
          <c:order val="0"/>
          <c:tx>
            <c:v>Total</c:v>
          </c:tx>
          <c:spPr>
            <a:ln>
              <a:noFill/>
            </a:ln>
          </c:spPr>
          <c:dPt>
            <c:idx val="0"/>
            <c:bubble3D val="0"/>
            <c:spPr>
              <a:solidFill>
                <a:schemeClr val="accent3">
                  <a:tint val="58000"/>
                </a:schemeClr>
              </a:solidFill>
              <a:ln w="19050">
                <a:noFill/>
              </a:ln>
              <a:effectLst/>
            </c:spPr>
            <c:extLst>
              <c:ext xmlns:c16="http://schemas.microsoft.com/office/drawing/2014/chart" uri="{C3380CC4-5D6E-409C-BE32-E72D297353CC}">
                <c16:uniqueId val="{0000000D-4414-433D-BB2C-8C3D8203CCAE}"/>
              </c:ext>
            </c:extLst>
          </c:dPt>
          <c:dPt>
            <c:idx val="1"/>
            <c:bubble3D val="0"/>
            <c:spPr>
              <a:solidFill>
                <a:schemeClr val="accent3">
                  <a:tint val="86000"/>
                </a:schemeClr>
              </a:solidFill>
              <a:ln w="19050">
                <a:noFill/>
              </a:ln>
              <a:effectLst/>
            </c:spPr>
            <c:extLst>
              <c:ext xmlns:c16="http://schemas.microsoft.com/office/drawing/2014/chart" uri="{C3380CC4-5D6E-409C-BE32-E72D297353CC}">
                <c16:uniqueId val="{0000000E-4414-433D-BB2C-8C3D8203CCAE}"/>
              </c:ext>
            </c:extLst>
          </c:dPt>
          <c:dPt>
            <c:idx val="2"/>
            <c:bubble3D val="0"/>
            <c:spPr>
              <a:solidFill>
                <a:schemeClr val="accent3">
                  <a:shade val="86000"/>
                </a:schemeClr>
              </a:solidFill>
              <a:ln w="19050">
                <a:noFill/>
              </a:ln>
              <a:effectLst/>
            </c:spPr>
            <c:extLst>
              <c:ext xmlns:c16="http://schemas.microsoft.com/office/drawing/2014/chart" uri="{C3380CC4-5D6E-409C-BE32-E72D297353CC}">
                <c16:uniqueId val="{0000000F-4414-433D-BB2C-8C3D8203CCAE}"/>
              </c:ext>
            </c:extLst>
          </c:dPt>
          <c:dPt>
            <c:idx val="3"/>
            <c:bubble3D val="0"/>
            <c:spPr>
              <a:solidFill>
                <a:schemeClr val="accent3">
                  <a:shade val="58000"/>
                </a:schemeClr>
              </a:solidFill>
              <a:ln w="19050">
                <a:noFill/>
              </a:ln>
              <a:effectLst/>
            </c:spPr>
            <c:extLst>
              <c:ext xmlns:c16="http://schemas.microsoft.com/office/drawing/2014/chart" uri="{C3380CC4-5D6E-409C-BE32-E72D297353CC}">
                <c16:uniqueId val="{00000010-4414-433D-BB2C-8C3D8203CCAE}"/>
              </c:ext>
            </c:extLst>
          </c:dPt>
          <c:dLbls>
            <c:dLbl>
              <c:idx val="0"/>
              <c:layout>
                <c:manualLayout>
                  <c:x val="2.644003777148253E-2"/>
                  <c:y val="-2.464129240261934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414-433D-BB2C-8C3D8203CCAE}"/>
                </c:ext>
              </c:extLst>
            </c:dLbl>
            <c:dLbl>
              <c:idx val="1"/>
              <c:layout>
                <c:manualLayout>
                  <c:x val="6.2150264421293601E-2"/>
                  <c:y val="-8.84955752212389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414-433D-BB2C-8C3D8203CCAE}"/>
                </c:ext>
              </c:extLst>
            </c:dLbl>
            <c:dLbl>
              <c:idx val="2"/>
              <c:layout>
                <c:manualLayout>
                  <c:x val="-3.39943342776204E-2"/>
                  <c:y val="-9.8565169610477358E-1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14-433D-BB2C-8C3D8203CCAE}"/>
                </c:ext>
              </c:extLst>
            </c:dLbl>
            <c:dLbl>
              <c:idx val="3"/>
              <c:layout>
                <c:manualLayout>
                  <c:x val="-5.6657223796033995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414-433D-BB2C-8C3D8203CCA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Returned</c:v>
              </c:pt>
              <c:pt idx="3">
                <c:v>Shipped</c:v>
              </c:pt>
            </c:strLit>
          </c:cat>
          <c:val>
            <c:numLit>
              <c:formatCode>General</c:formatCode>
              <c:ptCount val="4"/>
              <c:pt idx="0">
                <c:v>190</c:v>
              </c:pt>
              <c:pt idx="1">
                <c:v>577</c:v>
              </c:pt>
              <c:pt idx="2">
                <c:v>230</c:v>
              </c:pt>
              <c:pt idx="3">
                <c:v>203</c:v>
              </c:pt>
            </c:numLit>
          </c:val>
          <c:extLst>
            <c:ext xmlns:c16="http://schemas.microsoft.com/office/drawing/2014/chart" uri="{C3380CC4-5D6E-409C-BE32-E72D297353CC}">
              <c16:uniqueId val="{0000000C-4414-433D-BB2C-8C3D8203CCA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NET SALE</cx:v>
        </cx:txData>
      </cx:tx>
      <cx:txPr>
        <a:bodyPr spcFirstLastPara="1" vertOverflow="ellipsis" horzOverflow="overflow" wrap="square" lIns="0" tIns="0" rIns="0" bIns="0" anchor="ctr" anchorCtr="1"/>
        <a:lstStyle/>
        <a:p>
          <a:pPr algn="ctr" rtl="0">
            <a:defRPr/>
          </a:pPr>
          <a:r>
            <a:rPr lang="en-US" sz="1600" b="1" i="1" u="sng" strike="noStrike" baseline="0">
              <a:solidFill>
                <a:schemeClr val="bg1"/>
              </a:solidFill>
              <a:latin typeface="Calibri"/>
            </a:rPr>
            <a:t>STATE-WISE NET SALE</a:t>
          </a:r>
        </a:p>
      </cx:txPr>
    </cx:title>
    <cx:plotArea>
      <cx:plotAreaRegion>
        <cx:plotSurface>
          <cx: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x:spPr>
        </cx:plotSurface>
        <cx:series layoutId="regionMap" uniqueId="{00000000-4B86-4B63-B1AA-4D9B2213EEE2}">
          <cx:dataLabels>
            <cx:visibility seriesName="0" categoryName="1" value="0"/>
            <cx:separator>, </cx:separator>
            <cx:dataLabel idx="8">
              <cx:txPr>
                <a:bodyPr spcFirstLastPara="1" vertOverflow="ellipsis" horzOverflow="overflow" wrap="square" lIns="0" tIns="0" rIns="0" bIns="0" anchor="ctr" anchorCtr="1"/>
                <a:lstStyle/>
                <a:p>
                  <a:pPr algn="ctr" rtl="0">
                    <a:defRPr>
                      <a:solidFill>
                        <a:sysClr val="windowText" lastClr="000000"/>
                      </a:solidFill>
                    </a:defRPr>
                  </a:pPr>
                  <a:r>
                    <a:rPr lang="en-US" sz="850" b="0" i="0" u="none" strike="noStrike" baseline="0">
                      <a:solidFill>
                        <a:sysClr val="windowText" lastClr="000000"/>
                      </a:solidFill>
                      <a:latin typeface="Calibri"/>
                    </a:rPr>
                    <a:t>West Bengal</a:t>
                  </a:r>
                </a:p>
              </cx:txPr>
            </cx:dataLabel>
          </cx:dataLabels>
          <cx:dataId val="0"/>
          <cx:layoutPr>
            <cx:geography cultureLanguage="en-US" cultureRegion="US" attribution="Powered by Bing">
              <cx:geoCache provider="{E9337A44-BEBE-4D9F-B70C-5C5E7DAFC167}">
                <cx:binary>7Hxpb91Gs+ZfMfx5qPTC3l7cXGCaPJt2y7K8fCEUWyabS3Nrkk3++lvHSyKdyFaiyQATYATDhg6X
rq7qqnqeqjr+r4/+Px/Lu9vuha9K2//no//1ZeZc859ffuk/ZnfVbX9UmY9d3def3dHHuvql/vzZ
fLz75VN3Oxmb/kIQDn/5mN127s6//O//greld/Vp/fHWmdq+Gu66+equH0rX/+Tao5de3H6qjI1N
7zrz0eFfX17fVqZ8cX77aXj54s464+brubn79eWD+16++OXwbX9a+UUJwrnhEzyL8RHCHCMk5csX
ZW3Tb58LeRQigQhi4vti57cVPPDXhPgiwu2nT91d38M+vvz78NkHQsOl85cvPtaDdXt1paC5X1/u
7Cdz+/KF6evo64Wo3ku8gzthi788VPSfPoBNH9xyzxaHGnrq0p9McXLb2Vt3W4B8/5glwiOBUUjC
kKAvP/ihQfgR5kJhRqn68kO/L/3VLn9JosfNcu/RA6uc/O9/lVXiuzIz39Xyf+4bRB7xENSNOH/U
IuIIYxYKyfBXi/DvS3+1yJPSPG6Nb48dWCI+/VdZ4uwWAuJtn7nun/QQdRQygiRl6lF7gIcgqSgJ
v5pDsYf2+IsyPW6VBw8f2OZs+6+yzfa2m2/tP2gXoo6wkliFoPD7KYQf0RCREIXyq7kO/OMvyPG4
LX5/8MAO26t/lR2ubvPb3mW39vsx/QciFj9iMmSc4285hDy0CD2S4ByIq28R68BD/pJEj9vk3qMH
Vrk6/ldZ5fquvLXpP+ofWByBB3Cm8AHGUkcIKbAI+xax4PJXNPENav0VUR43x71dHJjjevOvMscb
5wCZX3a3n+767Lt6/hFHUYQyjgH5fvl5CLYkOgInoozIx8HWX5bqcescPH5goTeX/yoLvb3r3Qt9
Bz5T/oP2gUjFGBJUAcy9l1OkOFICK2Asj+f4vyjM42Z58PCBUd7q/6eN8jh1uk9NHtzxN0kiIUd7
XwBmEj6whlBHlFMaEvINkB1k+G8M7sdiPG6Hb489kPj/Mh38MVX8nTzHwPdWX1j3Pbb486tftgfV
gINHf0YZv+pq9wmYOWUS9Pk7m9+/5EF6+B0G/emZO8AVv74U4ogpgZAQDIc8BPO9fDGBs8KV8Cjk
FEgNhiUUDhGsY+vOZb++pOhIKsK54kIIGlIBEKGvh/0lIo44kCGlMMFI7a98399lXc5pbX9Xxrff
X9ihuqyNdf2vL5lQL180X+/b706EGBNFsWKwCqB2QQGqNB9vr6CkArfj/1VgkpGiyOwmHwN5IZCY
xLpabLW2S56/S7kb3jPZlDvLy6nQqk2IZj6kK1S047YbidrlTedeqxDeEY8iVzf1IOk7Mllxviwo
fGNY0p9NBNHdXNH8t9oE9HzoUr+z8PeWV0ygSCJl5qjFLvxU+IUMum8Hd85LRK5DkZtWm6Cyn+e5
IWed5OU1KfEUS4XIsc0ovuxbWsTDPNrYZbzapY1MNW+S/KaSrD/uApncoCbLz/K8WpvZIS0DNUa2
atXKjEbqPHco5iJLNSskiWhO8a4uZRKxlLWNtrxOz5WhdmN6U8ehL8qYtkOxotJXr43rhB597s4H
LFWsEhnLjDV6NhydhmHYnNEsC459icI1q7LxPCRjuB5FUbweHXJntUuXVS64PW9J2O/Ssscr0bfj
VWkztxudQjos0aCLgZ0nQ1ee89aPm9YP6j3uQhotgR2PU0HCVUDa4qIsabdlxYIi1zWzLge33Koq
LDU1ebOuy3qISdbN2i2iXCWdY8cdsIc3SdF8ttY1LIbaUGsiXxXTe+R8euPGdHo3Z0l/rZIhucNL
uAgdyqUZtWlxZaMZEWF2HA1VvzY0Q+8rQFpGh1VuGi0X4T/kczuF6yIJzaWVY3JqZOVPVJD5VddM
co7DZZEmrgel4rkr5zCCMxLIKAjLttbNsNhTOQ7VZzx7tk1GAN0a1Zhtu762p7QKg1XiWfu6nMEu
YVuhqDfi8+xz+2rJXH0ceE7PijJN4yqw7q3PebrqpRreijE3NzUK0rhvgyvC8+YkHyfyOfCG6Qrl
xOt8aIda5+nsXxGSf8oy+YExkZw13dKB0UVyQkrK4mGyLNUurzGOEkeHQgvRsLNxHPKrrJY4Nks/
H/t2ERdVozZ1ULzxmcWZnkQ6no4tsbddPyzbmYTTNjUyO+3mptixvFyR1CfbOuhVqulC+atJyfpi
ctO8njn3x22asfcZ7bhcFcsYvBOGmZu0KYudLabpQ6U4up2S0essq2hc91KeTLTtY6OmuODslfG4
vaKjryI1lONtTtv2hnmabbp6oO+bsUl3yzDSWc80EVjXxtCzsKImi+HW5jztmeI6pGF6QrN6jBbR
NRfMm/7SyKZ5myjGe51VaNiSlgR5hKqmWOdJqZMRzXmUVCG+SoMKp1EB0eECsKLfOp/VIC+qeqJH
gqcbXhlxPNT1HIslqM8S4VrNXU4uzCL7s8YOeOWgBHLcj6LDWoqcmYg3DT8rstSMq6R0+C4pOnwn
+ezuBs7aM4KF7+KpahccMTKWq9Hapo1t33c+mjia3pgus+0Gc4nKyLKhELGasYqrOeetTmjOTlqq
2iwe7MjOiBXDqi4pWg9JC3GwFg6xuAmtlJHNs2blqBjNehGBPHcSt4vuIBS/FyFZjE48n21csK5a
9LykQRKP5cSc7gyX4J3LlJ064+t3NMzSKprzdHjlg9F+6quF+yixKfkQdswzbZs+e+9rSUMNATGY
tbC5GAtdkkG8n23oJp0FVL7BiLDzosXTuxaRxR4b5SnXU1DPu2BCzG5cJSmOBmWC39Lak1o71oh3
Q8YquVKl7C5RM8gzWs/7oD0lMwRGb0sTBc769UDGedhIgjzSlqjgPc98SXRR+8DrGffen3EuKrQ1
hjRdRFHQnk9l3mYr7x31q5TgeYn6YMq7zWxlUeiJsPq14aN1epJLHeg56frfULeoXA8D59mJGRlx
r5sMBSeiW6r1UDWuW4khS2edt9X8GqVFk0chKYb3pks5iyoz2VxPwxSaVdHPWVQMAXca9SwpdFLi
XKeUslGTssDHc17yHcau6XVPjf/cBdy+HaBXsallP5cRCdmU6sK35ZUpRPJ2mFR/VqrwczsH3S0z
6ir0HtV6YWkotC9rvh5QpY4HNvgPsxxdqcNh5B/CAfUySqti3iGeikQbUfJNikdxlRRykZdpkQRW
z2GFW12IblqrXMEGOpG5TVEqF2ouZj5FJQTfN0FO/UmfzOkNCo1t9VCGfdwAE5v0xLvpDkvIKlRN
3kXcZGiVZRM7C4qxF9qFuO+0qwa2C4IS/L4DR3jXsJJfz44XJ1MlSKArbOEA1llYz5slScZNglP8
ZuiH7KyoGE7jIkC5WVlu83dMjCCzKGV1zMM+tPGymMToPlP9cV2W7VvJ8yrcGZHPTZSIamIRkJKy
jzrU09PCguECWmKrA9SDgGxMy09tMJaZ9m2+nNtgBI9xCS7f5rYcTiCG4luE3fx2gpbLrrThPOtE
LDnEXkvDaIJXpxoO9/BewfOv+pEmSmeFmjaCseB9W0KGIrNEbyrrIOmNnm0SY9VNuvjgDWpU+Sqk
Pu3jybMxzhytzmhpk07XCWgWgq67yJMQj1rlmbsZx3B28WJo/SEo6manCA5z8NGGvmYmk6OGqBj8
Zls3L1py1CHtlQ3CiCQSoIIaXHlrsmZpNsE45t0qd7MqdG7qrt3kpELvXNUNr2uL7J3IQlm9xVOC
Qt3Nk7jKaZ6lazHNoMkxXwbtirq4VBleMlAXJ30Upmw6SVxFtczz7NXkMjPpXk5J3E0mxvlS/ga2
8nm0eNncTL2DLDA6yO8hXq6KLgsaXdC66nTaYnCQorH1q0AUJNWkDdBNkxd0iJYhFKdjtvBK+0SI
dOtMp4ZTkZJuXhUDT12cZMxdoLaA1SdBehORIkveJdyXu0r5MdOmBK2mQdrcDL3nr9xkVFw2Buye
d7a/xGW1nC0eQURFMuyvBlw2V5NMFOwZIbLmHZbg8ampdiab+WmuEG2jEDIcnAw2i22QD3iNazw0
ER0Ls8oX5ADR4izTfd7lFxyzBOtUWnK7YFHfBK2qK415j85550EjqizaU4Q8aKgJG7PFPpW3hSnp
R0IEiJWq3N0o7CfQbzZnsQhF+lECnt3yclA3Bpl6ky1tAMHPkfNioflZObPExwErl00+5WwLmbYp
NhXHldFVjmaxqfNenSbKyxMfOqqihQiXx8Zk/YepLLJaQ7OVfi4bVd0lQ06PWRKkvy2OzHOU9os6
JZ6eZ5Ki3byUkOa/MKFvNO0B3/hYN3Nn0uxbg/X3X//7uq7gz5cu4B8f7vuzf/x29r2x+9O7Nnf1
viDXH960l+b3d/3Rb9wTtd+bjwfU72sr+Dtv+jsX/xpppEjuG7Y/Jo2vTVGY6nuhZs/Evj3ylTNK
eaQIEECoISMWcrmnf185I1xBGHHodmOBv3z+jTFClwwT+EBRGWLGiICKzR+MEQm179gIgPLAJuXf
oYz4IWPkAN6BszICvQYOlDFkULO7zxgTgPh2soRswxF4zdJNRZTW5ixMSHMs/CR01i5NHGZ9vZqa
1L8xU5EeW2yVbpHLYqx6qisyyo951uM4cY24stXgd3XQuLNK+OzrIfzaeH6E40L59h7D/bO8oJj7
8rJg5s7IGW+VKaftHOJKN0BHNbdJjBrUQJxS6ExVKIGa7e8mfWRhGj6lKqD+95dueFg1XUPnrUl7
oxfv8vOiaOV6aX29yoegjhdVBnrAXaULwi782HnNW1XFSqg0yhvWbefFMl0HU6Vr1QotuuyCKDLs
SAPa49RflDRJzxI3zJERda2LzqJtv5irZsxXXWneFDlilXZt0HS6KeX4rjDBvMTAydrLOqsg5kCi
fz1SlJ4WvZC6KL1ZlQ2pjiuF6jMGOPCss8v0PhsmF+OgqU8NLslqrpZ23TVuhezHecwQZNl0E7g8
0FZlY5xOGL0Jp9rvxGinTUlLCVA3NetcDB/zTvVOq5oM7yCCo01mg3y91FYA12oB0GSs3tQkf8N4
cjHM06sWigy7foqnMngX9laduDKvAJept/1Cgg1TzUk3hyieM05O8yU9qyqIkE0qaCznvNNsMBs6
NaUepbh11bjE48SsJio/pmMSaMCsFx5lbN23hVsNKKFRkFF33Izer4H2kjgpzXmdLHTtO7Tt0vq6
DP1xssxJnHZNPDZIkyCN6rw95jhhgB5Ru86L0MdNuufFCxkhVMtwRaam1dbPBVAJVK9gY5BeTON2
rOPow5R26YqnkIQ1A/SyzSrzahoUPQavgSLIcJLMqgX2TcZ1k/lrPwbjK195F/sqRLrhwzoNp2aL
suAaWz+tAOwq4Bpgk6yusws1pHQ1UlqeqixcsSLHwIR5spOWo40zWbKDeoWMJKmzVVvzJsoNYGU1
NCYePV2uA98et0W6CupxjMas2i20ozFMA5Qr4+A0e0aD9dQEtR6kmjQthvlkSjMUeePMBo3Vb6Gw
165wUacI27St1CqT19CeiXs+AGIoQZdsCpnmxbjl1E1R0VIRWUFoVBKpcTk08aQSPYyKbRlYU1dh
suHsxtq+iDo6Sw3FF6jPlEMeBwlUEZIyj71tO90KmW/acrrCFqGTIA3B1SY/xb6cBl03TpzMdVO8
huJPEM9CbPwUvi5q5uNC+iCq5gxBDSY/59ITPWeCxA4KdpHLkY/ngGyCqdswEgSrkKdXA/FSs0qd
pKzYtZW8MnIwup39tfPmhDUmci47HwExbWu2xJMYV76/Wcr2QrS4jwQarrKskW+gomPWWKiVRQNA
CZJEPO3OuoLEc2Wv+6BbEa/WbVZ9RNiu3GKKGOD6GLWkz6Kehudq5tkGL1CrydtXZlLHQYcvvEiP
88SSs4q3AdHJPIt1mnBb65rW/W9QeGSgd4te+35e96QkV0GP0nViJqB0avQfR6hKaGQ7gHOAH9Rt
Vhr4Hba180vPwFQqnKNpGKhO2qZcA+1OozIbysi31G67xtgdKYBBNEOfxl1VsFcyIYkux2I5y1E7
bMsgzY4pxMW4CAGDA1WMIPpNJzOahutOSQgWLgw0TQO0mTLcb8tSmFlD0RGdArVHO9UO3VWbVMPl
NNBma2oidDLlcGNeZ9G40CxyZYdOeZtcNPN83BE6rxgvrmebu+MCijhwBMObYV4yKFKJIoLSK9Ag
YnsoszXdOWnlECGZZLELy0KTbsp1XiyLVn1vdqnwpc6DDm2C1JiVQGMCwa5n7yobHItkgXiXh1G1
yHxrJ5nHRPBl201i0QGuP4vUbhFMjm0YpyQKxqLY9sq8p0EXrkKTvBJQioxwlgRr3/tJF2M2rqYg
x7uqye350rGrn+cxABuHCVRKRhgWFAsAEehhFsNBmOGg6PG2VvWr2lR8W+WLHkzGTn6+EN6/6Y9i
9JdU/WClA2hROG8zRFK6HdMBwG6ioNzYjxrqwHVkC/4bJ1Zqz0Ks1T7yNmKq45+L8KXefSgCIPmQ
MkwoUmKPJu7Vw2Vtp9z2C95CtBJNBJNiQUSHvtWyFCIOOhHEUPYsXrulcdvCQvEi2UeSbFToBOVJ
e6ImBzSwr99xk3eviilTcZF1EOVTbO05E0uyLTAycT6W6dYkzm6J9/2qW2YIghYddy2SW9Gkny0X
gQ4czOVVXfUK5AhWKTDBn+/3Mdve3+4ewdzbbh6WJakLhrcB65MrqH7RaJ5lH1cyWKKfLwXdjD8Z
lwsUYhhoDEPJ99fvLYWnIKlc4fHWDOKzE2WrZxZ+oHKycceadz9fjO6Pyp/seG81gOP3VwtMUo2+
zsmWmfFyGRh9S6ts2OVT+gmbro1aXrjLISuzY+nIsnWBpzEpGgYEPHVnKh+2OVgy7sENS6i4r/N+
cMdDAsEt9UMFBAtMWLAJAfnPWUzm2l6iPLO6KaCCWHoMb6tzKHDQ4NTvQUm7hych4JSf73O/jYNt
AuLHnAkiJWz3sH1TQbEygDyy5S2DIipPUFRRUgB048GlGQNS6qEtiydM+ZijPlj2AFMTV0Nwqye6
DUIGrtGxT6LAkJk7qJ6ZDgXHdvbnSdB3l+Ue5YjJFU846qMiQFBSXEJbBaY3Dhy1RNj3TWXwlpqy
i3pIiYb1Z1LxBErwLNBlwy+YRIA3Kf8AUb9d/1zzjxxndX/9A8/Z1/hqbNNw68rhA+2NP3c2ocdV
y+FgBykMEv6MS+yZwqGdodbMwMaYMPj34XHOJhN0rpZoy2ifn+KpmLTpE7f6+SqPRAPQ5x+rHOyp
p4iOJavDbeU81hNsUPc2XLmKN0+Y77GV9ltBBAYMGHQ6H+4HN2qwy8LRdkmgHDJJ/Lbkagd55okd
PXpM7i90EAeAfwwuKbsQskkj7swEhTkiwo0aJJRX54G+LlLHoTazh8ftHiiTxjVnP1frI5Q5hAYw
ARdFBAa/8EFeSzI/tcIkdDuIvNkuUzdeNyTEO2M83TbUv6kbVcTpmAptxhngW5q1kWhLpEUV3AbC
FKumDiBiArqwJ0VaveUdLS+xITd5x+snCDP982ELEbSEFZR99hKzg2MQ4LFIqqUD0dLhxM6s1jhD
ZlMvJYp4sJx5xf2qGdB26DOv0wn6fEBCg7XxBcB3ZqGdUkE47UYLPV+brKAvFkNFHohOgGcNJOJz
00zpDrUVQDganmAxQou3EkDPZsmjJjBu1Sw1YKsmafVY3hGDsJ6ntooQH8PTvu+/Qpz/X6j6OqP1
YIbjftUJY4jcv8ehP802PJgc+TINsb//a41KiaMQilCUMRpCw0ZxOCVfa1QcSlEKprEhkCgEjZ59
bv4+18COGBwtjgQgLJhU3V/6VqXiR4Ij+FAK8D/MlSJ/p0r18AgHUECH6imj6ACr9olP6sIovs1w
rNhFP8JY5O/7v/wace8PTDz+XnDih/FKETPyvvRi5RhgBr0s8/w2I9x//ZbED2tVP3r9QXjPRVDM
k7dilXVt111NfEHpdeqX+vPPxX+YtL6rhaiDKKiqpZBDkfAV0O5+edVgKO3oDLqYWKMQVQRauK1L
1j9f7EebOYjtPUccYJblQGmphLYCoikg4pnLDz9//0Ps88dm9rnlHpAUqkVNDsR2NeAmPMN4CqvX
E8oRP50ldCA3gVh4p6u5bZ4gQj/a0P7zews2EjWj2C84lkr44zobkiEKoc9lnshW+1P0R5b/Y0cH
cEqaZUJuoGw1QQVuOubQbCdRU/QkO2VFlpMzPBRDEbV9a2ehURnido1sNnbbn2v0IFv+IcABjGxE
1Resn9lqSNOxhQKQ3AAZ/NwUtIWpnzadxkoPswhO6ynFxWogdS2hF5dKUv0toPOHBAcpskznCqDH
BCqQBHp/HdBgNpkn9vcjAx5EhRo8FeZMHFvNcy/eoXquYQBhyC9+rr0fvF0exIZSQpWspx1bFdSY
OwTc79QGphii573+IDZA6Zc1bcbYqnRivMFTG0IPbRHPizzyIDJ05ZQ3DWnZCiD9sqwQjBZ0MW/q
WjxT/INoQHyK5VzmEA3qcMij/dQKzCe04Erx8/RzEA5IPge27ptgY+tZ8MvewPdhbirngs/Pe/+B
9/fQJkfQ5pWbpcbVak7DoNPeFH33hIL2cj7i/PLA+VVdhOVA5gRa0xJmF6YON+OqnGZs4tZkoXrm
MgcuTsM6kVCaFRvnBuK2MNRm0WqxuAQoZ9zkn+dq8sCP23psE+oruWlIsVwX3ZxdWMHV9c9t8SNd
HTjyVHiJYURFbQgMaa3KvhP0NA3nun1bMFn4J1T1A4f+MjN5L95nMm0KKRq56coQZmKqBV2oFHel
/vkmfvT6Q4dODIzMFQvfDKKFGTOU+/A9X+rmiWTyo9cfePQwilpI+DLdZizBAq5Mq1U4BKJ5pvQH
/jxA8XEu51xuwn7fJS9nqI7rHs1meeYCB/5cqIC1yoP2Fa5au2sws9Oqy8UyXT5P/3vF3TOvIDPt
MUwFblSfmRsh+/7Sm7T91vz+IZbbK+IRf943Yu+/vlLQWsqHVGyqsm+TK1FV7XBD20WhYxdkSryC
IV7Kd8/by4FXi7mDWWH49vCmoaEzW7dQv59jqSb0PH8WB/7szdxyRzqxKfq0CXf9vnMLY5Fh91Ru
3p/6x9R14NJzmqeomuA8tcncdHGeUiEuq2AZ+XHqkqpY+ZTM9l0JM2kfBptO9gnN/Qjz7PnLfTuV
Pk1EvUwQd0tZNsdZ0CcCkH2hANZJN+Wh09blyxiZjDfVGgaTUxHzcKL16xE5PjxPwfwgGswJD4Qs
gmRTiWCIqZnERoqSPuFMX0oMj6iXH0QDNkLDqYUO94aipatXC05Gt2LJspTbBqbL54u0r+rPTRBO
1TZcpGXnnlJiz4iQMn8noSvNnhDlB3HpsOQjbc6aejLhphFJTyO+qLvGQ2HkeUGbH4SNsqMcBoRz
semCZtqkDsPMc0pl+ulZjsYPgga0ojjMR6XhJm28hJH4qTnvUVA9L2bzg5jR0tTmQSDUhpXAZCKY
JIdh0MF0c//EKfuBl/GDONGbdmbEd3Lj5ikhOxl2HfrNNxg8LiMZzCZaMzTQzVt4k35sqqUnzzTL
Qfygky3hEHV8wyV043QDnclKz0MYPDNd8IP4AePoRTvwTqyGluEVn8c0XngdxM8y+2EpjCcK2bz1
y6YfUrdZrMg175r8iRj0A5c4rOrCfwiRQd+hheEuYqqIOJzHyVyT5x2q/UTS/QAHrAdGz029bAjw
Ro0y/BbK1U+h1h+JfgADMG9s6Mt02aRidmfDbBFggTbD+fPODTtw5ywfXEO7edlA10jtyOiLOIHR
p83zzHrgzbQZWeMKeLtLyH4aVMBkb4XNM2U/8GaYEFzkKMCsMMcHk8V0GKGZLMLnxVF24Mo5gtbL
lPTLpsWmXPfKptHIwmX9c83s9ftIvjic7rIJy5YFB9NmCtgd0M5iXIcOhjo3bhL8mTs4cFk6wkRQ
XiTThoLjXilX5ysc1sXz6PiXoax78M5ZgELTwqdNDeN1O6nYEOezfWa4CQ/SNXZVmcglHzZpX4Yn
pqzEWePLZ4p+4LGQqJOiwNRt2jpPcNQxmM8VmS+y50Wz8MBpWZL2RbBAmaexxh8XLnWnQ5KUz3Oq
/f9DcD/eQH00GPGQu3U3pFP/msLodXnB4AtbT030/SDm7L9Jd3+BApuxTUfiARIOSwTN2vezmu0T
B/9HLz9wWpYH/8PZly3JiXPrPhERQhICbiEzqdlVdrk93BC2u1sCIQaBmJ5+f9nn7Igufvt3bN32
oFQJLa2lpW/QPEnK+Tw0KszY6Gg2pAAP//ew+tXoh6Blfc1pWSczVj74YkEaApBmLU9+gx9yrO53
GwSj+P9T53QAR28WvlM/RmuUlC5R4XxOFzSN6XX00Xth2KEK12TuS1DegH+qU5W7RLtMCFr7LTuQ
r292jOJR0hFKMDqnfw0Vby6ykp6dLXaIVg0hq6SSGDzdnSmaOLW4eYnVrzZgh1gFFyYuQWmbz9FU
LtkazjQL+3LyS1HsEKtG9bTtGHHndt7bbFHVX67eQ89VP8TpuNup79TizkYrUFJ49CWYR+o5+CFO
SRkB5aeC6RwPpD2Na/UNzLnRc3D6dr8MYwraYOXcuRapykRdAT5hAR3zitN/MCv/ykwxqwEHC1JM
PXXh44jnkecylo3fExU7xOnqOG05Ri72ENSkbG8TEZ2CKUhGvz1DD6FKhzU1rpdzAQJSa7OA9VHR
L3T64bU69BCrYVVS260GmbUcm7u0Brx51PV29hv9EKzOlj2TW+SKKWVfw5q+jJy9+A19jNRxq822
BVNRqQDAQPplo3jK9hv7EKdphWfxsI0n0D9UcgIF77XTZef5QQ9x2moASNPEuQIP7lXe1PFDTAfi
OfNDnOJZeOnHNQnObbP+WW3hJxqZ34CffpFM6SFKk2qRAfL1VmBYwMh3gF1Fto1M+h299JBPZxk5
pbmdCqhfkM98wjkAjPYe+lUa9BCowGNR0pSdK0xn91O3xt9V1Zd+y/4PFOVfZ0yZVAOoptYV0Wa3
3JgeU9e/e3n9xcJfhXT+XYClreBVH5ipgIpB+piMMnxsgrL/5LXXw0OI0olOFiKM2I6qVBkzy+c4
qfw+aXiI0Z13aV0q7QobzSwLk/VLMyTPfvM+xChf+LpUwLoXQT2+crc9Rnz8DYLoVwt+iNBuKUs5
MQmORRkEeVCDO78Tz/7AFdrx768Zhn0PQjUNzoKk78wWf0ksyKx+a3II0UChTrcd1qRR7Usnu0tp
lN9JfgRT8X7Z2IoG/rnboUCx0Hse+WXQfzrF/4qdfosm0fW42wkjH5JuLVpb+j2zkkPurBqw2p3D
pHvzcZ9dXsd/eC00OYRkk9a234GlP3Olv9s1fUl24XdOkUM8umHW67aIqdjGOnzdt4kWtWPjyW/i
h4hkbbm2dZVOxRgASkBbfZOW6We/sQ8RqZtqjKDyGZyjCtVtQMQ3njLPxEYOMYmNPQCZh5SsKrFm
0ciDU5rGs1/gkENQJhAxmHg0B+dBfLDdKUEX229NDhGpACnkg9qmwiUAcyxs7LNwEK9+gx8y5oL3
rm1ry/Ecqv5mafC2P7B68twph3xpnSM6aDB40kTPzPU/Kr5Zr1WBnNXbMxAQtY0MSQr8vWHPEcZe
3ew79iE0w6WKGVtDtI3BNHhwiazvBr4Kr1UJj5AuNfIZ7GCHjRLtIttJ/bGBEoLP5wRe7+2qrKnj
i04R+SvbJqh28FJ0J4oKqPI6WoAWfPsD/QLWFt5qpkLy/luwzJ/w+PDRb+6H8AS7jVjBsC7OyegE
mZ4qYwmNveqI8KqL9u+cadUcox+9YuLr+uw6crfOg1+EhgBAvhm7NsD3x4qNRaLZYwPA4TmJY+q5
4ocIdRISDqmbp4L00C4Imry2yqtICdNjfEZBu0lmxoLSiOaLCW0OfYO/vT7nEVy14UVhTMw0As0g
vshxvavi6IPf0If4XO0EVQ0aQGYkbJas6eLh0praD4YBrvbbr9lFC6hywAoVeELaT+3ePcVs/B3G
4LqZ/7NLH14Vyv69DV1PR61CMA47YG2abHQ2uA8gqfPeb2UO4bkEDKcid/ii8/bniApuHZPvfkMf
wnNC4lG9gHSKBk1y7ftbYozfPjwCqeYy0aJuuC32GWoy8yLpKWjaH37zPgRntfMS7Cg9Fqnqc823
J2iL/absvK7qzz7mITSXAP3guY9tocwcuczGon4cRL9mS03B6vab/yFII92uLdistmgq9rVR/FPQ
61evoY9wKSjbjI2IS4v4n8ebeYQIUzhzv6c6EBDfbnVJVVRZRjFxHn4yM/RveND/4TfzQ4yqdQBd
i6gRxN2KL+eduY1nbdKo37GVfhGn8SFOodgkE5c02JJr8FIZ+loNfnfx8CoR8e8joKmiARdmDA1K
+MtEqnclE17PUGF8iNEm2UozzJstWGlAbE7o9BKC5eGF9AWD4O3EaTyTaK6wE0uyQ1cMIjaMe6LT
wvgQpmYtg2kdlS3aKyWfzPFlWKRfdxgCHG9nPlnuHE+x5Dge7+eN3jfR6hlDh/BMFwnC+iBtEZey
zeJ9u09t5fduhjz/dt7plem8Um2LsJufWTg8WDL5zfuIXrKQ3ynFEgzFKJJPVWhfoIHjdYkLj8il
cuVGyx4qYAIrA+VJuYBAbxK/8/CIRppYPQQ1OOV4twHXylL94oLUrwQ9QpEIwT2rjchQyIoZaA6h
UQFNiUB4LswhPOs6BSoNmooFSzeTJ1BAe99UZPf8oofwnGtobgBrNxR7amkejvwJmdTv9Tw8wpBc
0CZQVOiwXbqUE42zdtOjypJ01r9JptdF+EkyFYcYBRaYpBJ6D4WUaoFyBJpnRVnywe8dITzCjTbt
XGJN2RdJMOohn5fe/O3SePG8NB4BR6GhhC9p0BdWbaBhS1FnWKHo4pXwjoCjOF7XhMykL1wjKMh0
ALEz3H4zv9EP6XRqgMAbWdsXI5Stpizcqf6mt7WVnuMfsulaWejWrVibTtVdVk3m49qEfjnviDcC
C34xQeyw7m3S32wjGS9L06kbv5U5hOzMIKHZN0tf1GW0fyJdKW/gaNJrz4U5xCzDORnRDZ81bcth
vMRQ4OVZVHagIvvNnx4ySD3qroUaKO4b43JrbfJRDY1fbz48Qo5ibSgwxrYvYj59gFLSy6KnD37z
PqRVWW5Q+mvkUMRt+rXtljBTnP8OW/uLo+YINIKuZJwEkJosmK2Tr5DrWm+cNrPfljkCjSYSrNvO
oIOESE0zAehLFmxBfPZaGH4IVQthyqkH1buIoNYJraH+Tre/QzH9IwzykzP4CDMaqhXwOogIFbPQ
soQScFvjsIlBD4a4ZSr1jem35QP0gptbBoEEUUxKDdErKG7x8AyfhtF+SGPIjGi8S3Y3tW65gHRk
hWa8XIcE+pU7rwf7cYGkLERYtqHV3zpoLA+5QGFJT2GEXvs57t3qTk2ILlku8Eq93rohgAIQhcIY
vy27etly6HDE0ecAyN7tErJ6jE8sXjHm0lTTfpFDqkaw7ejuLobSdT+Ns2Ht1zXmvHyeuAjq72MY
DUOR7DSdC7vi7z310x6dazJHkH6NaahzscXS3ciwk+mDSKBkmZNhpx+g/7ZA31bY274a7V6QLk22
y2KamZ9mC1XG8xwv0DaOGjXzXDa96VDPpumWJ7Zi0D3qKhveL21Zp7cNg3R2sWO1lzxier7d98A8
2XYm/MTJPO9ZXdpy/wBd0y72q0KOaC+zcie0Yx3El1SHrg+Y85KlfufNEenFeLmhkGz6Anref5Vc
fyjjynPeh7NyxksM9Ggx78iVxZg2d2UU+jUH+eGUjGYgU0J0kArwh9esDKDSmTbh7+j5vzpuDpWN
JZIJjUe7QtK6zlY9/C1q++p3HBzOyRr01hnaSV3hNtc/gQ1W3XRsMn5H2RHjpURFXEvFWEir+QNH
/Qrkv5u+eM39iPGyRs7z3M9doRPp/rDJsKOZ3yaT31Y8oryGtppAE0m7IkVTOYto/aB26cc0C48g
L4IQjnjSdwWkx0pz6shSF+tAKs9bzhHmFbZVuAcMO1JIE61nOrZuz+Ig0sPJb/Gvm/VfT6aTgf5z
AJX1Ag9Vfy89v4uC0Y/REbJDpPYOOhnDFkOgkECuLptGqGpBFbimf/vN/RCuczTsbHa0L5oh3ZMs
7gaGN/aEQonM7wcOEbv0bROSVaJAgHll5uKlPldV5VkgHPFeEL8qoXSIFI43GguRvvCqnLGQwmvu
R7DXQkCVjqq2A6u2ae4Eu+ori8EKP3w/pEvfbpyxbiFm3XU4hlsX36mWka+4025+rWB6KG/iFcru
ZkS9ilbWelvy0hUxmWK/TU8P9xAKccG0umanujIyH5dBZm4yxm/X0ENjL7Th6lbck4tga9lfCmjz
v3bjjB/yM6SHiI0ogyJ9rXuoy8VzcKvTNswJRHj+j2Ju/8vkh4ra2y8LbmtZiiZpi70JmX3tdTV3
kPRuKfShxi54BeHsKQhSyDKiitNpLuE8IC4qiKLO8+sfAhukYLhR1Kg/l21Q8JEwtYQehGohRegX
HIfAFoTtuLNcT6ZyCst7U0nwzrYB1iK53w8c8vFOnAW9lrYFY2Gls3WpFw59QT57FlhHmJgYd2Oh
4dsWm6OALe/uE9D7P7wmf0SJNZPZphSuHUUPXe58lezvfYp8J36IbAnHhnHUsSlQ214aKJ1ROvq1
AI4YMRMERC5QECkmPo+5DjieGpb9vd+iHKJ6Uo2V4TK3BTxckrNT0Ec3UeWZKsNDUC8xrHxbfNGi
smvw3dQL+2HhoOB3WTwCxcaatx1vQ1Og1nqK5/2+GeRXv2U5hKpc8c4obNcW40rVXdjYJIMt8eKX
xI5QsUWLKpk1MwXTSSezOkmGOxW7VvmF6REwxtO1Y6Ilpoijts6HNLnRHApXXktzhIzZvpWyTKu2
SLlaHkZreA5p9/nlv49+3Xc/uaMfcWPpord5CZHfm53DyGUio0zPENXrurPAra71q7GOGLJkE2Ui
mOwK4tjUQ5t3qq+hRdLfCXded/jP/o5DLjZBBa+ktMLejOgHN5H3Miz9tj05hCyULKaEQOoZlN8o
OlUWrfzdwYLiv3+AX038ELItNmMAwVN1DmNbvp+3oP/QqsiPzRQeYWRN1YaO0LG5nsHJS29YBH3n
KDn5zf0QtT26C6Q0bYPHcHQluiF5CbisPBfmkFzdNrWb26oGCAFIOOUgHw5f9ibtZs/xD7kVgjRl
CXuYptht/B29I2jOq08+6wKPtrelD58JXqvBEARptSvh8DG6+S/YLflJb8Cz9O3wFa5vrSqvy94n
JRqOY3JrROS8tjukb9+ODrl1t+4Wky+lQtsppHDvgqeN11FJjpCyVOzxFo3ov4XLFG6ntgIeIa/b
tp69mi/kCClL5qXsUdk2RajEdkokIc8d+Hzv/b7sIVo3UaHDtQzBSYZy7e5qmDQ8UdpH7jez/+dG
/p/nGIz93q4+HNDpKoTD1hEuMu+GMGzdTaXnwV5wEXP0EqVcjKchatbuIdhwK3joY3gbfaEh4xcn
6H4b82CLoIxcOqgrbIHW70wbrTQ3w7BV+S5VuX/vyq1yl7ZHzs1dVK8/4J/G7+ceotdbpeYLK92C
IaCBoTJiKr6/Ql17q1/0VafitYWr13jChY3v+Ld2yRUB8vMJGvbBfsJ/PVaPjJbd7FVIkiMgDrhG
OKOBkHyWZVg/zamGXUlF4dfi900PBw1c2CB1SmZd0JX8Jejwkoby2W/owxmDu+ZmArHogu3A2TaU
31LIf/9m3tfU9pOtcoTEORcYuY+rLoYeWh23dtybBe5kQD2cFtwQ5C1sJRvl1V2DHujbfRkOsHDj
c6SLoA/Emeuluex9Iz96rdMRJKe20uGOyHQxd1xBr3//BF+3363TNU//bJ0OpUFIZOW0dbqAvU71
Aahq/i5Rcv221mHwm87mr37i+s//1f4iZQoLo37Q53FlWkALeoB5YjZbNNtvqwWMtt8Acn/1yQ/H
D+AJEgZhjTzLatL64qKrPG8dwHYBIvI0B6Lbr6sEz5i3f5FU6J2UtsGitVA+11x8wkHkmcAS+nbw
AIIjaAS0uoAbzNeJLZeJhb85oH/1JQ7BHLOrQxo4uCcth3i6TZsxunRJind/IeeGeKELSHKI6whj
i6qCBnx5FRIE111+himLH7UVnj1vl2eEt0dVbbYu4jiaLsBcwzFFhX6XFXIE0s0VWpHMhaqoeMIv
/bwZWKhWXvc4mN2+nToRfQgLhqY8hXN1B/uUjHfCb82PGLqNkWbsJgy97/xcpsPFVNTrfghR2rez
3qC6Vo2pLk+w1riPo+B+EH5dPHLE0AFWiEUSFUwK6mW4q8dxKoKIffA6No8QujKK1byxAJs9lOO5
7y3PtrThF7/RD1FKUm3LiARVEVdjfw/U66dBbn7isOSIoZMilsFMYcfTbLS5uBT+BwQC9a9+Uz/E
Z7CteE8xtiqquh5OvUoegtiOZ6/BjzC69epMMrIuPU2GV+uF0uVjb7X2ayqSI5ROdek0NLxNT+08
POmmK2rb+SXxI5RuU+sqjUQh1UywoWldS/K9+Z1NyDUH/STNHpF0M9D5Oxh+CKJxhsdlavNeQFHY
b80PEbpDpGecp74Ca8lseSv7Du6rtk39AGnkKOuVwoSJxzpKQbTqdgqTj9LedytM+3K/+R/SqYPJ
WBvDKfZklh1vti9AAfxmZf7p7f1s3Q9hysUOKkYrYe+zBWy+J5WJQDCSEA59hVJSV1RRurMsHmYT
nQW6a0s+TDqaIcfZi+0yuJQM570PJf1m4gj2VGXCqtirA0+OKLw1GELobkzX65Kd5G0FoXl3VqMe
25Pfuh4Cva2qCcYQKj6tVgkcUFvt2lxFImQ/vH7giMOzk3b7XPbu7Dr495qEL6c+5V6d5v9wc0DJ
FsH807hzeNX9WqIBTG0YZPrN/JCK+3jmcIbA4LODdnMz8iHrGuqH8SPRoajmyoEN71p3pnUIo0wN
p1x0JL77Tf0Q7Z2GHQFhsLWYqTJwaQ9A4Fo58ctr0aGIlsCaEh6w6dwBWZN12sqnJmbTH35zP0Q6
bNd6FophOgcpXj243uW52iLPhTnEemWXsMND7HSGRiV9bs2qvwuyx35l0BGAt0dqGSY3j+e2FU0O
5WoowvDST/WERIdQhS0xjMuTaDxX8Ny+ROUEffFA+72xkyMIjy2U7Y2exjNbjALianoFvXrNvL7p
EYPnlgGSWfE2nrc43DNNtM1j7VmrHCF4EWxvAzZg1XcDuZZl2v4mVvlxCckRghfsvRnKhrmzBHvm
lC5K5TiP/R7vyRH7tYMGUVYzCqu4p99Hwz4YRf3o1XCKeluTK4OWctdzd67+MULuaXkuS8Do/vsX
vZ4kP0ma/BClTagHqjuWXETZRPOzcqYyl03AePDCbY8s+N9/5hc10REJVsJOmoc1/oiIJsFppvBm
alfnhwSDo9bbJepVGU+TwOhSttUJztmAf3Tbn35TP4SrrnEcAM9oz/3aw1LUDPVpNKVf4jsiwdKe
k8lEkT3P2s0XoxKaQcB498t8RyTYZpgQ8KO150ntzSUc9cc9rCO/T3rEge3K8L1Dr+fcJyrOTQNH
bEBS/WD/5AgEa+MtnuKk7M+BCWxe732bsR6m3V7f9AgDKzlvbFiLHi6dg8r3yDR5Apn8k9/oh4h1
4YaWs5XJpa7b/XUn/fpHTdrf6db/IpSOKLCSLUvoAFY+RzYEH+VacPQwqPQ74f+xA/xXAw8ON2hX
b2l64QFa53Pwo2vaV79lOUSpho1mCf+MGC6NrIS10Q504qTW8bPf8Ic4DRt4de7EppeoNy0AuPUq
1IMImzbxi9UjAqwfE4cqvk8v6RhmdUrvGuJZiR3BXxDigtc9xdCGI/1d8RCtHyCRHJFfMIOoShUP
6WW/Sh/pJeQ5V8nit12OyK+aNGrat46foMJ109r+mQg/NUG4br091FE3oUwyhp8E4A91Gzzwtnrx
2ir/AfmCjJCyrOUnKpwJC9434F2rxbiPfuMfkmrbh0PduC6+8C6EfffOR353per9Tk/wenP5SdI+
6n1Vge55spTiYvpgvJnKeTZPY0ykPIOnGpe30uyLepz28veX6//nGPWzHz2Eb7zRsp3rocG1dV3a
NQ+bqqH9WWtEXXNR5aqbbOgM7Gqylg3I7Wu92Ta+7WA8qMwFF+tam6zZ9bzdqnILym+MLYDdtQSQ
Vp2xetsXmPgR2w8PWoRJ/ziP5RKK2zXg8aAzuzcyqDLC0orJzE5xj0KoE/h0WZQOnfzWW2VcmHEd
V+aW7Rpyz6cNF/pYwtt7XmyuN1avHyAht8xVFmlY/EDme6vWsc3C1AWCZ+kGaXh9E/ZaQPreoGc5
wWa8so3DBMe4az/CBhwXmTquk79Nb/CPrRv4fBKA+7LMYYV0Ps8LrYp9cytclzRhY/utQ9M2dtlq
QxIuWQRLTfWlrbhOfxjpYPQDIufewfMcal/19vkK0rvpd7OtWQvRqDFflmoM9Qnurnt53vFkQ2G6
W65jXibYaWk+i2WLzInOe0Tuw2QW6aWK3G7ACxu67QYuAW0ei34WMBN2VXIiFVtYrmIxoApLTHJK
DARws3WQYmiB34QlsDxNKe77cY4OySo7zGxobZwlVMTgjcxVUfIYZSPOEmHcHb5Wp6rMJqjssjQM
GnNypqVfBzglnpZtX+Mfrto3dultF2lY8tJE/KEGGsdPbCoZe9hLlTh5anZwVPglXVwIRYRdxK55
BEMjwffqq6rH5CTZU+kuBKrGqMYM6XZ9s8H1ffk+JKbq4Dg+oxl8G4OBlL6GawzH5rxpOZzEZBJc
ZSAb17RLABYLzKUlFHRiNztYt4NN0t3SCI00eit0m6hMC51ehFZt3ol1MRbdlC0Y52tlOY/3xI36
vFicUU+ik65+XVcqYcZrHTzcYbEZjWveScUpVGLV1pxwr1HJl2RibXefrjsufioibrXZ0k9o5mdp
AkdTVFDTxBjL04ix+iXUiRUXCKzo9b6lS4iuNpmgrbbjmXmaYb+syDaKCUhOAZE10rjvtAnAmbFz
zPsPcWTC5KTKMaq/4+6TNAgaw7v5NNZRNz5pR6R4BTxrMJd6i0ETSjvSRXd7FFD9EKpF739WbdM5
MGZs0PGnAUGrzm2vNnrbm7AePqnAwC0Rx5uWIoIzI9xcn8g06fA7r8sy2bJSpkYWyzLP0R2xFe8+
14vYoqsbNwEbXS4sTCHtHInmRzktUstMDzr5HjEx9J/ALt9Vjtcl5C7wPLrtEai+McH/3AX8R1fb
eb81FF7Vr3qHw2TeK0TSj5pjm99ITfenKYVHN4Exdf0usS4WZ5JUvXo/aLXuzwsIHjDcbih0A5LT
VYlY3I7L1LZ/a7zcqPtaDGwruq5uymKgaWjv3ZDGNK854/RLIihP/4TraPkECnlwdebef4DaYrJ6
ieRJQiAoOK3Vnix38JCY9xuIB7HPTVrx9NQ3YDq+xJtq2qdQllV4u3SV287BoOr1Jt0sEUUsVk0+
EVHq8r0aUtnn/TYF0ESsSTqCRGMEjPxmWIvbx5HsE7llveibjzDuKLt3LkpjdSFKd/FpWusZZ+cS
JVZdgJ8O7eOQzuJHA02ANi/RMlzeqZVYHCWqW5eziLrJyhPBa9V8r2sIHF9K6XrQa4J4lq8qGVMO
W+2+F9lUBlZ8Vyqt+1zCbH6qs6QNSwKjI87W27Ex43SaFkqC0zS2NMzaZl/6L2xKMYNTRGQIOcMV
s6gCOdqsXoOxPbdXSZ4Mgna7fhoWENPOUW+Xr5Rsi4C9mmyhywkrCPGIckn+VSKE47xuFDW5MEvU
fdoG+DNC4MgYSJ5lDAbk1e0ygSX7usGfzpaZGqZ4xXm/90vXZTW8arslQ8d7Hn8sbmbRH7DgsEgI
Gmo16fsGo1w/ZD85e4b1Ll46z+1CTZSB+9lGRZOGqT7Ps2TNBj/rKdnvl3WU6FqssLFKb0i5oUYE
k02p2xEua0G226oKPohIW3pSXLjgNJI5TE/xtu/1H5bsrL6Zp31JC2e6oDwNCy23BwaznGcSjnX1
AZ0jusFUuGmm9ALVeDndpRo3mKcNLbHkwnWFfDeVZTQA583V+mAkqXXe7Tacct7Drxu8BTvCux7s
uX0M309EG5AxWj5Nz9UK19abDk/G9VMHpbsKbqMbh4EOdMWzYbFpeBuydJzeReMQtN9otSbNg2jY
iD3WKtOoP1mT7NgJBpJt47mTSTVf8Jet9Tkymo8fBczZy7tRVjW7haKtaB6dpTD4OuM4asQJvkys
/GuHVDI0zUdVRzdjV0kJbDMYWNgjCXSU7lQ9bf1NX8PXWWYUGGJyHnu4HmbztLX0A34z+WMO1bTC
5RiNkiFPqep4PkB+UeYBzqcyX8t+/VBTMbGbJO3BdYnaFmBVM9skyLfeTbCUs92ygkAyx2GOB4VE
PWO6UfRuXTZZ3QQt5Xg5qkoduFdj9q69A3RX7aiK2n39gawxthoaqYSEL9eXGkZypoZ4f9xJys2I
kxh+7bdJjU8PoVkBd7OHBQfy8A7uF6O9JZNKp5t1gkP8NXOvCpoAEss4jtmUIsoJ9Ork7mQ+VMu2
vbB0bdIMrmmJuMTc4HzLNFtq+45MYTJ82+3Y8zprpnmNbjfOyPrEsfvV53pcYUGDP5J15TuNdtjy
PtFYxLud1nY9tcxF0w3yf9BLLC4183nZ43iRKJ6mbsfHtHK+zIsOzMc43CbzPGPN5ruhBiz0XT1X
qsp5rbrx89rHNPpiaLwlJoNCGGl7rBRr5J8tNFPJM1Trefqt4yLVX4dm0BT3KwgistzUtI5vTDyN
G+o3RRKY+w6B25AKmxXpA9UeJGNFEM3xaYRIQ7cBoxcH36Eqv/GcIKnXt7sb9GvssL/PmiyNyKt1
R8/VxC3/FFHgInK2JWWd4y7KYzgidrEraBNHYs7YSszw1KtBgXIcQr7z0qd10z0y0y9BkwkwsL7B
SXtaL1FY8fld2BIL/V28s6avPGkXdZkbOOU8D1Sxz8kIl5fTyEu0ApIqmMTT1vZlfCG2Xug7vD+x
9n2j43G/D+t2gNV0yxEbgMUDqJYUGiKq9rE0TdqvecK5fN6AfAnyVVRmfj/uywBCNHivdMkhY1jq
PE7Dqn+nR/SYMmVkM5zZBl5tcwFFLTwnJWvhM09Kii9RqSZ85K6/OrmK8Vr8JIBWKpmnyRzRk3ED
CV2m93X7VCcNVJOy3YC1+NqD3Mb+kKPoHmzrUHHlStZBHtZQhdtynO5zFi+CTZ+og+zBjRRLj3wf
rwRlOgOBt5+yjfFguq0wBfLiunaKcxqJ4aQ35dpCrwj1LxGxy3yhsW5COJNYSJ6FvGLJiTWAB8NQ
PtwvKZLRMmU2KuvxyQE6lba5ETBQftBjub1LtqsB6m53dj8miSbnBA42K9IoSo6T3TmO/aWZA3mr
RRtNr64pw/l9a12Y441koF+3plzmvFwUv0G5BtdMDRZNh057Ztda3aiph7AGB68ayZbl+z6lfdbB
DEmcJkvojUQ98GkxMbuXkFIymUjrYcxVSIWEZmtPs67jtbhLFrn9ycH+qR8pQscUez3u6eMQUPtM
Fki84grEpgcpErqjdgq5fZ6DHrDdaY1zARr5I95zQNaGeSmDGjloyI+bTejHbgnkWdNa6MyYdbqf
dZO+kwsU9E8a2ziPVrfkVJXVDec8fXBCbncyXJuvm5zrDymDm3xFxEsT/Q97X9bbOJJm+1ca9c6a
YJCxcDDVDyQlW/K+ptMvhDPT5r7GxuCvv0fZNT2dianumcJ9ucBFFVCZZUmWKEbE953vLEv/xJpk
SNKSTAq0E9O17ZyupE6cQmB4Wfm9R1SdP+eWls88XKejbrxMctzOPOs3s637YWnY0YO+GD+5QIqH
snMRbNmpHkRwXvTCui4tcOcijTz2FflW68LrJ8Y496mt+1WCyhla5/P65Adw6Py6wTZFLqGfkKw7
z4qij6mjsclLbsPgaMMYamzISh05LlVYJNcqWJXeW+j8yfPGO8qzxMdWX5h4YuUrKtd+3jFNA3o+
1VMdXzar7RD2Wg62S104LfI5Mt1EbubIRNMONg1+gCWB4tVhDGzSfQ4qZAk3GfM1q3OimkqnhtUo
RRNtRJ0tHWoUlxZREEVd6pk39ddVsmi+tOtoty8IpXIohyqNnPgB00o+siltIBhqdnDRKejZIru6
uVtD9P67cYijfq8F9p0cHU0pDvOJfrebRU+jG4hqGnYB/mwU5mGysuQQQja1ftQgY/c3Rmk5kcwn
pa2OakbWPU9hKCIxHt0a2vk7tMaCogsGZXO7UKpT2BeqQbjwauqxJB9aNKvuc8va5BCPGJFFqnfi
c6iiNnjtMWBFm7yODImLAKGrDHcHiqW0MBa7u1rMmtu+XOQnDk2/fpYOe/uLUnNCm5yJOcB5VQws
sA/cbc1apgGlIkq1LpY+S4qoo9dqk6v/iCH3774tNdRsO9kgtvDed9WawHCAjcstMp5Zu+4GC3fX
s6QO6HjLscqwI5JomSW2p2oVAAurAbLm8yYilTuP2qolfR5vC0qAtOOcl7CBH9F/oOJr5szb6VSL
IMZFu7tGL0vpzpK2bJfnTgWj3Y9NoJODUolh+Ma2xC35TLvVvrYJgxaJV22iXrVrZ7ufStIHWdKa
8KKey4JnMwbh+tI3TVziKxE1xIAKKHu2THZGUTpz2Mk8my1OJATSc3E5lnQ+c8Uq7+eIeo3qgG3b
dOO7rksXZIOmEIWVJkK+mGzGvXeS+axEnKo5bJFCg1YlRqRKuzGYUm20U3cidKL6sIg2kbutJaTK
uTudq2mpkDFxvvGeffEIyqubNBqDpDgijjnmcaa6rQlQj3oSnK0b7uAznPihOGps9s1bstVVjjM+
Lm5GqpZdHcybwUw1KIID6ttIZwQ4okoDqecig71S9BRZDf6ZdVU5HZLqdGLgaukQ7q7jWGc4kab+
mQHCJ/umqgadTwGr3c6uEDKg6Qugr9tEFdbXsnEEDXPt22vwwM2hK2o+YEUW5jgSAB1XCS01PZhC
d68SxYq7HlqnjnoWQ1fl0vs1YwwbB6CYsniF7UVT52WPvbNulvZKa4ICboMPiTt0QlbZtHnkkkD9
Qc5rsUTd1awj1V0thVEXZprG5o0uq2x3o2yXRzSd0a4PImhG8H64PPhNIJCsW2P3zGBG8r5QTpBL
DvuNGjcx6oy0c6LfR0idNtmM8n7MJAabFtF4cgW6i31TZfO8rFln0DGisJmSNYPixZdpWOHmnX1L
u2wCUQYUXfiL0KsxGTTgFR1sSX8UzrLqZXV23i63ePXNE2w+RnrZ89rUKtORneqLUYJGAwu1dc0R
bD4aREfHNxQRhrkdxdpAN14gqnfAOS/uwipC81ootEYpR/TdcWuKYAW9cO62vMXIkZVpoSEi+loM
iOY40Balc1pAmy/fRw0QAmcWan5E860EE+dNY3u7CmQy6gcMJ+hy6SD77m4Wh8jI69jAjSeTcpnc
TY/Z0Zd4GwLY3JRMV5+qsYS2qNXT1IE21cePPU10nSKttUpdi0gJdMyIzsPeZ6dPVY0eEYic2rfK
+DDFHrEWdboBuWN5K3hVdRfeCbSZKeQ44SsK7CHKRjSi9sZP5ebuyDQH4sUV82BujK2T+iirpOzr
XW+Ktj7YslrDCvstZR+tQzX52vrSocDekgmmwu04b0/AWXtwhSwa8n5NV5zly/naKIeVTednGlXR
HpB4eAEtOg4SyeAInQ6OG/GE9eC6XVLpCkYpMhzWSyfN0H52PRrYdFmAsV2FAeXDO3LjkzZvx2Kh
jwHdenvtCbqS62JEINadBABFv7fd5npSUTR8sEEl4nwNy45kcQxf4UscZCUO63Jl1OUFF6ucMkQK
gSWZbSG4Ag8WJjDkyGFoQy5wY4n2aHgUT0g4I+twlUyAo1I+RQ620FO1vBMW1dU13YoB9IuCtMM5
/LkDegt5mOBjhrCbzQHmHvy0R0ydW/Yg9Ex9BvCYmS+D61WAHLhNy0PQoWt8IV0/o3TnqO/ycEmm
Bpo71Jn9tQFM0magkWtlUlhOhPSCcMpQQzMdDOc1xsn2i6M+UfhUvNBnrqylyxc2Te2uiyI55xTB
Gxpp8Evvqz2K3i65KGK4TIFj1p1SkBAKNeZNVSfrsdDgH2egw5cJyyE4Jwr20UWPsR0mPmN55HaN
NmzNeorPsU+OGErOOMJSwE1hm0IXtzX53A+m28erCed3UbO2C1AihbGOEOsJrwaE0/cdZCstBgFa
ZbbHcRhnQbckZ5xO1K+HNpSRfIY1bq8vT/fcOuGD13ETZ024RuMNE3W3fgrwaZIgrUIdjWZ/Mu1F
3W3lZuNrc2oULopgbFecMaAFwkfHF2V54/tQoSZbTMSJRU+G1lxkgJQZinKi+mT4Wnts2aAwedGT
90XbYN4beHiiLsQyB2yOUI5xOapkNPKGVY0tcSLKZvvWVgBdX5vGje0+LuMhcLi6UzQgcpYv9V2M
qgZHA01EzPYTtvb5vZpi5mSqwwSmtE7ERj6GgCFqpFwA5tRfErhWts9TYMbgdiyBa9/ZUz0OYbaX
Hc2EnWHfCnXQtHSHqge8j5sknqL9IlDf8R3i4sx8AaFTyVy2ASofUdDXi6hFDnKYlhduAmB+iSJC
8svWxLF6GLqmXY6ijNx4CAzyp18xdSlIxoeVQ7sw9oFJO0FdcDkSmPDcBUaZ+iXYEL+WJSgAhp03
vVyua6XB5+8ZEfZx68DcyiRRwLLrqBvgpLGUgf4quZqKx8ipKqMDbNwbux2DDSnFC/qlseoObioj
n6LMaABWiFWbcz8OSXS+AEx0Z13LN/IM8ISxY91i4JFNpMeccwfZJFnk6Qzf0MKfgINgPy+Umizi
fROkWHNXfFI+xkiFwQVgT0IwSOd9HYSAtfkAJNunHZKkZOrndWL5UgkWn+vVJNv5FK8BGeBcRZ1J
AF2UiIQaTRI2lyxclHpmCubR76KMTX9JAAGKfccqkzw4BwQ670rZlBBhgXdzWw9Dxy+KshvaBydx
YS48la06EoPkkCuL90oR3Ow3dtsY0ZfHtVmS9gn1bF3YjBju6zlvRtkDnYthRVWTzGAxT0EGiwPu
pxzjDiGTfQvW08mpVXyGURtRYZYk8Pnrdz0Qb2UOoncLLqwWzbTcrgsuGkZDuBOQ3UxF4h8iXHZo
SBJWtdsTQOJi3Vus5H2ybeISvQIPLmhQJJhscQKTLnqaVkh6RhrOp7O2ETO73LoRAtOQ+lF/drVJ
oM1vDRwS9hp5vL5KQ8eZwCiHgltCZiVtxtG/qdfexpLejlCXK7o/OVqGaN1WhgxruWyJbbKkd67N
fb+cgrO04tdsKeLhEEOw6M7nYTJRXlo/DZdUwY4DSBDBWGn0izD7GlhlmAYqDIM9RjG6zjtZJqiu
p1lNIuVRX0dvq0BY9kWxlc16D+V5rAExVsWyfYsGFpVfpnYk3YFEUHQdCMCt+Qri6EU/dnDerZ7G
gcXrZRgHyn/4mTXTpfdloIBjrFRmqGAAjgNGM4CQa6XAaZp1fGVIr1ymPfIRDwveQpObjdI2AwWY
YzQYxycWoZX7BATO684iAPWJuLZUV4vewuEokO6FugCfsAClO9EeAdhKxM0XoBlBlDdMBpOCJyUK
sUwNuNv7HbD3FuAANtJTN+NO9UgSLDbKfBCECxaLnBewwid2uoLJhK68TMnCkhslbBdAVV2L+ps5
nY/fhIFKHJJZVh7mMUEpQrDfdQ/RslCNtVeyftbpJBXEo+ikkYcjKlKTPKIsAIsgKufimlZCuz22
UVi+2W6o7btu1mm9HDfRs08oBni8ps3cmKP3Yls/SdFP9gandhmdK5QraQ9PjzlF5kl5wgSn1eLM
xZzmFsVxIo6qAqH6GnhwD10vXN43dPBzi+acIZ8vZvoN+rxZptBPULdb+dQCnFjm6h7T4LDMrUX2
7H0DAhfORUQJwKIusbJInsVEEhBqBwLY3p4NxTKPOq0ha4rTUWJcGmUY8S3mHf1yCYwKfSnRb2jK
tjpIucbAuEkZdlkNqKQbQWpP4cU9uXK/QgWHDJRhjXn1GUJSb5bUOGR1zGc9Wo66ydwMm2R3RD+8
sjBfogoT6z/HDPo56Yr7eOjHQXU7krw08SO3f47J+7N7CesiC2wYrxvV9xKtT83+JF//Z++SEdZw
SVELscdhRdCxJpZcKeyZ/yqH+w9S58nPIVfou6kG/QXld4BVMFdjrS96F4wwXFPLhO6W2gYe5CKZ
6e2qgBNlyA4NSDYGK1qPf87XOHG1/xtqw89GJyXw4LUOFrEfEZ3Y5ci3X6/AVJozVE2YdQD4l/9C
1vwHzI3wJ1LLMiuv4ijie6iPZ/Gg/ViYfCpRbUKqioYsI9Cad6gNVz/8C0nmH/DFfrZCaUBGwZ5O
2Z5LBABoeFzsZgBb/+ID/dGr/0R1mRAfpkSVMIyp+y/tEj47ORV/jqUX0h8ZQCiW534qC7b3yBhI
q8UfatNFf/LFf6Kz6DDUw2g42wPw2mFqU6dFCJjjn99Qf3RVfuKiFautNUtqvi9JoHCy2gLtN87g
P/XqPxuh0HaKQEXAdUHDBiNQnSDSbhsf/vmL/8Ed+rMPCl/C3k1rg9ulEgn9poa6dxnhniLERNJ+
SicD6uc5FBVs+lNZYNAB/vg9V7J0AgYRbI/sRfYpnhd13YQAaf75B/q+tv6b1U1Oq/4fKI2i8RG3
voz3vUwqwF3J4B2QXPzz7kPNn2PUv/g/QxwO/Kyemsdmqx9D3GnsvFC1qdAxlNUOUXDfVhshJzbV
AoXR397dv31d/718H2//9j7UX/8Df/86Tn6py0r/9Ne/Po49/v2P03P+/pgfn/HXs/fx+q1/Vz8/
6Ifn4HV//735m3774S87VMfa35n3xd+/K9Pp76+Pd3h65P/0h395//4qj356/+2Xt299PeRoPZb6
q/7l9x8dvv32S0hCYLIxbv1/+8df8vsjTp/it1/y966q//snvb8p/dsvQvwaRQkLGZeosE///eUv
7v37T/ivmPZGSBJDMBACiyQW8ICYxeq3X6j8FWBAhHl8mABFQNf+y1/UaH7/UUwonkV4FMIFhtFf
/vPN/fAd/dd39pfB9LdjPWj12y/fPTT+65bCh5NU0CSOQyAWDKjrT+u8HhiYMAkw2HqpkN0wQzby
aGzpXiqr7Q1YSY8mWIL7IdIoTDFdmy4wTcf4FGS4FoVh033u28W+obapD0WbIH244wwDJMRso7HX
+xrslLuVk/UeL1+hBHPTbVn33Ts6gS/OKJCrtgSJV41uQZOMx9spccXjTDGMQUemPkVj3L+NEi68
AfXosZGmfutHdt+Onb2AGx14HRF3z1HDyY40G2AcIMJ5gunuwzgmL2sAbCB0oH8N7bzueBC4MzKA
tLRSWudKTSid/PxA+qg6sQJHULR1cj+tQZsbo+eHuIdfrypRESP/HGLCRbNzjMznM6Cm7hMOV8z3
adF9JHAqubRRWX2RvJ8BEij9xQxSPTaG9rAILzCKjTlEg7GNRJ03/RqEAMOL8LVtKrgZx/B8OaWW
XboQ4/kM/sQjanHApa+IG6jhN5GwuE7B0yOfx1AkKSkmB7YKtHhjulh2xTRc/lMvWvksg05dVHPY
o86Q22Sh3xzhAPL9Jv+/vdiv6q9gpI0f+ufV/sMG8f/SlsDpqb774/3g4m0ZsBG1bz/sCX971u8b
gvyVMcolDHP+vux/3xDiX8GdYMAHQwIFIexf/r4hhPLXmAHTJuhtQyFEhB/9viGE4a8g1iHnDj+J
8QeojP83G8IPBaSIOcPGgwF1xBO8EpICfjxquGLBhPNY74BYAMfzNxjEf4Ry2Fss0KDQd3ZsP+ZY
/yuVhPwun//HnYiDqgWWfygJSCj4LPTH31xWLNr41pkdL5IFDtGCpMCeYvALmQ3LAyWwCEf7hFWU
ijrY7lc1rd2hs9V2XYdq+ohZgklHeyKtYrFL+TJKP140NKYgXNRogfOyZEkDNM/L27ibMY02xFb7
iBU0A5l6BFvTimNQahQ94BxsYNYWWHm+JCl4sDfIc+E5j6KvDSmH3LQQRyRRmOmgwhBuHu59f8LS
S4JNhpILUDFIGq9Lc4+8QCz+FScvmHZBeNuVYXstkNMsUrM27jqSzWOZSPy+wq8K+Xy8v/Ns3LVT
c9nAwfyqnXAp1mQLt6xYCSi1dQu0DhSzus36cbZfIx7ET1oo0GmVCcubGrn1l2zoGXgRvkgpRh89
FBYezAQMYcFbaMrn2oXJPQczZlds1ZSjwzwLHTV3GMrFeQFE80XDnbrM2iUOwH9qozGLbCBvHJrw
j2KlcMMeRpQVWdno5JuesDvuwHAL0nJJyNNKNoU/gnXIc6R0V/cKs74OBYpv0eXTsoF5Z+vdmSSy
ukCUortwiJy7pBC1ZFHA+PVa9/ENqTF029HWs9s5aMEQiBW5rNVqMjOtw+1anmZIaEM0Jh2z0Ecu
eoz2p6kYzsbYrJe2kRoupAVcqZYm2TdwgL8YVjs9zYMUmD5NKihznMLjMwV1DxP8QAapaAGKQJtu
k/G2pBjDI1+gxZbeeaOL3A5zn8VqSnRqQSw9x3CrnrKxItszBsZQE6aIf9cabVeIUdeE3KUbPM7N
KXVD+M4CwciuNHbYWaaT24o7IG8EvA2WmZMRLwtBJQEIFnMwEcfGnpWWgFmuUBCcxfBxmfIRznXP
zFux7bYGVnw5t0ORFquWGE8tCjbio5j8oeiVODEa2HRlTKVf54HiRmpn8lKSsXovtJi+4srU96od
khvI5cH1mn3nh10dm+oFTT7cojAxK/e0GZA8wUlobzk1+C0brcJzeLMkOvOdiF9hEa2OfGv4mhUI
sCzS2jbVkFdR6HfoAum+UZ1/oOMW3Q+hhE21C6necASe0HQAduvXuRccVo6lm+5sESavSo7Vp6XG
1dvFchmvkq5rQziblPzZwmksFYjdXQEN1etbP2r15MqkoykdFv421808pJPA+R2GCyoR3jULyeZw
Dt8DVYcPYLr0z5Y1xR1fI/GCeQS1aRV1YLtSF5HHEtN4TFNC206QsLD+AYkb8U55w11azuXUpwVo
KCpXkemjfV1JUAX50gVhzle4xpQVqAK7ilAJ0zJrQLkutxDMM0nOgUxZe1a11XIPNtAM8k5Juout
bWH8M/oCuwg8UEuX9p0LMILzqoc0SrbP0L+gPSJkbE54uxi/EgIkO+cs6s+3+YTchUEjQCSxiMQ0
ACNsCk0IMP2pkc1tAErjLdWCmWxJmGizbQjdXT3K6BlfKUvHiaMD43LiuwK2nQ+YtVd5PCE6jUWs
v+vCuoGlgOI8nfg6v4CFMIIaim3os4NE9RWbOb5RCbIaajuQOFgWyz5IstlCKwFYdgL2F8gedD4s
ch1lIPr4QzDpoym5H0CHbBKwreyAbcGC8TnmbbDZa/Bd3XMHVtmWbXHXKMxnEzqdE5rQz7VWlmWl
YWzakTCABMZ50lxBzWRuAyanJ4miDLVTYYXcFW6IX1y/Td/mclu6vK8MtvSaJEiW0GCmbdnUVRtL
S7n48hAWARUpEl7b637oSXU7wj222oHTFx1HC8XDmepA/j16jDdKMBJCrK5l7GuwPucmeHPFshaZ
LwuoaAe4nO3VoCBYcoBa93EEPU3upg2VKHhrQZzhxllsPmMQVcJZJ+hBcHUEIbvFCNgRFHOFh4SY
26frIs0lxrPIhQI795hguptNVBZXuJOWV2GD8CpoF/FsmqU/wjWqvdga4O8453h3ziuPE7QdjP8E
8Q42PXBL3XWsWzns+hY79Ta0IJaBDjbPacRi8W0cOH9YT+BvjcYEscITaScsObF8eGOrO0xMpyqr
hwaSftTA17J34R4f1ALKHftPw1guxxLerDUCsXHslLC4alM+bBc9hUcJ8njUBeig0S7CO38D0fba
uKqAkzphPt1CTr8ALumuYe+t3A4jD8wRW5hY1Bmc+QQ5L0pPHOYEsngjpRdzajj8RC5H7rswldxW
nwgYj/iiTxSjTK6rBJssxGdbi8q/QI7FH7H9ThhpUH5WktV/RtxmeMlpuYKWDS79596sCQZtahMc
LDG+lZltBKYoFEPLJFUeVP2MA9B/dYbp21gEGDWvBb0lQrH3yIONJot6e2JYSF8THhRxpgmv9+vY
ndG49lMmR41B/NLp5dtWW3AL2KwEw/wlAJMAXxq9q+PZoHsJzQGGn213OVsrPjNTVR9bi9D1LKxm
i/lI12JqbZoKhOwUCRhwpNvW2M4QbRTyxYcTf8PpUt/xMKxWbFvo89aUGvAn81FPgSYws2zFDQje
45zFFmQJ8D/AD8qCaIlz8JtYvkadwiIAWXtVQfMGFUFxPdrxk+2XKkeS+ppXTQhuWq8wPkZhMG+Z
0YGwF76K+QPfopNDiWcgrPZF3OynCjzcvMeVCPvCLzuD6QOI1lR+namOLoaKS5auIiyXrBgTdT4H
Ab80cYgRVTE/tWsUf5EtTbpzQXCb7RKqwO4OKYqENDZCf0jEt8zpbAT0MDFEEfeYeJXFHqR4fyLV
loXKq9U0WJ2RAfHagYqJm8ZCcgVhRdOCM2rWYLwwSLr85ODcE4K5MQwohLoYhz7Bsbd0BCQmuSHz
JcUBH34sbVGM2Ke78qVGOMuWBSZebyD5UDQnkEXtQNspe5C0RBhdtmvvj/VcB1+KesEYsUZP16bt
Ikk2gY/8erIOwIjR1MFrGfCRZ0iXbd5AEsYukNAeNH9EP4QPSLOK4/PSgoqDg2pzT67F5ACTGRWp
g4cWKUlxC7gia5vGl1dgbkf3BNIFue8cWARpDd3QkplomA+aU/GtL4CMrXGRyaTt8mWekizSId8z
G1efHMZSKQs2VGwLnMvStlcjOFngMkO+BTwQ8VRbg1F18NWH5fSZsGzQYHyDGHViQIOXXmrZ7+M6
8OjdMcE224RfNpX0BmzbEtsDq/I+siQNmIff5Dqcg18ACo5vZHzXTEGwc0j+2INy1e1EUsQ4cm1x
6wtYy2NTktse0W1fIXkKP+FOjD4wNGt2C0blWGGjSG6FWZbLploxY/ZNJ+630NfjjuikeggQ7HJF
jcP1w6J4BmMJ2xVoEXA5l6rxn4oY7bsCXEPyemOrz0ErhWwWNE3zkaAa/BpXduAY5aiqz8aoICrr
0d18RFLZJduCqnqMJ0AV6ahofOUUZtY1DaomQ/7pCi5y7YYqD413H3Ug1nza5v7BbdhU0mmAS00O
FoMApAs7IBSVWq/03ECVggF2u/pjjBsRRW8H4Z3zOGlJW1WgYMU+qnCMDXN3DcDc9HkLMhA5sKVb
dmXI64epnYP70UMAuAloELdebBLhRYvYOSpdNiZNhESU2TiSdgMPjm1XgJqzekCouIl58jgWFtyp
qPCoBHFQdnNeLraDejYEYwQMf15hmg/7RJUHscelFfH4FCJJYT/VpOU7007kAszlyu4gqUlUVjLV
fQK5L1FHkAiq91aUS5VCAoqqaIAncQ/mC9ggYAvT8ZmYqHt0ishvtC/HcwgH1ulgMDF/GdAZg+GH
2K63Jh5Lskcby26cbzFvjIIB2gJakvACTFGUhyAA+wVXWUoQvlwRY3OIQ7riGB7nu0W6xma6x22Y
LvWGAhsAGCIh4oXcUlHP4UUHFAiakCUmj2JYohQ8+vdh61aRgq9YQaMWioKntg+a8pzxMjxCvMOu
Rw2NI0ixoCUea6jOjvC8wg1XYOUfdMOWWwWeWQvmSQx5JTLs19SuU3NW05gcnCzZlAVj840LRZYU
EBJILMnC7ngzXIRyg5piHqElg2ZsrdqnCiRHqB9DvhsjdzaouDurx0DnFNZQqaP8RmEB3NRBIXee
6ykTXUzQN6D8WEao/IAj6XZn4AGQFlvd5JXpoPy0juwx+azPhjkc7lwMsUTvlzHXIarGqMd4ucCv
8XF3OQ5hvQvAAU2FB9Tm14bfACJVe/jdnBscbNCguV2pWnc78IU8k6Gn8NchDaghi/o0FNZkuqb8
3nIpd2A8+T0b1htRBavLKTP8fIzX5FAIpICgPqGlxQ6VkDwp5voiDFs4AS213HZkgUCtkmNy3Ozi
4mwskgLQpBzepRJniB1TH5Ov2tvSQrGl7ZB8Bj9GHkVFoxfk15XfJA7QTOACmaXD7FbHhsyQcRYV
2+EV2+B245EQ2YqJMireSk2P/aLJOYVWESNvzLofo74KLrpiMKlFAuQ5eHf2acJo97UwZANnnfjg
wxoxqNeoRRuEAqAGA2IoJNnOlqZ1EjspXXNdg46J2dHUfQtCvVz6sEJlaasEB1izhgTVwORbt+9A
3ElbyBhgfBvLZg/tjIG1qLPoccgUJZmpw7FAm4lKIW9PZ+Ykp5oB9USIZyod5Mw5aiR1hFM9th2N
t/YZtiSbzVdTFyRf1wA3BTyxN3bOerQJ4ApHUFLTUcUtaPsmMmk0hPxVg2T9PrGaFmChJC3cm5VM
DolN1uQc6g1VZtFQoYhGlh9/lxCf5TWQnAvllLv2zbqJDMRdFKYGHhdfIfrUYxqXc43A5Xg81yaK
7mNNLFBZSbAlwpDe5SUYGR6UBAWJbN3Dmvqsrgs05003WJpyS8mlWabpHCIiVE9aYhq3xwhWf9V+
k/rs/+Oj/5ORSYwJGgYcf4yPXr1Vb8ubqvTyA0L6+/P+hpBK8muCXo4QiMPgDiZOg5HfEVL6K2eY
epAQPNXvk5G/I6SU/kqwF2JHiDAdAQyIJ/0nQsp+5WiVEihUKcXURMb/G4Q0JBix/OOUHa8NO9UY
FRs4kgA+4p/9S6kB5xb6inXn9UTtOT/pJFZ7EjJvVfxRtshKwQkikihfE7stwOlPx074/QQKRFDv
pGgkujLFxpce85Tk2mJnwSMGRb9GMw9PJUd0EGuM8w+sHZyF3fdzsQiabrpjUGB+CmJWlw/EQwd3
B0/tToHODSfhDLEezqbLwAsQwDq3LOBvTgnYhMgSRCMGR4IasiGK8/xvJaUHlCOykQ3l7aDL8AN5
gjFkD0iozObWJIf5VDHQtgrotWk32+cQVscMTXQ4tzcnYtAlzD5RhrBTRRIOizuCUQ5B8sJGW1wX
34uYQeLwv0ft/gIynw/PXEBQAc2Cnrgqxf9h70yW3EiSbPtFnmI+mZtvAceMmOfYuEQwSPN5nr++
D1jZJZms6syuTctbvE0KF0lGAHCYqV699yi2uom0EPGmqXGSMxMSs10zO6GssuiOm4A7yWEXh06o
qBSZpG3zsypjoOst63FI4uSG7AfCGmrTk6xb+2wIe9bbBdNYtjcYzqbHZqp6omGXpNdKMharVjOb
AlsQD9SZVmemHB3C6SlDKUi7S2mKzdC68QDVns1GRcRVKG9b6lwXU1WyAtZd9pipLiRGwkPdikm8
WvlOFr/wr6EgD7q5DbEwlQc3q6i6l58VOLWMc59CqdVXxc8aHZA16VTkR2r3Yl6MaTuWksI+lMJd
rpzOa4yj9mjm1mJcHGOPxyp5adQy9rseZ8Fwhegw+2v3Z8ehMEncFtNkjmviR21xVqJDPiTTg0Ra
DpW5R3Wkl2mRjv2DcFLGeTQlNCFs9OiHjVuMxd6aVNcFpl1a5UYvFn/ufjZQrR3F4XZO0wF321y2
84aYkGVuIq+SFqdzNT22rOzM9smlUasuLVselTTLumm+yjY0pyNPHRq++Nn8DQ01beCaJdncRvQH
nbUdI7/FW5q1MOjK0I1CeUwSYX9WvtlP+8gkh7qJJt2im/jIwuuZVR5HfNcMuWK4rWcmvAgUsXfr
oWo8tS1Lt9ZdWBsHDST5qMYRIb0ldvSiisS8p9xs3xd/liffTfdDaWHkI36mrIeQkVoEYjHurEdM
qSgBpsDQvu5FNT/Ehb18gTRbroZLro+cQhmZN02vUSOmMsUiZhWM3faL0PmVn/hNt5+cEpVMJEP+
RkqhvvETT9QBXm78mCFw3nINSNh5rOfokuuxcskE0VBgDdO0cM9OxxYRLDaEmTArG9o89fjMplVL
BuCqqUz4BmNUzhkAkjx+J11rTRssfzztpjawyFYYSIOypjB3lAifjQUgwOKB+cinsvjCGop3t4ni
rQ6d6cUf+NrVbaK8nYkt/G3ONN+b6pKYRk1usMzn5akQ2fDYssg6QhbPOAsyDOKx49i3aIxUfI5P
BrwfynyDu5/oWSIGK9/XLAZ6MvO0PbXzqN/d1Ir8zdLBgb5Lpxh+o2fT2+0gmIxb+vPoc6qMel4l
IMUYYgqz5/HI6seYMfuBCoF5qJMVBNJR0YFTh57Mvio3ao52s/g2oxK1PDMNKb7VQzn4xFjtSe/w
+SgkCLoMit5x2DiMuq9BjBhslLMQIwZdZuNDBef9Jy2DKgnIAaujGj+vKeStsDoOcAr63TQTVMW0
IqokSG1HIqyGPKtrV9TtC2vvvBuqjnLtM6p6h5HgFU8qaQ0RjCwPRPpFegtwobOExuMaVN9yY7Yx
Fy/2Dg8zj2f0ggtQfHZ9RtDVKhP0jLTZ+n1UB1GLzsERnts0XTE/kj0t9Z7ZCAJa69s+x/4lUl9j
bSwey6m3GYA71bIZnDq8z2cDjZsIDSKxNXrDpiD2O24yJ0nuRB962HyFRXmksDYbJ4cU9Ycc4Gnt
NQs/0yvHDpe10hw5GO7tfFNZWH1ZodP0t2GcamzqHHPBoCezI9YasxKIZbo8iYTAMYWi049P/rwg
E7nkZcNVyzsfIy878i6bcAmvGUDk9RoYaVUFcr7UaZYbVfdxbRlcAIuHGkjhC/Qlot63DrFiYsRb
EctNwWnmYwePp1PaxWLPw7wYyOFMDqeprOL1QH3Q7i2DncPbrnb9PZ72+EtOfv1S9E15ZwxdTLK7
jpdvqUPmgH7IBQUzJb0qA35El6+HPlkOZuGk6b51M8YEoN0vnFe5WM6K0A5vQmH1K6y3eXLbpstM
gdDY9gf7Sy9iZFFUjzNywVUpqhEoVDqlLf0e2pTPdm9/NXg6v55kGd/bKhqex5nGhUyNb2MsZN6Z
5ALolVaMh65Sf5kfh0Uo9kMk9Pgrwnt1tZ9kr757ozPvc1ub18R9UUlKY0SyhzLDFKogmFYGCml8
ZcZTFN44FNvz3umTyr+d0U+HlUF67goJ0H+T7uzeJRYIdTuJJ1xa+X2f+3RYZDmjIKTJYxeG0EGo
B2OfxLT/6GefSZVhL644My3RpvY7nm2VoXks6qWLe/sHSjEMC2cqP5D6IeEzwEwPYoJryxlz6X90
8jA7SY8ZuMcUP7OjaT1MVnxv1IV3NGtPWLvBRnjJtYyCjPHOCi+Kjtc1cBfkJWZBK4e0+9qrXXRL
LyQ9UC9hsxKajtLJUNrfSYbosxzScS3LaNlPucC0X/noiFFFJH99CQrvEl0SwmBm3bHMWo8nIxo1
gXw5dpvCi2dvYyaxdz3URvMNAUR/OSN23KidHw2Ti3VlJdqJyWI05TaeKofRA3hXSg8PEkHDWURf
bC/WcHCKTn7WRlSJnVlkFnnfJDmYDu2L1YTqzsEhh0U9Nh8zhPd314za8tpO6uGHVF4xUhukVn4j
u4jpRpSMBrKdtaTMHzFzMx8ZS5NmOZ0+taX9r5G01fBcMhWJd7I0y6/atUVzN4ZgjDZWgrHk6OSo
LefYN3kbNUnueeXATP6ydUY433esaDiE6KGgTCjnECvNMvePRWEPD7UgYRPEqYGM5belfSgnmS/3
pFTv8S2n5dFt6mFe2f44382ezTDAXqIrVNR4H7tzK9bR1HS7hr0z646Fg6gSTjSVa5ppviYU4rA9
liY65EqrY5EY8T70R/tGOKxSw989lhs08B7huCI3JlgQv0qpQb4aNLMnt/CiDctarcAjb8oa51I9
G0YRzohnQnUHhWmp+JgLUu87Dlr/cY4T56snCl+ttNMUN73f1s/9hJCdIPGbRzuds3NrlV62BuBi
vljCMZ8ltdp127l652eDRhLLG5nv3Fw6uKWtyUZGq6p6bYM++8YFmQVcWSplPa1hv3RhS6yyDqM1
We0MxzcWSeJQdf1ixm5lQPeKPHLuQBnHtRHPxXOte/1IpAihQUlizYJ68WGss8lVPMm19bqMDtyQ
mkUy3zrWta8cw+E0DuPNRE3+YU6LXPdz9JCklnkwLJuTv5tc2z/WeELkXizmsJxTZgzzNs8gI1zH
5WBDWBoNL1kZDsPXvcVYcNnyp9zjzPMGeLRmofQ2rvtq24JIn049nfUjyWzmgrGlrYc4IeAZWA5X
eUSa4b6ZW33Ps7/slwENd5UqrvmgWPr+NibXtSaTUp1YFmFvLYOqIM6c746UiEXVRXiLGpW4hzZh
+vCCdT9CjbaqkLx3Rdp4tdiCnDcct1tnnFBTyc1NfR9vahlNR5H75cYWkpRZS665H2PSXC3jlXWU
eY2/siPXva4nv7sfWWHDfm4rfq14bw8F5rF0bcsiLfex4RsygD1DtlXIyE4ZoxjGW9QhGR4To8KM
0Nu59zTagxRBkTgmOJBmYIKbKY9t4ly01wSzaM5K70Jya9kx/hDPU5hty9hP+Ajd5Y0s4fhu8VvI
ICFibgLeyD1iPHbV7hy7md7xyjHLic3UuYkjJtgUuJywCeizLcmA6Bja5fQ9D+t5y9r67NCYaHp7
3A3OFU2DCmGdQPxNysoOMpN2JqDIQH4h9s30ekmn6X2yLj4Yi+yzxacYbvIM9/UattrS4Zaw02TD
l9msVyNgvE++vvLcptllM6ApuN0Hp9D7kLhpFQxRth1FTQoe/T6/sUDiwPtjN7ZJbC4CBkhHLAjn
xEZCV0V7I9c0uQvbElPr3e24wNZL19O/IoY5lwFsBhAiZDXS/NQQ0HX2Rscu6W0M+ONrqBv3MES9
+ZazeTdoI7fZpxXH/GKhYa5cdM9dg0tw0xQYm3JX6WQFHgY+28yIqGQqJdt3x6jDG+0N7k6aTfSM
qJipgPB9lG7DJJN3S9OV7bEuLaSx1g8leqku5IZ5Nz6jftQooHAkqGvcCP1SVbh317qL/a/Yt9WD
3eqnyPebbEUKnJlNwcw+rxZvi7wrdkA+1HFugQJh7y4OJParW2+oRVA1UoJyYqyWbdj81d43MAZX
dtN7ICWKuP2WdJHstj7h4GbvdQUkO9JwX1W3DDf4kaCy5Jbw0pVbas0lPc3iw+lGEWR8Dj+Qn5d7
LFUdlX0sz3hBJFMY7UBoC8cr6A4n7fmMKIh2A6+r2VGUOvJb21PwpFJ7TDgKvDwRXZJVi12bZFS8
g7RfliX64nFjAJkjN/Yy/spgYRza0M6DLFa83wkVMk6payc3qmPutvxCQ1ndEozjAiVA/E5NQcqc
w08+OOkHtE0XGnvoUugXdgCXvSCPW7qHtBDVA9sAxQ6WH45vPwrKsrV3Zlx4Xz1GjX0oGgfcWLpf
CsUYUPZpEkBGLrZJ3tgPjWnOJ6YiAtO0U5zQDccPdEN0zDBljEF6Skx7CDKQTzgkx29LL3FXFqlZ
4zlw1bFLyfev4MMl2XoYjfrDTaWaN4sk8jb3drMnkGJuUoTjXZJU475i/spjUqW3UArma4n236zc
MQOnhGXMR5Ttlu9z0pIGSqkg166Tq8cZmsh5tipyiW3h0BNnCMVVKgKLSv57ZkzNrrlwgblMXmvy
fCZRcLe/aiWHaEfiPVlXUMbCXV76eo+lZldnKt0VmNZWJlowGrKsuifK3RoDzdxW6+lnz8HcLqhb
N/2h7MhnqlQu90yfljcz0/K+KLHerUTENtDacmaS3CAP1rHLcYlys3NLkpuWrnYEcOVND7aPFzQB
q7JcMnE7C9TX1u4Rp7XXuechoz/tPad+hVB4As3EwFW4nnuf+U63r/NmussEg5tJRLlap0X6Wme2
eA1FXgVZ3zTXSNnmxilma1tdNmtl7RhU+ONZqo6bjCS33JAVjo8V9D8wef3enrxrhjfj2qk95zS7
lkkh5S+MG+waN0fn0iMPMT4MbWwGLuOt9AXlndT5mYMq2fCVUS+FUSPL66aGSmmDcWHe8ohHyh92
sRimRymndsvCbMTsGrbGjdKewmSQSMCAmTFuOHHnVWkX2XbudH1cSPBap8lMqm6DmsZoN2rfjESJ
R1fWnUGvsrRPy0AG3NKp/VKzzWbn5angU13EvpJ8/k2hu43XYvg71hOBejFGYzC4rkuds6Te51Rk
H5gZ4vVUkuWX3ZJ/H2Yv3HE+lPc1NFPKodC4zuwaK1Y4ssqNi7XHWoxhMKrY9E7uEoEdc3eZedeV
Sx4cC+QAoM2PaG9W4ejGJ1xxxcEje/tddPatEVJ2t8wRKMjC+VY6s9xMRjevTdZVA54a0I8M1nAD
TjrIaUGbmstFPksrd99caFGixa446D4+eXVX7Wb6DWZNFLbYMNz5c4kz+wlPlfgxNr1BP+C7t/0S
7xLpLt11ZTAluYqGKqKmNqJ9vmTfate02o1ht9Oe0nv+Eakkv01b19rju6g3jciJIwi2Gzj9jA1W
ESVczazmo5JaXG1RDnu4idIkZp6jaFruiH4y63ULk0vv/9uu/1dJDDIKF67//zxWuP9ISFtEH8Uf
bde//61/2q4tT3pEHWxyFbZHouIfMwXp/+Yo27Oki5T/U9n/50zBFr+ZpoWz2oeGicfysrng95mC
Zf9Ga4FmAMdUKGYE7n8yU4Cu+ctIAeuz76H0eMRBbL72v+QwkAQmA35IuxVQvy7bZqc2vLIyF0Qf
SAF5oLBGuW4vU4adnyR4QWoWhBZBbqSQkxvfgLJmaXWyWI4NVmKyz7L203idz1AA1lAmKrx0o1vU
66TPrf7s59O29xIb12HtQa5AqMBYNQwIRdikjZFJoROCNhwZIMR5IQ+RT1hi0/d5Xu0kloO3JZ4Y
x5o2i6g2zMxLbGZljlQmilCfsYbIT/KHLDTw/HE3Db66XVIS9jXtzoYqJ+UkTstNVffp/QDw6Rvz
OYMWbMryJ5GF8jNPu+LV6jVmoNnqE0ojlypyq51Wfw3CS14ylSPY1shVsCxHkg87b8inh1aInjG0
21hn4dX92zxzd8O0md5sBXl2NVIfXMdz24ggL8wEHazoqHdTy8LokXWGDYwv0TV09xypiMWPZoWR
ltDwTd4w8ljNZu+/VaVp6w9RKK7uuGQx6wYa0kWfdLh6pGO6cHJB4K26MTKx9/mFcWxbO8M0nA/9
EhhcCfZJDXPLlvSCgfihZHKyRujtX4idJNkK2b3lBaSZU63E1OTbOimST7vr0/OSONUtewqcr8g0
pycuEoYZ/RwSCR6nujhW6EGXHMuItTsbq+e8Zb3wsCj8RLnbM2Iu5hpBSGA1eY563T3XdQVErl78
2Ed/d8p7U+qk3vAbTM/D2GW3RVVHdynszmYLyszfR3gwd7aY9GuiJ88FXuHGnqL47Cc7UF6/vBD5
HpqjJKFmrLHpGua2N6Du7g1nSD7cdsD4AF1U2yfTo5NbuY1gz/1sDsYqF4IWph6SZsNUd65IESF2
rKuy7cJVN+PnAXam2udeSoY/fTZOb4ns1DmJwcCsYh9M0Wbowhwaug/ve92mcoSe0qDa78a8bOpd
OCYX6lkNOi8QDPx3cAD7c5s71h2eQ/WUJi0EaAyRw9oo2hxY15Avt2HS2dn9pAlYIgbY+7iW9q3J
rX+aBhE1u4weF68KSYk3NMD05HmQoQKzbOQ3alEvMItcGduGlenHOJzBTYnp4lFi4rLxi1K++Tox
FX4zxmrrsjd0FcC48keiwuzUY2luc1AwF5Jt2USwo0vRd+txMewZ12in7xFqkSPB7/qvglb2Baq9
+pSDck7wkJj9CIN/PMEOs3ZK9QLNB0kOawg7BjvT+fBcNPUb7ehS0tyNYJahcfY3dbFAREn73jk2
gwPGcQEtkGztpupf3TJqP6NEQ9LIQGJmu4ZzINla6dLb+3S28LBqCeJ6FYoBT0AoUy861ZUe3XUZ
exTMke2bA+hHHzPpBIpEbOIU/BpJjWq8mrEnmIFVWU0HwNGkpS9Dxdc8Et3M3PSyznBV8cDC2zRi
dMTKCPeWH2Vfc92bxDK0fS74hi8rj2rhG/1SeY3u5u4mgU+ffJikNAtt51tD33ID0EU6eJJAoFzr
vhzejQWmQVI47ZoG1j8rM9FPPFHU2rnPU1k0S7nlMpnf0n7OrmssCOO6YbbhAQ3Q1s4llutTXQ7f
ksaZdp5uIa5FM7OQaEqnoE/Mvj0BJBjkmUTJ8sBh4+aPqY+lVSWGukaoK/gBXg1MBkfQa8yEtl/h
/fWQWbLceKkZnl6ngy9+YJ0FOaYSAq2rGsMiiRJPn4Wwyq/Orn2bsz22aCVNTsdnCCUJID+ibgaW
yHb2dg4ow2bDNBfrWlcstnXVeHO39wiyPqrQzGDujQiAec83xWHdZbFpwY2dbDd+152Z7+0sJkpq
Vf1HNvXVQz8OzhqmhlhRFhoPUCkKNqFRTw9rUNx0nBeb/sVWNHy4PjGXfTzZxa2fAsFaMRYekNY7
9+Bl9fLaATWHr4QAuzEruyz2Tdg58YNw8snl/w3j5xrtiYBQpLKtz3V/SCcrp6FwlorjaBTmF0Zv
76YkA/tuGEN+SyCj3Nr11D9nelLxbR51OQeKpV2J73ks3pMsn5gJYE1e92PFZKCXDBviplQAc2oY
ZMMAuexRG/3wYwI2ngduntfI246HUaZtm2gdJuRRHINMAoDW0B3IX3j5BuGUEZk7zAoq4xLe9g3C
/caLkc0DBQ4Hz5dhyhcs9g4XN0soxAJx2cr9bO34IZBC35uAqVhQOPFfP5b5ZR5nqmFThco9hmnX
vxHJH0k+glvGCQvrI4N02mPkgw1fnN2hsW+6Wt73GTZDwOQvpR74YurL6CyBalbGbniKERAKbL7O
1xQl4kCKUtGZIVd2QzUHzhy/p/hDVmHtfXen+LPTjkFLnWH/CnVOIIdsBbgKPTkvHWg0tSkrTuJV
5LZ+u7JKZ7QPRM9S+CFY5asDu8hQbV0DbCh5H2JI9BOzXdP7Zf2yxfHegAuL1BeGvBIp3ezM56hS
xrKqRBe7+zHN1HS98Ph8QbaCLjgOlDpOlOVdIBDIGZniGYM4nexTcK4ba2CFcx+RGO0JygQYTrw2
yCAAHgDXi02UJN596poZltcQWZaW6luuYuuHisPuLVN2G0zL3H4aNSmodJFOHIyA94iJuKG8hulF
4Mwn37NJmfEz326YPoNALA3jyYnijPWWrGuAc5f2dRFYdTws17UiqLHJeWB0kFdEQFmIzubkzdDo
6VDFhn1dI8ACVp5w1W+wguNI86I0OfhgD7+rOrRWOcxlnh1VZYc8Z/C35kQYEI8moW6WJaMFWYrG
vxqXyj+LzprndWcSBc+r1kaKbwy6syHqPiurI6jO1Hh+F5bXJeBkUNHWvaGQ93pMVd6ukGaOxVz0
1KH4+ZddPrt4v1Pe5Su8ERau3tS+DHwmeUzzJlxXVsmoqkSofaaIWsD6+ab1ra3n5rUnWnbM0Nsw
kFuKHplLabrWjY/4lfmNMNae6cLgAYqb3PQePdQKuipwRGlES2CmXSPPAwFi1AdTIbJx2G3HEdTP
xTpQZ1yrgp9nZYzn3Yyv6XrylULfQ60b/aV8tn869lwVlwdleB44/7pP9vRq9d2A0MVwTFvNvOlj
/slzXHpzfINiqq/A1jXQapB1Plzp13dWlcv7sG28Ch1Xds1K44utOCstnhNmjbxmO+vFdmiToIGP
FAxdBLDcoDC9cwFvnfrwomNjqV6g90WL+0zuDEiPLqO5Qi4grrxREWGaF+0m5XeryRmBQbbmuNBY
XpoNrp6l2oV9l31QKIT38zDN+qzwv2HlrPG08bUB17dJIeYVEKsSDK4c0HPHqoCoe05DxxwuLpPu
pid9dCr6Af+HmTXf894170co521gVn52Fy2T8YSa5z9b0Ld31uD733sc208gxceTcl3jbRYhLXAI
NftuLJOeaJBJueDUneWsc8zUu5zkH8MWJpgH9pvOL2U8M+TouWNeJF6cjpG1g04Jky9JdyV4LLpt
sL3Yg+2uyqiUReochJFRxbQxJJ09QmxO3m9Adi6HyD7gt5fZthYpTiw8ltjonSiq511oRzo+Lp1M
T27vzPWhd0zYtHGS1UbQ+5n/YyiG/FvbKFVfJo6FtWnppZ6dZGa/nozGqTF3AqSLQZChiZwjQK6G
qIuRVMnWRSAZyIoQhDQ+yqb19jPY2cu4mFW8ySEqGJTCEBxodwKca6V6RYQx1b2L1bbd+Txp2D2I
f7n4OsL+A48r+RJcFduRTQmMYzJWflhkg3ZT4ciDzfeJB3MhTnVG4MVyymifUOlSaQpWmx0jK6Hc
R6wZ9XJMwxlXxWX98C347qVA0WPriHVmcmeEuygf+4wNqJqdn4IpiL2284GQLZ5vt5lZJ0waqL6K
lpLyqGK1A2uGzCp3rjvMnuHRNdshulGj10uSDmE47pM27jDAucVd52EXOyuXmgTlC5/ozicAYm/b
aYnig8vINHmNAdPle6Bc87ytUqLy76DkxYfPcIiU2QzY9B0tmVSjN2nTo0jq7FDzuY8Wwv3QtpSZ
DXP6NegwrLjo8ZZ4t+XQduuma0ZynWFlBSEzRf/M9V2P+1SZ/dGB8NdsLLdlIEqqZtdp5l2UgXJ6
ADaZ54c5lonYRk1lK4KqvU6uSscbvfWSm2W36VKr3TKmHdgFoUe5YzMd6Fi7wWCxJWjH3UUSwguP
RQ1PwFrhHBLzipshTzekWLL2bUopt6t6mvOrDJuit2Zbhstsl3myqo6FKGZ/HzIgmFedm3vRM5eU
bA/O1BWUOWIcz8NoKyBQcdwO+VMEiCn5NPkOl3e67+agkNVlfF2HMa1dK4fbpPb9N2DJrrNqsCkC
l+flMJRs4nnZm1qR0okMZ8ngqLues1oMr9t6jCCxc6jGOMV5+uYnRkhFblb6Nkor7kQnrN4Ne/IZ
DoiFbQL6PmEi0QdNnOLlzfyRGOZiDwnYc1lFQRzCGbS6nGuqIGz6AzHPsA6mB0A1QGK4uHCzaP42
a0wSh3Y0NQWrGBio1EP/QNyKCaXU9sUDMueHwa4NB+Budt8D8m0DwgPpSU98Y6laQqB3oUIVX2tD
D5+tp/qM6l1hTillw3xyphXO9nHbMFNqQak8t4Sb+TzUkqDsxtq8YQVPZl2xfnnQAX9bMGUqBjZ/
1Al82VXJSgKy3o2YdpNmkFBz9CMAIvM/MXiiY0oB5X3khiwOBjomCxE8QGZV1l6MoIspV5kmhBEs
uWvfuJm27+u4dC6olvyQWLNYPm2Tt0OOsjnxXHaPvPP+HtCG4O+XnlmytqA9VKKYPnQr9PM8xx2b
QnSX7MzEtI5YJi/ZTxzn616Z2ZtOB68iu03OYO2VJjBosLgVM0hyitm13/c155Ktcn9r8MIYJqf+
CfDYjAEmLdGWChWOLFun2ScIFkKzByuGHxwbixiCkfQdJ3bty83/rWn6/0GEjOcL7MiIff+zdLmD
Ht18/Ak888+/9bt06fyGx9j2qZBtmwP5gkb4XbtUv5k+a+SEZf5ToPxvhIzzm2cynfClZynXdC+K
439rlxdZ0+O0MB3LMi+Emf9Eu0QDJeM767K4MHKwyvITlC+AU1DEeab3i3LpW/EgW9Ivm869bF9Y
lnl+iSw5/Q1a6c9ks8uPUdJB0ZW+Jy1e1y8/ppWQmsfLdFU66fDON1NtlbA1rWOXkpMH+PcPCz/k
kX+PxvkJhvvzC1MSxCSmSCF8XOO/UJd8mInQ10O58czJJ06dsyqQupjLE5ibjfQq8/hBIaKyv07d
E5mCOQuobHkv8AbuRO0nxxZXAJ6lwdpAdEmO/pyNV3Ahl7M5pdXfLGb/hQ71j3eIj9xhfOMLT3iX
D+oPlKiE0Ps8TuwJS8My/xoH1B4i2fw3JfAUcKIoHHgeISTmrV9NKZavflLj86yTaueycuKH7vv0
CU50xyaYpfzxh4f6d/LQH0lD1r8+J0qSnRYezCPkdnVRwP/w64G/wyuJ23bTA1W8ihcznZgOlnbg
tWN0wofmAekxq/LEfT9thCGYTGqsrPzOah9NjvdiEaW8maeIjE91EJFxR32A6EZcCAOMxEf2hhFT
7YbQaW4z7MufPagNmpW6uv/r1/JzBfWvjwZ6C9Am23YANak/vxbFrEeQQnE3VZ9FZ2p6xq+X9WnB
xCrZ49jEPe5aW7gbo2zHr0KOZbjKgFNwEeYQhJC9jLt+mro3SQWHu8csznlquK+TmW7b1r3yGraZ
4TIbcKka+oa86nDoygiGl07eKreGzRC6rwzi7euOfRkFnBY1x8O+mmV+SJtMXjOjq8/Q6RecGxG6
/8qKzXAboeSvEvgyyDAKoCTATRzEIvpSkjD8ijazOjFcXK46dhPh0eE0OjW5GHHhWobfBSV7kP5m
2ekFKPPLW6l8bKmXo0ixeexXnmA2JlVl1S5OVNs62Ua+fC2yxnrAQOLemlqe16IcfRRtIVCLKP6D
v/4wf54cv/wGnrBdxybRYdpsQ/jzh4mtoE3ddnY3Jm6EmxJgN6mmUZwhdu082/xhJON001+2LOKY
VpDjSIONP2SdNZ9OVXdXNQ1ZvrJq8As4LbOAceCIIlCwdskI7eq2jMp2Pwytnk7wI+Yvvx/Nh74K
WaOXTcaraaf6XC1S63VGSHIFb2Y6oxUk266X4m+e3J+sxH95sd7lTlKO7fJd/OXFKlENAHwl7Px6
uNaMgvAKWYZzqLhXbo2ZxYs1MzFQgtly19RKn+zKZTIEybnam4ujngADzd+bUYtvf/05/JsDXl1O
eYtPQLIG6ZcHIdPEpTN3dDfs32ShUVP+iNizCapgCrxpOP71D/s3h5FyfOsSMrIppP1fgH0lF9So
5ssinLn1XkU5g2XA3vs3e3Yvv/Ivb/affsovx0Smkli2duNuQBjE3wWkLCwgBb0d0ui8/Y9fkU8B
73t03K7DH//8weLyRa2LMMVknTc8m2PNAjDEm7+5ha3LP/PHl+Qqk8LBdS8TU0soj5TVH09xiyNX
zVkiAdg091VraTZYzrskHu4m0IB+fIMbZw027uuCMUNyM24WEyYM94kKEpt5AsUnanPklHeyrUbk
8a5DL75vmQECb4rgdMeaFqaPDpWD8wy/6NIE+Vh/T/D4/vVb9uvHA+rKdRzuSsf0L3UVE+Y/vpYF
C0TdS7LPtDjlOuxjtcJ0roNFlsbfHDL/8rb5Ql4uPlNSwBBe++XhjpbQQtI2/I2XSX0M59QAYrAM
J93g9rDbsN/zVvt/80MpBX/9UuH6pBKgXOJgw6/+68c1YlyxcnMMN4jXj27MxNWGdbLzw2l8ZScK
6Bdzau8NHR9YAvPm+UWy/S/qzmTHcSTd0q/SD9B2wXnYSpQouVySz9OG8AiP4DwYjaSRfPr7KesC
XbjoXjTQm94kKrMi3DWa/cM53/H1Yn0XKWrMwciQ3szYgQMfy7f3oDp6CM6WGy2wizEVdTdT/2di
qc92Mpla6RYdPHJd4uXR1VQIXXw9H91yogn1lfEQerpDNYZmP18yInFcJB+5sRh7ZmzuOWiZKqa9
cd9Zotr7s8Y4kFiCXWb9OMos3DQAeLgHnuDcMfLlpnOCZ/Dc43X1vrE4/DRgp64NTVbUuG76oVox
XgWTr72mV40AFaB9I2R1w6imiNG30VrXsio+8V2ZN4drk23DWU0/FpNIeEsOKr56sJ3PObeAaxv1
S9dND30QjzzPvEjN30wZkOKR5bAhArL+8kluXGlq3X7vyrLE/RIiyq/A0Vjo2C+MvssHc/YYjFuF
HBCQO9y5/Wj9UXYZnOvaV/vcTE2GFyX4BhZkZOVqqFZRwiXxVSqWhYgbCfYocKtV3rPb5QzgJajx
TcOaDuY/AUun3s6cR3hCcotMfTfbxi5s50ObNWtsVfYh8V5IMMKV7UTDYoV/Fw2ZQo8vNN1/oKW5
b7lFUgEYhHpHeNp7nck7VSNcUuOA28yS5pssCvtxKnukxkvX1vysCkZsuIab0JaPdQhMIR2D81T6
4PG7niioMSVrrgxmbwvgarr2EABikyHZwzAFNQl6vG0jGAxnk2Tp32AawjhdE3UwZNA9qiowPxrZ
Ve86t2O4My1UyWIOHsgt6B5FidxrM6dG5m5rSy5kw07La5WuwyOQgvG1s0gXRqOPLD9LurhrRXkR
nUwPmA3FU0mhdRkLlFKFYRmRiQWb3+x1l2QV467Us7EbncD8FonZH/HluRer77Dg8O4d1qIeHrHG
/+onf/lV3J6hNlwR98n0gMsvXtsXwyTVlezEK96EcyJ8FRdGoVn2l+3vJDFZ5hh8JKU95hTgAYgr
WZp3widYZhjkEK3METftnLqPvtTZpZTtGuFAM7fA6pu/2NfnvWCie4feub42bvAHXdtnAzIcTg0x
78mmt/L53Vd+e3BSDQFjQdSfoQ3ZjCpbj4g2iBHq0/e+U+9gN0c4Hq7Z/6pac3hLg9I71KGs49Be
0GngbNnS+aj7vu6JPgh771D0XbXvsVfuXJsHZRpe84ZYXpxzHlXUmQl/uGyeOGFnFHtSH83BJsLW
a9LY8vV9oqY/tpueSOHw4IKGbCEaw563RZ7xB0SaPU/M7nfTPAm4A0FwTXARsBMUKGfH5ZcK3Pap
6rV3ZXvMEL5uGLLa+XRkufCwdob9OGY174lFVgqeKc0E0ASiH5pDts9CjcCFlclstd29XzB6KW2W
wukCnsMFiPc62OA0SrtbT4ZByLLbEneHxJSZr6MWLgiJKYM4om81NiP7CFdfQEVUj+7S6vPginon
un7AO1bEMF4+ZVarPYPdJsJZJDlX+4j9LaZ6VOmXtmTdvIgZ568uiJQKJEEp5EVhpUjlA7pIcKsJ
rZ23t2vnzU4k5lsbgt6O0KiIze4VlM/4lCbLCeE3M2F1XMviBU5qwzPuykfbYHJVLbn1Y6xz9dRN
BZV+gJk0LpTF0LhfmyKae+/aWzC8SUdeD3K2n82E2KjGsTbjmAA49McYV+O4I2/hFzlOp8x0o8op
f5EBTuhaMzmxxgYa98J4bssOvfU8nRvWafd6bAsJyL5TH8gLzaiTukm+UtozmATE5e2XgtzNTbf2
pwFbztaqbYJTy/QyYt8F0qXNbaZxyjDHQlAoJFuYMUdQs3FRvu69EJNNq5M7yo42bouiPLW2mB6E
iaCfLUpzn7Vtd+d6qn1yPPmYlSYSy4p5fe70LbmiRhmbiZ+/JU3g4CBx8nusf/YHj7rdKbLXLs2U
V3GImTDOmGl+Ew1e3IGOGDdQrNRTby2Y0eouPEwkg2y7oaAdrBYE58CwjohsAVeRKBiVfWmcUeOM
eM84vIu8f+zNv2XGHGHjiUW9sAkmtxysw4Olq+XJS8vghHLrJkX2i5Ph2MvOqYbkvcGw+kFsIQJ8
qzJvghQZN2iCj4TFF7HTD/kXKAe4Zg75hpMM/A9Cx0BHZGF7V9gp1222PABty6KZlJIHJjsDqtCx
vSdUzj0Nk3LJQyL3LUsm48UysvwRF6x97FHG3DOPhFIbFumZaB7+lwqni/SLn66WxUvm1sb2hqmA
DUh836h+BbWb7Rt2NhD7mMsXaEIzooCqjrIbutZyVA4YMNHfdePVNciVUl5zJShMbrBIBsMW03Oy
E2Pgn7HEt0/DmrtoyGX94Vv4SYRw3hbCiiLgi1x/cphiV09YNwagYrGB5gqbilff9Ngo5myn3zs+
YRe5gT7ZF718Fu4E9WReq3DaIw7JjtL2uz2GeoJZ4ahHq1PzwU+GHmbV3HjOsWDFhw7PeA+wZT8E
/P0NvCjx2BCoel5z+eMp7NCoXW0q4KpvnsnfvGDsPvjK+Ut8DFi0NX0gbNCL5mUqI9hyBWNtXueU
MKQtMmRW4r5zRvWxm1KE0AFWxT6pNSIok+BySG/hFWzneEWalb7S4Xm3SOrc3IdO42UbH+7QxWEt
8eb3vvlU14Nxtgbd3dlpOp/neVY/imiWejNJ2ES64cEIwwFaNhvh7yDPmrsyh/ZnZfw9MwlE1HsN
fJGcom+fuDepIOfC8m2Fyr9H6LcA+ESasetDv3nqGr85ZrKY/qDI8sYNGKHulAKMjxXOEvhxCJte
RUJNUpAeiB3Z5b6eGP+g/PdI3HagSHJVjjIBmmQibjIrhANKE76+EIhdUWdKr0PhRHAou77qrUVC
8oH/vyL+VMFS23RZliS7Anyht5FtEV7ILyJztRQ6smmGZg4b4X6mkivI75Lq07NGPw5dAZiqRL24
0boOIU3KjgfPRgyB2lrYuwkLstqwLFyvM3FIlEy96q7dkqlzMRVPWD9/OWgRx9oZ9xkKt7s+TdLD
OK4f42rxhV6xs4KY6Q+jvbY7DCbQw27XDat2n+q2X+VtREQoCZ5vctUh/WFPMfdZMmZ7nzAUoEg+
y7u+Tkg+yfQ+wfVbkKC753YlPIfcvZqdYVOcBP6Qt2Ze2Sv/rI7/FGjrBQPEtymzI9l5uK3VR2bB
DatTUT/KyQgOymh8qDu1f19NQTlEVZvXUWuY7EdbAN6X2uj6yHdJN6orgZTfryzqpMAl8szth2eh
SiCbgCQxsXYWiqQmZ6OiPNf9njXEhy0PYXyQiZs+Yg9/TubaxorYNJ/zaqxQq7VhHxgt6T9TkQzP
kKhkvMwt6eRd5x8IP05v3LFy+SFwaWL4iuo6dW4OG6SYMd9k9rVD3z7i29GHyTDTz6YdzE0PI2Dn
tSlMmjS8s5uye0R6RvQ3KdUymlTeHX00d29Gj6GXXoWt0ia/wZW8dqVnNUDPs5b28r/8nWZXEXLd
RXIRHherx/oXepACiqUDwqqKVIGHwDS6cxi17norrO8hpgl3k3st+U5FhsMjNBDq505rg+K1SJdU
YfAsZji1G5+h4StM9PaTht04MSFocaxYIV/uMYwFeyw87esjeacIO+rmZ2DouJ/twfjmOwxr19bJ
oQSA9iAmY9zNfohlecbIfLSbQJyNzE5QouBVO1csBa/AZZsdYU3NtjVB/Y5JkEe57ZinOg1eiZm7
s+C6/SKPO2fbLbNnjGzt8+raYjt2yN9zAtBo6kLvMQzZtma4n5+IXrTOlm8kG35k+vt2FH5B5crQ
gdUS6plZmqe+cC04pCJ89ddhePFLjO/ROOS/OViqSzbp+VUbmC2jHMPB3sQo+EWQjeQ5ZOUhS4P1
vhry9GKuKfKMfm7v2qKzjx0bT5jPuIFaYaXveTcmVyhQDV8gRojaC/ITXGT1jlnZXjc9a37MvGvX
7eQEzf3mzkLa78N8YsqQXxnMTW+lw2BuFkt914aTCtncavWIeNBnnLL2y6GhXjt51eD90aa0bvmy
Tf5o81F9JONtaTJs05Z1dH3646yimzzgeWiWTZNrVAlF0ByyRhfvStX9pywcw9zZBosDhBor0C2K
8+J1NN2QPL4F10oterXx65rGJkhr415mGAWFZ+BwwnZ1mMBTbIRtEqq7ZP0D12SxJ1OwsvmWyHSb
LcHyJgAXvopcVFgSAjeS3Qr5SjbDpfTnRz8hIGkTTOV46HgKgjVo1/zlXx0PvR6O6l25BPAYoKSy
65jTwMWjmeaR3xdUIYlVEkVPqtsrsizmlYZBfcf/LX9XXTLvpnWyriaESNp7Cp5L0gv0fllSfBKG
26CfNGHVb4n91fjcs2yIK2lT7Ip/QulaogQ3fbo88UQZoXf9LGiqajvmUl/i2ffqQ2kDd3mrk0T9
nSxEe3AIp7G5sxx8tlsaA6Q1Iat8FtGJiSOuWspeR1TSQlwNF6XwyVwQTu1m1/0Y67k+dGtgP1Wr
HWLnzCVqx6lFE0eFX7R8290OKVtbawR0WnIUrOuIcbPMw2xfN+CYhxZbtItdrNshOF2se6bUt1y8
HIORhzp8xcoFf2TGE0YeT6hec9jDWy1YTGvp06eJYP6LQgshAL23vltFW/9yzW7aK8i07nbhhsUU
j8zkvvbr9R0XpvoLxMI7G6srfnjq8nNMNAIQ0kKHO65CjoF/T9zD2LhcVAvgF3c+0emTOxn3TMNS
zvMJsW80oeK8UWe7a46A7EJ+XwHVV9Eu+loGvwoyYhluc3C/SxNA5C6w9QmHYYDoTosGT7j2uk8l
QT1UnZN8sFLiezVVN0ds3j43UxLcJ72blnuAJr8qmDK2JtnPGRyWJ8wzY4hAd2VJODlgNp96ZhXp
E+766mVGq7e3jS49EUZvXksMOww++rFH5To1ar8063BcamntOqAOw6622v6dHAgMRFxfbwSjJwMn
fOaBodOmuuvXovyG6WLutG5RuXZGepLBaD6Q3yngbeM3CIiFQLYNpXgAGj7PC8RQF3bn1pmn9VyY
Jo0B3fAvy5XBkelqit1i/qPM6U+vxKtBC7ABKmEe2cbPUdDacH81RyhwpfGt79L0LggR4xGNnP+Z
YD0Tx4oQ6sJki5uhprCG+mL5KNkc8xZXSFztOnfijyIRgxw9H3aC5Wr1+/Yr8HMjHAmf5swBRudZ
CKQ264SgFpSzgfLEsBfUDSaBbU7Ck0PhRQu+vrl9j6+uXPWvHHtyuZ3gWF3nxH9ACeieB85gl6eV
RPlAGBcieHs8TVBdj9DziC6Ty6fBT0HoJ1wnojEpY29YZviQaTBH/bJ+BSNzOPzvtfPpo3q73sy+
H4qnfkeCB2jlsBmO7LjaHdMl++3mpHZEJsngTBb3IsxZb6llAIWAto1ueYwZOJBT6KG4SgbZ/SzV
zLitHkUMzRZ5/lx0W1vqIdkmDXT7lvAdXkITTzglbbrpuKw0OiquZOQ7c+z1q4hbQ4EH7j0ocelo
dRdliWZvOL1/bH0YkRtOOvO5C9DtM8qASKiLYIZbXMzH1VRPddJnDyTkbeoQnQc94GifkwSRRsHn
cPGWNiW9t10OvOMD4ZqWw9IVpRTi0/AEheZDC9t/y1YPoeTSo9AIVjSfKI8jl7v3biw8+xxMoxcF
lCsfk+kVpxqZMR6KtttZ8wTXiXBPtHGhPs86KDHtG2LZhXbGtq6hv3r0iWrcO5OeTr0f5r/TfuUC
rqDZIHKer2WeNq81QtyXNB3XJyFS/419fUtLRJbrzeIm7V0AIh4BC4CXCDjFLVAETZHdVdbzsDQh
/WwOKtYZuqO5klDYAUnbYhMqtkqWU7N1Gj4qoQNVKkYGqED9Ai4ntwGRvCix8ERh5qSUWwu2+zwk
+s8TLnD+sNWU9ljT4d+TrbBuFyW7eq8wCzwNJvj0ivIewinjEU3bZeWYFFwtHvNqKS6ybZO7QNZD
nLWobLR2vfvZaSRCYbPZg18hw3BS9ECKCIc+KbqHfG4fSNu0X82ZXOze+spb7xs5oLtxW48caio+
ufOytUZo1HvbYanO3pi4hzTNjKeude2tbOzgrl50dc5V+dJkIaHZIAz/Spxez37vOC/4m5JjTgmy
E3J6TixkUBCt9JOutXEYK7e8zNykQEDR1afF+JSINX321rqOFSpXFOBMmRno2mcg5mPs4sgFUdA2
G5Yhn2OALdZIK7SBCdqoqvfjEXE8rLfh70C38rOAqbY7gUhwwTIzu6u/mVg8lXlXH/EHVDuJSjn2
M8VsiOhCCFRMB3YrSI4Xkj33K+tQm6zMo8nKdmcs6rejaszfMJOvwTj0sFFLhJsbwUnaMH+KncQY
9y34LACZgxUgtLtKFzGZJF162vauGvdAkfBdDqyWux3MuFMA6HXtxC4smsuUi/GzDt2fMRBpPIrZ
PILj4E8HCHdHo9+2yru31uEgOvq7Fvn5qZfZldlvy+6gjtuseGyFa/xCFas5mmiHLV3PjPOn5cQA
7LUMHcYKhr9l8bC18pxh3zR2R1gApxQyA73EXP3YkLnBjfdfWG/vwRCiiEzzliQi0wLizG7f4joQ
xPS6tECrmx99a1FERoakvG2Ghk0WpYd/csVcbvuVBhnztI+jF296YGJPSG7tBDEv81eD5fAEq92J
kHXStI/zHt2Xigwf6RaOePdXi2b22ZNpg4UusxBfaeKu9/B6hkOFp81h1tJmd67ISy+2a9P97CdT
pN8J/4GvZ99BxMRi82I7QIR7DQJrUy7TDs12R5q59HZrECzhngUFoww0gY+JcJJn2WHWIYu1DWM/
sI6YH6M0kNaddC3Ey82k9XIgeiL/RurIregDudj0IEWLF5GvBStHE2P4d4rwj+hM14biCXYsOXk5
/ck2LTGEfYZhUT6Gqe/aR7bJmOQRfN4OuLy4r1wA2jfkxFZLROUgGlDtp9yHHgnyt/M0BIxW9vlT
gd7/eRwA/W45N5rYLlZmmjoht3fj5Z7/2TXV+L20lvvzT85t74QjJPuQulnR14Ernav9ug7WNpCL
ORwKl+seyR/TiDyd6BaTDnVJIPoPBsVIrS2NE3Ae/Dvfc5nhCx+XBY7wZK0untECDu7k1S6so6q7
78wgw4Q919XlfkdEdSVd/KSKAUOMCW0GdkWTProUJGc+cdknomlJRww9Q6XGvb+YP71LgiiiVkil
2BbYLi0SOkIYT3X4NaXTkyvnDydRMxCGhDKjWG15nEt+V5AON0tPewlBgG+9ng96nTNsJFz0JrIx
xyfu7oYbsmRKBkeyBkNZ06kOwplRb6JT/rNOxG72Dhn0lD2wTjJ7M/gJPZMzGahMPLZSoOD0c9g2
w2s6klkz5zZD6sqVFxygD0ZVnpUtkp05+7iHgowhhWqTBAgBjcwOVZqMQIasx6m1hy8sI4Rc9N4y
n4ijMyDtu2VB4ZuzFpYDl249phx52TZgXrAUaXhYDPAwBq2OxflTtxcDwfKz1KFJocX8NDcEyxG3
+MSlb8bLxInLbHU+563bR/DK14/Fp2urt6yymGyQe5FfkYd+aG3ajwR1JOleDfby1Rl5eRipjs9O
OHgfi1zRykvWepREKw62YgmN81wJQ258n5cBPZhA5K7S5GozGvpNb0oXshbJJZ9SLLcDrx+vpMh8
c5cgsn+lhSN9rO9jrHJbXZvGyQnhM2dqKl9xtR76sdN7t9ZvgyJ6hnj1VxbIMa4f/1CxS0IF3mO0
XVCkR27vMuMuxJWkXMhUFA6vKEZhYAUdncnEB21TeUb/t1nzSyd9HCP5EiP0jRpdtTuv1FzZDPK3
a5Azgc+6XWbZU6QQuuBvsbp0Hy61RY+PGIWcCzf/ZY34ghA1wq4gHrj/MJqQ2arnyKNbWPKnKZnH
RrPFB0RjoM03tQyn5wqTPYxkcygPJfFpDNfIifazoH7FNKL6eGRYF26huqw8Lp9A5cZLHzNZXgZ/
pLKYuvyOzQkrB6uuDnMfYhbo8aPIjVPr9Wmd8+aA8EwT4gMt8BCURkXaUDuyTgBD/YHgOP+9mr25
bdC2PHsdFh/qwi4/uavDEeb608NQsjabAPztODdgNucW4dWBbJ1jb8GwIXxalxdNHXM3ERiPNUZ1
sOeybIZ08a8o6wE+baQHXvKtsMa3UuHsCII12OXe1McaHyFlnXX0/I5rEDRb7CoqqA1NqQUeHmhI
1rNVhG0p18em+1FFLv4QDyK2vT+K+/JW8erVyp/Q64EAC4Fkt3VVPBTripXOLOwHMHLrm5NZ/i4I
hQvmbYVX4LrDxloVDJqynbdw/ji3Gqu8R2aEmNyfqJ0TCbNF8v5M1HL7kVM69uySvX/b3zZjMjHf
K8YNdwlboKgrIao0uY2fDMfwuTRb9zfWdhwbTPW4PErwn9HouJjLNNC+Kht1xAzJjshPGDddKYYP
KJ3us8nn8zHrTD5KqY2Z1VnbJxel1KZlD7Xl5lFRwSHLgGrC+oGzg2lKueRRUBLKk9ddGRMeOLzL
hLOuNWwW+rpB2bZZjIJnfGPJT9uqMdkspf6gdqADfzvoaD/dKcivi6VkxDoR+ghCxQ0Qa3eLNX/a
WgYCcbes2i2xRwsK+YArJ20n3h3dyuBbaPHZBMufdPLtM77DBz5QTOuZJm3raigeMmHWIx5P8qYi
7WT1fAlXVtdxR9c7xi2HJ6bCXk0HPtaS8vEmQtd1ALS/yNNXXxpquV1EkxG1YUWcmeCVRTKwhvfN
ZCYH16/731aqIcA3T4lvD1dCq5djY8w42EsB72bQBfKZbMiTx5Rh0TOfrvy9bDrzQ1tQtj1fpbuU
pJF90ibr1YPIvpX+LRQnWSbWzpVpfKC6HF5LHMUR9iPJOHw1g2PWW3KLaiv9E6ZrEHWJUe4IVF+e
ZSi7+4a8nD23RbUDgqbumtkAZb9C/WT9Yv7TJY9b3HryJAq6Lyutqjt3SQGPDeEAgzdnY7KSlbVX
5JBcGLQMxzUrxXcJoejNVhTaDU3SQYlMMYf1s3iGdbw3B29XWfP4I0IJC/Kf6Hbf0l61zcz8Pln1
/MAnsqKkdvrP1puK33aIUr8nkunZ961Jbxb6nS5aWB+jYCBaixyxueCfJVOSF4J8wDiz3AjmrTEN
6tmca3Vx4MC6FyNoprthwbDKjFqPuH3D/CDzjA36WhoPpDAEdJJebR5CM6t2nTegUbmBBHzQry8J
JLUL+BQKEdNnaFNZpMBBhNrj5GGJGazVa4bl35UCCdWq2rNoxavfiD820s6XuhPyieyxZC/aOb9V
te20BUH2ZhDQfl3g0L7Yczk9iWVqo6J41Ixa9xZExQ+gRerBhdjwIZJs2BUIUU52mwdbSCzjB8fK
h1dW9nkRt/pA1+XFLh3rBFraiKs0qx9AV5VbfK3lzzQluGG0ZWz7esppVQxOBwRWB3rDPN1KTIXk
9viOS6SMkvEEsPizTiV4G4xp1m8syNRjqjMEVJ11ORW5m0Z4nJjLkjwWqZu1P+1GayudmzSiGQOO
prQ71p3H3OdG7rL98a4jHWibeab54YYVNtGAR3UzkNfmI8PW/ASfzN4zsy34qf68bwkyAgRc2Q+d
L9WuDkMzElkTnPBHIYpt/mrmNd7MnVEl4xxTRoc3RqODfbPIjG2iiuYgPabGpFB/Bln2g0rpT8C0
dZuyxc4Tcz/7Nwyl8oq4k+2f0gPpRgJQ3OQgvuql5PBb4MnW033ap/fab9/mkWMHlG00VyyGhLmA
ESOol6/sdjSdaMp9k1iv7hkM2AHF0NY3pgyPWVNtXQ2s1GUrNAB9YJEVjIx7aqx/qSUOqyHvKts5
jMVyj02jihfTYyPEjzyoAJe+M6Tokbs1p5kcx+LL75Z+L3wcT4Gfl88W+68Xt6FjbFeQEF7dmvH/
XFuDupHV/c4vh/SbdBPnTAts7NcghRylcvX6jzjv/3XC6P9H2aE2ylZ0f/9nJ8jLd51X/+Py/TP+
O8Xmv/7av6wgoPFtTCA0X4CKQyS8SEr/ZQXxvf+wTKj5ngePhpvH51f9lxXEtP8DlSNSV+O/3CD/
ywoS/IeBLJC/Bc+elguV4v+NFeS/a7l9Bsc3Mbfl8tssw/pv4tBe2sHozdDpsPg9mAlU+FLIr9oh
R7LHTSyG8s7BCXgYFYDUf3ul/jf2As++/fB/V6Yy16T9Ci1eExtoj/ffBLCzMNFWYbnamZVYD8ng
pVsxkK3bz2reDGRdUKYVFvmRUxaPVPj3A8ao39juSJLq5gyy+OAolh7rOl8mN+BaWmf3BO1hBtOR
23eyZweW9yo827kKorHnfEVMR+gERDk43n3nPzJBd8tzh3l8Kz3vhbFcuPUxMVxomtuO20WbV4d1
mRGNnjpjY6Zvy8uBnmVY9zfAK/cJtMuLD7z4xTQkPtauttfHfsG7aQVKvPjkdG3ZLKAEsOl58Sg4
57S84VPYZL8WOWGF0k+qjUmIBnnN3hhjL3NPIeV1fAPw0XQ7DsKnXghs0kSqlAfHl9a9z7BGRb3I
R30UbCvsk8TTCybMt5M4zfEz9yAoiRfgwPsKSPOyQeZ01hMzBiLMWA3ehjWCV03Zy2GZCnU/pL1g
AIf26REvwQSCcjE+WV8o9pJsgpatgS31JmPR+kMzV6NXC3T93NjqfZTC3U2JxYbcGk5B45xC0HcH
RE8I6fsgjwspvrzRCM/G6MwexLeZgM5RjdamLAvQYF4BLOWw1vN8GQGF8GaV5Ylhdx1XmVfGVpCS
C1fIoL1vsBwds4pFkM1+/QVFQ4E6VqdR3kMiUApa0TrydiuzNL6JRCLetekU4ky/nuNShFfsJfoe
0lK6L8GOnm2Bgdlix8yoEi+nL1RwMAdCqUK+OSSqDaN5v+Q664Dx1P62L5jt7ztR8fazbIbw3TlH
DC+kqwoLaDn434jiQb2TIxS8+2VpnDuG3j2iwFNgSnujbp/zIc0p48gWPttLH75MMKQ3WT0OEbA5
tUMAxhqjDjuYLBLCH++gevEthC8bFzrfc5AqrsLJJXmj3S7MtbOIIodiXeG5/SqC0Tb3nRdYREKN
RoOWSYFu3GWmdsu9s641AA1tOdO+zvP1EmCN+tU4yfBk2A2OVL8YuH8omZ+1nfh/1tTqn32twlc0
LOxRl2wUX0Vuzfc5GooXuyRvI5rbWfoXB6EI0JR5anuQDG6i96YQMvZCt2CDBic6xawo0/Y4lKn+
1S0z25epsKz7oqfT+woCtcSr7y70EsTg8L32il9q7qsHXRdlBD+3elG55R6aVh5VA1UCeNvf9ea8
hi6oYZHa9l8AHt0Pxo/isKRufiYQIzsC/UT3kHTwllCTTBcvJEXBcHNWv+NsDq+etsLfRWInR9F6
sJ7QOG8bpTXoT1W7h9Jg4hORWKzOdKQZi/yGtVVSyV2FL+RitKv7naxTs0dknP+1KG92mliGp0ZM
wTNGGPMbA5n3YI7rGCdZwks4B+qVEqWNq4l83GFO64+scOUbXY39isDLOSJ/vOXiLgTYosWGv8eI
XcedUhW1blNhbKFsM/vfNL1NesrsPlWMnKrAebXavNXARofko1+TOGHj/DdJ0JofnMUY150JYXw9
WFqsrCIYNu0Qye6DJYM+wYS0RvM/9qxPUkOyxiREDaWnKcI+mosp/+aTNtPVJdnCgUQFzRY45zSG
r0rgVsb0HDF6hx4gsu2xBhfIwvR+6NjRr+hNqT8deovbyiw4JjIwv1zhhtBV1ukoDT95VzYAbWxv
kxZR0ehc7JIEpeaJUXPynREY6SPuCvUJ3ZsmPLMZ/CNBeHmC47dEd0FeJwAgEgl2SUrQbFPM3WXo
M2XdZXUQIsZaPhcWoBbtAy8M/Yl4brBP/WE8Mx3V2mY7TY+BSm4kB36zTMsgI2+pmw8+/MSv1StR
TVvgF6Edl8kAR2x0JeNBqSdPbxHDDLQ6iICZ1+jO/Jy7iayyAfnivs6MhkDeUQ6fotHKoSDrnHfC
mIwPmVOAGpIKOx8ZbtrOGkYh+oU9PGx1RZgV/ih0SBcDsnER2+5gkDnjrTD9qzVp4yXFw4+RzctP
0ITAqqSdb7+QSs00XTt86Tetw3BqKXoeQF2uJcy5bIU8o80C3m9aFrXYlKpEabGODucF8hbEk23J
KB/ejDuyrPfsdd4H/2Qs1xARBL4p7p3gFsLM1ZMAfAfGwmRjnrrXMiewuaSV3vOWkSlYEOfslNV8
L28RzzmcpHDDhnG4Y7pNLGOV2WIgEbtuUB1hvEaqi5XgFhxNuov7oODDZ7uw9u1rMU045BwGtSnR
OffEmAGyAMRxQvCsieiF/rGB0Vc0WyRfaKbDW4Q16jvSrPU/ydYs2IzbFx0I5zr01i7F1/RTLIge
2LfkZGO3Zaj+9sDFQbHcsrON/6TuzHYjR9Is/SqNvmeCNBq3QXdd+L7IXUsoFFLcEFKEgquRRhr3
p+/PowuNrMRMzTQwGGDqolCFTG3udPK385/zHbaQOyROJqHoVq6tJBbp0K47DOz13u386SHF2vcE
pT95cTpauutbX3eMyIWCkSLAcTDy1umt2dukSXpvglvdt7g1f5e3DvDh1gae/i4GR8OgPc658ebX
IdnhlSu99hIu6d0sb56mgQdy30CPtmsE3ECkz8Oth3ygmTGAzI/oJn73lEPSvEqQvFQM0ln0NHVg
pmfZ2ecUBZI1FUbCmjT+rf/cqhdnzUyG5RYbDgPsDwxE3oY4+z0NBqQsbgRpmWt+Hl/o7zioBaeu
HulcL3yxVihiO3nTSHDHVeEDdSYsw32Dv21TiFuBe+0TDIV2Hr7ylCNdV3NRMQcxCP1S4IqvrGEo
gw9vvfC+YIsKeDujagbujk11fKpku8K2wh7S9O0nCKoQqTzMuh8kR6kBU78rwYZW09A2CPuu+F0Z
1tAhS33Y7yqxErgFC3F6S8djlfn6VmaxMK0Vqq8gXc0NnSbd0q9pAsC1HCQez0PdZ/23zjPi29jY
tFdiZ4Jxw6jirzqfpcfKDkOZbfPG9n8suggeJSTnFw6jdM42Q1acktDVVCYLpq9ta+z6a5MoM22d
ceDzpOYoemiMXq6F3Q6Htgrk829qgC1Ejhjsh6/YqOm+npweTBPmxUkfYwQDGkexLfLmcQPXuORK
IDxUJbSfUSGydDcsOLB5oufzFw9GMEApM4Fxqebc9g72VLd3xJhSsyUgXt+l7PJ+dVRTcYvPnWm4
vS9w0GJDHcHa8SU3sWwYPYIAzViO95WSfom/x+pZt0AcWbYysWYQ2/YUVhsCNbzrel54gfIiykqK
VfAK77w5FV+GFiPRiYYSSHH5IMRwYhk0hDvHKRg6cHSf+iEoQ8Yee2ICxlO6cmZZnHSc0zIZBSJ8
ZjMovgWp7cOcoUX55BAxPSsnne4WbjoFt/Qi+AotcqjOEwbphi6KkWVzMd3WYCFoQUZWONFnKk6s
99BqsokKlwW4TmAzRm1HwSl4LTg5DLvO9tm68p5E7Smd4/hbWQ75SzsDvb5b0s4Pj143JseybrGN
to31aTt4PYvYgfFp81Q5zhPABgwNaf7qjpJ+P9AZ3TfebX2h8pWt2aLc7uhxMz/EphTnRcLJjLy4
u2PdXmaEGGowDvzp25lfAvHNl9NVs91JN0FKES7N22ZGzI0a7xnduqGU4p+fx5xbHv8fjmMe4Up0
BXZNZAal5Dj653AdEETKazLZYfiySzhbCVGB6kvj6Fc3Ul+EV/FgDVL4Eib7TmZnefznP/+vAc+Q
H+/bdiiZ7mxp27d//qe0eREboYrRgpwcm2ZlLbrC5ZqV53/+U36faP/6V0biduK0+Tle9JdD52xw
uxGlgDmZABbrWSlTLGS5VniQ6UI9bjFoJVYigkiPPGqJjRhpS1s5xPFenWn2jrNFgMTXqnsqsiC6
3F6ytQ+L9mqNen4FSqrXbHiTat3zXOwegPXU8X8mR/9vKy2X7EdLQvVX92//wNn427/9mP7HD2jv
bZak3d/+P9JjHJ/AOdHIfwoWfv4s36vkvXr/syTzp6/8uyzj/AGz58+Ijv+SZYI/BDlriWCDXwAK
x59kmegPJgaAv570RBginv8XocPx/mDkiaKIWHXo4kv878ky0e3D9ufLFNP1LXqKgU5GIY6Nm3Dz
p09DVoSZccFnMIJ0Tz67hoPqJkFTuNfvIkuNn3k4I0D6UUQ/q5rXwVSa3ZD67oEnhYs5J6/s7cB1
mZONGL1HUvndzlni6ogHW6EzwHAL4sS/uDDNj7Br6l0HV+hnK+J6t5RTHvAtdfdhKBHFOW9jcFu1
U+a/cuZMXzpdmUtTtxz0esHmAsuuHZ6DaQlR9ccOFGCCwnugXov1fzLSXd1Li8bBaiSAubTc4sIz
I+Xw6gt2ZGw9cBLxchDFBGYuDy2GYNBNPGLXqpXtkUNx/rVSgdTrqvFHQGnlhNRr0S1YrSsW1ffF
JCUbIOloomNW5F1ufulqP6Glfa1ae3iL7HABPh/gVtJRHj9DJcQGJ+yCLRVk2PR6c51CirUmP1l1
qZvddzwBXtqKCO4WBwMdyKgfq2Gcr87sDKzvzPijtpX6bkE9Y+NbGnNP8t1KN2NFnxLt9t5LbJPU
7FzXek6LwH61alatK98NhuPcDOPjQPfEtiXr8fMW0A7WiT/dfvHSBbLF796nSBJ1SP9AL+o7m1QP
h/OprD78XmOYS7HArZiWBL9kGEEaJQC3L4gn3kOiZPgugnnexPVtuURfTYepwM/2gvkLthzZSJnG
Ifb68USTib1lRUzdF/mWp37KcPCSnHFuuHpGbcxeMQVfy/ieEBc5jXMwXrig+jxGV9fW3leD3CZl
EGzSNtoMk2F0sZ0BpBqJw8BS2Ys2NdHIyWrOjsX8aVmBAjI3NfcBRLV9reoZ3Q+bUhoV9pYIfnLw
e8WCXeLGEhapKLgu9necvMsJJ1r8AHA/v8w5F2pbj8FHV1TTjhyiORa1gBBfhc9NM64xjxARz/v0
Abg8xb1Rq79CJo13JF3le+b08zmjVwJgHY4knynHZRH2zbb1m6ICfoUhdADCN7yQmYITjTuQ2gaa
NLIvahoP7ZQ/aAG7KfVOvt4lwcLYUZU3oxtpZep0egyFN+MOsx02Sm2S7JnPQXAxDhTCqPB81t/d
lJ9K3DavJrDDZ9iMdbGpXdL8WPAopF/p6ZYTZhcxfxGN3RwKrqmrzcuH0tkBV0afyo4qwjS2UrUv
X6o8lFdPhe7BaW9o2VmxNIiDMfuFvVfv2lExhVJWYz6g0jJ9kNOIKMR2GJkpYOPtx3VAX5nnzw+p
zNJHDhb+BvaXDaCVpcGDnpqE0zPa1dOEF0lzGEaERcEe3nSWw+jO8EPPduVdAUVzIKNFZ+E70The
Dr3zFIkmOIRLQ0VGrFnXhdEkvvYqGA/+OM0fUZmp57nDE3wQfi4/uL6zX6nPhnsFLakB8TaL9N2J
S1LTDbRygKhpENzndK1sZ1sJiHogUJpdQXpxP2KtwHeHe3Gv+6K6B8TpPg/w1inx9sSXQlE52lpA
mle8KP5DmlGRsBF+Qxqsxaq27+0+uV/G3CHEkPj7fMy6O6wW6kfOJcy7GrviBaWuuysL4zIwLc0h
JI9K01oZXqtKYSQoW6rxVoix9tmPKfLkoJqcPWfI75ywIHEPFYJkY2s5zrPl+SMLb7+0tnx+gysL
G/UYton9JMUkNLZg301PTMPB16RUNrxbHu4/xqVe1rYCBRzA6Wmw7NH90YenvKFphmMZTEmw0AMG
fqsu9hkmRLMtMmg3LlikwxhVVztvCbs4lmdttDvlqzTqnMOE8Y2WcsxbHh/crbHxhVKpQHZpXKov
ZkAo6lgeEY+J7mlyTS70kYY/sMpnlzGJi50j6gXpvQOV4CtBnw0ev2JpissweGSFqxjPp/KCM6d7
3kOR+Hdx1BQowjkiQmCqczXTUILA3o9bIhUfjsH1UjpWe3AJzX3Dfbzzw/5b7pd6z0efRTwt9Wkj
0o2VF8NPWWefudHB1jcsY6kuoUiwRjmnEeOUWbLZe70nj1Th3cNQCTbwYK1Hx6ogQS5JdUys+GQn
LUYjTKX2tiut+XXWN1k0dpL2UcTSxWCXWHrbSrHhXPFMDGraKTwKuzrVr6U9iyN5SWfjt9nHTcoq
CToICpQ09PwNfXToeshw066L5fDkDDK/EJfWCCy6u7ZCnIPQ+95P+oB6gEuJgqsVskFPK8DkcGoS
d47sFgjArKvppmsp7cAlV0MJxJ5wFiSJ4G3Czk9Xk3crd09t/iekKLVv3PzUFjHenNibSd0vKSM4
hq9uVgDxR0Iqbfmu5hJIJzuIN7fUJgJ2OmcX0r7DvkqdBkOZyya76cp2vzRjyMEQ1NI6GKb+rNKk
UKyV22Rj5sVdLb3lfiqaRbJbhs4rtlIT4za2lZRrPfZwkixteA5kwmDHw91R4Z2HUvKjqk1/H/jd
eJ8VqVnhCwT/O/IQiyiCWeMju9R1eM+fRZNU4s35s2vshvLQiEK5tROP00scpz8jLve3xfM3jD0X
Lw37XWGa/J0bYvNE1CTDHeUp9/emiT8KV5INP+MRiXN5s5KGYuKgnEjfttEIwXvBRzHSd+JG7XgJ
sLN8GFGQiOYHrxLq8DDvuLQbKisg1aPbr3UwVIfEL7clms8Ju1r/oPM4ecEHo/eKTodfMLfK13GQ
eieChc1DWFYqO5QsYA5jFREXH9hMUAsHz3DlSVk98AwY94SIhyukzuXEwle+ZNj5T5OxplPDemTj
No191MrreCAF3h2CdI1bUmQ3JwivlYes+ANqk33AdWg2LmDrHVY14ClYUfcF5qalK77OfgEOAyRr
QApmrV1MeObWeIqNMJwgZa5C1W/7sf105cg8V3MpQo7cCg450GMhrHWj2kAs3UA+fbTcxj1xqpXH
Qs/eIVNx/e5xP1tTDk2lPdEqerUre6e7rOYJIzrCImH46JPGukuwOO0gH8eXCq1yRW8UvUBlRZEM
zniWe+KaDP1ZiPmX49Dswh4htom/Sx9Dcmm2cvFY3wtGrStlvXJXJWNz7pYk3Vs4E20z8lSJWmd4
7uK2+4qrpFxP2TTsRme62gne3SAyeHuJorDJAN9hxsSF0kYwY5Y62rncytK1605vfNFwl6lg+cAx
QX8DuIidTJPqDj+N+43XmxiP9HuSG1pnwU6nhdx6iW0diOGnJzy5waOm/WAVs+A8k/sr7oUXlFfK
IeJHYBThnQIsfDew9ROrVBfeA59Q1Erkt/aOc4h6rBLhfS420rQkAnPvTsK5er3wT31bep+UtEX4
4CmsY4OVfXHbpjl7ti9RGpoqe8P71F24bZbHBh1zY5rgB8jy6BBUlB0mOFCunXTCN7yzGBXzqkJ8
5kHPXOTm+qLnhgBCm7nZsVYJ6ZPU0zN3DzzAyTJVO4q4+0PUBv7R8oL5ibJdsxCr70/0CcSbyoqq
E7aX+WV0TXU/qfS1BsH5YMe6AEccNgfC3dlmLtw9lu8C9SpvdkHmO1uWPYjOqVNf2yDnSafjZKuZ
m2iU5ebcR35G2KPwvtkcZXiZQ3Xf9NzwmB/r15S10feoKosTPcNcwK2R1AUAW10tsPSA43BkfkwE
CyDV+/1W6GX6Ec9lQT6M515M+9gG/hRZr4Dn+ISV9FwHzVe/G5JvoRUzZSp6A3sGorZNjgs+C9as
WPJV+c5WbHjgiTqh7jLybmyvNyvc9xvbplOaYxbRJz3+yDLALkWk1SlvgbgNCN9H13OcUzABABaG
xrBJgZwf03Ad2fiTNDgcEPw/x8GOfiYhYcu85lsxwhL0G8v2x0yPx7kcKFLHSFoWOzHCJyajbm/Z
Sdc7KiN4+eQo7y0vZP9G9PkBqnKFT6fWHzYXDC3yznDMCaZTFpfTGOcYxokmsg4d5QMXFdkUQiTZ
/CWOM8O8kJfvhRMt/Cms9oF8pD84jIkj+Clng69TrgYox18pyB2fimEJyIhXrvNWBTVpVJSvXZPZ
+sDmCfZeFpU6IlOlOPR0ofPQ0iCzjgezMSHVNcRso2IX6hndPaKEnaA5KuxaG94v/F3FK+U0I1fW
6O9rFi/srXq2vUCiGx4pNTlXv/drMu3hL+BGUCmju6mK+P66o4YNOEkEjJzx1D4VfmtvSfN9NuN0
oBP5OUSFXvvOkD3QUsIGpaxmjDpBsptl20AIqLsj6/vurbHr4X0ZwBhHQey/WEhgd5DL4h8WM1NJ
H2KFAN16WMX9RLLpGCAnLKW+8zup3oIw7pmNPO8IdKbZUw8AHCWaJwu/hKAwOVq8qQXAaLFeweld
3IxU0V5QhImRs4afTzg73MVtHv6w4ceB6jHejG8uDr5jcvKDlYVB6EUzIm11NEfXblzonpuGbD+n
cXbwhTu9+1UKLcgrKgcq9Ux8RFbLY0I/w6nwlunRMoYNAD5bijxRbLdxESzHBaXiKaJ54z2Z44wM
16hfNc+3m6nVPdJzrm4mZvYbnbCJCnQawGTn0IQXN/Vj53V0ZVPq0X7aSzI8W1jYg5UZpLn4BH22
Y0/AkmCECN+wXTT7wIhfWVFRgwtNIAGYk7kPYeLY65G2gBduHDCmbdOnG21RpzcFC4H/WIidNc/q
tfcKJtcloDCHjzsezLIm/Tp417JtAfksZpmBVVSjwrQszEMRdPqe4ZpeUhj/86HNBbcaQDnDU1Jj
NoHU4ZVH7atwT3FS+yXXzLA0jhfqoEQkNxGnmDtynCwLysp89W2LNYkbBCSnigSAOTaJuI2BWUfL
kB/HikisZ8blpBjPTniMx1eI9cNzxBT62IuRpwnAgxclpuwUDU7+kQQ9z6J4XK5EXTRoZm0nd63M
nUtlCL2mDihJLy+9o60H7BcLa8caa7zvvZOyTvUtPWi/K98p4LoFy/RNFphgAF9hgV0FnbSb7Q3d
dbYWQxq6Zvm+wnGy7GB76QvPcf2WTrF+GQLQkIuWHAxCrKIzZej3FDmFX/2gCE4hYQmolQOrJkuo
KxtURqy8g22I8SAbXrFX+hvPztP7WE7QaTBcBwSDCv8Nsz99usa2V50OyzPRNKbOLA9omOxlsw2a
GGe18RPe2vAdpyF3sNzaL4hWIEI4g/N3sPFiUzEId+3HIXdX5ObCrKub9kDLvTo4HbaK1qLQyi1x
5NWF6elbh0X/YdGjTKVEzrgUFT7gIZCRqkOzwla7JqK35q9mvLVgk2cUjV4y7NRrT0zV2ptgHP2n
VP//TP/9BznY/O23PAxid/Pevf/D/9lSEAIroP9s56dP05fdb+n47//m/+k//JfP39/ledaf//6v
7z9VVm0y07XZj+7PAi2cV4kz7n9ttcNe8t7+y0P7/vPTpP+Tr/y7rCv/AJIsWCOApCQs6qCb/t1t
F/wBE1g4HtxSKLDhDcn8d7cdpXEUfCG2cngTOH1cvojZpEv//V+F+0coWUaAO42kA/Jf/Hfcdn9l
CjqR8BwZ2L4PLUQ4N8r0n0Vd8mYkY3tv2Ou8i76MfTvfV3z+iMRGWfthRUtxHm3c2f8baiJrur/K
yU4kJcaT0ANCj8bn/eUnY7wvqIIYhr0v+3iXta6n35W4pZuywZFq1WunSNcZ0J/XErvSsp1kjfoa
BqVLQ3cx2v7eLrUj1qZ1SyJQcYaS5FB/IJ056UivgdO3DVXO60KxyT+M4laPRrcTxZLO2PEJ0HU4
f8B1WbkdLDQeU27wpghA3kJf0Yuyc5XSuT0MjzNFR3pTdKgpGTJ1xlgUU5s6OKJ/rcjG7TyH9plQ
qbPMaiKrPHRHqrHNUn1gMlunHWGYhar0jYlret5b5860Y/7I8Tv4hqWo2buxld+1SjvcITgwEKRM
/PirRQI+3y6JRW1nSLKCrvFPhoRiD8xgF2NTOnZiykmqpg8EbYLdMKmFFFFNHbhTvWTZLeuheR47
I6vPkMBZFoknwu7cAfLytjyt4RBErryv9LgJJ2p0hEvsJhl7vrBtvF2l8cFDBgMvpcnmtpN4x2WG
ZSmSmJUYeVISMoiV+4q26fHWl90QvoVFF+19n3CR8ZaSf6lmCI3NeD+2fXPHvhhjfgzQLwZsv+vq
Hl5MK/s1h3kWVAlZ0o6EzLYImZzNhDTTeUl/FLYhn5W53lHi4FxZg2i2Ttv3OMZNtnfHVKwX3Irr
3qsE6aC838U6UdhsSDZGXhlvsIhn+2VsaV6lDoMqCCcpCadZ8icJd2g7krk3sHzryh21OjoMK0/z
UpoCS3kpN4npea6GE5b3FSsEF8JbmKpkg9ggo9teHIsP1m/zTg9YUa81eTprndGB/Zb0MrzQAONA
PBPqJ/MpsjrSiufemMow1+rizqaslMRxa2fXXETNscMKkNjSOilX6xMB4vqbwkTCa523KKs2zcrL
tsW+vazpvOYEaNu173PT9+sHVQ4UKNgkxGC/gIXbCHTIqzQFWd7Jccu70ihnPzm6VFgP0/CL8gBZ
bSwl7U3jV4vYepaDSQO4VnixwUAyLjTz8CioV93JJJ2TU5JoRhHk3+DNdCGHWmgeCxAvt07JgVjU
yIyhfbytM0g8YTdgNV6LYwFBlD5vO0wO2GHkc922HDLpnc9mXsxbOSO4gZEmFF+X966qh5coabAO
sEigv8qfhHtOLNmO29BDSj3NY+d81o3GzEdy9aVw06bfd8qBkkXCMNpJF1zmyjUNeZ0VSWTrKUTB
gfXWYAcyYc5R3BOty/aGgsSVC2nnuRe0DzKwW2dw1tgV+Y+7JoEZkFJiT8TvB4EPMAtzwPwTuNqH
Uekd6umeDILc9TNxUzWI8jCkkXvvyxwkhqT/pyvIbKNi3EVEH1aLc/PM2tps1GKRGtXNtfIX89Dk
9k+cWf6KDZaCVFAmBzsP9KUKAg5IxEh2wayQ9VWQPUCh6vYTrtAzsp3YduMEdgfAwW6mPOJqk3LM
NrhlbnjEYvqlVExAiGhLdo4ItqVcwCGlhkuF93jVzp7zESAmn0rRl2eSQvcTrlTWPAbS4gaouPE/
m3p2SgaMepbrsLIIV4Cc7lTC89gwrPiO97VI52BnqqF/jFhzM9ll7HJQbYbT0i+f2m1u2f5aSpwK
VGlG+JIugytRRwqUuWiyki2YLk7tHRERy3biZu25vbu2wfI9BUQLkcqtpYUKMhccZBLMSh3JzqsZ
sYFvUxq+CAB1AMwJm63nrhYO9LAp4MrC8cHdIvkIsRNvLACXBzckXOZ4gb0uUSBW+STE15Dsx9m7
ZUlYpfAdJi7ghKweGHizRkMmai8UUTnvRNtIcNHCT0+97/3i6ZRdqe4BZNs2tL/7XCnmmBN8W+uY
Jr9tuyyQNDKTONXGmpv2Z2ZR6oXNrSWo61eGlQmtkGabttAhEOAHWqLSAXhJUnzrMhwhZeDSeUzs
bc85YqIhhg/M3sO1AqgdaI8kNzaEVzx+6iXgfVoPk9MeOFFVP3t2rQ9mauKPuSwd+cU0ittst1Qp
DPYOQy97HL+ltpzpgIkVMXmL+3jBUb64FLzaHxpfJgFSs+xL4QznIItAPFavFj19ap1ORlDfZQo3
2GA3dCH3qp6to9RhyHKmybrnEdvVTaXO5RV+KFWis9+KVTmMzcMcVo8xeFgi2VlLiE5ZD2Un4+tk
URlSYI3OQrmzqUeh8/LW4tgklJslR+UEOWhv2Z5zarosjyy2i2uaPyG9RIP9swmmHzP3d9az0H1D
W8zHbIlSIB8NvaF4z4lm0xsjRHnHwD7hMGy9fUi8dh0nIkaATniTqQk4517ykrj4SJtu5AKIR27P
JAxXI/Z+UnrWkj6pSeNUJUJmQUbOOKPsurkXdykx0k1pdc7KtoLs55QIju/90F1KE7qrzAKLXk9E
+0FTiFVi4navA9QW3qFxyyzowm+sbHaWy9e4ZOEpFNAO5fPClk0VX+pwqPex0V9HL7WeSVC3hy7y
+tuoQf+T33b72g+dPXeg8AyRjFLdogWX2otiA4fTP+BplxT2RQ9sIvj4KiHvJ953VBmaj0Q7THJv
FX62LYghQRJjE+26LQY6w+nhzLhg3rLw9qamaAA7+vrMg5/paJvjTodxVMVE8wO7fAq6BbJEVBa/
zOQhtvHIOTpDNH6jaNtnPz/V6JqeXVNXS/nOJgEA9stOl/7ge0ShcHsLTerMjvfWEHoo45mTPiRW
xJOzSOCMoUxQoSNyF5Jm29wNtpjuUbWKcQWQJsp4vREbk0hh3huGXJ0S0WdfEpDaZzscnGd6zOLP
0mCQRs4O1Z61VlZwY3LiY97Z3inhpbaRePJom7hWxnJqIoKOIXJgNYxAsVekVl7odIhWNCMR5mIT
Eq1TUSY/WezZREZhxde8CRUd4GFoPYvAzw9ZagipTfmyr+x5eJVep86IgEBIF8aH61yBIxKmR4Ls
bLuIAK25y3ORz/MnRBfFx5QV3RM8luEpSmvNeTjz8dgruDEjo/0ujwvzEs61fY3TqjqlOKb2s6A2
kocfywqQB37ymslGbhQdJGdvsqbnYVTyMFTZ8GhFOME64ccPrqnDC7xN5wzKKHi16AdcN0lTv7oy
Ppra8VZ+l1zbMAelESY0sDcwLH2uM6mY3FNWf9zxnBW90tmdtEGnTQERdRhrDDxjnE3roOFkQfJ5
skt8ID4XE0QXdY0jIplRCQxKDNVNtZwxmXTWcsS9XayrsHK+uv4wFKu67fATx6MPacQSufPAI4Ln
G5HFYeYGhr1WGaIzJe4HFv5VtPPdikwE2XJUQ5lDIIze80w7W0s4BfeZat6LIfd3TaPTnwwtNMFD
ScnWyVKKhOX5XO2VN7ZH3QwGRpWAeBORhEbpqvZFyw8JLVB6OUuYraeASfgEVR7qqRXX0djD9F67
YmoeSRY05RfLp4hk0yGSxJxEOOCt2eHl4IWqdorXEgITT9meCAw+hsHae7oGDynH5HnSTvZrQXHf
I5tR5riMEsJJa5tHPQvnra8j+dxPo0DAa0UENzKJlm2eYZZLlJXC0ffzk+VL972RoktWQQNSZgVs
d3qyGVA/W5cFaTLWCD0qm5qnuXW4Vyz4mhnYjMNdzeuaZN9MBbfs1rg97kdlvxdxIL96lOq0zyGu
zO4a1w041iXHxrh1DA73RAGCYz+bw+X0EsyCkUoCqvN6Z86O2uEi3ID1jnPmdtNuOzX7zqos+PTC
KIFlXfM8PNdOHvmrwm00FY9BipvFYuXWWBrSF/8F3r8edHJs6t59K5cx3VdOpF90JPp3wZGI/Kdu
nlpPPoKU3iSYkjbahOG5mxP2plyHdI759nsepOP3BAzrEe5a9pIvA60aQHogQUazfPOzeToN3Tjv
aCGv78Xi+o8JxiuwLskUH2QODGfWxZGJOr3D6zoeGtMTUuMlfB+CZCAoZvkPMtXtjqXc3unq4D4L
8vnU+cK5ef7yp0pa8hJ1bv97M2Y760ajAU9hg8YZlNQr1u3ScscJ4gtQ1O99kv6klHZ6ZE0T07ra
tIq7tTACfOYQ/epDHazTXmU7KfxkM4wifWnDqP825nxySqvqvuVlAtB+8t1LBWbolJVSPbKZ+pVI
oqpCQwajdIjuP4VSNyGdf0rCADxBR3GoTOE/L+jJpyWxYXIs3fhSOG4Oi65IrwbS60O9tO52bsEx
bpWju7spliNKFglcP1Hp44AAsHFhzwN/yUf90HMm/WhmIR/pl+l280Ibpwnr9n5AywWr1Xzr7QlS
/RSKmfFAufAq6+hGjZrFrui7hThGiUdm6u01AWRmoC4Xr0NaC7b8qBilX0SvGZLc95j9y576THPk
sTo84UGev2fMYteqS5btYuLu0hOS+tIx5bHKLm25W2iHPrlS6ktsuOQHw/0+0HX/PcvaahsvXfY+
E27yMMtypHYqRHOk9xwz1MynK+OpskkR9VdLxDMlHL1hzQabrQvehEWn+aVyh/gFxqI5eXiNX6ya
68qk1PB0GBI2rBOKjUpd54HOLwFBYRg31kD0aJq1uKSWqn7JccJrDKtaULqcd1db8cxbzVXs/iRa
ywmrb1UL68lgjl6oGD5YXGhIpuVgUdHQFT1xOSK5m9qS+ls36Sbi3DU5Xwpv1s9BK8x7Tsx5WgW/
62enqKleCf7E72NnwyKPEu4vZ0NP+cPC3e9l+V1eS8SYIlsKrsAm5wXN1Ek3cr7y+sz9GPzKf6mF
WpB1gxrWq6MR2+3gWw0ueO2prr5LmNRoduXewS+U4+GvqGnOhkA+RRZ3b8dv6fCFyHXfOma4LMXQ
vfeqH87OrafXiDDemjorD3Pv0uJ76/NlG+Ks6iTTIH/tbIc5wHryysLDnQ9/1AnWHbf4el3VdfWz
xtQHdgGAvHewfJxUHr14UF3HxHkh60VQXBdT9muwJZ0OrT1vAZBPPjCfMaFnHLvIt4Iz5Cah2+Fg
goxKZf74hJngd2exSI1USMBDezeTxn4TUeY8B3nFBZQ5C7+DZeqnuQ4N7IYkqV6kan6Z343IDWg2
gOPx/KtmBj2mnsVtCMWbRDi0aW+wML/RrFwkCFtOXaz6YKZX25s3HY/m9dh17hpgtH0bxl5Yv9en
uTVf7HgU+6TPrHOSg62MEkqd4Z16G8uv74qeDoC0D5+6zMh7EmnqjmKCW6HG747oKS6woVfVecQJ
c8ymmcvBQvQ7LartwTmm7u0xpbBAEV2KQMrwqDJ80qzlPFEfdcmSOd0gerR7J4ohb3H5fGjM3gve
tVrx9WVz9lPbuwycoAjiu90TCLCHeUmdPc9m9nWxxQ64c1zMY5Y37ksLSBdmr/beE/b9TRN6s/1Y
EsjTAHo28B/zeyY7XGw296tLSkQHtct4NIlEWPmwSHPwxNS4SPS3pdu4U1q+2CWVK1AqW/+R0aCU
a7jQ8b3IM5T/MTCHTqb+Ome9s8H6YUNom/lclrBgYGGoeAd4tCD229ftWbZoiWvZ/wd7Z7YcOXIu
6VeZF8AxIIBAALe5Z5LJfb+Bscgi9i0C+9PPl6MZM6mkoz66nwu1ybqsmkwkEIjw3/1zEb228SB2
cA3Neza79jkDVmpWfmKxgHuDvHfTvj23/LR13bbRXeLY7tluoJ+ucMaqq57p1sGt8+wk0tlcNZ3d
XKVeGuDMxVhXjT5Knqh4TpkNd7eIa6ajYsGwpQkUfaLtYM3javGabBt781fI5GXTiRiERizsbyBy
+XFg4P/oszKBjexJb8B/ZT65BPkO0Fy809JebrEkpHtgMdhVnKwMzlPeNfeLNUGS7FubP7Lc6gAH
d2HYXKhTI5vs2Zctq+BUmxa90Qe6jXjlwIltSJdJW7z4yewxjLYH9lw4b13DywxE6ipWJJLcnPpe
LaznoBsIIMwYZJ25JMZpN8m0zabiQqYV2PHmwDp2hd+crBoSIQ759sNO2YBYcQ01qczgZobmwHGd
wVjZ3g7EqHY6p17dYbYL+xI3zrHzqMktJjXu3ILX6aZKsmZezzRXbj034RmvB+QGP5ijfZ+32uHF
I4abC3X8hUZx5yUYqxgX2ZyB9vU0iZzBz1Lae+hlJpGXNk+5YTO+S6WZcD8xv692VoGWdzUkiUCS
bWqcdiXiByXoeWy9wpgzp8Cmapw5M+LAOkmy4QFrFQC6WvnpY6IWarZoJkDsxWokx03Wpv1PBvV1
v/Sj/5GLxX8IprB2dooESrvNMnymO+nWrFtUmIR6VRRQzdf4M9wHE3hskUeGzoTwwY6+9p6b/Ros
e17WYTDa3nG6NHueFqT+p9RbqrfWjca9lVXt7UR4CvKdbM39QLoRuY0B6V0zIsS5g4cBIu/epZOS
eQ9MDps+DD+s2k12ZHAJqrjKPZlAlC8Z1DNMZ1hzYQolApu2UyCkdEeuwsJkv5lu/NQoMN84Bx67
bpg2djQvT8iXEpqjUHfu7CMxZGPQXIOrpGOmgzDwjWrgy3VcCUb6F473ypomy9tYagSzLqt2Weu4
nt7SwOcFgYQ6n7vSo/EuuU8b1cNWq/zwKcfeAoeDXF3u63xDO9NEuQ1vggPm2gYTGzGdX8RvDIiR
ecJcMdUElmh1s+Q9tggX08w4FyHg6pnq685Fqd0MdVDlhFXrbMdrRNwV0MPu3Vksrwjn472FcYdY
rIORjhj8vjON++ziJr4l5eRt08Aa7V2dinljaI++ZYA2cy4fA/+ja/IEa5BfXHWWM9xpS+QtEqST
eABsJ6YujlPwTyi58mZO2WWtO2UNbzOjRuR/Nte7RE50IiTpdIvTHaO38vIQTzcX4r7OoKKS9BTx
N400RC9Tz3Ee4+iSe0xLu3zMUkbxkxVxgAb4AyCzMnJN6JmD1FS68kbXjnkgh20/iNGtbmeLmhT6
dtP2fZmC9MaHC8hZvg1AFpsL9zitLiSVtGudZx9q5hXeDyLsJT6NZGV69E/MpqQDs9mKvtK8XD4b
Wqm8LYYjzp6D3V661BeqT/zZ5Ri36KF45W4bhjVVCLwJUD2nW2O70ddodZcFjocIn2zxqmjFg8zb
LWdbVOrEgN/ex21prljbeQGZ0P42Xg9RLax5842NZT37Vtrcw7NQpwm/0LU3dsNxcZP+x/QeVgRu
W7h9QdgqfAfT9NvPIrBkRb/hDFFk687vqkPlLeokWbc3g6qLR0DC8mQJGl+WfO6/q6x1m/VCmfO+
KezqkAGqqTYkuNtPpwE/vo17VT9wREL9JiTxnA9ucE9EsiAwqNTjIjT/0KxDMMzbt7i7WIBxwjLu
SBWg+i63x23PNXwkKNx98QYqg1WmxvDJWhw3WlelFum2NskdxmnzQHhPMj1gbQEv3HtQF+yuuytd
VVw1Dn/JieAKED5Xd/5UoSbYc9l/LMhqlxfyIM5BDw8WJiHxyxi63AMZujxbJ2EmGtw89XI/5YzY
sFoxNrFT/57hVnUsbCeh/Q0Ev8gnOiGGlqOGV+ut1g580GSMbsth9k/8tfiWp9v6NdFSD+IJ+1U0
UAiU1pQih0tw06tluZun8rulm6bMAfm0SR2smdTPZx9j6mM6uuNe14poRxI+zvRIbHO/uDh3kC6P
EAiJ3brjRCQTB+ITaVT2Fb7i4ZkvDfUFzzUGazPuBo6vTGh6FA4LG+KxY9v+oZLav4tsG+KY5076
wWNDz0mgkCRVgp633DBNzQn8N9USMEcMHc2Tvma6+lXrXAAH6oy8TWKhzqNfe/cTcsZHpQJPrnK4
hB3HXcY3Sc/dNNKMyqpKciGtgA/ZaAr44MRPU0WDtcJGSrrSqY2VrpHdcUnlcpzLtWSLcNXTJvHq
xryykjJky5KgcOaOGCm7ZtpCYMVpXpindseS64sNuqsPU6KDja1suMDEmeu97cJ+rpKYLq+068oP
340I70RLvy38OfghiG2uMEJg0+d1/26Tt4Si1BeBtc7tgZRmJNnIqoy5lbv0nGCEk4xXRgBrEGVL
zpJpDnJvIz8b6VUeluvOOkYW8W4PjSSFIZAv526SLHKhahvILiZ5lBUzH0gk41OqJu+7HufpF113
3VM79UD0ffI8rP/RJWkXZgFUXXeaPtqc+eUFoBK/IJGyNVlKznh45FiMhz5QzGHyDi5cnHfJGWK7
/atwZVBuxyYiDKApxeOQFvrHqKa+gQ9lLdzqelonjUsiR+K+BTsAnkIb2VCHFQva8rKomF/bIBfM
bZJwJ0TDO79qgXFFgESjdR3BH990Kl3OfRqxenejyE8q9A2VvIZcrsxn9RXaALNW9AGwqcunmreV
SJsI630IRbsp00SvENrwKmUJb7EVkYRsWPmgqtvrcJr4MXnuxeRG6zpcQ813KIDQzFFElV9Ng5rq
VRdZ1hGRvcTRrs3lX4w8dLhKU/HMzNal6YyBqFqX1Ox9Y5KrbhomqPe8vNi7gK3rVxHxIHPs7NLJ
N6BGpjf0ZrHVeWY9xZfTVRkAvOnjcOrWHvPB7Zja+WZKC/schIP4zj3cxh1y386Kcg0uHo9PtJO4
CNYh4vDVUtoOlU/tdEOIeVjDA0IkL6nsYkwjtgHFODxZtC5T3XpPCe6dCwGD07V569mEn+aoIitu
VdYWOp3ZjHM7/HYamZ17thM34rI6xwsdTkrZ1bU1NAKTIP+PqngyU05v7Deb9O8NqK78TM5LbOvO
xkCJ2Y0AMFSFtwQy6r0ehuq6znEHmsSxtp4A1Fw4yqYmYVDbuAn0ddnXOJOWNtNroKfppi/G5Ytm
+uRAFFod9VKPB/bryMSgLOX/j33+z7xBOFcwtPz33qDX36b7X6vfpD6Lf3AG/e3v/c0ZFNr/ha85
IFmsyFT+PYcrILopcOjD4HL+D4mL5PH/dQaJSxaUpTK0ac0RrCz80f9zBjn/Jan9IKFpK1pJlfcf
OYP+qfWTHX5I0agrhaMUFIR/dAYpj9RBwXh+r5M+37V2Btk09tMN6cMAwXo+/t3luftbjvTvq72d
S1HqP8RLIZE5jgAhxhUhzvpHN3smJiicdog2mpt4H4s8u+iN7f3gVM2WrqtxU0YLczBkcxta6jww
fskS2aM2RcWatcRlZxMFw+Yvfq8/kWA+v5cgWOvZUgBMU3/4lC4nXA8qR7BHXf/owFdvnBGBnpDE
QXTeKQwXcIsIjrsoLaZNMp8lydP/sGn48ju4DoKFDauHuPEfvwPHUj+asj7YN6jzeyY9kOrZszz9
+4/6L75xj4/KRtINobCFlz//u4Cv4iKz2GfB3q3lQebja4C36TCmBX7o0Yx/cWG5T//8vqWLxsI3
LoXHjfSPP00L7dhTFoT7sFL+bgrIvmZ9I/7ip/zpMuPKhTwRpKAZQyDB/nFXiSh32lFGai8p2Fu1
lNvTdtY/DGX69R9fvNDB0KZoTZZY/f74QdJauKKX2zdKUYBKK/vBnsOUzq3u3Cz/iwblf/FNkfp2
SXeDXbGl/ccPm3qvJpfmqT31INgYQCeskoHXF2xuUiOZf/j3n01cvos/nk2MiziuqLtmShT88V2l
TuAtWsVq31qgP/RQh6AnI/uhABBD0iLJNw2C6S5hp3FY6owWJruMfqHWVauxYp6E/Kv3MLOHjZv7
kQO7DUeh7wbFRkr2251oymYTJBXeJyBKvP9K3u0r3SxgYWr4GeumW5iSSIpZiEX597os9V+wHpx/
8ZyHMvRFKBBt//l+HKtUjBLy/j6uEnHMpBUc50HaZMnkszVXO/JS5ljp+Ee5AK49kYsnsnPBX1zq
f3W/hqzcXshbXDJD/uOpyMDrEJML90XRI694uEtsP1w55H7+woL5zz8pBHbIeTVwA8m1/uMnJc0F
6JWF1NNHabmeemJ6xPA/CHGL7b+/fbgz//mGvbAcQUsyJHHV3/7875aWtnRcSwmj9h47s20+WOnF
qj7dcUaaHnyLG0G03ROnmZL2vY5xRxfY7ZrNa0OIuSbdHBoAyLMijMH5XvqPxPXkp0QRODB66Aoa
XPr5MTSdd40GVF/lCRHRSickCRunz6ZdATiPkauDJ7RU/ZH0QXBoEs9HvWcATD9fu9Ga+hVXajzZ
bW8XzkrGtYz2Ywe0OKY67txDRKMi15mwMiXG38bDJDiRg4KO7DL7xFZQHj1cDlu7oO9upheQyWSr
jnnbqTcqPLzbUfDBF4OnyIoYf8tQ++h5Ijo7GaXmnBS2RUS3RiJTDQ7RwYuP1+bJE7p5E33VfNKq
EqzIvFckr+aWs3d9CelWw7yrSBAdUrvLHi27aW8DuwRXNzE7J940MTacRrd9a6YhOuOQil6ScEkp
A2iDL2K+7M3h7r7nVvZaFYLOmxzoHP1M+pZ4oXujymSDlntwPas8QJCmiVEPsXjA2wtp20384Ipq
UXO7AANizEFTpml1vufjNOtg4DQElw7J9YJRBrKVkjZilZqvQxTsC+qboQ2OkKhX6Pdtui/acfjN
lolrghJ0nSSceOqid7A4RSAppSt6Rr2eeXVwm71I2h+QsWRjGL5oO3xh2zbDvyQ0g6er9OiBwY8x
trgxtS+963bwy23d2sBrUpJJTOEXXv3MC5DpqTPw6p5S3SA9iBgefRXwfQszcPkGy0DUIyOyiflu
WYQGJ916jZTvSSPoVw2F944D0eaYbufJ7UBgk46EAYIM53YbmhOLB82z2ps1o+xyDF8YOXTFi+ti
px1oP/tqJUmBlYokd3yIV+2xQHvFJJiM0PTZ4pxKo9fYuNTPEjMTI7GbIi7bHRV9+0A0lIRleT9f
i7xsT4vf+fUmLcaZRwhyVsKQdy8WNjgr1oPyl+9K2PXwe61NeEkHaYBm5Efynlo4ezr71Gelq8yL
w33NmEmv7bwsN0EV3eT9FB8QiyG6I97w+yYj1gFEQ6zR6xJTXLgCCbpci1Hv+sFpT/iE9FXcVeWj
W43IBOm8mzBrPQk7nLaMlLud4Xc7jFZNR0DbhYdA2iXf71RuQE9wfxQM9kLYIL2/UzXDN7QrdeXO
7W+cKO027TVJ8KRtP8IoZIgwxG57tBzMxb6VCeCiQ09IfGEsZOGf3bRFztXHwYPKRAkR4EBGaJVG
zvJkjFc0LT9tHWc3WeWMhOd19E3NhIxWeTaCxsgAtBZ8xY8w0+0DYP1iO85wYK2JtzBbUf01MLi8
p9p0PoSjVZIUoUeyJV2zg6CGsxAW5zSwQZwWx7uiyiejcZE0ju4zAmjNCThkwBA1aOHPLVRaGhMH
0CKiZ4xHiLTaiW+pshRX+GbDT4Rp91ksstsyxHdp0ol0f7GRRAdhy/qQlF26nSS6tqQL55Tm0C/8
hs0xEnNyFTfDWxDAWA9qG31fMtkc+74/6GipzjTPwzVtvHHZ1CRCQTDojJIqCzHS6zMG8JALV2R1
b8g6JdshU8sjFAVzbpY8/TWlrLg2thziLE66b9t8ujNDPZLVAypBizCOmnwJn/3Ww9CvZ2tD5xaW
wzB76/2QUJy59O1UkYE8chcV5QNWqAIhqfSPY+/iNM6zTbwQGijo+NnVrj/+hmvZIWE0KJQ8a5bz
xnTaPXuFOY9RgjunyeL1NNrzWnizQxWk68W4axJaxwvFgb+ox13theQsnY4DBe7jFYLX8IDJrkp3
2lNUX3RoJFll/Uw+SMtRySc2Scu+bxm5M3Z4GX28Vo7jy0spnHP2qu6+SfW1m6HUK8dCm2UF30dR
9enUWN7wbk+uJkkYxzU1baBpyGRvknTxtpOgw87tR/emHfvoobKjcgsSB99Y4J29Gi9AGFhYqlx/
2o1j335EYQQpboa56s/LHZO1YJeR0hpXPpaft0oxE6NXc97he8hdDJEMpCnXsghK13PVPLMvm+4F
RQwHuMHRXtM0uXZYbG4Q7SkMbq3wMeHzvhM6H6gbnwo6JQu/9CeW8xa/qlP0tdrgO43srZx1PlCb
yhWhIGdRd4WsQJjELF6vQ6LNL2Ex4ccgHur+GDMkCXY+yP91Z5afGec1LUkXu4XqP0uqMI7854h9
B5PZZR5IFEI0lC3MxQNr/8Zm8bnhIWz3S4ZXVLhh/i5saAr4pBHv+2VhKHgxkkKc36UpLkbHD3iM
R30FgHSicdV7GQSo0Di0yFWNpF14yd/5+C52BnsE7XYk00DQ+SN3bm4gpSmvfRS+/ahS0x5q2khX
hNftAymx7DTNhkrctu+PPQhVVvm+wpUO6ms/tILJel2A6yAUuY00cPWxwX1KW7m46xtaEys7qd7r
wDPbljbDCHcwuGhWi8mE9Q8vJIRkZPDD4tvDMyFCEiLpJMffulikt6ptSPcAjSEiLiGA/ULOO8sK
ajC0dXkcU/NTC1GfpjFyHl0nbHdYFe5S6vtO8yJBw4UuMpvjWMPLkOfxj1xyGuH5bm5bdFpKblv6
AWhmeVhkAfapjL512PY3TmXFu4L+9JMfZFjaoSXnh2mwpz0dyFhNqCPCymXft3QzrY2biB0Us2m3
RNJD+qe76ERXkk16X9g7x+27FVbOZUcPQX7lAb4sVl3Zp+OaWTKQWSB0X2ISxdWlcKTbVR1XJPSz
Yh9VoXP0EOdBW/pXude/zXqqz1M93UxFbb4hG/RAPt1mEzsFmMdA3PQuJOMwMubTNb7ExtkOx1LO
+7y2XgjX4NPvFzyzGG2rUx2V2TZpyHXHvV8+T2bqbkgioF3zEjxMtBFWoDqfPXolVxW2+g0NNfq7
rcaFNzebAuTUmlb5Ph43jWBtpjchvlENvU3OQJSZySV1kaWw8hXsk3qDkDHcIZO/NjNEnNrqrxMx
FDA2xi1gDeJDXd4A96UhsWYgthrqZY/7Cqspo1nDHOcsFoYGl06yezb2lAzFWbSZF0IwKzrmBLb2
6oWKynTXqGo75DDL/fTQj053ZD7NLI9JHG4ChWEYawjvvsk7dKnE+U1fZh9i7a+lojWBMCtBfys4
hTXJI+GmeBCKp2EiE9CSyd5whNpUbdzs2cpT8xnjoPaTLNonzKtp2MLQo0v51bUyelOl360agB/2
ONMkli0H/DfPc2fAhQz44qz+JcjEcJdQKcKlfQ872ozdxKJlvH4Rbn4GofkIzINoQ+ncMqX/Hee/
9UhbOObGHu5i/AQhM1mVbYPvQF2n0jlbArxmoXpzXWjrWnMH4VEN8300uoxQJpXtYmz+vKUwnDbD
3vXb8nVxv5Hiil0gWmftjFm5LihjWfWSaragNOlTX4Oe6Uz1rJfghcpX/td+5k30MdXyOnGKd0/I
7spgg1r3hWasWybPiQgPsiyfKIF+r0R7ZHhLH4Opblw/53cXJDP8ZmDuxux8BYVpXAmrzzaeRL9I
WkFwaWx3tJQ8ZDxVR8Ydv5Adjv44b6yglSusrYy5B2qAsiQ6+I4YbmGSydu5UeY3FLEQ0Uwesc6U
pzCVF5TquOzLMfqFm5+DOcf9p67FmXs55PPIAgP6Sqge2ZUGOFVUyp0O7eI05wU+wWhMLlspv8UT
gbUloX+cfEhFT5GDmyCsqrPwmGiYamKv0kQhh/sRl3nMEcGMac6p3mIPwwfOBKGcSfSEguCLEJjj
++bcSmmOpR4pjbn13DFd+0J/DEDOTcc+v/LZfZY5VjcZseY3FN63bviQLO6Z3vNXqiZvaIb3VnSa
92sQOTaDy0Ifk2RpeOlXz3YHCF8PRLFoAX3LHMpOSBg00Gd+Kct79Qu7Wy+ad/bcGL40nb80wu0B
Xgzly4QYupqlLA4aV9jBI7m8JW04r5rWZJ/p0AMV8hJyjAgiJ1VdJliqtTa0IbO3VfqjYhyx93yf
T0rnAKjs4VY6dAdjgcLf6xb9jwKBfctkkt2d7xa7GWfIzmLaAYHCPlecWXYZ558TfRpsjggNSqHv
NK2PK9kE7VtCvBxGTkTr47I8tn1cE4kjVjPEN0TXulvTWlgoWTu2Xhj55zoUBBuziXNziqn+ZhHE
/nQ65TsbmyS7f/3q5lguehAfO5FCH6AaFxfk6E9PtJ9ydKlIZ44a/wHA8/pr4kOdlFbUBU18pcLp
m4NIrH7P+9amRCwhYEM87VS2h2peMoj4ODXtuS22MQN8eo4D78U4tf8STPJ3NDlQL0U17JPCtV+J
uNEY6WTWY9MM+hd8mviu05gDiMhADoNutwftM+ynEiTKiB0H/Igptx4yDuTSRAF8TqmWHtnNw1Fx
jHq2L6HJPqbrxQYnAuAIjQ+yj8HT3idNfzRlYa9wrL/PLVtF/Kv5VxQn1TZtHYhOmq1Qd7E7hZjH
0Koz9kqZTZqhrSTzO4paG93N7z3ZfQ5MFA7x+O7wVffHSwfCdsww6ugynu5SpsfsFvPmpFQybMhe
3ScIUeuh5BtfgPUexCDpiEFLyWnXoQxKmPTsTVofM+jAVThOu5AHnbMUdk/CKQMmcM2+koHxORx7
NrhVkdBN5dDZvETJsVloFesn4e9pngJrXubztodytF+kGA6kbINTFIQRmkvNrDVlN88B7HE0wv3I
K0zd/tR9T6E7vjl5zKR5Kc7tlECqTZdvjuP6IYRUivdRW1hCrN7snFwPV5ZtnoWQr/xYap50eEz8
3ttCpK5xvs2UbUDqfxZkLgxflE5uhG2hDVX4zrdlb6MFlZaD6pj66zignxXDZrOj9YviPQ593msf
M6/mFmxeh4zXdMQMdxVUPeFUcmLdes786h6tonpurDFc6zBpPrM8cR9SyIV3oqW8Npk5GmJ1S/Vd
LsJfwFbDB/Q4f91ALcSQ1dBbHS2YM0LFIL7p1XVuKn2NMTTf+uGEdW7Cw9O0kU86oi73Ft7ZNabz
auUqJz3NCa4aQC+1WgUO4disWj5G49mHmB6Qt6TWWNKpzEbh8H8xSc3YHITzmgFBvGV829wWLp1F
ObDua8aT2ToI3ezI7Xcfen7jrHQVt4eJ+d91PFTEh+s6vSLETP2uhSd1uSqgttA92bvD/Qyz6XvI
qG07WVhJ9sNI2Gzt+ot6I0hNOZc3qkluNQ33PyQatFq7zZw110nczVDGCAvSM2bpaBtYU+dtPJql
3kZf9lu8hZz0lm55sgXoumYoeDvOFJUyNXnM/J41M9T5VxlBKMDnT8/1NMVbu/LNOjeNfI7y6irv
IEuVjj4VCv9CnfPu4FktlnOlSxJHKnD5FGoxeOMYfq8Y9NYv/CD9XBZV/ZZf1k6nLm8omcx3WdWo
a5lQ8UjMCjQTEPjqvakb99TJUmwXj2jjxqvb6ODIaHge23l5zKOhfUpz1zvb8GS2owX5264scCVW
hspuiqY4OE04aX502sPyiRaY3LPDmnjJB4EzL+AuLhBU1rEarW2KSdJbecmlz64j8d6qGC19bvNo
kwMzwXPa9/RG+K0pGFiPzSeGdSEv30n+pFh/bvoyAItQSatcRRwm9z2XOrjm/Z3ku1Toh0gaVq/8
wQ/Cch8OCewp9MtVE9oxdMz+zouxtKDkDGsTDf6KgMMNgjupcCBBZohYeJkj7PDQMvnPydUqyBIX
iOK69701lkLik1N+AYHBxjtLvEyrvDUvqk2zZJPkLmh6qrU+fY5Sh3DAWqE1PskR2BCzsq5/4EgZ
8fyXdFwSWd5ObcNv1SVv48zbT8h+2lpObu+RPr4XQ4SP0o6F8qjxpZ+TQzt2uG6qGZ9oENl3Bkz2
1g0DGwimlZPjxCdadVRazUnentwgJTpE5y32zFPkka5ec7fAv0MV3qLq9GdlMvFrqumr3pRZWTrs
wWe177Q9UGxoN92Vp3S/V0qCQ4m1HXxjfgj3JHybV+SP5r4KTPcQj0H3Rr9SdsuV51yMdLdzBq1u
2cuNl+BzsCt5+jb2IH53CRy1cHGmW0nLLDWHYRH9QoNlh49e3lxVbkwY2mPNs1eDUUrtSJJZ8MDj
FtBAXodd9wN63pm2ZGMXG4bcxNixlBV2BeM24TPvUupyKc9DzZJzzzGY6gu9HLtwbkj5ljYj1aAj
DFar8txRkfqc+wMVq0nQXpvYHzeRfZm4RKn1McMInbDBbYuELlvTj+ZBjo23B09g3yKLKP7TBrJM
bFD0pMKqtQvZy4Z4F1pR3AIZ25YJxQ1MemAWaFD+jTfcRkWxocLG4OjPtpyAKIHVzU+/6Oeqm8Jn
sEgVr92YdDy+L1NulLO8ldX0uhhIh16Xix0Jio11KX0Kmi5e13OanuIaTYiBzjEuUuvFjFYKIQnt
EtmdaFeypKDbJwJviQdogFNXG8vsENghh1n4MggviXaP7GChPqYaoP3O7ngrrmoTgLGSFKVUax10
2YpOJ4CrgYV1asVUxbqpaSiqd7ZVouOgaCSPGFblFZu++khzQL3Fbt88+gO4UzA1PvWpTWmYUiN4
+BEgQtHdGZdgKwuY6z/ZcUNbax5ziNScVuqNG3n6RMjJhmhhz9MuD4xetTGypj0q/43PtRA2LUEl
tD2dF+4yYIfixFLgHYsJ1MD+dL9n0bLpJbgSQmiv4GSgLDbPwXxZLLEAIiHnbuT+eH6OxWwkprjP
mCHwekMvecUhpd66OVHXOpvrM/lf9cDgUx194brPtgQBsPGllWTsqj14S11hwvdhDupLxKesjjiE
6d4tPTtFTvMR7XoJcnGVDQQrNpbjOb/xZbnPuIxtkMRZ85OrCqZAF5rylkQ+tmdNIH5ZtaGXf5Mw
tGkdwFZrMxmht1NS8ZEnluG9U/sfs/LULcby4lehFppIszi+7afaw6fj4rY1fVx+ZjJcTg2FGbhv
xxAZorA4MOE91WCiSHk9hiS9GgLenvNpsFkdRt0NtAsGiX+X2xFqRNCa+I6GGrTdxNoJcFQvtgm7
n7oS9QtDpOi1jMv63eLZ31qGK59xOXMiRkoe5ipdXqO5Tt5A412QUKDV3oW2/E9UYO+jMLNZDw0V
K9HFM+0ZtvBQldS24hY5NZbn8Uqpsy0lEtMP2NtxbaHbrCvb81YGj3a5nuGVvViYl47uZM9nPY7h
e4afaW0rA1twDtKTj8wMaMjqaIqqdfS5ILLwANRF+x5UXXRa2GuzqV4AaeZsALHElSbZxYN84uVV
/R6qvr4jm2PvGTZYeMikJkVGXze9KNZHityDER8bBdqNjbcWuMZ+oMvlBh8HRjeW/XbrYjK7Y1xG
Hc0Uo3fJtGBTUomyoZtwhFWVzwW5J5p0CqKQJjuLbiyO3jgHxwt340RXefMND5PBYA2boF1njiIn
IoK0eDLhaNsbQvD1mQUjaDbAgv07AZO23nNMnsR6EC2naBL8GX1QQOfYZ/tKfDmZHu8RrMc7247a
R4nB9rds++JcATmEXRD5P6Eng3MEOfk69pRF26szuD+SSMJvLJejB12g7t8rrCdvmdZGgXVV2qfr
4WKhnEfPi7D4uf6BWzXcJAxIn4xs4UcGtYSVQgm3/WDpznuJVVl+V7F+cUJU0cqwIxlmkqJk/2KH
4INs8zs8/PNnCfOD0i+00579FNF9hfS+HEyHrCfDwZQ7jgFc5L4Z2GBYfrPYpyxpvXKTwDRj3jBF
6c08dZLAEFNX1oi4CnYuYP4r4gRa0ZYiu924tNw6ZTWUxVrQnb0H9McguiHteh5aD0IEt4S4sXuF
YKc6WKTSV/FnD94h38TavIHhabINJUTJcSh1/ZDwRQU7LzDes2FAOG/tslXfbI28YQUbdf6iNHVE
XCkalR0aVV5a73B0zjvu5szsyTNflEGchP5ahZX/QZCISqGGLf9VHLkjxMPLmy30x328WKj2FjHQ
U6zmX1oDEGVyPE4rjtY8J+yR+AQMExxKggG94H1HWWOOA62lWIpvHY8RkmVHVY4/YxVxnGuq9Shi
0JAH/L0LNyoBQj1PYpVKzcDD5Q+enG4Y6CaePafaNvEFk907qiYpkqRIZ8bJviLjFUflpVKsi7ij
o0zhYN6WRdR+4QQFXj15IO0HRjfzFUW8xQXx6r/RZMLrI4s5vJU6KvODLnL3Oyvo0Jm1V3HAXeZL
T3lJhX0++OsiA9SCI7lmmBdUxzHuGZQphml3PhWFVNd6PW8TE5mvJWsctnjC0q+kX0swDuwmQAb/
uIMTXknLC08Zbqu7cXHB/PGxzSUups//m7oz240cSbP0E7FB0mhG8nLc6btLrl2KuCEUigjuO43b
0/fHGMygKqsnC33TwCBvEpmxSHLS7F/O+c48ayNgV0uPP5PepqBmGGz7DvQ2VRzQNde/G28Q8cbP
U2Alnrzl7H0PdtREL3FRCAJOQMQeU2JThj17+3hfds6nrMz5yYBo8WUoRjtQEK5Ym6ufWor0Vbhx
bh6XsfIZ/jrNB+QDVJVRZd3ndWU8ReR3/Rshxip/+GfJi286qKC4uG1c/M4qn/gHxUKcmS5E08Zb
e3qWp3TMD65CaZn3dcK9Tal6GywjfTWHgav07wUTzn8ll0CCwhYUKBfCm7/oexbbgPLhT95hVlF/
81XdHoe2Y4tgsrZHXU6SLD0Zi3EzHX6OC1dKq3Wxr4fM2mg+2azGXuEBxt3mtYkXvmTBVCKp34+U
8eybbesB/KxgLFMoQNDcqMuxVU51Hp0UZXSHLhUv+maUzAYFSq18q8cMEz1e25q7HhYpZjX7UEyZ
sUlQBwVq5T7plgBZc5QvE7nUGznO1kOTqK+0hCxluEN/bAwO/LQCUbWhGUMqNYHE+Psfnf2vMkKw
aOQ3CWAZTAfdv4jYCh4lfnwO1ToaSvoG88FxprnC10fEtYVkaZzRZhDizK00a4D7nZ73fr6jClg1
BqMdED7sI0uOByLXdKF2qY8W28TgsK0mg8wFTb+bZxTAIk2PZUo02N9/C6uQ9K+Pni9ZaDlA5NEz
eKty7h8evYS7pB781j+YbZ3S4vjDkm9B+caXxeifrGlQwcDlvAX7Gp8t09S/2HjpU2uuaj0GbtKC
7Wt3I0bEEt3G3391/yrbW7NGlMdzSRaC/KtIMGKGpywF1ROeJGfoJCL/iv+8/Td/zUrF+5cfgu+g
eOQV4Gi3/vI51iyMnS6s/QPrzznj+nYJAoUgFkxTrn7YNPCckRnpG1ZYBgBW1FNCEToFDMZB1vW2
f8P6lCGb4WWpZVncMNZD4snCBRl1Yr7Ufda9/f2Pxvrrz4bz2rSkXBNygX9wcPzzB9fkzcJAgmdv
6GwOhcUu5dY1GQ4C58DERhvy5me3ykwqQAUrEqGwzW085PF5dma4KG0y/5SpP13/fF3/Y2zG/2+z
eaTiqfp/a7T/V/kzbj//K4Aj6EV+5//lN7pK+q70EUL/k0qbtGRXIdJTFrnqDr+IZ/T/pCX7/2Ep
XhLTslzLc3nDu/9Nb7Ts/6BFQo7KH6d4vP3/DrzxX/Kx1r/CUj7mSI9ZD4bOf37gVJcbA/I2nKvs
GbtnbNoezkcDJjlbeHVz3NhjagPMbl+SurZ30IftQLrLfyOy5dX/67HLl0EKKM88mkWO3T9f6T+c
WaYcFGQrHxuD1XVvmYfTNlR+eBqiwn7RWeJfJ0VXgxsF5DpwLDjcHj7VHRHD8sh/AqNkEWJYMaL5
LmMWNSW4aKBHhI4ERRTKB7Ofw9MC3iJgDK7v4zRht5KSObdzGsN+jDs4Xwm0jRPLjXZrENUDMjnK
w53RotoS4L53ZUQ/H5uaabXtuPa+V7Lcpd7sX5QGdMAgYci2Kb9+lcNM1glrK/gW4jm5PJz7IhHG
0VMpeO+l68WnKc38Too8ZADY5AwGJrO5TKrfJgrnkBD98pNpt4SNa6KjmsWAk27sHmg9sIAhEwAw
D3HlR+963Umrob3FTm+dzYpNh1rTAZTv9A8RsozAKW2q5VSc86o+koUDVEGrCES8j9k+dWgeAeqq
D0uzXKuUab/Go2/sNYOYU1pyyS+DsK9NHBl7fol5mOA+B9UYt0dmzv41MsR4ArMEZnbO8ZxGcMmd
Rl/m3kjudeKA4h6beufqhn5S02hC1x1RKvQOSC6p+hcJoISxSyUCN2ri57wc5Ye7wF9oZ5guojXN
Y01iKN9a88CUed4UWOXuoiJLX/Q4Ge/j2AxsslbpEtxTRKjYCRskFluBL/NnU6QgWIqsfHSIkUnQ
ZBj6bqyL9pxEgrQIhYd+Gu+cuDmCprt4Taz20WSw0zTdmytSFnImq7LtwnrGLhBOGrKVxJ2W3GCC
OrPrFN1iPOdHrPdBGS7ZtqNF7FQHXjpRBIKGcIB1VwYj4QAEPFP71z0LsjrL+o8kjXqC6/sK3zzQ
UWhOxg93achfGMr5vqAdC/xxzXPisdpTeGe7mqXS+m/qZ4SO6zCiJHinYIG0gy13viONYw0hraxH
cwL4oYthupk1trAGQHIwLnWyKfzyluR5y6ZQL4c66vtHhB8K9YezPELcT3fNgm+vEKwEB5YYD9mc
QOG37Ggn7ETuSgYBp7jB0S/jJgra0qQ7dvv6WI11/ZYTWcyn6Tbo5LOYlVLxG7pmtMO7WbyEjjtu
3JkekT+Dmipu1HGY/OU6AU07VbL3DiUjjp0gEZ1WonDx5Bq+vyM3xttOoJiDlhieY9sb3g5GBYoR
l7If6DwM5r1GlYj1SyneNXrNwKgnatOymAv8S7lgbeKGGy0mdUs6QzwN07g1y+5+qpeFcXcl77zK
mQ+QTYfAGZR1F3nxzeeQ2VFh3UxyY/N4nFjul/qCiDX5mqs2/s3WTW/9vMft6C/hdbZGoBGuwAfL
qX8UOldnPFhgGEcHbGk5yL3huurW8WWvw7fwKWKO9WnX64Ql7eWxR0j31Tp588TJ7J1yt2q/2w0R
J+yVCfwmfybGpkWc70Y6kcpOeDMR7Mu2IRVJ65ldLQviAA0ODIKubsCYxtm4l53v1fdEb4wlVUKE
yWysoyCGGbgnFktsUcFgbgxZSW6B3Lp9YDemoGbUA/sqS4wUjEkIscwIb06RkNFjS7+yEc7kfM7Y
+3v5rbA8/WjYFZItWKvtWwfuAVtnGN1U35LAItVwFwI92HOmzQdyH8szjtD4G8xabNNe1PJex4yX
qAgh4C816AMmJf4krmtGxNllDuLsmFT/mjOVRae6LJvdSILV2cs7+eEkPlHrKfO3DbNMPBoU9gfQ
uuTPY/CofydEtdaAdtr+t9t53SYEzfFRWL4+1qq6lbHx3kxjdyxBR2KOV2hvywQ9YJ0zTNnMCoT+
Yi7ONxR/zDAUm8YPp2jzk5/O60B3JLV5TLztXDC6jJkHgxiwQ6Jx+ybMH/CW0twS2upMJ5XOg3+t
i9DKfilDdvoJ7IXzHBH2QH5ObdSfHa/CZxja5VtFkNZdE8Gr34RkdPIKtfxthb+MrzWaNoNLKmTs
MwwfWeEbl9mTU4iSem6JpF3xwbJnQmkmYoQNvj7/Ud2Kp3Ly1kBsYHGkg8zqtzXb8omrsPNOo5vm
6WPfdaSZ04o/67ahJLA02fbCaoDADiQT/46KTpi7GODRO9ZH8QWrdT4x3JLwJQd1UfiqfiEHxlES
2mZ6NDxLXsPUAcpgNCMauFiqu3Lip5pluXtA48tOqzMaBYhFNeCTVfPkcFo/wxlujogmh33UkQdC
flzsgVBxvIk8gVAcHZlEO/YwTJqc0N307Lne8B7k3q2zQjc9DxmctcG7oAohJcIBpWmy0WC775uN
+V75bfJtlKm2N22dLMgymaiIXVJp+V2ZCORvKQLFdQ5fMkHrco8UN/Ka8I3ZvvVoka/DcWtEj/Eo
x4+8rYHLGaN4rnoLRYzVyT1JAxU7CyN6hW8Qn6hqqODVwB9BrTWmgSjbIcinZDw0ld1fLBepG1Wa
8ShnuzpYjYaLShrWLzeZ7D0sN4KfECcOr+1kIY3J0oaoD1WSeDhnhd3vlmWlx2J3IZ+ZMTLDEWvU
wQjyEoft9CN2jTGo2jl+R5/U3WE3LrZGHFuY7x2xHfgBb5eB+7MgcwuFCPk6xbTcNPyToG2wTmyJ
ZTGoxbzDNKUs5EvQ8pBbs7Dqpws52Aa87XzURGN10zKeyTaMz5QzVcAEBjAuZYN6cYgsmLYsGcqR
mYhrPWQN01e0WzwKS8XmNm1F+8Tv2ssU1HILjm7esqEKUNG4lzHqZjitc1SgamA6WIdkY4SpnE8W
MR57DLoR15Hw92Wz2iaY7B4w+0e3AXTvvnd4Rh085FdlsL1IojbZoPuqnV+oSFYkqTL1ZyghYIrs
bLsf7TAKZmxDqFmpGd0P6kuyJC1Z0x5icnsnfqR5yFvg2iILc4K+6HfvK4PL8jCbmoCdLvMPnrFq
jTM/P6QIF49sFdRBmokHkVQNzX1FLAtMO21tLF1gUAxNa4a2aiK3rKpF3ikWvw8xlE7MA9CFL0nm
Zy+DZrtkg3g5yKHLT2kHJw3Wi+h2aV3Nvwa7yMlcrMb03ev9NZBGAhH2084FyGoKqOyjJSoMDAU4
8N1UEmwSbuTQctUO0o1PAKOSLWxDkKVhWKDUnwg6Wqq23qumLa+lq837dHQbm/o2e5tAVNjnIRqI
th8tNzz6YdiQkAka4gqtXq97JHyABBhvFaOu48BY8IfGWfzgjHZHXd3N5jOnDeEeS6x1HcQT+1Sg
zrtiCEnjYDAAUGcv3CzfUfSgCQzL6MpMqduAGjY+CX3vO2JGeuPspelnIwz/1jDoMzbzYue/dOlG
BH97ktsf1vCmnRy6Bz2Hc8AmtLxzc9TtnTGYb4y4/AcuuOZSmSPACd/o96Zj670z4SVPMav/ljnZ
VwDq3BuieJsC2tWIM0fX4hStjTdDLZwh5BCysfTr0jxk7OsA9cjmaRkVE/ypt8V9G5r+NvGX6RNW
XfjIeNthqGng9gN0vCks9s8EPf1qHfC42C4aEqusmpszCik68a9JayTLg6IAhsRF8AntUlIgdgOu
/dfadp2d4qLZ5DXy2SIJ3bs5zuM3S7f3ja0wSrB1PeQIftja0NxcWxllF5W1LgeJnetjRY8R+BHe
NROZ4KMzSdYoeXnJq/xV2cUvI/Ru/YCcLrNikJ5TBniIIBHoEx43U9qRdMfUXME2ueVNU3wNc6tv
5LgWwLXC6BovWXxUXoSoy/qRjRnUuN7ZZ4IdEyiIozCcmF5qGQPULcXe4kKCVgHcKwVLHh1VQlIa
yy7Gy6cpkeRZK+SX0SVbEnUXuZF1KT3ILEQiAvtcaonTwhoMSsbipzc2kYUkdHypeZn2DjgExLxM
y80mSwK0sdkjW2MQCm3kXLxeO4+OVXjnwayHXQ86MnCNPykmSXrRM2SUjahaixK0NNfHkAHNzKNh
TG0ObXI6hrlSYD2Ts5f1wG4w+3rxwXQHnul5O5YyD6g6knNYWPDw7XS6tLY0A+je5Fqy7Ncnyy3Q
5Rkp9n9HwoQpstYJlmU6OklzbExqiMUZPLR6TPUjdMynkHAaaP4DH3XILHsbF7Ox4lSMSxw1/ofJ
9vwAjsV6byHvbv0mys81csbAgth8lxvS2cnRH44LeQDfsfqJd+Uu9RMVMKKgMBnesjKsTqKsjSdr
0PJpzT3krARfT3BOG1/bPo3voMctO5Oi7cuC+H3yrBqUo9NXP/E0oSZ1oDc2AP6KUAazGf4wJ+4+
MW8Bksot3LiXJtXGxZ5RldQjVC1jzt0TSk4fDMnoP69EwgBVUsrejgJ2cEux6wRTY+nWV+TvyGoB
OyogfLFw6CLN4ikdpow6oWw/LVWCrDUAzbAXNU6dsI/QO4yzKRIWedbY3/d+34G3yJ4k/HnpIUW0
nfa+st8bvEya/NZFeHu7V9+ymPT40bSOWTw9ez5iX6MgD6FF50bUJmK7iJVQNWwpDd/byP9A0xDY
Q/LZMtjY5i28JPRm8VM66eLo95DLuGbKq5ONNs9xW518L7t4+IzBbDjLRbWxsXOllx+LzDs4M7EA
WRrnx9Ask9MI3/0gBv1sihJW0VwOWzunwUOUg3JBUoaf8Miq40KAwZew05XD5xJBmWDuCAiQNSjS
jWNcpSLARgaDyAczV2VueJlyWewM2DBH36LTBwySon1m7Ux6gRssnTecWCCBj3JPlo4vFnmYi2A7
C2BWvta1219Zi4jXJHWQjrckUO2kPXMxIhwqME+FM+YgL9Vyz561fkNBlweeoEVZFJsF4Cf1Ja7w
SLHAe1hBQOkMndoDEBzb6bkvml/lJNs7ZIaomCLPJCcVVqBZe0HTWsWeEVN9Sr1slfFOALWydr5b
2LcGyrXNL8H3h2tNAyVxy2nd73skW6We9zDpUu5DTHkBQfWoSPJ6NzSTuVdDv9XEnXLmATBWhvk0
hGlHhzP582NhYvZH1KHafQ8K5jAmJVpjckVOZgY9HMqmj+oLAOOmbuW1KB0HC5Uar+4celcCtQCl
owldkDIIpNIdUB3ff0Y1FySxeJgTbEt98oP12685aqEZmXVFIW43+NylQqLXWYT8cm0aGLAABzDv
NncVMdpQigeLLhunKDfXMbPk0WJ9w5o0GLGuka1ZHD2v4oVyix237S81EvRektjVuctRGtZFeiin
qLX2zTB8I5WJXN1JiOzUcB0847qf70UYf9PCBnKG80EkvrwV6dR/GlLUR/7/pswoW1waiJNo6MYo
UYxnZJ53lWiCOmWijrpSXcmqxTQp7Q8OcKTaZiPxMxZWYLA2DbzZeitcVt6p8lpE1PGeGnrbohGe
q/4XnkgbSs5UbXwXJW6mPeTRhUIGYp9UTIQwAP14LF4alVBeynGbNEO0abjA90VIKkMhDgScfRi1
5/D2IJRKxlWpThBv/0yTTUyDQ0poSHCYb/UPY5tT6okkfog78ZpWqCndiUwWKzepF/Gw710LDTkG
wP2EeWDrJPhNJmU59xOWL3BCGK+yFkMFjqadTTa1alcjF0Sws5NdDd+81GOS8DqWzzpF8T2U59Dv
/CO7JdBl/gThXms/0JVVvIDSnj78sj+nC9y7nIZjU9QTUuF8OrBaBJycs646JT3hKKDYLeyMMYkm
Hcy2Zhmi71FmQU13xSct/4tgMzcic2DV3Px0mXO94PmpThal7ylmMrRDRHc1FLFYiJBRN02ud3Rs
nHzlqG8R2W4brav6TVi4L0CNo3FKDE/srLpON2WP5aup5/pqu0zMaBvC/YDe4BmcFoh1c5nuqsUh
oje1VXNSKtVIfyYMTewviNMuwWWmEx8UyrPaDsEe2u7sb5paJK+DnJx7nrOdjWN1VmF3TUPIwlVq
MvU6LantoYmeOhCzjnFiOwteDIEeErXF/aqXsDtisn72w/S5sKv44FZpfWj9OnuDBFoHjWwfNHHc
G+icgOwhZwRGiNQ94p6nToZulcYIZ+y8fsJTNWwW6oQZfxf8MZhlp6VmqdSM4zdZDaTAcoqfVBI5
d7kJXyEaSL0E9JnVABwjPrPjOAnv6ka1RIbhKhiRMuXXhYIhVFzGTKga+dNl1LXpsG4+AFGaHtMu
agBqrfNwIC8jk1QUXrYdvWeLzKDUVuUZvchU77okDZONEXYo48IZ+N4IdvQ7tGQycTIh98TmsAKO
Mx0UIOGCZDFb4GIuC33OhTm37nyJhvM6qPlSytR4C8mO3KQ1rceuMyzrBYY/rDf7T/QzfrH0OnWU
ZO6aDD2MFvHybkRcdPEnOnqaFSHQggSkMMIBR1q02Jk2EdT08vYbpi15snoFpjYmkXpNzbiOa0p1
aQgTg6HEuqoqcWiQyh8gQlMAWYpk6wgQOFC7upBXc+iDluJPkFjVblKmFFe/lfazXhOy89m2Xzj4
y5tWIkZZ1CAqMtumOdhpQcD2ZOJrJSGhnrY0/zVXn7tsZ6dB14eYh0lYtQZ1e4rzAsnGmL2yc7/T
PjG37jyWD2lTqa01Ob9C3xQ/TMi5cQA2IfwZrgHglCHfUl8i9MvaR1t3LzAjh2BYB15E0B/7Za73
UIy7yzSZPK6SwZenyuE4GUv5WUssUl4Ndx5zirkbqp6niPFgEM3Z8gB3CpWumSPMnAHI75dsTYsw
HQZ0CudyUbnAHNP63gMBuq2bCY1q3L8OMzpW027fE6shYztB+YFkR90vawz6TDr9dydCq0gIkDse
hNROs9UOcoxa0thE4Usc+/7J89dyR+Mz8vRlStKUA29Kz7Pt/k4o/9fk8p7IqzWEnSu73g6aZHbr
T0g78YFg23urvKolfICY96AiIJCx601bIIlYa3r7C08cDyOxuHfTmvnepou4dPAYP8mVjHZh5X8n
2ds7qhrEB1WSs52HnCLMF2t0fEiA6DTY1pFbl9bYPidUTa/pGjZvWzx+pYupWU+ecaSxGzES5499
ojBNspjC69pfLQr1zuuxcC1MJYl8WroTGn3jflijGvg8XuJa8deRnxA4bUbOuKEGMAQpI/yWbz6v
tyCFb8bSmFdAHTiLQZqfLS+iKc4yn8mQyghImJ4sGwVo2GIWdcfROtshTEC08BcyGJ5NXqKNKcd9
O7gAb/v8pcrT+xnfKMKi2lltj0hJlgz80lZq3KTo6/q9TYXDWcho1Nn1/sCZjAK8uviV6GOmAHhh
q3kkscRSHMhYrOrX2TfUT/x5TC0rvFgUFgsfL3xzYNpDMIORjWmpM4R/HIt3fdyFD8TSLOe5Vx6o
NOgZGVheGalH1aX+Xjv+p0otjALR1WPafXAkEMN2Fo8+dREJaHrbAnRIivZt1umHxIu4qbua7CcM
DUb2GHZDHCwsWJ5bbCdbGyH8kzBhHyMo6wMYUvGbRCR7hHpGSTN1VYB3B1e35QZNXDs716uNQ4EZ
O9KPE7umuwhkNUqkZfwskK6FGPhqyu6+ZfaCtgk4RymvlrbZiyFyI0O27s/R4HgBSTgnjL8V2D+k
dgcPTSrdCtUCLrCZ6wTlVbk1IVExclSopxocDRuXpfyb2cQr4FTX8gSXqPxB+hHUtlrb1ZU/ND2X
3vzae4yocsPeV5xvd/6ck05i4IT8WjIKM+7D8TEZl+EU1SVySr/tzQ+wHgbRFYW4LjzKb1OZD7hc
rZAcDx13N84F+FbkMeTfkWsNX7Hb09cxNPAHlkIZ8aaXrgS/xfTW0W8Smc5tMCZe4znjQ2DHNMb3
EMjTGedFQpmZ18J/IWKjO8VTtXBcoW//NpqufNWxFZcH5LLyroxkRWDN5DgV1SD67UhCtduKHMgr
CcTFiHbOS5waSaabvAKXg8pscEluUf8lezpq5+iSMkDye1Xb/Fooqls/G4eP1C2/8LIZW4x6X7Tl
ICybBDOL2dhfOQUfC7eFgdXGSBmJdNr0LoPdJ5wUFf8EGlLp3YzgipLSlB/IbHiX+N9md2cI1f0Q
5M2624485X2tB4kuVFT7ZXDUyQsjdceWdbrX8GwYj7ETbtXY7+skl49aOZxosRvxoDQun56OlVij
gQBWsN3Y4kbx10kXwRedGOC7SY3nGP2oa6XJ0ZzaJzU5rCHzECc22AgDskea3/VrzCaTtXjfEAK8
kIyAv/lPHmeYrdmcONxwU7hqQjhohfJHhRNp2DlrpGe3hnvaa8ynvQZ+ulMubvmfFFD3TyLoSCaQ
ICNUD461NUWEe60lQJSN4gGMbUlOifdZxma099a4UR78hlwUX58qu7Jv5hB/+qSdoW+npt3ocfjm
1Eg+OydqdpmzPGjkJ4FdF/5GmwvIxdiet6ovlqCZP8i6zjqTeES7umcjWPH7G+sVsTrC1Kw9+Im3
vJVDTPxzBGpVp3pEnGNhm8/bsyglXYe7tEe6QGJIBbFwuoaP4mr1nVS/eMbXDm3bxNp7l3oMvyZG
YE9OFpLGlpbSeWHZtOwBXIePYzkm+56skG8hmW8QQeQ280NiC9u2eCNNmxMxQ3ns+n7yqEdfHAap
8mKLVx2rD1sUtWyxyfrI88OBriNL05dYm/2Ta7Pw2dlFEhHpZJvJBZsVJUHkkTgVCe5kibYrXMT0
PM2ZdUykxrA5+TRoOMrYIJ7glLM6XZXa603t0njs3FW8WyMI2NRWY76B74G9o7uZacpARMhiEDid
jMOukvULnRlVSu+0Bw8r0l06psO+mGECzJn9nf1beKEQSa851SRoYxqamZipi0SWuB1SAkfIeRvu
8P7Kd5ccniIyx31KJjhK4N49ZnXdXurFSvaZ7syneLSHA0sGxpx9PUIxp2ppDn05hs/xMKl7xpV8
KylLQbcpnQuraeuBn6pDfeDM9Z0Varllu0YERLW4NjKK2luu5TK5v+e5LPID2xd6QLZu0xkpd7IF
GMbTwyz1JVocfRO6fjCiJSiZ5mER7NXJyV2IgiYJypeojBjGNSY+1YC1it6jS822cPV+N6A1QIgp
VipuJfTPHOnAvjfy8CgiuCcYNWr7ADXYuuDyOeZkBn1mAzKenT8YZDRHskze+Hy/44VIDxNDBK4u
9uoYOC3atikMVNp9mE4aY9VNsL+OVox13mFMx3CH/Z0ZOI4wNGp8Tc5zplgptiShzQsiZK8p9bd+
FvNDOnM/1o2bbvqYxgAizsUtV0tQjUUiw+MxUv83c5w89Q1pLlh9O3EDoIucucLLlPn7ZOT5hUTw
auUy+7kYRYKivXV/soHzr1Jb50Snot7Qb0Ov9aDrAHVNrJxETqP6MFjI3iqracEelRZPhUWCeybq
76OPFHgzATi2yW9RjIKpGb6YgdJ52I24RTAzdgiDyKPzEMix+J9OZEuvLJTJMS9RASFjSrGWDAYS
YjIbvoXt1H73Y+qNraoG88L0mdtmSCXiZoaVUIGcEYH0aKVHNDuQpCrdvDMY+oYX58c4+TnXuGpf
hR3np6QBN7HhOk0+LPrP934GnMopZM6YL6jT6TU6uikwWZlHzwKrAzcrpPPy0ZvJDQlLT936onB3
dp2Px6UkuH3LpK/fW11UOXvIYWgyCHIO4SmNvbGdc7H90+BkjCX2i9s+svHCLplUFlOMqJuOnmH7
rDIMDx7YZD9Wjjlc4d5gEuQ8ekLkYWwXJv2k9UwTdJPIAQDZRx9xX4pXcPYZWoc1FZagZsQchjMc
Or3Ox7FdWuR6jsydzLbwWHj1RMq1WVAluMc3bsRNkMB6LzYDqHLSWqOgJyaOpFRCWvvSRuRTLopE
tMpz00AR0rnz3O53aiV90FdhAxEtRc7QZvmys4X14jLb3yamRQgrp+mO/W5xNXL7QRIgv+8AtOC2
W9x7onkq+v1p+jHkosEn443eI4BZ7H+AH/x7M7GKJ5a0/jNKzOmBBfYqu4zLizEr9mrknJ3T1iUJ
IIpyvRVQKp6dmS3jLPqPjjn0ykEhTVCsFnKUNO2BqxS9CxkMN20XT0jwsutEzXVM/U4Ezui94VmO
g47EAkpJb0pfG/Q6DyMhwdPG1E76NjU4cjeGtyBuSoZ6W4vlruWB2JZ4NcnenN1TF2eHuBjjsyxw
Dxeh58EagWccZkWgReFhFp7LE7OMYbtA6OeNmMazVSOcWdKW+WbruoRvAj/5QNKK6gOV8buhxJPX
hq/+VI8PcRvhIQ/p4sj+ioJilHFQTOljzJ4QkkJ/JBGW98f35wtOWSav+VTekxPR4oTLTgASxsfS
TZgb0ERd/bmYsw3Nk7irXR/BvjV+eR3AN3O+RBELI8+Q57IpWNoQm6qPaTiZH3HbYCfAknyQjlO8
WmQVJZuenfSpTMuzVSl9YSaAJsSRU5BYdvOGX2C588g12tAmN2D+WFRDalNoxNErNdtGjfkecX56
BE+HrANoyRY2Sr0f8e4UXF8zbr46Yi8bO2b+yDE95OtKftpxc1R7dpLmRdvDrxpE1aHuInnEMMVo
D/V/fc+5JfE+i/mMngAduB9NL0MfTffwxLBya295QmKZ75YkZCTlW+VTQ3HxNPazvYtgdn4DtkB+
Rqyn4TIVxMvh4vV+q0mEb0OXTRu4FNz1Xho2GW/+QvBEIv13HD4z5tWKqUFcGWQH2aSzlTI+paOs
TkXs2o9WopJ7UXYMypcYGLw/iv6B2UD8lROeApmuhhwuGEQid7DUZVadg8t9nDjPlo6p4SRJX519
2BBwkdBtJewTpON/NaHvnClUoi+GhNQQ6TqKEk36mNCEFzQCmmCK/mMdBb2bWFDgw1dm/20Jlf3G
dCP5hj5tuTHbEGTbh8Zuaf30V2w41hMJQ2wOwip/gQoW71gL0N6vjmTh1+6zNAEOxbohroI8wach
Yn0OxgvoXh+n2e/KEsNzyfXKYmYOb43fSLgSpAAfiz51gFyH4VkXQuzJLWOrgFndfMjzefzGmEXd
sbLKd17laRijo9Pd2Bg4z4WmATeqOXsGoPMj7VqITi33p87DM2x3yPBCtreomaxPWQ6MFTPemU0J
6Jo7MTEQBpF02zeLfYKiBExFGYSZLKyLN/ao2wDXQr1fWgYZdeqDAPVt67edeuEFhU5d4vwhZ4GM
CB0/KIqDPcs4IHkV7yHZ1QWPLa0+rTPTArZR9tNYdeFT6vvVDht0/VKGyTO3KzWPpJfm+hXHtnBd
dmlxdumyfHpVY4xRoIcR6Bh5z86asjagRs7e/bSGytIYYfwxYBROV5/LyNiB+faCroYjKjGyvWsK
59LZavks60QdvJjtXdcXYuvTcm79lIgRtjvzM9Ow/iilu6r71tl7beruN+KaeetVkXxeGms5ESMG
19Weuw1Nl3+us1Ex02ATw6vabHqnGBmfdCTaslcFh48sL+GxZINdTPdD0j+S89GjjOuHvQYYtkdN
Rs0ZJcahZHXz3A2ECkRDJ4+mQ2LKtvOsUdJUQuL/T/bOazeOLN3Sr3LQ1xNCmB07dgCn5yK9I5NW
NDcBipTCe7+ffr6Uqk+V1KamgYPBDDA3BRAqMsnIjB2/Wetb2pDEgTS6IOCXayBF62ziTJb7chiD
6ybpmzMOtpRgBX7/kPA9ZvkeUFSmj185cIyrIZgJHpKZoYyFm2WcQf8DrViSJHY24+gdXQt87cVy
VwZQKoLsJSOXjxUKkuFHmbH/cFFf3QxFkLymfjtcuw5LF+a0iGGhiGacSEnxgwT73y2X334tr9/y
r+1/Xn7we4mVEMVH9z9//rL98XX4tVy9dW8/fUHBFHfzLZb9+e5r22d8Kz/ot//zf/cf/+Pr95/y
MFdf//qXt4+cbNm47Zr4vfsjdZw67l8L4SGSvb1Hb9k/0sL/+ObfiOXeJ2G5tm8qINSW7zpAdMev
bffXv/gX9rgv0LX/l+L9b8By/5PAJsL/baN0Rlft/ZcY3paflMIowTBKWbavlPPvqOG/v/ofPCNA
jQRWX9OzL16SP4jP2cXUURKZCGCgdXarwBpzSeJZOZ/bIncex5I0hoo0uHQ1OrXOF5yCxQMpIPO6
iTLrg3vIT05zOVrWOu2wQhkEoSJEtkbU3KWyYKSNaASrJQJUWlbCZMHCFMqK9i5MhvE8iQxrdpnC
Kmilk97NIP+JN0h9ObhH1GnqCntOihEOXqCgrQNrkqAPx/nRlf7G1Y6PgNIazDPS8NZcBZ4cr3wg
3/tx9OZtT/d+1KEBwzYi2R1j8LRzJ88/+DDRaQYYFjoZuaM8LLrPfmJgzB4ZhTU9CVHsO3iyoXyy
FxZaoo03eQKoHsy0UmhAT6Ov552SDZCSBcXHQB9XWlCrwcS5+ckTSEMqT5UNmWHefGgvWIYsLC/h
SMI07tJUInwiKOucz61zA+ktvK/HmX17A5EirlxMfLq/pGFYJfm8SNvgM6qzi+7+qTAqZzU4itgj
xvaQowvkEObcrSECzzdqJC8BUaF+s/jxr8C1m9WUJcwxrYBfgdJtORJIhcbO7OO3FrXvCTZhQJhL
zqgNpdRNR6DzndnJ7DMLEebPrQsZVDN8yHCWm/1V1fryJh6g8GnEVFcUvMXO4iNzrjnH7+PQffdK
Md2VUd2gf+77a19kKegW4sfTm6KM2uRGhXMzPGazqJ4RkJX9QqXAwbe+GCg42SrZKy+ziLZedkEu
LpBMLNY0+UF4GC2yNhamOeSvFd2ddZh4s5jXeyqMoOxUdJcRDU188MJU40sN9VtdWrG3roymwi2p
s+FKD/zZS9Di8Yb1heWtvXACQzWadXaIx9qwl6yCIxPto5HejQUbLQyBLN/WZpOiK00zHvtEYiQA
hAWMlnZbXICy2L5TwG7oTcLrvAv9g8Q9T9aHUMFtQTj4MwwK8bWnyNxFSQt3c3Yw9zlIltAVJTZP
XdUXu2r2tX2AU6cmNL5W8Vm6SXpFppy4jgLZ34U8h597JCAPcS6MTd0E4R1aElo9x2yKe93X6YOl
SZRSdQwtXDMnAzU4DkdczC6cK9V6pyhlK3uZ8bhrZI4lQoaR+B0hE3uVdbH3PAfjt6HqDf7UvrWT
FWJRot7SeXptnJnCIZjgdy5a8p/fWjMa7q0qE8/BxA6PuC8MeIvZguO0HFTuvOb2aNEgsWO2KWXr
6cHC/3xKJEt1OLgYoxeaKCNCYE1mPJTI1HTkE/UbmM/ynYkjfmaj73DATxrdHpYWeJFi6uZXUzXG
9WhWuYNdOXCHRW520Z0hkvpK9N5IuWEPH2be6Hhpdq16whTbdGwsI3YxsW2Gz3Y/zgGD3gmENx8O
wAGdZ9ovisnYfTWZzSP7Apfxm4CWuJyRUh+NCmobcJq87VckUE7InoIasbm02pldjRijLwTU27Cl
gYg91QSOEAmXeq3GVIeP7jhP3H1QIT1SvoJY9ocoYQWypU7zSKSPem9hdVa7c/FgPBLyFd2QH6a+
lJPV3avBrbJ16VEv88aFw7iEagCqD89GLchbK+RJD5W1zyGkzBta6zxbTFXOxrUzY+M8YxViPGUy
qkF2kRnfGCpTW7dwdTNsHKbLJ5bxHyQeBjM6cpwvodHOhGqLwQNryiI4XZZxHT4XE13tJmUIzE7I
ZxET5WFWr5FrFNaqjr0JDOeQDuys0vqzlSca4EIBmTwzyC4C0azGtY/DCUaC0aJSSSMN3q9J/DPF
qX/XRHZxPXYWg3PZNtD9HOmsG5PlK+FiuY/hG5EaiojAT94aYVDCoyUjqI9lLDdkkdFBFFPGKqZA
okXPirCyKWK3Ze2BQoi9XNrZSzYAXgkMlmHXKlZD/yUZKzTNyRSz2q6LWSK9DeLmupmn2VrOcWkQ
vm3NtwWxQ69pXbr5rr8kDd4M6RTtBm27b1CfvXjdz1l3rWAGvFST3T73tdN+m3Bv5CsDwlINnCwJ
P89jxjmbDkhO84b9Gm5kwzVOIQw5bByVgYg+TAxUXU702AzSPgBA6JpDSjRPsvV7gzzhsFEj+KGo
ObM1HHC81PoOrQcV+xAWAdhcc7pvbEFVSUh0sAc1JcONNTnZPpQjrlDd8wFa2vZMjnKvMVutMejP
W5LdnDfYXs2+r83yGhwSP9H3mK2IRow+5veKp36EApm2qzamG6MZyenL3PEdUXX3EVYZ/VSfqLyh
BuX5vJi5Pd/GUA0klxadh3NCMv8uDGKnJ3f0eDIn8+dwZDcJMMzw44XvVwlakioaoXcP6WXtwf01
L8NBO+QLIllKdN89CDdLrJUIppJygKAE+DzGCKjWEvWVYuCyzWpEQ73qp2fMBUF6zo2cVaffXM6m
KjYRe3JCOse6m7r8pqKzYs1pGfjspxpISWF6rOVItq7WcxWBJuSxApvlQqZnVNmF77q5LGSVQh+n
6klPCz8PUwYajWrY00LGI8UsmOfDSERwuFdQe6N1IIhKrnwqBxOdy+NEE/mVnBC1Nw2/eHLdNPrs
F0PPRNA2x+1oXjBtlui2EgTgfmYjjGKw6L/hpSezOXAEOZZzBn1nSbqDtScrdl7P2ASWCeyBG0op
RIGTmpcWUIBySXC4+y486IALQAbugzc0+qCF6eynbsRvPkyzeZ2NoVgBVSVtKhoRfffWAM2v1JUN
pgd5umO48cQ93qC4His8M6wK6i+aMB2krMB0l1kqpocSSOp+MnXL6eJp7yrm2AVOlJnugXO0frIl
UB0w8cN2dmvucwZzxblEzJFi6ZPZbrKCjiA9qN25tDSobzXcTq3jbqt6rHaAqtF3oScXpwgi7S6V
sXzBlsHH0xkJ6gy0lZ5Qw5VfI+JBmSzDwqCnlG50NaMBfSxHI1yPwTR0KBLacTukmX+mTsFLiC40
WmTsOYnbhFCzE0L4p16G8wGESPY6h0Ny78OIWnJktjvjYru0ka4cfGA7sDpLHhL/Z63HP/VW/5c0
U3QZ/9JVDD44/6n7+v4NvzVQ8pNpObQ6NP9SkrlGq/KjgVL+J4+0J2zEQiBO//4vf+ugvE++9Oi3
cBtb6GIv6RrtDzuxLT7ROLk+YWSe60IPtP6dDkpaF4d6mRFxXuw//voXJYBX4XQmbdX2PcFr/WIo
LiNvNAErObsgIjdsATotsta9FTgkf5a41phJ6OxGxUEUYXdxVLFE492x8usSCt2o84YW0YfpNeBb
O2tTKJOwTyd3ezIAjT6IMcIKXLScYmubo+7rDMhnpPbx4gMHYg8unMXwkpCQeC+LcJ2QE3oj4sK+
9VuLJRVKVDZ1RnGabD/et2GAwNcW90pU7ZIryPlfWc2qxJFzhWli0wICSgScffJPDuB1ll5FdKtu
Rr3E51Qs7Mt0Rzeq3HioceAX9pcAEJTqZe1fBaFhXZP7EG6FjqC1xvFxtjO8V/hEcJO1/qZ0nQ+m
Uu5yHNp3LDUK2wAh713r6kU/BfMeU0d3q31/5NFnRh9+TdR0NltAL63uzZsMtTM9k3D0nmy/0ec1
VSy/BoNnXXf19KF7VLYmidoLkRjXsvYQyOkvLDX3Ruisujx4mmrnyKrxJNgLdHN/yIW1jSMTw5lX
G++iVOMmmJwPkDrbVuA6TuXMYx8YBiGrD6GP8gZ1kV676YWDFwJ7g0v0lEXutO4871km5ilpyDRU
3or4p2YZ91O99kPC6OjjCFof4cgART7keTnjHhNbbLdscLLuJm0qVJ16ukBXMYDvxkp8mUcD8Xwj
zVvtSPs89xcMDjCa17y1qT9LOYTvdgAeLUKKepP2QFyRd4v3pumNbdbX6sxh6B3xf87fGr/jeSxi
p2YFOOkjdo3x1ETp2bSq+JtoRrTWc+UsrBCGcN5S/QCb6j6qtGcdo1DC1/4hxVWytEKLcaM2GufM
5iNgbqVu0tLzV6PUdyoqb1PP3Brh6NEmxuPeHbKYrFnSNTAVB/YNttN6FbvzO2G700YZ2Wvu9MNV
68m9YWcamA/NwR2lMo5jeiTgIdQRtcQUk1Qj4kxHL8EQz8cu9c6WIdy7Lmxb6+R5QeKjZCusmnwE
I0bvKtK833Q5i5SlwUMOZbmfSdzfA3/sKgOwRxi27BmTohvLaUJ0kCP2ihPJHwwi6a5hDsNi3clb
pGuxA540k9o0l/1AshszxwmcFzHKc0hVEUFW9awy8FYBT2eUk4nFPpTUw2haAKhCUmiIOO92veVX
TDFsUqwJHxFx9YRlqomRLBYkM4KaVJf1lnmJTx1UwewuYh+JSxtV9zGoo2zcwPalbgLt2qh7VhOM
5lM3M8pvVRprn9dFdrcx2yjzlyHyHsm0NygEhBtfhWvyT5FahANxF9vIkbO9KHkYy3XHJj/aBLmh
2o/SHqIc14HCh22VANiQw/vuK1DS+akYuWP8LkEMRTE6rxICK+oF3v2o3OFUoUmyB1B2S+b0RHy6
ZQY2gdk0F8tLDZTxYg29LnwE9Msd0qFftol7pgkm66TFFf51DC5RBXE0jqSAIfRKb2SZ5MlG07Uo
mg1ce9dRWvDus2CPtpcwIaYfGOHgPklFrTiHrBO3eR951h7/Vpe913B0443vpXgE7JwoyoUYLObL
vhdj6OmjO7/QBDFkkhfsK0KULFwrT0UVkXg0B1PjLmo6iKzUB2nY9iuFR3RVgBl4G4sSdE8WTfVV
X7aYkyOlk30+MYBRSFzcqAXsI9uHpPMeom56VkUyrdqinl+UC4gca1B26yQWx14cYr8viu4eWGC5
GYZWvYR2Tb/tdEK/Wqb+GGWPS8zsi8+B0VzQhEAdiRaFxNcdJT+X7BbYWC617zQO+alrhtTZ+kbA
FcWSdHFWkRazIAu2Ps9NZq2NaIJxHY5VZ6/oLZtxbRdFNh45tT8PnZi8jYzq7j7Jvcy5I4qIDNCM
DMIVqgzJfL4QBE0jzpruXCIN9C4TeOIHE+/7feZZ0QfqactdjDHAnZVqRPzQ0AYMr2xX6Gg0FgtE
KkNMFE5NgroFO3HHjujLhG5FLRh7l9ZCIY7E/FnpjRW0uIamdriBlxafhYFUdHCm6Uo5/e2cEvgV
RDK5Vayf2PAxdDe06SFUyKaXFg3mbWWYNBgDAIyHlojU2zlo8uxm8MvyS+G47o5olXEfDLlHt9cz
2JBBbN0aKAkWHgKjM40CnReeKPUlZHkApRkfKs2lC+agcXra46Bz1DeV6fpUzf34LWBAD7jZLz0I
e0bNZsAzsCfT0UbR2gM+lX2LmR6GQDMi8zodBkn8syWfcgaQ23iIbW/jA7bJThZWY06FOVpf4iQe
Sqim4bJNx+KrzXjx24C99XmsbVpdqPP+SroA4xbsydlsxhM7Pdoa5yrMWiO/QnstHrBX1fmpqCaV
YpAoBVlcsTEka9+M1DM5QVCMk9aftkkVlPZBWil5vkYz3MK6VA9mWWSnIkZAgcwl8B6zxnJfdc8T
JJ45VRdePofPcjAQLk9WCI1hzpC6A/BYKduTuwCF0doKXQt/lt3tB5LgBrxerIXdnpaHM4Is5s1l
AkO3bMwC4oSv28eJ/NZrlspISKawZWkvYc3hhDHwLF90dsXIKVlnZG+bUEoQY83Zmtzi8tB2U0+C
huO07m2TDNlz3oZ86MowdC6utCFwVqhOcUz75IYg/Az6LsDUB9WNdY7J8w8QrSxumRQY89mVKLxu
DXNGkQRZmoWQgbpIwZCFP7eq2EeFq3HMwnTB2GWEDKZYeW7DxnfDU1wAZlsOxTjcWgj6w4OotGue
xiTRyJF9tNUMx8o7kiFAxOrEmPu7oI7d6jOBAcsJJzDC+QQRi4//vEi55X2EyDhaAQukQHQIWqv9
h2DK5W1C5cIKmhg8AON1vDOEdnbsECZgdbG943mWnx3N6hIdhNpC5GDoO6PXWRlJq09tIEDZFkjO
jjG+03pZMWGGst0OzfukJLnkGCwoHxzzup0JzI2b4M7khl82bRysO8kYsiVe91lZfX3Mkzh8TFq4
4bRaWD3NSob07iFEDKqbgne4xLEwg1Y9se5V6ZYAvMTfod9UvK1V5zoASSG73NjYfs8MLh08e5Hz
KMZuqrdQa0cCm2XKsZx3UgINTwiRM1TgPM7WAOa1nGdCOfy57+8nh5Z1b0G1OkS2Dj94zHFYBs2I
PmIYIyfcZbEJ0pf+462ycv84M4q80aK8qT1r2rZo7RkIEF3RFNo94QpWq6J3j7WGWV/YENYlMVGL
uAiI3nb1Gw+M5D707OyjgiS5rdPaInLCMVKE/k0APU149UcYFpRgYKYh8EJmJxeBB1Q1RR6a27hJ
rLXZOmJTO95loY75qdki+A2DKzeCfdKWI4KbccKqnmLuW9bdXL5X7fze1QYChs6KgQqXpu3WaDMz
/NBs+pM/Ze39ScfzC2cMkGphlmU37QUo1A7MZtscisxIHv7QA978aKH+o+jzS1561/71Lz+jwX40
VkpcwGC29Dzb/YXoN+i8KIPAGPfe1CDmpftPlvVcC+9P+Hc/Ywsvr3N5fy3wdyYdIV/+vAqzfMPu
WLf1e90X/VtyecLLTtMRhLOC/D8Zafw1G1g8I0jMbfUnr25frtbP/SPrP5iJwmcj5Mtf/8x4DFMD
TEW3Fw1TYkTw3b2tcrkBUKT5kLbZrarxa6SQWl7SuWRnTDUxmP6DproQ38sMkJTZpfAoJHW/nm4m
ryz30qnZUZtmCE080R0SG4Nc2nPbNBxVJdhfNAKA8xeu/4Od9mPT+g/et7//g+iETVBuXFhlA9n6
+XpqrH2A5ftqr+OWcRCWYywA0CxHcw20yecZH2bK2f/rD8vfv6hjSlMQoEhlKj3zl89kA8hFDKy7
edFQnxzPoZbuEGIQ5ObN9du/frGfaYOXTwwvBmGPP5CfRADwz39h6Dt2Aam+2486NtZuY39Addzk
5tT9yV/197cA7l3KEIZpDDkc9/Lvf9jSAq6wKmirxT7G09OdhVUFPDhZnPR/xg78B9cPeiJdJGWi
jYvzlzctTElsdrWbsQ9CuRP1lBRBP0XhiemHQ8Kj7djtFvo6fd5lTHtOx94RN5BOljyIoo/+e/VX
WSi2MRkEejd9rw+b77Xiv774f3dNLMvmo+Uz2OGyuM6vv6khwq4pVbxPo8j09pXqu5upnGiW/u3X
cbjtXZccZF7G/+Xayzpq6zDso30R0AysGiS88SqEyf4jqPq/WztxhRyxbMtv3c9qie8KiN+lFP8P
KSxISue++eeowUUcvTV/HAr++IYfQ0GlPjkmNwbKBZOjWwnend+Ggs4nDnLPljADXQcaKJ/034eC
rm1ioL0M66Qt/d8ZgwwF+Q5iHhwT6Ryrkn8LMqjkr2w/20SZgfFfuJcHiun+ckLUg8xaOGDOtgos
8ZCEQq+A9haHCdPbaqA93g51/hKlbG8mW6mXmFHbyRZuT7PBf8SWnC15FZUifUqiiETjQcsri9jv
YD/pLsKwbZMxD4Ffyidbj6iCxyKTpyDF375IO0yZqT9L8gsG/eRDNftGiEH3FGnsiQvhcJRIj00O
Csls4bemsRR1mW7wSrOCbgb7rm/H+ijaojwweuPJgfl2Hw7zZbVkGxd5p7bFsera5JhkvkMwrBLF
AyMxbe45SIyjmfBCS1ck7JsjyfAvcvPgkeq53uau4R6lXw6vdVxhGEgMldKKe3P8Gbat+RiQ14Wh
ygn52U6JbxoSDDZ5Kn/7w7/cfrCo8vLQtFO4cQeZkrqUNGSJtn18MvPEYyta+uhYCW0gY0s6za1R
laBnqbLmW59TbkOzV1wVStCDEExH+KBNCClCSsaB33AtGXcBhEJ6fkI+KApdoi4iA0E4CJG5vo7I
80CZznav2gSeQNUdRuA0Wj3Pe4lQEnsPpmlmJvRhID8crDZeeaJEcveJZSHnB/DvbHKE/Du7d1mR
TM63qLswxWSE4RSCnGh2iZHS7bAd6UHAdSbvbtSTNbXQCmF+izQRG0XhrefOrDatZyFkLE1vMzhO
8zF3GdMkIh77bU/L916xOXqxukEemIyER8YS5S0oEPtxBGVxlZJqAbJ7Nj1j41ZmYqwnnNjYx1lZ
tksvke4BDfO8wxrko68sqjX0SDpwtxT5gXGwd2KdPB7crmNE6VaMGhNjXFsSpBQ7zuwhL1zGGqaI
xl1pY1WOtQEjR1HrkQ7q4gsxIUWdK/BT8cJLVXflNso5uTWWdtO67AuDAD5I32pkEsXIJVWNxPBj
GT7a0LCn20r9YToFgDxzUwevhAqkByMV4sVDmnyk9c52od3YXKbS8q8boh/MheuRRbKoBmZnMOMv
sRUpGqAINxabKwYOl2gL1Wpn3zJvQikqW3sdz0NzB45eb9ScrM0xNlZuVb9WYM2AdpZE+XWD8bm+
pLY1fnkwp97YeH1QrtxZnLsU4yKbjE3uY4kLGvEUROy0e7vdkEl/SS7wIkL11IhZo36HuVUTwdbc
14R9+DFhnYGTrjOf0MeKmX2nxXjOGbh4bkXG5yXe3bElnlfZ56SqAOBgrH8JGBltOy1WNVQZwE/T
jHGi1Vvw417HcBxBbSPr5Wg6VNYij8Dg6C4/YSqSa27D4ZEZV3FlmBGtD/ykbSa6vr/tJGXWIvye
mKJNIxoXaKzUK7vfFHeF6gy8eV0YvWNkJFqA0wTpRmnqzj9cUMzR1um5OFhXM5RZ2Fr4Jfkm11yU
36NcJkRDBrCjrgHQrrz0g5lrzzoyMTYKhigfi27aWrkrtuYgTKbktbW3GlzLwwgdKg/B9C2QQQSP
Hpd22XeDWoyVy1wB0gfpYth5YtbGmLiKpOs3Mz34FdYE814ljX5ViB3ItIvJ2srJ/9w7XpDesIUM
NmZSxt8qhCwdTk0XR5juzHkzImFegzeFkK9tjxveGfqXCtXNrk7lCMdHp/FuDmL6sDINoSe1nn3F
JF8unNSPdzBpmmcibsnOaWaYAcEYbnJWH+tMFMM9SerNs5H1KRsYOp6VnWApbXt6La5/e5MQlEbm
LULlLyGGSFTN/k6H7hGx8HzqSP99buywRQ4/7XqdGvf0oilYU4XMDi3HWbamPrPwzbeqKJybujhV
cbdnLDJDjIUdC8l2eGRTNWxakIT2Mpk8dGBpZVybbWFWR4dP03msmuxEl54MiIV86yDG7CXw/e7F
M9L0cx335RWXOb3NUy1eOyAQKbgSc4ITAGjhHEZQDKJhZpBoh7oFzwKJblSE47VgRWDr6EKvxqAn
MNzvj2xnBequwa0JjtDHxmCPjICYt06PabbJdK7vA93ZzRKCV/qkICiywZ+6M/RollhZrrECZqzg
W5kkH3Ua9Xu4PrxJOattokdDPmWX1/bi2LnpitjeQFqdd7ZVyXeyr+atDEKOPlyu89IpsoKIbWsi
g1igJD95WGcuZAPCO0Ye91VTb6zEkhvcw+Nd5LekZHdQ97eoOtM92sFwG4ioWsYksz+x2dePkNrs
k3ZgJSwsOGOHSuBPWRaRY+1D0/mAGJauTGtMv7gED6WEkyXV44RnnNQTSg/ijevGO02VSq5s1c7M
pThbIeq8OS3QHEhiZHOLJjw7GApwrwO+x/Yx+unryHlKTlJkOsZ6DovyFhEy2aZjHeuH0qZ4Y9qV
9weTaBXIlunwOCXWR9NDatvGQWtgwsF16flt+NXru3BTSASJi9nGKja3AkkN2pEJFbNjf8bzMj6g
7R7fEIvFHLo2EdhI/0wWE17iVo/enGRfM4d5Est9Nl5RzMog76wXhFK23DUJzquOgRRyZ/LAQ0io
qsRbrvE4PftB+OWC7uHWUscaRNE6t2G5oMDYFbV1b2reZ9RZ42Gug2vm/DVKUrBKqh817o9qtu/T
hptkh5zQPZLBKe8HvDELo+1tEoj9DjhyQtGB8ar9UiWEo80o2EBINnv7khZZA0NGKNEYySqLk2xV
uPZ4GwZ8pvvZ5NFKJsem4pnyyCol2xAUXS5VYTU3JLRNj2mlDSK2fHeRZgVReW2Glbt0jQe4Q+tJ
zES/mra6HVs3v27A4jAPipMna57t/dDk/RpNbvVRoLkCc9EWLH+GYjd5hf8snXw+B5YsP4bWJve6
xeK8GKWc7xnH1zvw1xQmdrsToRmdohKcfzpE9atfoFmb8MN883BdLqvAPRPEGx9zYIcHMletL3PB
0BDbtELtNg3IVxfzYMTHLKf9ppJMp29BYI4njc8yJvbckNfgQDhI8LZ8yYfGhg7UKsJHjG475mN8
I2fqKCsM/I3XWcAcEq+6YlfFHjNGWYJylSVBO33kUrc3cVVf98rpwO1U7Wq2SMZVHVnK0MjSE3QL
kuH68UTRGa8SvxAkaNigoyqO9dI0BE7+dAvunxzp6Asj9o/K8s9AeNpNXnbs7UUYe3dlVUHKqSvT
2kS1ceRMzHuwJ/Ac85pzdVHOU4GucOzJGCBdWx892Y0bmMjGnUJeZL6MlVbeYQhaML2y8nnvy0x8
o8gqyRRFtfaZh1S9nUZMuZ5LUtlB56hnF41K/Q9wEZa10Q1Po1YM0Foy11sJ3esrszWuUitx7ygm
50PiY+5xzBbwSRP7VHMXgI5i6soSPrTaYDECEXjIUivc5S0OBPRxwWrskqPjVvKaE6Fbu3WYn2Ro
D80ihy78DK3JOdm5ARebOlNfN53CZVWZtfeSUVnfl43dnLhfmTtYBlkpTT0Ptyl5JiMQDogIwrBw
qFSy0PYa5a7JthvmDjSBIrvXlrRhZUHffcHVn5+cNoXmAETLvXZIMyXJr0b8SbGa24solCX5kZ0r
l2QpBRIN8hjD1K2bUK9DbbKVToMqejIJGz82VUXOWGQKg8waSgwI0XsyD/Nr9pvykpyWX9mD9G5V
aAqHAozk5WUCmuVDzbH1Jax6BXEy9V5w9vd7dr2YVvGdwxzLwyiNcEsyAAEHqByfoe/Ezq3EnwxQ
d1QPLXJYot/Yyq4npnoLryMGXdTu1gd+ucLWj1XRwHVFcmbQbDm13rCUdNDSe2KrlYi2mUL7McXk
3drhDVvcbzWjk11QlMZ+SgIwo7gCzSq6IF+vUZX4i0FW+SpjSXpvjo2BBbWJt4GbEYRoBs4yE+nW
uLQYePF2XAi9HMtNUVIb8pscYLZ/M9kpreLQ2NlyQomfUnDTIqfo+Hxj5ZfRk9+QIYUZ5aGL4B5Y
WfhoUHYsaAeBcSTdme68AP+orhgE1asclJoTQ+GhGfnCPuSUuskKySVyNT/m2WCGr11JyhBa2gXj
YXvV9Z5c6ZGw3rSMur2HomudXyTCrFc0+SG5Ax8W9Bih5PyeA6xe6SNJGLNmk2f2ysymNzZxQKGi
XYeeY4UG4Kzx8d2MTl4SmG1qCOea3Ewn8HFG+hZYsrlhI+rbziEp2vAuqFg1iABrXVgP/RpFe4/R
OL54jyoI7RqANkWpMZOBS6Ili0LXCpaklswODrxeQTTPuuYk4XfEMCu5vqqB5ptOBpsbRww7YXjB
596y++eW7MxkGUWo3xdJB/9namevWiFMHm6Rc+bRWoaV/zkT+fSGBzw4tlKP7q5BpUhB4z6zmAV9
3BmuDwNb0+BA7rPiO1mFKGpRUOsdOuVpwYPDfCL4L7vviMNDEtQIifIizdqD53kdNahqG468oXoS
ort3WH1uzU49dF3qHjlgWFjFldpNWf0GI91BZHGRAkzJ0oedDdzOHL7acx8R0x6Y6jrsHbQ3OiBq
PTKr7GVWSl78VXWyIBtteOXOipesrhAEEB64zeUkt9PMo9plW7e3Iz8E32VPu04xJVioyPLXJHBW
RyvkzOcUMsfPoZtmL2VG7Hksu74gvK31HhWFi8B5mWcT8FuQbN9nSv9/+vYn/iaLMQOLjn8+ftvF
+T/1N/32zT9GcZ7/yTQVQzNqQqFM8bs+z3M/XRJ5SOBCumf9UO79NopznE826mwGdWRg2BRxTOl+
0+c55ieHaTejOGm53vd/+pvN67flA6LGf7qMYJHOjPz3/YonmAVavoVBkKGfY9kC/9VPM3SPyp/W
Asw+SphV7LVkZLQ+eghkzfW76JxmnZiR/3msXbWVBtrmXATdyhuTYA+mzf4w8fLtUgqpFSK5c48r
ZytwgryCt4Q1pSVCWbLj6veacQw1UI3sfMQLAoRsulOX5MOyL74LHbrmwy+CeTtFrXdH8RiPa24l
8R5AEiNwXchog3xmM/v9FSzJ7EjUhLXqR9ntax2Ci4PfPGNn2MSVD5yfOq7yw/4ZMKL/kRqydxbR
/6LuTJrjRrJs/Vdq9VYPaY7JHbDeRSDm4ExRFDcwjpjnGb/+fWBmV0vKKqWV2eu2rk2mZUpkRCAA
9+v3nvOdcPJ3teZ3WzPXGeincTq+BZHlP4Hd746Icw3PlmO7m0EQ7+lcokEzRL5rxqrzAiMFyRM5
V3S/hs0EQHNfhCSuVVMnV0NF1nJEI+Z6IBJ248bM5lfEJUzwfPJ4Xs1+VH7pobm+R+RXXbRCM4+V
093PjXBpUDbOtakqS8dGj0zRkIVvrpwIFAU0v7pWGz9s4LxPBLrvnGka1+wdySMpU+JoOmN7zBPj
lRw3aPpJFJ2jEFhhpJzmLoXrgUG8gSLEomKvgkRFLyEqwa9ERnIawDRyDnBxv5RjD5pzbGzto59k
e5FNTv9YMBO/4Avnc9po4/wKMIwtrMvBBh/nKYf2EDV7umH1+xgtKhUpQwhjKUXhsUqWoXBqvlLF
ojeeU9JHGNb6a254iwul5XdWZsScTdmOQqcTjwDYmIXJtGIq3xdeSYF0YYZhs2c+X2Gyc/nowcJe
Dlp71fd2T2Y6ua8nW/MfnBpIsA1cAJs7caN9Q8+qxa7xbZzKZN8ZDqkVlsqWiAuISrVDY0ZiGF/V
xkAqrN/A4VCEwQ+y3mR2+M450feZWpf2pY7YG90/6IjUF+eyFdl5KGb3jd5S8GUkkxIfn5k9TKOR
Hh2MSPcDIQQgPEe3Ojs9EeVDKYybpkIIzi6pgfssLGBgVt2Vbw2mZ3eB9utdUG67MjYuZxPQcTzI
kT5qiu5aGty1ESmFX1LlGpU3MnjdahnXzI114Wl13j3N5JSfNIxYt11GhxErjbPFYVCvzJHDvLXw
l9nmykmph6TEQp9kmIJqjV5nPS0eJpLZQWDlX3Rnci9RuEO0smkjbIQPuoSA8zi4hCkSXJuzbnkt
HhjONOy6AQ1Hojsbc6BG8cW07qCErBWajFeHs6DLLqlVe5JRrC1IEQegWkLWZPHa6OMRGmu81sTg
GaLVtnUxXGQ9mFCHMhYrs7znbOEFem4cSs6b6NJCqXnfrdX/YAarlgHID8seI20XEylDQ3p2rMA/
LXuT1tJRTAKx0+2Ao0SGRicx7zRnfELiEn+ardY26TNnVXdkjiBgRluIq5lLUpew2bTArvWNPYcY
8qfZRxhk2Lgh4rR/T8wuuAeXPx1UNeDKSg+VOVfj2ujqJ6dptwW8hR0y5KORGs46SaLXqhqLNRc4
ux7Blh4Yv1QeGiHEhDp5bAbec4zeSQ9fqSaBJ+9rU65FIlook4mx9gew8r2ETGq7Y3aNy8t9QjeS
P0296Le4B/IXAxHppR3QoE8DuKnhoGe7oh3UIxom/yAz07+esqi/5T/Vtp676DHWTYD9/TB7dK2c
zZxJezd05bwr5MBZyBmmQxDS0lwN5MNsg9YI7iY0Dv1qmGmN87aHxUkYbhPL1XcISiRAQ2giqYlI
loWY1lXd+PVDiykYMpJbPsQmYO0qza0PSZqyF7VJcgJB0eDXsuNTaaeBXGO7sx+01jau3NnR7sxm
MKDCuAELrCOKdyyD44OkDf1gqyK/JmanvnYAmR3FnOl7U7fCs1+Jem/0Fi4jx2v70PGIU2mBgzRj
C0hKH2+MYRhuxiFLLkGkMW/CzhvB8oHXmk4dUN2pqu86Ax2RMIgwJVbHeLGoqu8LrCzu2k+/hG1M
vkY729g42mbOnjJRDhczU6XzXLegv8NmPOUoqM4ZEEZ6t2l0RmiO8rkmU3xb6zH+uyBzwrWo+/Ks
ysG/arShvJFqUByO9WDa2xnHFZsG26aukdMS55dcd0NYXEjGX14IAGA5uJZHAEVQFJdHKa189mx1
QHzIBCi/gl55R9N8VWG8Qo48XYyNJK/ZUciaWCvXE89rszy4geQR9peH2Qz0EN+/pn04y2PeLw98
WqOnGWpjZXGCQyGV2rv5c3XoPlcKa1k0umX5qJeFxMHJhpskMuZN24aihSvBokMbOP8yLgsR9qzx
mA8FC09pgAvL/R7O9jCxrJE4dturqjjNQu+ebHgaXoHo0ku02mBetKyO8bJQAmRCpJ3qTBKSZSGt
GN1re2XMlN/t5zos3BKmgKtN7eAleqXuJ1HYVw1mTd8Daue+RXVIxo1T6Im9a/BTHrW+ZEKybBYd
0EmPfhfbSF4GzstQxjbrJfe0yWIdlSfoFz0nfbDU+8JH5+bDrIy8+nNfQ+HPFwtNM6QNFvUQ7SsF
EK/hK1KfW+e07KI4AplGsq86nzss3XLYup2yvXDZfAU1lO+G1ZrUH/qJfuo4WAu78ZSlOoR7VxsP
vs2ECspKRre1DDEVZfEh7jqjxfoVEm/Vu9Y6Hwuimt00SS5scpEPZlvgb0BX/zUsCEvCb+Dc5pPu
Z6u6CfE7hrX7XmF5uh7TwX7t066/jpop+qLRKrsjYnpsvEB06sB0gxxXH2ovR2ArupK6OzBfAV99
KTWz29ewyC8obGjdDciaFhWpYV9nqJWJVS+zy7brkaOWg6pfOFk/ClmSA8ahM1zjpbIBNTv6DnNf
eK8CPjhtNuNQayVMppBBD/4DOryAI1GfmYmlXdtzYR6UHK27LC7kNQI6ex0pjnI6iUX3JaQLct0F
oT2mFsGTzwgvQKfcO4R06CVBp+4YNxeyxDUi+8GF6R6JF6KpulezyEuuMTMMmqc8aNthQLdIeySg
WRXQu/k6qQhvcMwVXyM9wnYty+Q01I6GMaof9rCxx2OsNPkpakMzUsmAiZ0mvumjcz0jYbpnikQL
pNCAAEEWOQKlgWw4WI68CScjeYpNKMTI7W1zZdZZ+xLYkJzLrm02QllkjxaJv+OvvAi0iJulm7Rp
s1yejNLl5tdUi2u2EtGNRsIkw5kUyyC4T+TfwySt6yWry0d3TgAzreCilItP5F0YmjYyJyNmjjXR
1DwmohzzI2zIi2jmsWgS69hPTUeGHZ2vQFfdZkAQzA+r+aCMcHFOLoQ+h6p1A/CTKDRXHl1hfdBx
f5lGcL5sYCmnBB93kapth6edxtgqj6vgll7xtGPlobr0E/GAMZXecJE96FZpPFqV3u37Li2/DrYd
f/UbUb8z52duh4Bz37fzEzO3B1MS2rGKY1sebKu4MORwFbuK5lczdusOMvcG6h80Bz9lDrwRPYDy
decSgEczzSoPjmzZd/3EPuJ4M/dzW8YbHVTat0jjPhWzZZzGQetQAEn/lcawtQukEw+gzZfads4X
6sNI82kMrbeuC32M/ZW2lXTLz1GdRSe67cF06nKtuAVcY9yHFPHjOirG9r1PSmomM2mcc17lrDZ9
YMZ3EMkkAUQLByyG9LhVIPZ3dWHa1IclBgXNt2XkYbSU/FZiB9KoJ4RJlfXRoH/M89Pw2fvUP6Dt
jk94Y9oFZFt+hsvh+KAmv0pkE+5zxogbuPwNeo155PRg0g7Rkukwuq4BpIrXH0WqHjNgCREtwMm9
IFJuYmYOQtPUO/UUVpG+I/kgXvmk4HSrDAfZAAFWkAacY+JYlUUDRKv55vrdxazExwIpwX3q689M
jtWVW4HxVOV9AwsmwInYNrdGUE8Z9K9ofovNmccgdB6yNqey7NjbSUrVvaGvh50jKoJYQnPciSWI
B4ypeIAWRQoFIJmQsRu4yKgA8hFYBoJ45WfM9FB1aeCCnPaeM/p8LxGslutEwMdBI3mmv1ridOIz
X6d5YVzQT2ckslBCTSswIEZGrfQsGLT5zlWudocKxrw29Xz4sJIXv4FJOEBkWGZ7oQRjPVn7Okoo
i7T8IoNxbImKlKUmJcQqT+MdSScVq4hBoT02mpfZbyQkpfEWc2VLW2uC6YYhWffK3j/jW50vKQhP
rYE7RnSPTvJUzLdTSHSa1eoYuY34I7aDyyTJclp0pbhRtl994/5i8yIl+2pABHNKw7x8FH3PcChK
OYpDnNPAc/JEf5vtZvgiM9f85ovE/ipj5uStaKxDo4n4yE4QnmXqA1oI4yU5OiVSQ2soKuLg0NYx
g0kVwYjHWnITxaW8JfxjeiKec4bCFmSHerbwz8XSIo8B4w6xBKCr2E/V+Nix5K3LHOrUouAN94Sh
ZATfTNUG5gTkI+iLd0bnlztbYwYHocnaIvSM9xZaYsRUVLI4g6dNH+njnhpS0N0sHGnhUxD+tZ3m
5cGqunEbpJ21SUD4f6kjKj8Isjaaha6ib1y7+yBNQ1xz0YSs2cdTwXugARjQre3ptj9W/bQMNMcg
WJMWdxsgSs9XmMXmbb9suFC0qp2uJ1+whJdHFMrdjn49BRmG/y1pHBx8LWndI9NoNnNXFnRmEZys
mon0CfqEygBtog0YFpuEJzDJBQs23sN+sWjFK95KsW7djJ/o24zoSD83H6Y8atao3cHcB7m5DxNW
CN/MGq9pkd5j/sn2ucGAoQXktdKdhPinmDGPh8doWAcJ6Sxd4p8M3fcvcsCZ+OtfbLoTcSIOAepY
PfRPdeYjEkqYKndF+Nhm0FNDTJ+b1J6nI22u3KN8uOVwusYjPHBtCfleSc3PLkJmGets6JXHYXne
RKNNHhgUXg6oTpKeQsdWXAJfPwx1oeNe7GMKhib/CH10BXJA5OiYk7aGm6WXK9PH2pCD9X0z0iL5
lkdWnaKuNfxbQMEuiiaZXnNWaU8W2NUDDX/aK7ZszIcYsOIa0Hn5LWMwuAb+WJwQvMSc/0o4G8i+
9sKM0p3V19U5h++2h9uxLqEEArpUoMUsd4b+GOs7njDzS8tx7brVGELlvao3UUYDIHTFSheMlts4
ORWGfRyb/eRwPbvc/dYwz46r0Lk18t7dxYOKH3AMWIcqSdOzihpk/zyC5AnC4jXl0K3+W1q8/0bS
STS6LorDf968PT5nWfe3//Oclf/xt9NzE2bRD0rKP37+j/4tkcyLt5o6QLcsCFFoFX+XUiqTsGbT
MEjio4mKkvu/pJSm9dvyM9ai/iU8Xl+6qv/ZvzV+MxQ6Yvq+FjJpyR/91K/9Vf/WVD+Krf9OqLIX
ieV32ufc6AK9o+O4y/wa+opGu2YZ9hHTAsnysrQSWWyW+LUIThPcuVXXWMmGPIoK3gpZHph9qi35
p/alzEFIi4konxQk4j5d4uA0YEcL/iXQUewRSuJRUKGh9NEyVkU7HTJEMKu0CaevEFibneIwt2kq
Ee6LrK6uIKcnX4Pap3OsSNPIlrpi6NLk5AbEBOTzwGa91B9ZHtZH2g5EZ+hu9IyHG00aFq/I8z/L
l2apZJylpkmW6qaH578qPkueYal+is9CSKF4P89doDFSWiql4LNoooVl3LdLJdVOVTSdqqrHbA3r
4Fwao7b1ncLfTZRhVjzj3HagSWAmY1xaJEYyECtGQlaxVHHAc3v8q1R2VdyXHrTX+ZuW4AvjnG3u
9aUWTFQ4kUeN5v/UBA3TRvf36rHLBOhVmQFEx5O8CklUWxWYc042E50XK5l72gOl5jm4wtfxZ626
VK1FnCdf6QeUX4OIMFKxVLeK0lmthY1ClkngtJsXuRtM6Kh+7XDZHc2OIfKOcjERWKAYdA6E2BUr
wgC0e03L1HgxW4rO+tyl7gfdOzyJcIOWvV2rT5Lp2LNWRgkUV6t311rWtptIpGDD5pjfEpXkvqA8
qdtNQytvn9PK2ISz1L05JZWHgE3hIZxnIE72hnFLzzL7qAa+Bc+ozfIBwSvLvePiz/tCE80BjN0D
rlphzyArLxUZNCArcYKrTCrz4GZVeG0blGB6WZNsWJQ4erhsdTGtqy6crn0c+ivQOJSn/ErjuuYt
PncohmnGaa3A3ExaC1FH7UjdwRTSnxWIM07D9SG0tGmbhbr/MZWS99Rkrp1SYwIfJuOWoIONP1TG
rZKN/4y2NHFobGr8Y9QN+l8RE9zQnVwK1oqcCj9qGw8iSn1jO/SyIho9K6KqgGN3M9NNw5ij28hK
gw9TJMZN0moWQS58boRpFKDuKlVOepKyrswj7XTnvYgAJa1d3Mv+lyZc2oUBStJ2S2YDNYpv2fJc
SdmC/uYurvecTCmfE1CshhmaRNhhPZQmz0fYwKHpymZ4szJ8hBsNmkp3AemJAUJi+5QJsDmtvRs5
pI0UDJ/o3AIkf1E6WjlunjZk9yZm5qJxMcx7jRNp772mz3eoL1zSwpJAk6chizCEWnpO1jOglb3R
pJyEUR0y9QD9NeIf1O3xxe9kU6zLTm9jr7Ckf1fTwHkAveki2WowIW/oe04XJorOD79Jhytpm/N9
FETpsGv7SXgNV8zdZY5DEBM0cZ1mOG499ERFVwEETxwaTwG69ZHD5sTZXTPJkiQ71NSYxpCHOm0U
B94rXDj1uTNldpMXysrXaeEET041NLe9EQxEXUYMCrYIvdxXNFP5a+tXwFYCmy5FqcQ0fyF3SNzS
TUUSnU2wm3LabQR9UGXmhTuucr+yxaEBUfwhClmrdTZX6tTiWvoyZ8Z4qoaIBRdeFYfwDksMWKNy
SLaW72NAb4uy1XcpvupLul/O3VTr1bkbUvyESenU/N0e8IEOdixex2GnfwHdMjyNWTCMGx2o3nWg
moIeC2m3N9loqnNaz5IsvXk497VmQXkATYukVfePOMSK1SyC4eAaUbQNQkS8iFKDYGXrbbtVWpze
2grCQgSNA0haGdbvNBii8NJQ/fxMjpPOYAV5ioEyvLDXMUbjM2I0SIGTT8amcKwzGuz+m9EE8ZY+
ereeWf92vZsVy+rghCVVM6ZgjAE5MyKzvJwdyXh7divj3eyL/JKW8rhJmolWqnDmeVV1TvPqz0Cy
9Dk3tv1QacfZmbv3jK7Qkv/V35EEHpQrZdk4JWkLHcEOJ88wTQEM5K4RXAVo+OhnEs66rWzMk0t0
2qHrLIt1pFTdSQ26fuozxhGuJjoUEnG0A8MviSfmZw6RHiTnovLH69gJ5Y6olfjYSKfiarbVF3/I
CWRkISIyZCJabSya28GumdI4vrpvYpfEVoSP+5kIRs/hUHsiHe6SuWGOfFojomBGmI/KT6ozgLvg
5b+ltPun3pn/hawcXcIE/VVtd3qvn1MMa79jTBcGzR8/8kc5p34zwTm7jLyRlEql/x2Xo6jZ6Dw5
WNdsA1/ZUmn9MY7Xjd+UcBjRW8p0MMgsxdYf5ZzzG7YTofP7DH7X4qv5V8o5Qy5uyu/H8URKSFw5
whBIBUxTLnOr78o6t8MhkCR6suE4s5GkDA8r2IhptKYj1Z3zGNIS506DxX4u9iLDF0nJlRDMnrkl
5ymt/WoNrMPARMP4UZZMXtZC5MWBdBEQI+RJOoqhXptDlu6dKxES2HPopRyicw0x99Wa7e7UEHlY
Hzshgcp1BdCybQCSlxA72hUJwhtktaALS4ANsSWkF5KU/ca01M44xuEFIr0xrodVmxL1if5xHHPs
v4n6ItCUJwRshuPZnoV/mpuq7hibCvm1mgfjq6+w0jehNlwxhGTQ1s/IaGUugiO59wDioyRErO+k
nQsrGxVekw+ER4DQY/LQW7nVH0kzoBAdqDy1o5xC406QSmdviVeKUgb1M5knSaC7aD1xTuXQeQA9
XIWq6SDWhNhb1wgNaBA2DEXYjDDCNGdDWrD1DZ/D5BqjDO5a+hojXm8V1GIdxVlJsTMWZ6PTInqv
0VSfiykWNuIAfMpriUmLWFQSdO4GXBombVUDlkjbjmlLi6Bl5jWw7DCQHsrkNaFzUR4mvUvJyW4S
XoBIOOdRRE18lWi+u+ebse6FE/do5/3p0i8m99rAkNGuIjeux03TEPxrmCZryhwTbbSTAQK3sh5F
sOb4Oj6IMlE3SSXkqxgd0J0dXhQUHWB4JFQJhyJmiAmv7ezG+Fp1UffVCWyLIWJqNc7aERlLOhiO
6hRnHSP8MENzHzsV7U02MazIIChJvEFmPjLV5xWIEhV9tuk607yNM6sA4lhFN01GECx02Bj9uAiZ
AlShMSkSWIzhkgFqyDnBTL2AovbdykPqGX+2GQ37vTtyCfzZPVi9Fk9eRfCy7zHvJDAz1+VTpaiG
V5kURCQMs5uNTEms0toOjOrs/UR6mo8Glr6NB0FzJpyr79S3CvFJvQLw2hwbbBiJZ5Wop1eVU0Y2
3vy6+wC4NoKAm+3cJwShNN11Bi67XxlO1W3xrznsdWbu32T9SGuynIguTUY+2GoI3VpfoQkucV4Y
qOMqMr7eughZ8cHJ4IgC6IRKLsHQEjE7WKGD5sxssztiZxyvUR3tmFWfZoZmrBqrjh9KQhRS1VHa
dvWAUQV7UHkS1EjcjnKfEgUQ7wUR3g+5MYgdGKB5oyJrPgduk56msDe2pFD4FVXcoIaLCdsayfXE
VTzUA51y9Mp73e7hc7gmre2jRfDMXRDG0FAbZH/QbJqZuSl3SoVi9wL3FTjgFqr7wAuYITwXX4vK
FwAJ89nomTOtCQFDIq+BoJkebMupaNVMlFHBygQ8n2x7bLE1Y88+ZuiTxUn04hPGfjt0uXxJ0qGi
p84eGx4GWpzzVZSkOuQ+Hplu6yLVFd7ggASdwCPCGDlIBjPzlRl003yhASh6aKcWel5lYhjcdqjF
kXjbodEpmn8Ty/zKb0JHWzQxzDA4Fj8DmTjhd4o5+yQePIdqJXiS1qXd0Yy0bT7t6v/apTuJruyY
xGdjed0YfbvTyzLZ/s/u2z/gw/+dGjeI4PAr//PGzfk5acLnt+H9vfxhh//95/7Y4ReAHZ0Vl+YM
ZDs0Hn9v2BhI8XQhheXYyJI/XbH/ucPr7PBYmV1AA9iapcXb+K8dXuKp5k9cQxloRP8l7+vCM/9u
g5dLP0gRvyd0HLgOhcNPfRu7GPywNkmglkN2dDNc44OTnoOsfiJ9DZ29El4iF55D3e18IjroQooH
pEXiXDT9oznE37qyvpT1vAjl+m7fVu11HOQ0V6UeeQXbEBGrDTZPO31snSUhxk0ecV7yfE9HaBIc
hjuIxEOprY0hvvru2/gHupofxYSfH84xYfwJ0lgArFg/fTiidULCK4FUjVnsYcPfJv4HqSfXQqr1
v/ZKtNbwLnPmxKxMX84FoPh9nRRota56dDFeo9OiwE0bYzaa2sLTy8D79UstZPvvvjL0QZYEXbj8
C8O0JY2lBfddTTbJaMg0Th5eLvtX5UMtUln+tYUJS/CJDh4JVnoqew61lSw91XfNWkiLYLKgCneg
49s9zfydFeEWYEqd59mFZhuzZ9v1I4TWUyHVsxF6Fmsa8sPipR6ziSQaenZjXp0nK+AggxgSvKk4
ouNpDiYz+XULZxcydDR4oT89y37+VlXRk1mpDLgy1ppfXwN9+ea+r0v58Lj9cWpL+py2bvykl/Jt
FfYTJ2SvcJxdyFRDz0Y4OCEheLTS3OKxzCQnRAC6eCLHiJRZq8/eANO8//qNfL7Qj29ELTwS+C4w
LR0sHz99GeE4Bllgh5u0pcohrhSAkKYenaBZDBXpK7bAk0WEFGK/U93h1bKnGyK61c4sCXfIXOMG
m+XdMj0e7WpnBep5joOnbMJaktq3f/Fm/1TN45lnEULKIBQOVvOnuzQnSVxL2jHcCDEzT2BAocRw
b/XirtLkBQ28+6YrDrEr9zN68KgSD7DHAONhyAjpytYzwi4wJ4q5wnoGthJKJIYlpoFfv88/fbtK
cqhxDMZdPEpolZcn4Ls7nKpMwRBXGiC/9A6vHFieLBsQB41Xw3Ig8BvkrPFAyopsrRWOsKe+mu+m
jIw+yrNfv5nlmnz/Bf/0Xpzlmn73XtB86ClgaozDMGbGkqR13Aq4OFYYAXdLd+vXL/e5Jv38elJw
N1l8U/ASfrqhFCRkZ0Zf6Zkt5S9aTLLLWuIis4G7wrrTg9TA1ZwVXl9oxEhlCltWOB04ZD2piTFc
jCFlEwyQxXM3f1xS7QJInlnc3M9kRp5QL6a02NwREVV041JBe5QwtKrms9NCbY8lDc0SnNkasgAG
wULfYGU7cYJlkp3b4C6t6pxWWrD16WGsSpd4oRY3FXl/dFFteOcrow7MTWvO17++Mj8u5gpurGQ7
YETBXrXMOH66KfBrpcSr8kXQ/97MVkCI3uUYO5BjLn79QsafHxMlJKp2GkS8EFyKH79ye0ZHTi1M
AFGsyFRM3nNbZzyL9xy/DHgVtwm/xuNwZ1Xzoe2mW3MyvvlO1iD19Z9q31mTjfcGwmyVi2Rfp3T+
2/piLNLdr9/nQuX96db88X3+dDgXQNECo8Rl6s/yPOnDFjlCvMay8uizQWPr6cnoLvuISX7YrMjp
uqhHghGdsnoMwDWhlJvBrloNHAFAq3s6Tf1F3dSZR5Zbsrdzx98FlbSOs6yTh24AUV1W7WVfcNiw
yg5TfgvVS2M4wa3GC0vR038H64Y42wIKN0x4sKso2yDE73a5VXwd2/jZD0sU+OUwPU1292DQcfNw
m/cfWdmTAOQH9dbvquCUy2KGYJ8+/Pqa/fkmotpB3kBpxbyLHeTHrzZpXcoNM3e9wPYREicsgv06
MtXOL43tr19K/0evRc2hzKV/o9NF+fG1xlhUXWMWgLSN2Tx23fwVNbR5KuspeEDyCo6ygiORTxdN
8BEoZriFyQzYcNlgh5aE2HnSJV+KXV/r7vQXb2557R9XGQWpiKcWDDNP089lXxr3WPMRPntxlh6n
YKts7TRXX/7iCvxcqSx2EXDLC8VFV3SkfroCtZEEHWwVMMdIKHHJjvuJdF/Pt/E0ROHSVOhuh6As
n9PK/hIP041N6DoTFE44Vo7pa85K9M1RvlHNeI30IjynGuTvGpTHXxQU/+idSsdiU+S2YLz30+LS
xqafjjaUYEcWrCoR470YJmpI3ycAnQfuQ20FTSIH3eKvL9ICQPrhm8CaYDDSk8pmV6bj++Ndgh6y
nYuggE9cqgd/UCwxtHDdAoOdcUss1jrKqr94Sf0fvSZobJpFLjssPZ8fX9PNJmGpxEa3X/k7zvM4
PaJyPJb0Gz0jorTPutcQDzkh0c9xJJ+N2cBhqb2QyxSsQ60oLp0x/4gZkOmFout0/+tLYv1pAYYp
Qn1HgauwFlG5//j+Rq3S0dS0GvOezoviGu+kv/VjHhcCuEB5JjN2G26iYTRQD4XHbpZPTVGPW5AX
32qUoaCCrVs6UR/geLbZKLYBHGOAENE1hpgdSCy2qgLxT1m8EprhbFQXbPtAcwkUJ+mjtIZjnIBe
zhCSTsSobBO7eZ8ycd9N1jfSN71myrc9EEwrwHzTkwb0F9+Q+vFYxmbHEIhjyxIcxbND8NuPVyCP
kGyRv6S8plf3RmbfMHPYq7zXVmVJuEjqtvWG7JGLcgxI/vD5PwXBvvWUNhsIy7dtPdzSoWEz0ND0
R4mF969mg1d4+TLxqNB3epnLzE43Gek0LWbXicW7gmtRD1Jf3AdnFViDx3wEQC4B4zJw7nrT/Uaw
z4UOnTtJ0brG7AbxlHuDoGtGv+MtXKbSnVFd1l3kEb2y1kV2labjeYzjc5Iy00Xo9ty3raeZZkAM
MpO1Vl4UWrKrOINsRhy+ZCoBbrFyxrqjWW0KTegrMehogrIRH3mCi9VqGFtKbcUfoegpXweICUX6
qEAqR+37r2/GP22yJIFBIxCKo92iu/hpZehk7ueqwlVsGutq3ttq3xf7CtEu2aKfr/T/29z479RA
oX/C9fznDZSL57dwev7bdf389t6EP/RQfv/R33sojvEbLRKOvTqDCHrhDo/DH6IXa4kbWMplh/OC
vpyF/2ihLNFryzyFZWRx3qnlSP5HC8XQf2NHMtj7mOF/tl7+lSEJvZef7xEcO1KiaWDVojA1F+XN
92eECMLROCdzs11sUpYn6iDcYXMKr2j80S2xW/2rA6QWZR3j/3NkToN+dPISWsUQIZu1jAhcE/JW
TjiT9cYWCS4yb12kcUVgwAnLkec+BGwSE8qawnngAGnQ2jUMb9RMErBEeltZ5vhF2YxB27Drr8pc
PBD4OrJe5MM9Rt+MmOo8f+tsZV7VkLf2Bo3lo4SFfqiDrLsmBjRtVkyhsP40aZuBfgm1ed0aE653
7CB0h9t8PtFCGsS67pzpxu38flqxPaQFk47qNh9Jj77tXWQyBxnOxDMxMu0JA6/7u0wvMvcIC0mn
P4qYjO6+ZYT9wQjSvlqZJL68aZrTTaupyn1CsjI6rWdc/K4LncEgtXJCn1/fEE5WvpFzQwZM4I5J
/6DpgftWzPP4QuJIweSfuKwMtj8d9yAeNLmNXLeGmgsWObuyCTEZjrNm9x9QkVv2eQYGT6nR6feF
BFllUrrfGNaEsyiODyHjMO1YamEpdkXqyBfiEa3+YEpyEleVX1cBOHEpEDiNhBvIvi4gyQRWtKYF
nyy4XnFvkcj3rYNY89ZVGmhe0ahLzmuT2jRO1WKjHAJrbWflcKJ4anc5m4mDKqLOdlwVS1+3doo9
pal6dwV9jbWnRwwU6G1wNlMtS55mbo5bcLoafW+Ri6OGTBFxSooucw7gPJc+EU4sakGE6mFJuQpk
SEgwzX3bSowFmDKoT9AYXLDktcu4W2jxkJETZQWz8iiI7zCIBSvcngksJj535/hyHWuzHq4Dayye
RTGSPBd15keQZs5XzITc5DqwC/MpLJVErJP2ayYELyYb+soNem0fj3bguaRN7EQMG89rSYw6yTa7
XSbdiBfq8Gzbk32zNDC+1XUaXQQD9PENWKFwV7XKea0zAx9AIrT0kRlSh1TKsLFLyYh8OApH4tAJ
2c7D5NNQ65AyAJT52OTELSgHJctqSoPmPPg94JE8v0URLzZRoVt0X+LWWDFQuU8tq/9WWwpJZdlz
v9MTtYmkJ47X2SLVcsy98LP52c7CLvzaiSLESw8SmCM3dHP8lsyehoNAhob/rJux9haZAAuqGw66
FJTw4WMzRCP1hR60xbYwFVS0Cho+5tNkEbrC4jL/H3tnsiM5knbXVxG0Z4GTcVho4/Qpwj3mOTZE
TEkaZxppnJ5eh93Vrer60SX9gLSQICB3mZERHu40+4Z7z033aObslnJrtMDASsuH2KG8N4dgb3wP
QeIb8SEutfviOuj2r4XbpWovhUz1HomQJbYuJug5YnrrCABYhAdts4k3eoOHWOQ863ZSTddu6yf6
CmMTvh6LkJzyQYb8q/s0GJGXzD7zwhd4cRC0TR+u3J7QEPyrcsQKHVWk4PEpW/Dk9qnsH8Gli4tA
EKDxkHf1HOyk0RPtOw5zcx7wdPBgM1QEO0Si8bPiB7UjQjvyn2LsQ8WGOVYEP+WtYdKd+QW2PZOg
M2K7DZadFRktw7Zcil+kBbcR0tgx2aHLI0SSTyZ6uQal3sYKlXunBlldV5UQ355BeN2RaW0oL7Ur
1KcTFsrYlGnebuNUsDeV/BWHxGQ/VUgjn1q3BHdg5pa7JycpOQqzaal4A8TCvsArHS1rCigNDN7n
DSppsCIckH4X6Uy3dcRLLLeWbFCf5CnCRXrunKlsVqnxbRiq4GrIRfVSEynPYlOM87Ue7fwSqjmq
HUVht+McSgxkfeF49Kx+vBrITLlF9cXCPcjScJ8Z3nQnyKuO3JT2oBwq9FFjL9C8IM+qL+LWhqbY
FBOstXaWp74fJ/yzqn3EdOe8lL037i3lzMT5hd6Fhmbcs+ITQbmbDBM3UUIP7hj2lK24+RXigrbl
YM46PEM7MyKk8+CUcLmgH3Sr5sboa/1hIrt5l/Szz11q5Rcesug9VsH4nttSBofW8rvH2sqmz7aX
7rcdWuPjqMpxP4jqIeRYwoXT+mG3S4f6IdPuRCTVkjaXLaZt84AKIjniTHO25Hog3UFQLSFV9oMT
CdZ06T6A9aw2XeG9JUj0263uqu6UeyT7hmjcN5WkmWRQYh6zvi/fAa4YybZG7zAeTax5u2Ig8KZA
oX0sy6HGvpiN1wKDNEkxxPtk+9niBQPssH6aGqWUhmmRRnaFIes8l87SbDu11E9tMRZEBE0A3VFZ
N+4FsLfhlOdp0pPYELhkDZu9fBeG4d4NICevsjYPb8hLXyliXvDF1azOmJi7t2wQRGhDDG8umylP
TiXpfPwsqMnuhTOp+1Li9N/0CCNv+Fn6d5xK5nNudR66DMzS97bPglIi1yQk1iMfyM9+vMAunjx/
yYjUKmV/zbtXvZmLuTBx7vFYql4catvFilI334O/LLcpdtZrKpcJ3GhVvs4WKo82NCRw3dpFy2Fp
tcvDeuB58xHXWab07sglYsVc6nC+Qxy2NA+YL41L263Vu22RQblL4NzITVwT9r5FPz+Q7Op1/afX
Du47WMfhbsJ95VwgKs1f6zFJkpvZ7ckoMTO3+qzHrv8C9AnrsZtq5BQdAZ7EWpjQlWjcBv8BRhRh
Z44o/MsGHzDgRsF8FKONMIKI/23Fhxq+P2wVfPMIIR9/mce9uHMzbApi7DiZeXOt58noqh4/aLAA
FACEio8lofFsxIQOaxn7X6IO6SUB2nODOan+JcZ+uMCH2JxHxHaXgqXzXV7XUM06WNbpVhDv/lRg
kzqk4B1PMo3Ng+nFOM0UTqwNC+/iJWPGTN6U13HZzPxyoHkS/ozmJOUvV2NNCFat7LJ9MztEpYYV
gebt5Mwfcjbir76bfBexxYA1MAlcUj/taU7zWwu/+4k3Hj2EzZdXTIuxsG/QkVQ3LVPmewrTdEtW
JJhEVwZJw76uWPiw4h062GFWvyO6LHnenGrcI1eQFnoRSAe9aJs3Us69JEJgUn3kswBRE9MqOkjA
d0OsNIG6rhGfgO1ZgnGyyMHCE46B+G2Zowx39EsfJO0XjCgYQ06N7lumgu42RF10nwLuOquuqR7r
EG/zRqlaXMOQHiR7QtldVAA2nJ3tJvUtp/68hUlBrgnFTr1mzsbJU2wV67kzckx2NtnD+IMsvKMx
RdN2RtFc0j7O7XsgM66agPSKG7IshAvmYdIffV8TZkT4K2ipNs9vHMA3kO/G0sphr7IIxM+LhLlX
Fpv4DoPeUwIz8xH5bx5EdALLtZxT81itkOstMy/31YQhkT7kkw5vWzd1CrTpTvDdU1v2sBnMOd53
3My3VTKLy5RIcHMjyz44OrVjgFjyU0QFCb+zoynBToi+h6IgLOXDZ83AGQXVaD+wbCXdwkv0c7r0
EnqQHdyCNVlZtKLt7gpsQ8PeDHFLUZKQjkFlP3hEcQyJ9zB4obzJQBZT5AX5fCOcNv9CM+Pct+TX
cxM5NUAUaQhvJwZhfHPiEbRcdN7enoPsx5+nZkspJJ7Qw9TWHkCxd2/q0cPplZHbE6aOjJioMyRh
Ihxepl7tv+UoOG9LUxmfNYbgB3NOAdfZXV+ekMn6v4iXk80Z6z7Bxgs8vW8olv3zMk7AbckGPvmQ
QuXW9VNUqCCTsooIHDXPW/JNUf23bekdQR0ZTwQDFsOugMABS0n0pxLrTwS8mFyoFjfgzpq1gt5o
gwk383JMAYiRJ7QEiN3qFNwg/9ZvfSRlctoTw9KcGRn7wMISqXZjlcgTSSfmhVXq18nsMWomtdwu
cmZoBX/vPa7NtZnyML6nSEIkpAbursS9k6hldgJ7JZr3GcWvyeG1cYz02c5JI3OVja+1R3Frd+Ev
JMLHDjDyxZTEya4N+mLvspU7BPjrD7Gc45/YaLob1645/2b8pRs10R0ClDjUJf7+kRIBudA0kC5H
js7tVIn0os2abm/NRnW0Otx5beLrrzHvmzsYvOwv4oHSqMCu9uhy9+1JJu6OYxEm75QzXVSH6b2s
OJo7zQ86Lz4MOyQ4G3+oY8gIgB+aUK0hMLo7azvhpgbgsR3l+EX30DMyxEy14SbOd0St9N95i2SH
sMoiuADdF7xnKKuTbdV6/eXIB4R0r1mdVIs1y61zQmAgT3wsQfu9EMNKT+PG63VKN9akFeyIWanL
2bAXlLEJMz2wXvCu2R1dAYysdhhMAAZWRJaqBPmRjCfvri/NOYjaacJ70Ob9GZAbojeDNLNtIJR5
IxbBPp1wrrNTx4987O88NzkNk35G1OzeMkhFBSiKJQLo2mw6aww3vJ1DFAKSpXFbsvQqNeAdRtms
i+famQDirYFJdJ+oCMOqffLMfvqQTT7dQupesbden13Ni+cfPXt0L+qYVe7BnDqX4y2blje2ZDd5
06mbHD3ZIe7WoDJHUQFqROdErep3qk7yjXMhXtEuD5/N0l2VadGeuiIDfmyZxcIR4ySfdhibn0i3
JwibU72f9RxcUegtpwEq9yp+0w/QhrnnglZs2TzqfVskWLThxIiLEjX5NWqB8bH3qc1RCGIE1kzo
39o4EJe9ZQ+7inSvTT873WdQyWRfhP50EmE8PsSJIAYs6M09JnJuN5xJe8cgWikgwCzfgDNIyHFT
A3FfVCO3zBB9AozJD2o2tbbKXWu0As9rriuwDbYP9WC02jSCDgHEoDec5r0vKZ62qaGHX6xvex+T
/hRMkUV4Fp1Jz0S75zb5VrYBHwMQ4XTMFlm9T4liPKEduyCk18ia5LbMGvM5lkNN+Z2Tj5I59rud
Gt6NTSbud5etEVi5S3LLpuF9uNB0N3sPuggbuGWSz3k7jQI7KeSgB5DQFdDPpCV2PvF6KLVFu7wO
aSPwl7fDBZFdNv3C5FS3xPYBU10HJB+JMKzdkC/ox9xhImLRcQEqRH3VGw8WxNlNPw5uxP3SPKSF
33/YIC1Aolrl0RbyXZEqf3K6rq92hU5QhYzMWejrCmuLoFc8AnPvUXJio7lKyFJmtAqjVO3szl78
A4ghx9g7k4EnOhjLKnjOWmmbh4Zb09l0cbGWjMl5HJu9HInD2bBh0wtiNrJlN9kQmr8a6NrXAT7a
F3MqgS+msxNr/pmfvcpKqksmOBWSN6CxMA6ZbV8afuaUjwCclwcEgQNckgl/9amG5T5tl3TGDzAa
Y0TAEw+547/h0SnDHXtK6+AwnPM5kaQJ7sUSyxVNp4KTyo0FEwEBZZ7g/aU1Mx6bIA7OkPG7iBIS
eYMGcc8jR6I0R77nnlpdZjfEgrpfRaaDFyYzuNq4j6ikG3Go8qK5FmEDkUwl8F4kEtEzWC5rb4Vp
8Z0ZjREfW1gba8gh4EnsAs7EbCcsYUhbioEB+ck2pBevGSHOKKKLr9g4EDOIviFhHlG0HS6lqend
Lee6Hhn7J2inna7G14UxDpWsJKKdcjhLZ6zjZon/q6MTy6CPEIRzGPzB3KpcEOjsqka/OnG7lsps
SbhzuqJ4zBkHiihmYnlDmBx8Ylni843Skg/mhns69y5bUbofRIxjStZpMkU5GG0qHK6omX1hs0Fw
O12OYbPKI63mxSut4HXxKlTQUH2M2zoonDnqXDfootHpZmQLZBDsZaHVBZV4sR8WotqjeNYd7R2g
KgQ8Wd9gcUoxxLjt3ByIyPGuixj8P00XHot972uMSzIQX0QixAabajQNnltANJfUPK9ZZ4CXsjyC
rbLWc25LlizHokTfyyfYKe4rA6QXxsFWRami98ADnBBrYCmvOgOCTlC2tlCptyXEjmY3lDVspBjU
6pCwk43LBnGMivVOk2h+IB4c0wYJktMbknXI5vEcdM969tGpe3oKedW+t+B0z3s2Un44M0Abcqpk
XaTWY+AH6bBz+8CjTsgT5+R1gy436OCzDxsJOHMLORnWfk4sEh/Kwe3VZeizRM7AmzroQTIP7UMy
+QKTkzklr6yMukNZ2d4lAxFf7qvAqQ5Ma4vvqi1tYhBnlOYFLio0yZ2vvBupk/6ZtMjspR1NEhP0
HHu8TDZNxCsakPf4iGkLNz8flct+jheo8SpoEZsPSfiIiZVufrI5fmbPyj7jeUSZrm27tc+cE5Kk
W9Nq+IDmZDJcBFOrqkNCTKWDXWvQC2u9yf9SCI6fCs8m3yyXsDQ2uc1IbyN7nzjx1GP2SC9g5Ltc
K4QlRO85yQdQav/EOmsluYRZcI12CsCaz/nJgZ0lLaoqzn/SOSuEzVtR9YsfFZXFwAaqTWuiKRqa
a9be08iQNp/evDhDU+K3+o0nSdlnZWK7SZqk0+fGJGyCetln/bOaub5J0MzS/WSvDF/4hEYbcS1x
rkwE2pdPmTMglgjrBUOS7lsvgv0qXIKtw/HgenmzM+xOoDRvzPk8V5jd1y7SSCIE8W2yW4q6yHZ2
Kpc7G6RIcwiojBQtU9htW5SMGlaAG1+NpMWPkeqJtSXYFKn+iPaXA9UMkUJxqjoDK75pb9Sjqc/z
KFDyrFSVhVxeIPCRVCbDJPJbOQeWNAyuuwVKDraFvKQF81jmxRn87U0A8MU74Exbk2DHhGHRXPMD
kyDQxVcEaLKQLUrrF/Hvwb1ihcvkMfO8jWuQNLY1QWjkPMYF2D2jaFS16zg2E3IvW+MO7vUSPJMl
OgNzGqAvBFnfcrlYg7GnrXflLxep+HtBQSZ2GQ67+2IisITfsWi36ejL+7wI5iMb1HTYpzhRnxup
m9MyD8kztFYq6SpostuiLV4bw4l3tfR9gPpcIrt4xQ4lbT8g05/i6oOFjvFdy2Z+JBhFG1scu+z6
fY7dGYw9G5zNFEAopoecgiMuDGbZ+RB+UcypTzMLyqeFWFkZYZ/rdjRr6aVhofOFh7i+oj4G/eR4
ns2hWrg/ltEi0IlnZz8xUDgx0nFxrAl925mzrbdGWTt43PxxOaLGTe57gtTvoZvwBGQ5SlrIw/aD
ajvO7H6BA5IHtjWd0lY3+4X5SrJfRn9Io9LomERZDYzafexqRx4DPr5wl+vBYW4JdwLAvAUmd78s
1rCcm1V9fCR702E9k/aBi63Fti76OX1IW9eD82HNH2Ysd47hgkE0UVoG7VKMXyxkWjqB1n6lJpsE
d1uWeg9gjhha1HmAs06RI6gwnj9SiyZLZIapb0QmqyiDsq1tXzyCc3+FNpUzmxfmAFHQmeWP3RFP
EWHZAc7uTQz7sX0QM7mC6t2Sg56KUnnl4f/I5vXfGtP+bxW44xVblT//fj978y0RuP9xL/v7l/y+
l/V/Q4COVDHwzH8o2H/PdbJ+IyjGdIVlkpT3d8zsPxaz9m8CnQvbV58EuFU2/c/FrOX/xg7XQhEf
WrAQHfGf0rYjlGDv+kdtjRcI7PYODpuA0g/Fy5/2soPXBm4NpBKGBm6PuoSrQntsmFepr9Kd8lFG
anj/uxDQZrmzAeOfLa8q9oiB2lOeEe8YTyahMYMjQ0hnTQJf3qYG2QQoddTBrgTCPkvCYAk593YJ
Y0MLH9VIwmI4t6+LFAVyiLq4kE6RHkvCo4+6HCAJrWRsmtbqRrq+22/apB/CrXBcSoeSOxCn+exS
9dmuUtWFHRTuSaJixljTuB3HmGNcjZnKW1YVSHKQEU/GT9xpWJ6co+GnDBV7LxP8N8EL8rLWxMZu
yPaoz4FwvBcockS9MClhYpBjKa43SqoBgzykSOKuquw564u3cTHllVTyMVZACURSDhcc8erD85b0
5No4Y2LVew/e4hZXpszsw0SWPLgv8pTkXKUXw2xgyh5MPL2q2Cd1texCfnUky2YpV5KKNyzpxntF
Mideq+AqqKfiZCe9RLAKNCVpxEZ7tbynl8wuKqspdsIf5vdpqb1zimMPz75pVNxohIsCnMIIcJmv
ae9RZzpMmjvdkOZdF1C7jJWmQktnuPBgC8timjuN3OBl6gdPpDyZt97cTffhUBThBX2q3dFnr7Ap
poQMMku7+6j9dGwvRlYKJy8ho2hjYpy4YXZF71e2wbDGO8NROI2ohekmIchx7/vQ0bEtJ+FtNyS2
E3m97wb7ijSoy24iKBnWDhR9Mw5aouoYtMo9YkwUWAA0mdV09rXEV/ZuDKTjxt1YHSpazfUlDaz7
gcs9EekldqIPpjMB5cNNbxHkiAVgoHLDui3YTY3s3gOLUdamhHf7osXoPdeNpeDFjMq6C0Xo3Xg2
0vitUHF9RB1QHMvQHTFkaAZhvYkHGFtbdtfBzOMOSMnjIblgpuPjJQ17XVg1g6xinTZAPL4nei84
4nMyjx6l6Z6KrqTAz1fFTOPXVyxaeqRYD8DIMJKMAx7v9LkeoQvU+Txc657fMQlm2RtVlb4VtRqY
l+HaDFR100/WtTPP1jbX04JnsFjHPga/MmAMkWJFdEUCg8PqXIiep5qU88Oo1Bp5UBmQNBoyEZad
xpa4REYzsR3F5vjjZ/EbbYE6035WV2MbThew2YlgzSgIjxpnIPbJCY7P0hFCxZUb32Rdx769GuLq
pCW40r09WkQVKFP6d5UsumcrJ22A6U7hAy2w1OtkuxVbQdVQEpEF7Z1EE+vpYgyo8hllJ57cmYMT
zO+uyZv0gDRghDRQ1d8FSH1G7EQdeQ1ZT8Mc0kdyHVovRoLt4CLN1to/SwYYdrXj5uYXhL04PFc1
07itINmMt2INUxu1H5SX0uC/j0xrmJ8wQ1pbofvyxbInwkLSmpgLfGZ5Fi340+jRNMf0hiPazHe+
0MWLlNN40CH1bMRh/6zbcDxbTt9dG6NZETAtyBJAjcCEIigm89v3cTh0U1xcKZuouoFItv1AEr23
wQTo3NTWNH9WXWy9FQqRmK96cZx4ijhhm4RZQN88jtJmFFGYiwAwTWR5/Z0MfX23uF78kxkdIeT0
Qt9qnJgx2Sb/sUUUeALQdXGnw5QQ4fYoDcyQ+EO7IEEUUwfT/dy1/oCYtCPLCk3X4l4krHy2PRXK
uJMZmXzH2J5QxZYaAf1VVfqNfVHSMZU7YctRb6w8WR5ZUq5qETKPqUmw6aTIFF2KZVtUyUAVE+ZX
E8snrhdQjI2VsrRaNHJfm6zuw0x7QC20sqqK5KboyuIMQAOirztNiKldhgkOF8+mHLvmEkAcYxQd
euNhnqbyKsnV+MQeOmEOHUIEWFy7edeKlwOzi0di043gabe+bp1TgqBm2eO/WQ2iReNnxzypxjIi
vGH+Mt0WT8qQz+EndGN2I00mMXk1PgwGNDhmFR5oaFHgmeU8s0WRwiUKArjwfef7BKzBe/PTU+w5
KdRDrRPmnBzw8obIdEV/B7f5IkNGeTE2tjteFW49HlFN8RR0Rnmq50LSg6Pcoiln9JixdaLHSPt7
f9L9viuU+dH2y707AKBl4xTrB3PK6QAYRaAN6AkogtoCzarb2EvufahkNostNGnvRWmhw8j1CM87
0nUP6U633kIwCViYhTM76yNzHucfXNfmk2DD/tDT/+fbepj7B88xw1PLM7yZDNu9t7rWfTG6sCRm
unIvOzhuG5GpNT58vlrCwp0i7cHuDkTO7na5tHseWOa/xfJdFrWbceG488yP2Hnrdqvs6OJ5K4kr
b0s17zs1GtXBLVznF4XTrPeNEZTznUPGz5NInWH9383glFullxwku6CnbMo477AE9GzH61UBytaq
vzF8zajSGOzwpSnC8mixHISrDbXPOTI4HEikM+J42nop9doG8gwUtS4nMY/2HvHQTQfAtN8FQ1cw
t83NG5XhSEUVQPovHpC5ooYI2fAg/9BvLYEsN9omB6kmNQl4RSK6h25xjQ9YBsKOhO58XNwJQ3/T
JM+Lzsdu28gmPOOGV91exqlhdkevMdElkOzV/XRFajL9ScYECyxaPv9Yzz1qE6UdP41wwsKLS82U
A9tbLINpXV+OV/5kNkvEWpS1dyKs5ptkY5HD6BtIk09bp4ncsf0KEG4fmxbWnHaHBQXFBOwRRZsh
uoibadkR1put/E0zeRMYD87CzIYXQxYMOsy5y64Gq34KxlbYiLBkYu3I6RCnUnXZLiuHTLMWqr5N
F4y8GGP1ulTEOKs25z0ftKevp7zBRwzsgxy4mtFlqTNmGIXHim1f5bq9zSTCNTiNPfrrwslSBr8t
Uwipc6UZnqBHhYpgj69zWrIEhcKQJTsjYPdguEHypCcv/dFFDyIuHuCz7GpdL1Ykl4qPHp60drv0
qmk5lZkpE8tEM+dbjkdQsJ2V0aB1/Dwwk8GRnKqD8lblE8N1cEu4tJc5PVCQHnMz97oNOuJq7864
NFl2ev0mnzCOOQF7KwbC7g5VG0egLPPuZZRhTtJfP0Xc+5wnOZ/KyyRw4mOfFM25HpLxkd3AGBXM
0rYAzqa3EMh+EXXKbD8T1GMobNLU+ZpKwmTiYRfn9fKG2/RnkDHJL7ChMNzbg7UJZiZr7FkC8beV
MZuwGFE7Q6QUCg6ohRlmmDJfLZfb6CVtawMc0uSIW2cAMEHSNQNuRxXMApO+KUifYc/cctBW+WeT
CJyE6HwwdLs1EzkvSElK9OqwOSqui6jnDriY4FDe16Ecn+MeIZcYC3s8dBlVppFWp4GMQWPT9sxm
j0ZXBqh7yO4jFNMOx0e2X+ytROvVAGLy8hN/oXq10WiLbck45Ue5Blo99OH831Og7jiBTAISTadB
dZDX3a3ZjCEBlBZKIbhn4S1QR/WAaQriTOwxmGbNWrXvnvRJ2+qaDPAoBdr8FjBO/tKJz9Ph9yxZ
Tjx4FIaySuuP0NPdI2A154zXz74tJ6t7CpyAkZXTaHRMDrGi3LMsqKNBGuGBbeN05NMzoq5PTf3t
9jMxifUiwxOafiIWzNpn9gd3I2ACPjtswrMOOru9kjKLogSaanR+8orD2YOFM1btptDFusmonR5U
ZGVYH9CT9aVFOuPVaJcr1j5YSzCCEqgHyoX4wMJ0sOFRE0KdDOfuzPiStWOL2szYLHZshoe0cssf
DonsIxtH/6oIzMxB0N9WO35n7GZJJpyiAREEDnuwxvHWiutnYgeHEw+rG0kWDdHQONalBVOakRjJ
oKnQ445TFYqkDw2PhJIwdhHxrLqghLzApywpwu8kbHi0FXySz0mL7KwaEdobXwZTiUlMWZ8gMcC3
mXBQpZHbyDroG0ckVXilppOKoZe1S57t4BgUN062VLe172U21lKw89ATOFiaOrsYcWtFgkPyIyxM
OKABSa5gSZZPUoIwADbBnKxYheyzsesKm1WRPDC5zl/tuDQfEH/R//ncIdcAxePxgE6nYyPh230e
8WCZ9r43RRWBdVOAmhOxm8qxRwdoHEdiP6KqekCMUqwxYAtqYFwcUe02DhwLtNgnMgqLEohxXyAL
c9LjtFBcbCGPL2nEniH99pyGYhExJSG1fnlABLcQEQyD75SwQrr1rDgFpzoaj4gnigfOi/acOLwM
KiPMeEOekpE6cuHODP4e7RHCCm9oTPv15mectlPoJg9tvTz9Yfxx+/fZwX+pNFs8WfXdf/uvf/Z0
YeM3mSMgmsWjAUrxT/6xRojRL0owhwA5HO5+H1/1VHvGSRE0uACQjqvvv/6O/0FbjkMLoxqYHxMr
lbfm9fxRW84cti2dpl8OOSj+u2Zc+ms3XWl3leVfSpyiB2slJv71N/2zQWh9mY6z2k/Q0AMy+5Mp
yZZWvcR+Ph2IGCvO1DX9LeJkPEkm4XrNoohPmWfvohvH9u92i//dJoj/90Zx0CEYX/37Udyt/sZ0
9aPU/C/juL9/2T9tEmuKyDp4E5z8kCP+aZMg24lmjbHb7zQp/ub3cZwFUNS1MUQiCfbCwHYZkv3u
k7DM31ZTBTNChxU6I+D/FBt0/aD+yzCOkx8Ph8mVtK5hgz99pv4Hq8QIxFsM4bwLKBGSRLOeWUOc
CdEGdxz6Z/Ldvv7wm/pfeWr/9K3/ZJS1M8vPc7Nrd6GbU1ql7FbTjFy2PP4cW9aZf/3d7PWV/PGV
roZHC3SXI+AquLa9Pl1/sIxn8ZDhSwc4PmQg6JM27qOQ4dB2Cux8P3fNq5lk2YF3ut0VhQ52oT+A
G2pMsR08/Qp3DoHFsi4z8lvExVcimyJHFwIdavzStrHNr6qXG1lnJwv87+6vf3rgJP/hx8ccS5wD
kAlh84H604ljK9aDHgaEnch7TGeOk0HjZ4jH1equddUikOHNMM2Zj91CCJMPbixu7GndrRFWxO6r
fc0XJhdo1t4MtzqnjntgDPCZ+GzT0FJdAAmhRh35t3YJB6da0XrJSJ5XnbKuCub2Imlt89GoTKh5
caGOmBq27HcQVNzNtQl4UO4Gkd67Ijsm8/jJjnGTj+mOBep2isklTGR+B6X0vilmXNrf80o8RTT/
PslpOfgznFDqZv+qJuCacJ2GqN9Ar7F3Hula3ZplEvBiJnjVrrKcg13YyaOXm3dsj5kghnxnpx2K
M2jJ+SMre/9QhxlTh7TnoiTEa+MiafJJOgrV1rW0vJmVD0oFhNDR9HNuOZ92jKSo8NIFwHoOAm4O
N8y623GIXdh8HetWIIrvjmn7gPxkfRMIrmodrvNn5mzIsOJwJ8bU/mzEMvyQs2BeDtZptNPxejQX
9nlm0HV78vfqvfDs5bLSfAvTW6BuVdbeqPzmW8rsWya1dzHSiCOhYTvletad0TWK4XN6GZPuByLx
snXDp2SA0+Lz1ohuVkjG+IImi2niy5gg3bJrr2jAdpOuH30Ssc9//YG01yn9Hx8nSg3GKJ4DJody
0P8z7yRMaqtlI2ftdFGA+JTkaFQRTnQcHiy+GiYVwnmU0p7OS6qN95QoSCa866KaQG9G3r7zBK0+
WtaR3ah18DNVwfzg5GZx6AgPi7ywM++R6+cvoK81zWVs/vrbS/j/l9r/JLbQpmjhdPmrS63KPj7/
9UL725f8zk7yfqP24eIiJzCwPFY4/7zQHOiI3EgwE1mQAEHiSP/9QnPYL1kgjUKM1Vxp68flH76/
kFuQ2o0vpJ4CJGH/Z3x/rLH+9MHkPvXw9q9JioI/K6Tpj+f8qir3EHpWB62H7qisXH9U0iMJjo73
FotWdxpbc94WrE6RtQYpeIwquVAT4RYwC61IMzV9DqpZfIeKRLbW9Y29z0KNDUA2nYy8SuFcGPid
hYgviSJONsm0fHjaRYMmt4625403lSfDKFywfZAU/RpplQolg3IaA2Yez3btfrMHjpyBoJK8a9qD
TTQPM0YTL0/bcPeimpHMPn3rqRASvjCB68Ulo9Hqqsnn5YYqs/zSOYfu6mH/nCUNHN9vvAE9Zuxt
18C12CCIfLbNgWQCsokiF6jdVoVx/i5K4mGThe8aozZE3UHX/D2YzkC2QZ28uGU3XhhV7WxZ7Q3b
tirv4D7X6MnT/jKz5pIGJ5hutAHjp07FhOCsY3SMAWXStykCgaORe9WpTkZ9P5edALBXEehE4pX9
NDPUTNQ0PcjMSa671GWZBhnpAH76loH88NSHZvLTFlK9Sm9070rWZaTvBOGtDFonmlTd7Eovlg9w
AGwAtfNz5g/tbUquH0dHKy40v+tTX8byTGxX9TyyKGSEbq7pLYRp89GIFCDCD7Bx8jpNAwaFrQQe
talHf3jgtC+v/Sb9iV3ktovMqYa017566HkZBc/Nl7fAhc7mYNn64fSS2s0xTwUQCRjKsrGsuwG4
9k4GWX6b+WP46npTc7bmxj05pUKDqJfim40AYQ25on9HJSauZyxw19XSrFc02J2vRugWIR8xF91E
N5WnarwkJim+HnErHDnJkRhaAU6iyrCv2tn/idXJsl/JUTN3kMTCB4a59WUhum5L0KwPrzvTzW5J
ZuImSlJ6iYi0yB5AQZJfh+l/Z+9MetxWsjb9Vwq9ZyE4k4tefKIkSkqlMpWT094QTjvFeZ756/sJ
3foK12m3jWqgFw30puC6sCWKDEac8553WLAWU5b5WVsyFcYZg87QKOtPmPjNp2wm8zoUgzjOWj2s
Q6BCD1HcuO5VHhDdtUaCywgHCB5D1e5EFECAIn8Y2op1wZjEIakJRnWt1e4WjsmE9bo27TtOmROd
zjOqzHrtwoXbYirkbDnD7CcXbIqxcJ59tSIFG46WsHbPJAYCwBmoL2kAvuplhidRKIo3zX3pKbOo
QbtLsTGWmDKSrI/b3CrnnVb3tp+hnYMSa98VU+PnegHjy1mq28AJjLWZOJ7ZWStJlfeXkJznnBTx
JPBm8FVv1Mo3M5p9wKr4BvTJgUcq0jN4dgwoDJ0tBcAz1NTYWvDUfI18MnwohPM5xSh6ACkshrMa
1+ODVVSfDSt/K5aQKMD2iD3nN0LmrfsFj4NdReLwlkFZwOYjP5HIOd0bVXKkq+VhbI0HR43BfbOm
W1Nkzo+hi5GpPsKsY2QA0SmGhW+WpyZepg1wYeGpvaU8lGTRkNI1MsfEBNVvUkswBQBnL+dCvWGM
2h3KVjc2fVfZ7x2OI1urtPRb4F1eJsroTQCC8khcLXd1MhAEzu7ktcMAucTEAYZ1XGwcdZYOdEs1
fQrJ3NrrdoLfVkqFQyFeHiZbiSUxp/WHMpn3WEHDmlGp4/btEi5+gKH4vRMu5hbsq10FeghFNJin
dUj26mpOUXaayOHIJYg6P3XrbKMENnmzc0/V2pvwPg1Lf6uwMME+Ni3nI8Ci6uVwttEMlMEnwKrF
g/OCOMAdCferp+IAo9LZRYQOvUHA6m6o1ITnuKl44CXHUgTCQLCiHLRifBlG/dn6K0xF5qqk14iV
APPNU4vU0tlEMSl8yQBQPUHP+z65+bM+1kS0z7GvYEEJpa/dMWGx1xwY5utQKOe+HU9zzC8noylC
DClhfHJgsNpJXhF7E+WdObh3z5hslyUOSkGTuSi5yUYBFI3aVSvzZewOsK+VmTNdYYr71s42qWBQ
E4V48pOEtyKq6tgnJklVOjBWqhs3yUJuF3SQx2IZoHlf42zMwugeIUvHcqb2PQVD243k3q+DYLiN
ivic6JaxThNl2i7O0HhxK4xthzGRT5BA5esmO7gp83QmOJvQLql2Gdico8F+TqyqI2mdD4B5X82v
VcK2sQqDPDF3gxWgzZHhPQITfqKLGpjMrWQMEO9DiLr5ICxkJHy6lznDLhjCz13Krp/FT6AiJy0P
N6WMCcJKON8AXIoVRviKF03ECTUyWGjCe3ePT3bNdFs3PpkygKjVEwwzaifdc0rsii6oHkMSDfy5
7gPTUwcZX5TLJKNJZhrVMt3IJmvupiT/7J2pO7woJKkcgxi9ZzIPqaVhX9tL6z60FtoraH4bS/Sv
PVlKQZLLOMrlpOYhbQyx3yFvikdQWQetsY5L4hISNlWMXw+4iULr1NsjdAYvpxSWgVWQRhMdYTt9
KL4Xq65O9AqDFARS6tLtkf2gTHKqo8aoAcZB8g7P3DW3VsHgiGmI1jzq4VgfK+cdBeB4ie05ONUT
SogxMLUb85o1NVxzp7CM7r4uHEPvySKcNVnoGdx2bKmgjU41xxt0wCcIo1DarilXcDKJWxizuD7P
g+jWcwXHRpmJxjI7yZ6OYZy+sPUk+EqSc9rWBSlx2jz6QkZsLQ56zh4mujerkfWoYKm8zwkbyLEe
noNorUftUwU2P7W1c+coZk+YuaO8zDH03aqkRAlF9Z5V0/RU5XZGzqptbXsj4/TW9dw9wyZ6mezh
viywES6K6AQ4urV66G6d3r+qXfPc0L6t9CLVz+Aq5RYPtnnLsUfgzzWMjEml/ZrIhLKSsoII9W9J
ZPgIrHZLi1w3tndjN/aMGA06ncXIiT1JdRJQwoENg8FTmZj4DAjiHGEOzop4SEX0jQPtBabH99Y0
fCk2OCGeqLeharieleBYZyK45tylCguijVlY9jqxlvm2ag3hBXAc1vps1CcMz7YZc7BoPU52u3Yj
oz+FMsHFrmrCXBSmG+sEOvUT269znJcWOmgnTeMp4dG2q1SdRnQSZRrfQBJV1vGA0XxNpPSZKm5+
LJMMV5dhNO9VB2elPPlONhnnzWT0Nz0P2quz/tZCdXdQolJZtaaZrcxWI9UCRf4h0OJurepkZenK
IDwkoF8TJlKovAglAo7miA5qC+cHBut1a03rconMYzsG6j3ld32APqHtCO8ISetLbnJlqj/3EJBf
cNJw1gTBReQ0zMqItWEHnxVw984NVBUjiPKrkxFgabpNhRFeHqwm29rDO4HYXnevNXyoeijNdazB
vp3z2rc6NEqBUJVPZpw7r0U+KpsYK43nwmjWuSU7eHOG/ZJx696h8sIsiFXrPMKp8SaGEsyzmDAe
UCJleKnCQcFAa6ePncVNzcMj8vvq3nY4pMIyW+td0X/C9LI+QolvPhOFCD3GrOX41KoVNh4pVh5T
pF5kz7J24gAFYx54Y+gS9GenrreYhulXQx88F3NUn0WoOes6qoMHvakIyYzDak8NNj6UWlZ8asIG
dUg+Qm0yzflBU3KxImc1+17mqu0ToFhcXCYJ/jRWhufUVNDQDoyjphrYBCxKkX+FzYu9w7AkqCAg
wNyUYo4fw5Aqj+FeHb/gZGKw1VZw0fogPKmZEH6o5+KkImrAIJs4DStq230gE3TxTA+/FMaCKpU5
0hpRSP7dqHv3hNbGfJlVVVnBKLJWFialn92WzMaUee9jiWvUYXQchKeJGg/cemZQzD7jDW9M4rWt
PFyL6NwmxnZpzIiCrW1fyEc0mOVN48nGrsSzxro4GS26lFyY9mYJgveRBOprSoW1LbKZ0m3Sgy04
mPNZnRr4GEWuP4yL1W6mTq1vwjaxqD8tjMA70/xCy1pvljx036su0NYuDeA+mp3yzgrj+EQoTLwz
jY6C3CjqQ6m7glPDcLfYdTA40uL7VBkL5u5U5k7sqnB9VCY3SHhP2tLc5SLSSIEzMSi0u/xAIDbw
YaW5+w4Y82iOTXrhh9abwCWxG70poFvWobwcs/liBsu3Lk/nlYOrDawxJ4TKNBE356rSU5Woizwr
gpsgCk9DmlI5qu6thun4Gm7mQEq0GX+KpTn6uGSfS2cgsiVM7Nuqh+FiLsm2gGDilVo73sgmH6lY
8Q7x2ceRwL0pO3feBE1EHilizpco0hQdcjbiwIh3bp0NzKKJEynWfd+oR4MSzKs1rXgOKeADernh
JRSmhQWheEzmMCDgZOuMga+mdXognv6cjNbaDkc2l5mSXIgt+VIz8b9Lve1ClI24gt8lRvvG8pzQ
ZOXJCZEQPrlzAyG/QxY6YtzsNwsgLPT7okInzULNAqJYm8S6Q+XxeYnEKWT/3GQYG8naIN5CRFU2
Q6VoG/q8YOegRFinRtychyqLYc639W5o3YWknCTfcVIkB3VglFoPuXPXL7Pht1DTcJgMbwdbx7uc
ajQk57BXxxWCMbSqaYIvkFoGpPsurvaJ6B9vkjyoOpPu7WUWwldXmPCl5i4qj6njYB0QDuMRLA/7
GEeZhsfWTIrPeaDx8ugEFH1rgmJRVkFk4wggonoSnhiSc96oysNkmHlHUKIxoIKUIcqUmeaAyUBa
nJIuUb9wAjanSslocwka9wjEq50VUnK8WhBLv/b6ErxoKiGH9UDfsupiRDSrvCCuHH8E1Ue63flo
ByyIolN6mDur35tzaT7ok2H4/aA136wmYViPuCP+XEKLgTyQo72vKl7Ggc2TW+PeBDjK7bFNcHau
NkLQsIyUJNO2A7FujFd66fFlIHzwEdq9cUptjShttSiXlSWaO51netZyjYuBef8SauN7lSUaKUsL
QbhiUO/IsMJgZAqgHun6AG5gSi4WQ+w7Tlt1kxuoa6g+8tU8K0eMFfDQwBVoSzIuRkFqrUhWKuIc
DfcWynQEaSdRufajnU0K1GRtpOAu81viDjaQGGH2hiY71hDGO2seUnwEEH+6XfmEif3XpiLce46V
VTLG39PUSPZ23RBo38DIYfJNLuH0qaX5cXiHiZibb3Fs+EJ0mXJA2RKd/6/gnv8POZrZoJOWNIz9
32OafvkDYf7f/+JfkKbxT41IFaFS/iEKY7j7N0jTMnVDw+vJAPC8Tu/+e0Znwos3LMYyNuZjOs5T
/8Y0VRkTg2slyBJmtZimOf8JpvnTeJsLE5bmAP9Y7P0fzYc1m0GcmY3IsXEbY0JDDmiAKZKnqhEK
OmKiD3+7M78YzIHF/gDtyxuBdZrmEDkruB8fRk1ZqLeplSH/Xow2gc4YXtAE4usxMqz5/Tdp+ke0
lu+iWcc1H0DZtE3xAa3tJZSrR9G4ASHGHiw3TTzOwkjds19Wt2kQDrd4NSU+XgkFEFTjfsfZbLhv
2Xb2dGcwgcgYVg/wB+GXpDK/ED1n2Hwy4EKOq9iB5UfitkpQjda+zSRwB16r2jBTk8mJ6PwWJMy0
YeW7IoVB0MDUp9xpumGr23Gt3nRGI+7jjKwquu4lgOZoG3BXohKzsDGRvNKsv/QTDuYwhgPUbXh1
lkG23KPBsUjyxD/Kr4ceY6y+42yzFuWmFq4YdrXRg+Gkkcul9HYQfHKgcaG1jerFxqo+s4GVndmm
qAsV268WHZgNfifatt4dQ1Kp8CMoV7o9NJc8UZqDDbBih6wHFWL6RrGLYzFbT1jCpxWNvB4clhAB
eQwb9n6asuMUad3GCMTAUK56VXKCTB2hnRNjgdBu2ke8mxqqCXBb3CZqT3eV5jhHuKEISl/ChcDh
2ByzCBM3B5FnaqYbVeEkoCV8JZGQOmIycPWg5V1ZNvj1NNgnYpeTbda6XhSlFUrgCbcFxcWYpJj9
NNRkyMiq1ZSHGbDRxJ+IUR10cQfjYKZZ7l6r1YF5rM7XN00CsBVesB1yVzCj+QNQKa7p5a7NOtcb
MrtYlVHL+WPw5ZqVMwR1aHl6ssn6suHVKcKvoZbeAv2na80K38aApa629KlGofjxKM5l2qwdeUdT
nWIH7OcR66GQOFftu9mjSEntfU375JHK5osKfBDqTuVprX4O9BTufK5+T6x8y0QLY6y+82FpXIRG
NlIKLRFS42UInBNj3AvBQ8e8Cw9hlapeOgQ1BjP1YwioCCcSTt1wEwUpomrlGJE1tgHiZ90xtYZV
FQAiHBPdGHERI33pru4gtSrlazEkiAWw5wAqzG6EO71bfZWs06mxtmku2YOI7nF+c4vVAF9ngyQt
pUQoYJ+6+NL0YLcacdAnPZjeoqD9NMEih2w9ttyMFN+QQHkCsTvOiS28RTeo65Q28DQb8+A0QBRo
hTchLEHfarRXAAR+QABFKeDrsjF+C+iISWIAKIYh4NEdroyqhDws+Gpr1JQ9juJYArUmIXpJdI7y
2QVDoUBQMnwjcFejLay15alT8E0JWvtpFPzSws6PQ8FzMET1xniy/GsE///HhX8YF0qLVeyX/7ax
r792X/8VnXb6mr//z//xX8X3r/nX4h9fi+//OMXfyrevzT/2bcb/bf8+Rfz3J/116Lr6P7H65oDh
SCMI5Dot/Eun5hJ/i9c7tp0uxbF5dRb970NX/yf/RbqE4pFsC+gx/z50ocyYjKQZqcGQEPyN/4gY
o36geCGeU6FbCQhAbMimw6f9MEek42wROjE2iEYiuRITBL9yiFyDar+KgqbaltjedVZceYubvpEy
iDSjJKW1HtBexyWmG07RrgOQHy8Y45eh5LX9203+xTmtfjg85SUi8MOoiPm7iyzowyXS8nKSp2Hj
O3kAZxnhwSaMcMGdI/c4kFaE++jJavt1GyKeSi1er/+jC8CyXeNW2fDhfrxHGONUzmhkWEHLxFV9
mQZPSq1I7g02UU3gYY//FBSJ7tAjiqWz5zp+fwkfapXrLSA+Q6gE7MG8/1irtAY+UMyLar/pQ1xM
VfupZ6hGrucf+A5Xfs3f+A7/+iKLr5EUQ+1jSgeTv7abCXzyixLhVAcdcmt31WuJzcUWEX/szfh2
eLXV6qthHPEzCkRxVCbtbBKJThvnKCi19OBrm5jjppk08aCnHGjyvfBdc2r2fVHOfpMTwKxUbGd0
CfbGtKoK0j3aRJotqr5eu8ciDbg/4EbOtfWZ0I29aFpOrbgmu7PgtFNo9KFQLNHtHDzjhcNqzUk4
UR1za0zjdJra9KLqS7pph+ytUDB+QyhGxqb7PkT5A0aWn37/hGQF9+ON45UQjoDrDAcOusiPa8Re
CpGFcQ18oEMrZTj2OYHTizanI0JZi/FMRKhi14O7/f33fgyB4YkZJkpuGyoJpupsIz9+cU6zVrWu
k/hOG2UbLJroupyl21FYAszjvQJNmKhdygH0AzMvdAGY6tlOwQPNJm2TReGWZFHXM1Elrcj8Ttdu
YDursh5nBovwxxw4CPSQSqH9ddagSA7fy1+82R/ZNfLaLYJGXFg2RAHY4kMJLnrXwHErynwXZ5x1
DbJ3E16rpsF9yMa+3KR2l/kE1ecnSo/9oKv7MQ0PRDfLA9La/7UBGdO2NI+WTfYttG195Sr8aOzv
KHQzBquTvnz7/T3/+VkbFtQLinY2JNOQMua/cy86LVZEM3DZo9JIGRabAlEE6V83urEql3xm6jPF
yLQ/vZ8/rTK+2aCJE5apCvNj1FOv5cGIEi7zg6GtEFK4zopJafsHBq6kJP64lpkqathXI552iQ+T
G/LfOIRFVuU6vg2ZH8124dsNmBVpklBp/t2Y/uLhO1e+8sevwf9Ug9/JOMDRPjx9wjptrO6GDAfI
7BLYTAIZhVM8hYWOp4YsaV1l5GwZCOEu1CU95GZ2UUNjOVcYSppFH3HuUDSpBvl6eWcqm2gJxS5r
WeRpMmpeIxjO6oXzpFgk5AqL4Rqi2j1iOtxLJsr3Qc3crQLCjemN0DaEHfpiYn8z1UnzYmwnMXDg
r7WRqR7p7pgD9yR8uwH/3qgdrGgWekVt4U9YeGEvLBtXrJbcbdErxSpyCVzUtPZlInwMBR5sw6BL
3vIlfjMT/ZxXS3AIiIBeGZTHjdZT1veRuxJusVMmV3hosNxtVsaXJqSu7BllI5ih5McGggWnsr6L
sIWXX2Vv1sAaNNLwuV6qZTtk7hN5aKzALuW69XMRuxDnCT3c6Fr3CtXe9Ua5e+Np3X5CkMrkFP/m
9YRjrZfCCoFnmBhfVTGzLWt4zslytsXBaq3XNfG+VkZuomZ+KRot8RAPaw/kslA8MJ0/oXhTNnaW
XNSIHz2EnbPOkYivkKc/kMnxbqWcnqNOzNs4Dogg2LhHMro3mNOqeAQvnZc3yqstgOGNAMM8F/c6
KJF64PWYDG/ZywofYPdNN3gcCFli5mScwNnc6avcyI8A+I+J6j7VbZ7zGkIoSAMn8il+dA4WrKoy
nUdTtM2DFeOSlVf9HQWGH9jFWyPaZo90W6qnyTJwJ55mPrNZNnVieU5mbes6uxRuowH9DjdYedws
eXqhC3P9qZ3bdWjwQ9sxx7ZFvw10VqAD9WoNUeCUBiXtGMppWgtaRq2H4xlUrHNECMpmxgfEQ2NV
QcpIL/TCrFie7GyHFxPnP/yma/NlSCGuFiGNqAZ5Ca5peMEojUWAknxF+JmzZnh1ZHyG4wbNlpct
+Rvju+yuB8HxrEFxHlst2+IJ94basNxFM3pJi2hm0aG9aihPj1ZCV319MFQGp9Yi5z5VOTyua3ce
WTZgg9gUBVmH5V385kCtWpmhftadzPW7OXtzAGdJHY/f1I5X47pwm4XrDoppix1lsUFS6EP7eqpc
CpmoFsDh8hXIWWGqqp/bDoDblPJKw6iW22LiYfWxrDYUPq/MK33lRKwgXeXxt4LXBY2QwBhhiI6j
AN1WxwDHcYdFW3bx2/XCuVyqmL5Y8FDjTHNdfreGWvATGANq7U6wX1cTr5odVbel69YbxoeaZ88I
ypba3qsWURwmUSV4A5FElUzDsYRH4CVpkGynjk4QjdwFfSgblg1EACh/ZumSNSMfMDOas5bVr2XF
e2VNyaW2uOqgTt6u20Vvp5duoo52iP5cFUnIF7S0rp3s8CsLo9lG7WjnR24izQD10EI9RZVsrwZT
3ZHvkhwJcU/XUNidNRtVurGW6tXUyuP1dIJphokOuqAteX7BAffyyyyC4B4rX8JJWpBoTBQ2TVtU
W3PC0392vxe4Sq10jZVbUHSt2jZ+blveY0PhcweZZWqV3JDJ9Bs7e+uor+R2NpNVsYoy63TdlHqT
7QXrtFcAKA5GnLS00lp2dYbprS0KP1Z5VSwneZuVGFBGB+rIUDv91U1EsmCxYh0ZM8cOlp2n6y/E
AewiXwlMj87yKCBm4dxVXNj1GTBTOsVkE+LsgIlpOh6dMIH5UMhlgwcwczoCxErkbpj6qkezAZGo
wmzT4Gy3ZoyBH6nc6RyDzcSMnKdyNtlRQbLID3LHuxb/sA1+Se4q4c3cjMrCv8JmdgcDJjh08ukw
UIXFhc/FEhZ4PyW8hxNKrMN1J44nWYhZYYYXJZgEZzy40eLAWUYkuuJfWFyJM21biVg4LQ+AxGF8
7cqe/PQ0j08lxCk8ISuOn5YdgTXMx8tzRU+5qFYWz6llgi4FG+x3Z18PYJdDohw8ucKmhb9J+NWZ
5JkK7zMe1Viy6OBrVl5WsawQlaKxHHg0uktBIZ8uQkVs8njD7Yhdny6o8OuQD6wHuoLr/pvJ3TFg
DIYpnaqvFDw+dzViu4084+C36+gdWNVmzwtkL+nRYlyy0qTUM6nUdH0th/s4IWSZOeCtEmTzMyMe
eP+wl5j+UFwhvn67rpWiy98SJ7oUy/QUiGTmwGiAkAZutTxtUHRzMHa8AhiDoIG3LaaAaDYZE6IS
MzoMYFHR93iYFPUW/1f0m1YTn0YZcGuSK+MZpr1FAotCkGjrNcdJfWKXrG9iI+r2xghmhBWstZr0
aFr36uJu0350Nsx8iLGqmb+X7TiPjKlMsWuqJXxjXgW2iMw03g4qhJPOiSEh2qidMVO5lHX5GjRF
t53orL4pbro86iQF3IgC+VhYdY8J5gw+fU681uACvGJmQ4x1PiMetHUMmTCkX+v6InYYYm7NhTaJ
4E1ZGlQDOmAzsu/VPu9Ifp5htY3SEn6uy70jG7g0ok6ul+akq5HBGGgCVnbDt17JyDC3MYzCJk5n
ck+iSAqf/2ZpeJ2qgs1etnlIK9N1pMb8jwMHDklatHMVZHy4zSBklA7pY5kBeRq58FrJmkT4Z1Cj
wIiPmMut8O3H0kaTjBwKtm4wK3wlioxQg6rbaLax79z6FSk5rjZ9tawG3cKJXsePFvpW62MfkpD5
ZAR8PXZQeFMHUuXAZy+49cNx7bdNbx7Azr+EWTi+p12D9U3tBPBKAvgImvWtsuWEYf7WTxTPihqx
aSEL95gPp4xrOyIkNGifSVrEILOQWAOjhEAHB8RiRqbvlAQQWW/JbRhCyCvCuiek3lPwROM46rch
SR0baK3fsMm4VcbmJiZfi0U4PqtiPCBBdFZOnFds5cp7ZbH4bFz4NxqhCfjMKV/Njl03qXHy7Bbj
HDJORccqoH3p6bogdgRvmL7FslFVdnUcwS6bCEtxZOezEDC9EgvbUtzHF3Uq3W0kDYfVgJ2mLKL5
We+MWj7hBYITJ5BRWMFlxNXFwycreynq3rgxFvE6SBmNoravhKFQUqV1g0W8a7C9kYqGLyw8xZIi
OII/tYXe0ewFPVy6SnDuR6XK+20o6VGiwHXI5iBUs9soOLr6fdXwr2RHj3cl24HOa+pUFDKFUM86
YuNVVsQQl3PWbSmXKA2zb4zjmzv0jp/CM40cVkwARWWlFDicQ2S7yOuUkLcK+uC3lkpbyGm9cimz
ezV6S83yVaREPQymOLcL9v4dHkHeGLXT4TpWioXdrys7vIc0eaxm9QsNZL2FTd7ctEJrnnsl/Zxw
poXobGptdg+4x+tY2yTpbTJyNQ5VFZTFjupabqdLly+3KVnl4PBdtR1N5wnI+a2a8yMFxnS/2FND
FajfVg11jaK6+D7GFn0j2vNOG6HeTSSea8R6aUy/OjyhGE801skYk+heNGr1ORbc+4IyeSORebjw
zQ0acmUHT72kwOKeIn7nPhu2g91v0WDFEY9PeQ2LkGE9hacEr+JwxlgxjVDasq8FmIZs0jqaToqi
a/3KcuUmLbVRw1BRe7fdwo+lxtSWAVfMOCGeoCl3Waj6gSCCl+nxpVCiS8hp3zScQ/jEnUitF7Ak
ONG7iSZMlju1XKshy+QUGOSFhdQENNfaJtFnBT4CX2DIM7OYyyxfya5lmQCIbKTl6z5sXkv4l94w
9uMd/ojlSjMFD5tcIL/DO/Iwg0zKdJ/pLoUF9VD3+LXnQt0oMLvxSSS+IqOjx8SXNdl0ZXGMB0Ys
LiJ+TNhd9YjjE7u+xhrGLnv5kmMA8b2JJ0hsNh/guESZumUfer3CanJnjDSzseVTmvxCnIF4y4Oh
OGacetfVT78JHQz3K5rVCyAEvyqzHhxc+y1XOxOWQasXcHIlFTwsgCrTWGBbhe5wC4EKYDOVZ6Ac
yvQl4iEM2uWmEFbnhkgEDjO38iJVSTxNRHBt2cYAI9NNbsMlgmh+UAg7YMetbmZtWTZGzdfPGT40
CQpprNS1u6wZSHc1mBwq0ajCtgOVYrVzxPU8oqEwztezF+eNlpUUPP2+8Td/BS8g2NCEqtk4uMmY
87/DC0OCP2yYzKmPhzaNuA5gi7H8a10BCkJkX7aLojJj63nK3QJxL9Lynq2mejHrT05dPQknRrAe
0ejKMqO3hbKxbPspHcJ7oU2Lh7pO2WlZg0nGiLSlGod7C2/CteZ0FMBd+HwFMq89EvPw73GXRxdr
IosTmvwZIjmZckqnHjVrng5WNeVHrFAp6AZZlOLa5mH8G9MvpRr9tUntpQj1ryasR5j50DtY8KJW
KNoaSgZUK1aUnA/S867N0An2qapO/zlEzkRAZ1DAgB5U4KNmOsnweAmvJgwtLYdjj8GhZV67szSK
rjw1X+LrxguOz4iW102FhfcHiPoXoJjjMszA6xixLnjuj08VSSpmXVra+4mNaS8GztGOfBJOIasm
JllJML21YE8OWaz/Aa66Wul9AJJo3wmxx7UPjdVH0ShvNkLH1O19p8Y73mRTJ/lLUR/iEdsfY6nw
KRJJsAnEUkJzTu7LIR8e3UrzZ31SX3+/un+epyAXRDtg6w6WLJb4gAP3Wi8qJAmpj3hK2UjAwOh4
pe2WOXBjYr8fsrv+/ivlnf3480mfQ0lNELhK4f3hzhdoc5E89X4b6M4mqwk/qkP+pGbQctpmYNCq
jGsYgtkuDod89/tv/8XbzJwAgNbF7FCOsn789pybChVU6XAloBhLAXS8gobiDyv8F7cVlFlD8+aA
e/40puI01UymZGS3qrHh9Qu+SU0yfWEQf2rd7PPcYSz7+9+l/uqH6ejPHfBt6bnw4YfhfxtSluSd
H8ZJexN0AOYxRIk9WwJQzug8wZHEtkqAnsnRej5lsz9MarXCYh2O7RB/X/7DBGGJl8s5ImwSFjsg
8IfFBZOtiV1R8Y6lyZeyMuf3v4rfNKHGwzby9IdbID/vx5WFCtC2DVB/GWVofwCCe81WrADave/E
9qlBr70uFJIMSoxySffkAFYH6ysclOcK/REuIM9NTDLmEI+3aMW+d84I9daMlz9kZH+MKec2mFiW
mBCWWHkIsD4OBDGTmUM7xHHaHcBpMopnq2arIXmNI1PT9n1ZHyNAsk96V1XbtuQRKRgZ4XdSvsIg
BZiijltllaahZC/gVFj6aYRBv+qS5JvV7sxOYPduUIJ09l6H6wCb9dKHEYTTsE+QoYekOYDU2Mid
PRyj1pmcOiI/CnGZyRLPyDvIvLrsrYXAwSnAMV+QAMOtAcqSY7vrwYYoodn//pF9FNBzb+Qk2QTA
h7KFKvLDvXHVYSL+XFR+SM76ajaJELM7KKbZSJhOZdcY3JCJAnSQ49g84NMufybQKukjhIjNjg1U
G3DSEeCYHirRKxsTLshmkHXzgr3Lts3D5VaKNVZ4x2mrEO/JP+xn0nviw7KzYUuREKwjMhHQ+n/c
UsAy2Ocbik2KUpz8XUdZg6mNcB8aBCi4WEdWfiS9ttmoiU20bhZvm1FUf7iMnxe/jVGsTNZkci8w
JPjxKvJk0SvyBZApzs1BG7kxkvUSF4P1hy/Sft5pGB2qjosvhbA1++NOwxSE7LQM1+0Au5wkoe5R
51T653XFJUPEsLZtUKlYoss1QvcVFtBcDORJDyoxnnBVRJhG+BZjBHW0c/q9lBbwSsIpZc9Y0LyD
bx8bndm8ngHDKQG9y+8X3q8eGgM8BqCmzev50+S4oHPVVMLT/KjN1TWuazHGU1Pl5S1V55RP9UYf
+++yX7qSZ/o6usy584cd6wOHUK5+aBHME3VIjD8fE4SEtHalqpUvjPJdxwbX4zaAIGeQocb5T9+m
/cxMsOGpwrJ0IFAIHGt+XCJ6qXYOlMaK+SXpxWlVzms5llxaLfRcNTQBcCmol44hB7zH8C5fytcS
+datlVPcGyJ8q9AX4lFIuO9A441zXkpnjq3VWgna4TbRx7vfP6afz1GuGGcNCmKLHf0jkaAxJzvH
dK/yCduJ/bIlqw0PqHTTC/onoGwYZCL7w9DyFwU/38aKwENIsG1/fJMySoexrOE143bPEsYvlEZ8
0o5JaUwoFTvwVBQKdLT9vgWeunF1gEqJGYK3K5tcQ1AWF0AIAYOidYfYEiAUYyygFXVbU81WOi1m
BKtxrZvdq7ZQb10xkUKlcdIYP287W+5msQleK8cvhtbH2LhCZMP5PNoZi234YdpGXhzozxmkKwSZ
DPUq1YIuztBhG9mymA9G1zflhBKi5/lqIXKdbZSZgRYlc7/JTtiKO75uEkwogi+6gsiP3JURx3OW
4e8f5S+3DZwpIPAwE8bt5WM14JBj3xhsG+HcRfdESAEK0L5sNdQaK4DlkjOQJhd+4xuwOWi2yYMu
xpoMPJLNNoWF5tqewYiuez1Ub0ajc4xmy2gx8uw67fN1tGlUKMddprWHnHH3iWiqP82bfy5g4cZS
XcBmwoRNfIyhb0KDESyG2H5hcxj301isc1u+EkY03ISNm3uus+SfDSew13BB0z+cmcbP+y/WQxh1
wHmBa6R+pFC4zpS641SUvkA6uy61ZkIlCN7vZCDheu0aL0Vl5l6sRymKJN6R1OCEnEgXYFPmT2Za
EP4o7BwhJMuUs4uJks0AyJqNL0LtD+lcvuLmiVu/nD8AbagKOF9A1GUURNAkKzkNMAHZE0BJX+QS
45sknLtU8blBFvAiMnNdCffYDGQ0mRaCYkzwQe1D938xd17LkStX1n6VeQEo4BImYmIuCkAZFotV
9GTfINiG8C7h8fTzgdIctdHfPbr5YxTSiWj16WYRRGbu3Hutb73zP4YeuaJ+Q8ec70oHgU1mM278
w+u2nro/FoOALEGa4643OZWt9Sl+pwoYmNWV6UjwV8OQ4mNAUEB69g2NiVCdsAyXLgeJmQEoVDMV
mwUVQ5g8MTyoVxs/LUoVUW0tXcPjtL7N1/2tsR5Mko+Yi9evJRN9P5qZRdgYc3a///S/7nuOblFR
sO7hKPxyR+o7pW5RwcJgcMydFjJfXLeKbKYd+dGNwjnzh11vlej98Lxs3inqUy5lcHg52NeP9N3z
ijUCF2TGTZDWdr2Z6w7F8zq5/5jFtB8/3p6h0MD+gpID0QgpWMw5OywqBpCJQDYyCwRilg1SjT9t
Hj8flB8fDhCJwXpbVUPr73/34cgoTQmUKrNdEjf06CSfAW44UwB+Tvn6VH7/+P/Fl1uXOEolA6Mk
aJYfv5zMatEyiMx2o1jfWjSss0JBZba8O9wd/1RBfvC8vn9XAfWY7CgoOhGyadwcf/x6sRyYNsok
3sUxVkw3GUz2Qmn7E741Rk2YvcaMiiRZddG4IcQ+AaO6x7WHsa4y7efRLNxLOvTkD/bn1nKmoLFg
KJjj0AQja9Snu9Iec6cud+44W5u6K5Pr0khRUA8F082lw0Gd8Jcng7TW2fUt4OT0kPYQkKq0bXyl
0gs/dZx6zx3GhElfJaNvRoJIQYNs8ikct3Qkm0BGjbkrCLK7QsuhMFHJzoRukdyNHGxn6wbPEEH5
NY7LFNN1Fp1L7snbZVAGPy8dbIsxv4F57bNW00zVxqbH2ezo2yKHnmTH3NTCakBwTkVHR5DIsw0J
wgx+s8K4QqAq0IFlbupbRVNuy9rEaZRK4lMLs8zokoUGGNEGXxOo/mulDiP6u/d1Z56jONF9he7w
0bGUhfbPon3qR5Lk4LOLPyw049eF5lCEQcLhXmip3Nd//GG7q19CyTnlUVA4+497j5GjGilblck2
tVSqF+q5bkhBDevR9AycbAFxX/wAcdL7+CBIn0zxum5saRNFm8dfcj01iIxqLGwWGNEEL1AwKw6p
fGyQaOdluWWIYHprV2LrGIvyMFejee2uf31adecu1h+EjdpknDBduoK0314W5V5PW+cPDaefDy9k
fywoVjB1DBuN+tOrzs6p4d8kHDyWIDDiGcuA8YfV+/Pm+fElbBSGwlUt7Rf3CrcwQSMgchAM4MOu
Btqvgxy4ZtSkDbUd7lHiFv50K/q5KOCLsnfiK6LDvm4bP+1Q8CeslGBNe9tUpO8x/JKwQtSGsRv+
AfiwIalIoj1UUg09s4ND8fsdS/u5tgcVuBbIOgU8/VQ6Lj++VTMQU/A7lb3trZpwoClt+WkT7QSy
mS8YCvdQu52zY7d7oO2Q7XLTGh5//xk+FHA/bGPrZ6BFDuAJ2JTr/HQFZdlIW5eKtU2tTPGHuWn3
hYnhbgEouGzkQMRbUqjt26Qu4Q0P0rypJlSnZac74AfsxYdVIb12NNMt+ArnRW11HmXTUt3F9baA
unOH+bs9CGnz7XSxfd0QvHNt12PzpEeoEgg+AsIxut3FsLHbxoOS/6H4EjrP8YfvkQKWlim+MhDn
BmfzT8856Syz4Qjd9qyq69GQ01atI81zh2q4+vgm3D7OL+oY2ddtzG8weAw9dyFDOicRC4CRufgG
vQjPiMNo70ax4wOBUVjXanuYFv29RouxV8ByeD0mYD+JjNtML4yglslwtSwxCBO89CgAFiiAEBaY
arerBTZFzWFhn7W6BYVPtc7YS2Vb1Priy1BsIjI+tpls2puJP7mtrQGJRRzdzYpQ8I6M+WVe6qdF
pgabUH8lRvxRi0nGU9TEw0lP7O5Fqf5EbDV+OWl5nDTh0VTatILx5f34OGvXDbGGItCA10/vpFek
B+XiOonG+6KASWL0prZdOiIBEgvek07Hy0tF7ewzh/AmAOSYuJgve7nLMkvLIT42WQQTHxMM42V3
OfK3WNfDmm8+wVfc00giSDSKrR3Epy9LWuN3TUNMuh2SPdG15rbRmxJRny49xaqeIC33W5LHwG6M
0s8WKOC/XzTmL7sVwT7cNmkbCYcFrP30QqVJN1u0U8QWpHR/dvAofNKnkSEYHxxbXA8tsK+cbteR
ZkbsZ6EgxGnio5YSezyboJHTGJIZGP3iMYlWeUfCssuWVmBQFincsbHmxbQgYOMRXnwV3EEwE7vl
aSCxYGU7WjDLfkfktIaWwLwfB+PFVDQg0q59H8bJV+46/aZmPnUkLM7eR4g2TpAWnUtHPRnEOZEa
xMFwHS/j2i/GqdtZ9AZ2JiO/LYNJXnSyhYLJzY3g94/uX707TC5Mmt7sO78UhfOUxMwoeXeGXLzj
NnAu61qReKpgNWFR/P1Xs385uUCxCgOFGp1crKU/i5mLnl6V2nfssMip/JQ59AvCsvhYgxf21IUg
OUMN0xui+OKj7kg2PEn5pY089GloqOBx1HtME58HN7wmJu4ULgLcBCqfybqao7Tym5l1PaRIXvl3
YaxYi090aOjJlONDH1nNlO3vVdsst3qFmE9rYPxoVdXusYppTA6n8jptVSsgIzHaxkjiH8chl3cM
/OF16/EAMy4BbKmj08hMjRaXtTQBURHDCTGXe2Aie9vhj9m7AD6YVro90K7Svpa4K06jyrbc1llG
Ajcfh4lpvhbiw6OYebfagWNGiQen8IRup1j3uzWZQoGqoFZkKchS/WSEJL0iYmacHcMt2bqyoO08
RMoWwDubka1ZQUwviAqUBbH8YaH9i7eFl4RezKpHX0/JH3ea1rIABUWoYh2MiuwhPD8JL8dbKtLa
bMGC+P378uvXY6qIIp0Si4u6+PmWbmWkrylLJcj+KyhAalYDsjn3gOYI3tUCQ+L3X0/7tbDk2oZT
mhsvMnWgjusn+u6S5CBva8jJNrfomIwgmVGGappjXScFg6hyUeMjpG/QHaSR11Uv97Jlu7Cyxgiq
gsVvjyWjgNEOPaKrU8/tOajUgR+1WpkSUYLW7eqGbyWxKnlXtGzXolwPdxECVl+S/EIQzxuBAhoc
Vgy9ic5LZ2n5G/pFkpAsVKFplSiw6wztoXI47OB9nPIhzrZMGd5J6aj8ZRTvmZ2/6TGfXVG7aTs7
4XKkr6UHWj/RWKnkQwsRwdMUdv6Po7XOKLUkntAXFGUGDAAE9xoiXzQirCaXRORdzCtIKG6uHsfO
7HaVtZ6mJIx5UU1dkhEV6fUFUbzqulZnnf1DFj2pOzAhgmzgPV8aXvFMynaPKp6zJ2PbbbO6eUqS
TNny3Iwgl3yg2sZsScdl8V0lZgowN9M/fjfnfSfsXNlKm7jQTYUyxO/1EVYc0oLNvJ66aay3BzPJ
bBYL20WijdQD3bTwEKf2EHeqc9IaBvh9zi/dLnL2rc0KLWP+FSjJil+Gbue3FeJvNN/dTkatvAEe
gZqjCyvOBb5NBUDYzaAsi18PWhsQVGnt8Cjh4yXwKCAVytnli/VozfaXAr0uWc+mfmB1DtCtMiNg
B+MtFrOzI8mQkiWhjP5Y7oQiAIBoyfdQFE4B0jzAqRU8/9g1Oi7t/Dg+3vb/b77P9Qt9qRiFJBGy
3v/6z3984dVE+cMvgrLjAL7tv8n57lvb591//eff/ULrv/m//c1/2DL/YOnU8Pdr1iov+cuX8qun
U/bl25f4Lf+Pi3z7+q2Nv3dy/vMv+IeV0/4bfx9uSfDaNPupMv6Hn+Caf1vh55qLj5LZx/f8BN0B
usCCQkXEn0AWQD3yP0xY62+MciEoONx0ViPov8WE5WbBfvR9KY0GAoE5llGcYPCKP0Y03+1XTVQA
5uNUOsgE0s2+h3x2tluytnxir8nVmaY+T/cwc+oesBZJYZADyr7xCZjTDzTG0oD4AXlY4lJYJw1K
a78ZoFb3G0QlyeuS1G6DXR8LTUBKSHS1VBZOFyHBJ9LQg3RaCVEk+xUh+gpYAThOpSXEjXCcR1yk
o6J1Agye9lM7sqdqnT2qG6ceAqgGhNoljklW/JxlQcgdhIEtODlyOPXIWbyFsIVbVwP3vZ8IZls8
fSK4dN9MKfEx6MKQHg84LS4GBM8Qm3WN92MWWnQqIVfcUujV4SZrBjgDWjrWwmuUpiUF2ynU9zhR
K9JsEYF1vmkq5l0JbAlDWlhELw0GLkQlTjh/MSylu9RpHq6Sy7L3nLQmkssAPfMWp+10EI4oaGzV
VvKK8AMgb2hyco+VqjIosKQ/Frp10LQOWXNJ0UruLGHJGwO3wkNn6fML8yOn25REh5Ccp1bJXnds
7gvGIjPaTnNaiKBubeOkF9pIDC+ABaMgfqFZzGS5MZKi1+51DiltI825ibamWxvu80DUymFu4lYL
cldFlLCUkd4Q56UpZJrkUSeTQ9O2Qj0763PJgmYxSKVMMUI4Dy3+kLUgYbwb4s98YfiJmXIe1ocV
H/ouJp2jrMeAvwbwq2s2eydzivms4SKCwWrHsGki22H0DGJw9NIxbYg4WfHyvTrddYn6ns4NwS4Z
OqqRje5QKbSHaSLpG9lopA727ewNEJFuOJtJkDSIOp4XE45qps3IB1GoEwkMPtc33N6+p7NK4pei
YW1c4eZKTm6amYb31FYY/PPhWa8NrjZEbUveDxR94iuA2EM5yMM4RSU4S7VYhzu6t4qYA4MO3inS
jfLK4rW5IwVDOVjTkBGba/LomsbZ4TZavdBrUhpqg0gxoRTjk1xC58QNpT3B60MXNpAdAsLP5qdq
xl9Nkq52Dpl8z0knypvBAITUD6uLyq0w/rsxhLahjc6ZU9uBkffVnS1NuKflxIA+E6QjMWJbFWVq
+Bjl033W1YBBSQU6zP0IKcG25VVtAZRL3Cr0wSOSglml2LZTg0ASLaNiIibOjnRQqGFuBmY5ZhsE
VdpmACCUaF1/ahgQNwjZabWks+gf8ri+DLVE2qIu0JowmFA+x905jPOWMmXuKFaQdAHVQ1ulc44B
152HO66p8Jps5b4s6299DyUMgcVGhPhT8o6YnTJt7XPXscoiR0Gpx+8w3M7KFzbZms3IeDAH3v+5
UOD1hV9zLd5pfeleOGrVbzIFSQkl+VhbNsF4IzAu1SUiTWbTuw3ztGeC6jWjwk++JqNKIX4UhJQG
3yjvCWEOBVZuGNkYuLl9LHPVXqexYuMKIzGSm/5EeLqNGHcWy4vC596mabhwMTObHSSL8eTE2cpU
VcZ7BMb3VhemkIgLG1NGPnA9lHbgwJMNMmMqb2WbtAHhmNGGWfByg3CpN/25mABgaSGEBzq1vU+8
jqF65spdnPNGAQgWAn1OUqLjZyMcb1yXNCQrs7PAjYX40jXyvW4Mw1d7p7marNDYxhp8C271UCuy
obgIl6Z01LX61YQ09HNVl+VW5fLKNw8U9mJ2aoQ6V6VbqofshEBG20DMjfM8unr0tc7AZ/7htvBL
P00VJvKGdRaimaAWrJ+u5UqadeU4V/ZBHxKoUmUXuVcO8MmbeizN0RPDRK4PPSxtU/cGBs65tw8g
CcI/aiV/aZGgULAYDFDZr/MB4wOt/t0xKfsQKbJmT4cZ+Eg6tN1niqoRV+lguu3ZcUrNupA+ZlOD
LsV4N8yVlKtXqeNiP+hVEJvDExw/wQY76zLaFillAXYVUTRvlmCW7JutIp4b9NsX2jHlabGM/MVp
QPUaHzt5MQ7aZ7ucSjB5Ttw8s24UjGSdca8Po/JFxoTtoiKPHm3V6G1cclHy0iXGKqMczJOrJrxN
WHWeyW6UMHrj6bapLFiSHOFuMC9qdsS0In1jroxrDsfoPCLY9joa3Xc21FdojpNx6vNI9zjp860x
5S+6Uam3nR5d2SNZSvp62tnruVd/HIFoiizOWJQCccBZLe7qj/My+jg7GROo7/XHiaqbjf3Vdizn
MolM3kFA1p5XF02zabAwsm9OhPlNnehxpkdOsk8ovR9xeMa4FfNVM6XJLFGZ9tZGEsAXHEcvISjy
iyglcEHuTud0bBTUd11l7ENEJZsOla3OEILFsW5D1hvNL9idZPoelFB/pLTuD/VEcCK0SxFkyyzI
fXSrtdMFwJEulrtSZmIoZU0vTtgz+CUjzF0YT10cOAt6/LSacX1pY/fFKFLr3olJgATlBGa+LsRO
bwi0hTRNFHssDOVzDtDSCKY0tDdpXFqf3bozbnQjQqmtUBc1+JtmYtx6HemgG+vLvSXa7FXoef0m
bCakfomTdXpGUMZDEkQI33QLLKzdaFoUUVRg9YsMa6v8qsRWnwSx6KN3+K9Vc/muDL78vWr8PmxK
/0XQo9pYmvE+ES/gmmRoUEd/f/vtSysdcDv1h0QI7VQrU4TtEZh5K43sUBaqc2gcWL1eCI0+gFl/
dvIqvI4nSKAANUe0013UsA0vSuQ7+KHrTVlkZC67DXlgJgfsC80OnFFRYjT35ohBqNYJPovmZETP
PZ0ZUZ1HVPaYUEZtuNaQYnZUolP4hYmhsQVJYh2suMkQ5wkC4SYrvTIs7b42YoZg4QW4AbL+EOYp
mwjY2uieNW7coC8/NaRZe5ZiqoQAJ6pQkMkt/eiDXrX2cdII3FpWB9NQS9X9UNv5xbJS9YLahylQ
ZYrogaFFuYswbAbR1CtAio1qZNPGTX3D5tJcHNli5YsIjPMFRQmELuAiQyCmPLtaGhWiea/hBfJg
spZf7X4NB8qcHmqj6C66O7RPSzSGfmWkw9qVzn0XXXOByt8OX2PK0ddJzAXs9qKS27DL4h2MdCXb
EAZnU+ym3Ta152hfOisJ0LSYX81C4oqZi3T4WoSuG3l5r4a7vrLKxJ9ad15HhIynNnZP8KKlyvA2
HNz4c4FjlIldlARhWIJbRCi0c5UEzlUihqs8paemq4l2w5m08FY6402eutOR8aryyYUiEPDXdXQW
nPIuS1JHp0Com0cVALrXIVDeDGO3BizXQwzHuA+RU4phO6NRfB10LXlQ4lZ/alLGZii31dirhoat
ifTs26XtIh+IiHFEC8k0xgbADwx+peRifbNjLX0s1RYpFeQx9BIIk82rBPlHHhSdFV4jrlN3lh2r
rGs3Na7rorp33RFjZG5qG+vjJGIsYN5aiiQBkOy6wpNS7cNNapSdcymJhTXI8eb2oX1cRLRu6hcv
/LigqOtdRVIOLHRD1itM2OZcZ9xkTrHmlvpngPJcd1wuPvrHFailSbqldWE/AfzmilTqiiI2zINX
8w+7d+mzu9WvUYV0fm/Q8I5ukLRrarCeY1/NfpzIk5x0p9l06zUtXVshm1pO/LM0OsM6wTuQB5nD
TBhHoR3ox3eNPzRkZW56d6GRj6s5S/epYxHePS99I3wmANXR6A1ydpqPYmBa64JMaC/giRkKd9ED
FvOXRK4LRE+5UtgJdOMF7cfg2ttaq/r1U2MQ5I59nGLuFq1SiT2xHu3b7zcq8fOlF3jEmu9qmrCU
GHmsl+LvTnOVki4zcuoKN8J25J6bTF7Xw+2/3x3538W+PVQF//1of/zVDvl7A+SvX/7f6Y4wNKen
+f/ujpySpZJvxc89kb//sb/wVibaeHTiTA1sfjj/ZFvZumOw9FC16rQg/8rI0c2/mQYNY/5De1VD
6vvPhohGG8WyGDPT5OXPWta/A5T85QQTcHiYKaL7oRci6Ab9+GoQJLrgSy6GfTmQSoxKq0Z/0hQ7
mRLnTrP2kIQD64VUFxH13/TQCk+RwO/83SP7FycpkVU/vaLr59ChPIhVSm8y6fzxcxhupFRAcQeC
6VvI2ra2NY0MsJZn9TTuj1ydG+sSYvLuE1x3s2iRkUfhKaUG2TTSeOgbYAw6lPanJbkx1PJopAhr
E6cTCKdQ81n2sdZqOPtMIE3R3c49gR5hSzQsFlMuCY9jm17PAJmmsCQ+uL1M2XQeM8xQJKxyVm8B
sROIE52VtC5ggGUPfWLIoDWiN9POKh+TpOUL9sUakgAs8okv5PcOMgq2qZe2rR/AFW+zcIaAYlxG
lyPbNLN4w4NtDaN7iS1umVG1qFtunptqYn5YFtpWEN0w66dKqbYWsTeD86xkyx3xdPfwpa7gjezR
lF6VNBoQtnCXbO6nSbxCOCJDYyLWxSRYzYxI/pnMytkb0J5RKd5IZ7myJvGtAlvtqJ+UVn20I758
Z5+kkHdWqO30rgq0SfFHXW82xOVGHrY8b+6zYEVYVPnwNWkMi/4Z+exlZr3r7hIeWqHHZKwYBTsi
PbPJXo7UCCfFQayHVy/fjJpOfW/dk9twkOodASgevUQLgf1430zRhanGFhF7ytNyM8yuc4D1s7PG
K+IPHgvsUxtVMen53jfl9D4UzmFq1dcFL9WM8G8Tj/VLNCbbWSRHvTEEWozIL8IqYGj4yOu1yQSE
G+4IKCoIouuGYFaHm0gJX8J6OQ6WcceMn3m+3T9qBj117WtVFDetOgDAnxhT9JFfTVzwtU4wryZh
JQupO6buU2p0nm4yAle5Jti8mk1sPaI6UDegv75WjSTHJC78qk0LehzIddPui9oRNBKqIdSo+aqz
ysDW1hte/JwW2oNZPNtSLucUbdzzsBTHNjNvw2kYds48uhtpRePB1MFjD9kRtIpvNeWevLUXqw+/
ZUp1IhiqFo+tCWhZA4YPWEe95SSl6ByXQx2lz6ZWjnRVKn/ANUuU6PUwNT7uuO0gjLM530qnPqFV
Jvg55pw15+qaex+we+DehKpfuimEcJ92nLVMyTvY5aiPRbZ34ssQadfQkD3pHtrSKD3AZRu2g0uy
UoJgwz3XgLeIhf8cLkmQjiXJ2YomT42rSVZOljPqMYJ5YqjgwADKnW2TXegVeWOt3RYFEfWVuc3V
5Ul1iv1A7rbsCH9AOkwwOFWOku94NWw43XpxMKreZPSn9iRwWzdVr13FOvk/+vKYDLrwm95+TaCG
eVkiAIIIUD8UGcV0tvV2h83VKxfHPg7lGKBG+GIN5kUL03U56WdX7cmL6sQ5caMDythPZdYckl58
rTJ4tYxK0Z+BT9CrYkua9F6U6nhN04IRpY0cFIP+3Toh8JZQPUc4JYNSu0jS/9RW5cljk4lU5eDU
yalIytGnd8FgVg5bc8Z1r1jiIqg+QcDS1irrB/rTu4GGrJeIWINEUn8mEN4nD/ypIGPL4v/w9TTb
5gznyVaumEnJRxvqPMbg134uaposfcwUyXlaxvneHseIcF7oEB3BXeFmKOSDqrjnxWheu1x80jt9
y2XmWp1Jm5+z52wmHLir+T5wNc1KFchhDhY70e9mU7lzHR5PwSjOsclM7Gm99PA2Ng28AEavMt3b
zngY6bHourFbZP1uZEQN9+kbeUDJZpzDQ1nH+olM8mZTAqDxtMb5hq7jaRKMmFCmBRDYto2xun1N
eER0QMnU1sq9s7hveo9VuWld3r9O3eUW/S49VR51bvwriihghd0QW/jcEAM02wiozKIvPbVo39LM
ZmHQuoy78ZXJ+QXKxIMyOtfq0N0sOsSDluvDrgXIoVfRYYnMbwzrxAYEf+5rSXu98FiVMDxRF27p
TkPiJzKHiRuzZ4V0eC+WGB/kFAbkvB1ZeoeOxl3Qm8pF1nTq5ziCopsqJ3MNeE6i5CuNPMDy+R0c
IvA2SnQLbXjX2LwP0uFJZoG0bFDhxqFazKuxpeUsr6y48zJs8/uKnhY3iitLvPZG9hgWbZB0xFbN
jDhGcu0qNiG1CrddHO5qafl19Sluy5vCtZ8HqR2m3PW73DyObbcfh3obGqWvob7w0GMd1GRibpCS
Om/fN+How/nYz8lNU3XPc4GEdMz3sFIgQ2kvDLrO+jigE3FJCnV3SRcCFmnD/aLEq1xBPlhh9yYz
7hCxCUHYks8OCZ0ix28POqt09f2Y99eafT0thk9rmVCKUt4qi3GaJ3YuArk2bsqSV4R9EVP8rZ6P
0WAHla2e4+m9GJYbxJE0KlFJqMY780nECH3q97l2pH7DOJ+8J3r5NY7Ms2F1N4Yl90kWPTB7CdQe
RLSQ7ouTggDp3zvmlM3M1skdsxXyRjQTi7B6YYk8NbO4svNPJMC9ku71KUJd2mbpda/2ZxKJPAOr
3U4P4xPKqWdARbQ/K1pK000POGmui3Mjik9FtCaqKuZn1yb+u9f31TSfuGUWcKcNL3W1fWG0KE76
t37pXwDIBLlY9og7v6AW+lwY8zFWQEeEm3LSkeRUglyO+tTiOSVesPVSgoCSe724MtgUYlS1bMs9
UjgSLMyuD7qp2I3GaUmdw6jnZ9VNvg3OQLOd5DyTOHWzQm8z0R3NGzha6gmuCvE3bnMdmdmtLC2g
KtZdX9ADYrSRFN1rfCqJY20fU4wlRqNs6za9qVGcMW4GXT2ggE/Ip1MWPShjvq30gi6vXEPbpnFf
Fe1XbF3HOMn200oZk/q1Ce0fUFR+IEoJbUF+NCcEuLb1JCf52SXPKehMswCXFGOIV+jBZx0pC2nx
OIGmvB0XV/PIKQEKoKoUNlWFzWcgbA16dgbHOesAapemuNSx9cqo/Ise9s8wMndYaYuNbconxNr7
akyfUlsG8F08Sx920UQxszwMHSphNl6Qap4hirumxtgYtrtZE4E9KJ4enYZRAJeLp2s6nwA8K88d
3/OYNPbktmvgZ6CrDrvknLZX5Nj4Vm570920xNuqxSlenpsQtJSCA8PP4pjzI0G10N/1HEX+zE01
HXeL+xjZ+nM0qndJr7IfOLuE22iysqMZpiTmZUEMW8v+elKL20G7FAYvEFibJfmkqPFmaohwr3qG
Senncez2oJivk1pGwF+mq8ltQQs01rtbPsWszbmKrpA+AWGp9qHLRaJuMAFfJ9ocbXLnwcL15Zjd
WwLPQlXd3hehSruB+qFX7OesM+jfN08NkXhLoxx6/YiVEXwNW5ZJSUqm2lVTWPda8TAIMnVm2uB9
mzXQwWwL1FpRPEZMUDww18mVi2a+tzmRUTUuVzau3FPtWHBmROyijl2qQxgaEJFU6XYvYsyqp6Zb
BlwYhKQNeTe/l6QLXdwU0YPMjOHrMFZZgNtM3QmRcndYrBDkeE+DxRFTwCRX/WKVeXzrGIV1VJuI
DDc2+2Lv6nX2VKFFDiCCu3e0l3mSShd/KqiG9znqcRqfqCKCDkrHFd5NvfdiNSMzj6SSkpCzg7Y2
pxhrqd/4ks4XJEzLZ6Ww1H0h5g6kSKrdV5Y0tpoddWcnxnypliSOqYot77nvUR9TmE2bQZbtbVNk
xgMZBZOnuA1nSxqPB1VryTUbzOjQK7O+tWXEGbcokx/OmkO4s6Jn0K7g1fVV3ZzKKo0Czpram4S7
HBTYNCe9tMMr9HntFZNFOMfocNunSbo8d7pMpw7jgVfq86lydGh30aym9wgK7SdVqnTMidA+prSZ
tpG1RGdzWqpXEKTuDb2j5pGLDuvHaaPis5Na/YuSG2Jk5henZ3PoxINw0/jONdT5th3d+kYbabYP
ZjqdZeXGx9l8GhiDtqTV7dylm+7CSjMfFdMkirFMZv1VMJTaTsR+gj2Y8ls52D2Mq8W+njkwPxEN
Z++LqncQO07T51Qu5aXPx+4iQMyd815LD0UC8xGB4KrpTIgzrZx+y7g12kXU9RvLqBnkDwuT61DX
vMpMi50bR/WuWC/YZTYT4hhHTHCzfERSxEjk2cA27U1sT59SketgXHtjb5L4emSQN7OnlKQT5Mml
mj5Nce+lSSy8ocvns67PnKR1MQ/3LW/mrCV+Oxe7qtLI3GmWL4KUAG68bY8vKhweQsV6dMrlTHbV
q5Xke1MUB4I4PXPpc7Z9VAnWdGySlADTEca7LTxFJU7IhMwvZs5f1X4ZleYwzCncTc38auUcZnr6
ZuLBmZGyoTrfdngUoUKNHAymmOjfO65140SmuitD+Tzp1YNemodEdW5ys/dNbfHiNeau6ndDhmpP
Pmla5wa10r4gOo43c5RQURbWw2AOjyF5LfWMMoqO4yaJM6IJlAPRCOhXo+FQaw1Bnoqe74ty1d0v
+nl2+g2uttyr0jJwm5im9tjiLaEob5Nk0+vmdpDdtmwV3a+Dtn/uca93VXt0Yxj+mCWivHyvy/bx
980OXOY/NDuwIAgmOpi2LTzaKPXcn5ouzMmomIQ17q38mWt+clymfjoTy6UDPMrnK9Uqm5upipZb
9qf4bkws8aAB/jlLQtTGTWuVA5k4Q/HZ/lgq2bpq5nX9iHUlxeuaytbVxRShOWofK25de9USZfej
UdJAqVia/bpGnXW1YnBcrvJ1BYcfi3mKjBaCcKZcRSFrfV5XvbOuf3h1UUB8T3Mq3NbdQRoysg3E
b+eQhtnsl5qEmkgjcsucMELLwS4DS3M8RCE7j9oxqGzM0Xiwxcy+pLXU51Ecd/dqWrX3atUW5KZa
TOcX2Z2jhduYu+50eoiUEM+wyuNiHxTrjqgQOv5NX3dJOXfJIa4rusVNHDDUYjPt131VSSJgRh+b
LTDkcT9nTvyprKkzanV278w0c4PY0LMnJjhcGOj70kCJR+vYzGN8a7qV9iV0lSkosLUadcoh/3EI
VD2pR+N6MrTrGRGup0W1nhskUMzv6nqWyPVUoZ9TPWnrSYMFiEOHn2Z1iOBaBoxQii/Oejq16zmF
QDU+TFN1Xa1nWLyeZqgu/pu9M1mOG0m39Lv0HjLMDiy6FzEHI4LzJG1glEhhBhyjw/H09wMz85Yy
u4ZbmzZrs9pmiiIVBNz/4ZzvPKVRarPCnLv5nSHhCUJ0SHSebXXPqi3N10APPY45AkletCcYapXE
TX9VAFl5a5wg28mYAVTOs7kd/LEGjEcBZ+NzXbFxvxZdUZF6nKR4fOzkWjKgXjlg8iRN28E3khAp
RSuiN7f0QO4inJxpbure2iGEES2e48/vSBJJuRZl0AnuaYJGeJiqJFl3dV2QwJj5bwF5X6cy45DY
+yqgX2XnTKWApLsiyo+Mp++OKe9Gp0ATKrFFNzuSg6lL6BbWA+saBl4l9uKsF0zVPDltx6a5T+g2
D8pwv7YVo5zBHOkkZurKmcdXI2nhspm2oRE9ZlnzWPRJuTVU1m6WfLtrWEdYVmnYP2hiXozA9C7O
EIbbTrpPhAxSARm2szVLRCxjnwTwjePiPlC+cQ7SKd9y0cNaNvP0UZh9svJ70r8S339MrewxADZ3
ypowP1SCMnsozavYsaAyj8nE7mYaKXp6+H/Q+r6lCMcOxPn+JG8qXxfNnFAV5wPJN/rcUn+sVMkf
VzwY60yMr95g1VeEvDq7yp9cvAe1vW900W6wlZIdPbv7IKnBqVTKWKFJ8XYMUxmrmO0bO6w76kLC
f/2J3YelnmQ9PeOrqx6UIWnHgiLZu8MwBrDGcszQQiabIscDCuGeVZFBxqKT+XIXiHleBUhzdqPN
u1YHzDWjrqYDi7Ug9rz7pqpRHLWVs/GYq2+eVVBBeGhiCoGPgPhV5CSsIXisUoKby3Jat9aiqpDo
UpZIt/VCzV33mecuCbYlpYU0aedvPVA9INqpmHRCy58EUf1cRz2/YU3XCjPNX3fh+MjXecfY8Qqu
XbSHT13gEzzee9HRlqG57FTSSx2JdwuL62NuGzNPAQeKUVbvdDE/M8d/RDqKccZKkSEZsXstayS5
tc9nV4TJO8Zkb1VAnUUj15UbqgJ0TTr9rrX9qoqv6EYuYA54IsBk6krczlZtk4BS/fS7+V5btU8p
PICzK3qAgUYgbLCYaXzdtfa4cTIOR8uk8RirgMsK5fPDaNnmE8ydju7V+jHVprP1muxJwCdi/x9u
DcT6dMYS0UVsJedYOCctVMIsmfeLbBey0g3KAQbS10RD2CQviLo5pD3oS5yOySFW8fyaBUuTGTuE
aE+QwQhdxVG+zvpx/haleYloDNelGApjzULXvhF9Jt+I13GOseGbp0SF2bHo3e4mqkV/O0Jru/Ui
Y/oecf4QRN6Iw7RUVONSWyEsHK6dpd5Sn5XXUoPZBuQYQ9UGkTpLdcaJ6z6B5Z/u26V4G/jEPy/e
/2f63V/lu//n/6NQNPaHMFMW78g/XmM9tqkcWvaKH5/i4+P7//5ff/uy39dY9hfHsREEmUSNBExE
/rbJsr6wO8JCjCbet4S12Et/T2lhk+V5y7oKa54bgMz/ZZNlfyHsy3QDzwnsJRbi34pGY4n7p6pK
BJRTPhoB5FM+EKzQXP7/L1tOWeWGoV1rODCi0AwaacSZ2R3KsSxWoJRfcQ/Gq3FKijVyEr2f6/5j
su0XHMavpSjM+6jBVeQ16r0nbhhQbrkMQvxhYxgklU59Uz3k0uxOC5hvOQCrzYycHZl+dof7Easv
fO0DtSRHaSyvYcDi+0x1QmnsvdYUJ+zv9X1NS1dKEpY15uAi9gCBgZGHTGq8u7GDCBNckFcbzbek
bhg4sU86cBKjhSUyg+8aj99S1mNYPM5I/0fyOBUU2NKPb9lihKTcwqwxGxpvy8kq0p85FnqSvK6k
If1zUkX4yaVwy4WFoJ+jkNlWmr8p8Ao5g8UCY72GW4T5aUvvQ8QZho11MjAmzGx3uIfzvs/b3D1L
zAFHO/eG3Rzpmiy2EGVFY+GKQh2hJ/Y3njX8tIbwutOxv7VaR9yheUO0JJNt0nT5XnewIiqjqS4i
q2HwT1303WGEevApO67QNMgNljF7XatQHPPWkldmEfvfe19/a6cwWTuUoAu0sFvbIaB9WTny++CH
xiXyR/OITMFfpag8NnPhuZc5b4edV9YfmdWrPU2wuGnNDJN7jOFtyCybw7cOGJUK9IgJjFwVNi1T
h8m+D6i+SMwFSoEVHqXNkL86tX51A5lAByUHvFtu67Izz+5yf8vaTTBgcKfnXCppFeQHUYffwuXe
90f+OPgHneyUhRZjpECol0qBPwXaF6n5KRXFIwuJR7HUFcFSYZTxlD52Ebz3XAAm6fAZAoSgJkEV
ElAmUqfMeehs1VK79BQxwgHiJ5hFX4aseeF5DT+mpeYxl+pntmsyjpeKaJQd7WAEnm3a+vUES5Ti
KVuqqHGpp1jcLDBb92tRTeYh67t7a6m+8qUO8zOn25VD3T+b8Ui8gB+g/gsfAcfeVg7tJh0P7WmC
frsbGSutwpFYm2nqlmUt2vN2X8L6OVYR+yAqtVbeuv4kt5ZnGJukzYubEAA/CiIWXGVqyZ3PM3iD
SnO8imI3xQiIe7tIEo6zsNvPvbws2MKE+TIRvniBsntigYM9VS1SYa97tuJueijDkhEV6/aD1cdI
sl0f0nBm7/N0LJ+LjBgzflXjVnl6ZI6d9cBxByP6ysx93Ea53ZzTvkPKr5WP6BepM7e119qbIWo/
atkSRkjZyzSS/ssv3emOQSCRuKTesQQenHXf+VdE0zg3aIag8kQeppVQpXfKIl1USzRNZjZjEDV8
knx1yCWNtthXomY1m/X5Ss7WXZT3ILXpaJYqqN6B4wcb3EXMrH3ywPNeocnzJaN+O/EqFDwFQiXS
x32Cio3hRXeh/zTEgzg0gY5egNBhmTExzHmjme1TVyRHGGH61AgvfYJ2zhy3bhAzJt5s3xezZVwD
FJ4p4orsBXXOi5nQNde+XsVdXB1kN93KfrQ/RmmNC09SbYy0w+OEBROcx1TPVwGJ7iJkM0V3pD5G
pytvhHTUFQpcdaB3YvwQYTkwRJHvrDl+CdxCXpO2cYIHZyOSQUvDLhKwq7kutVMjK25O0xiBprNS
J9uUU07/MCbi5BZldqvmSJ4jq89uUC8xgTGH8+CnI2L0vnmpiC1csZdj9dNoxm4a4vKQQscrO83H
mc3Z0xjyYxRKz/dRMt9NXlVubASvm1qr9Ciz4Y57iEllHYEVN734O13QfLAK4zGeGnM7OxU0fbvq
b+o88IAhzOmGfBVEi3Z6JmkS8G7s1ndehka9TFnPtxYdH7KIpTPD+EZ2ARW14YXWEZP0sOkNtEZR
GhAt2CLbmQwEz0bZCMJ9wAePwuEUTr0PUM3VJvRpnNwwJPrX/5HaAfCzjM0Jq1u22qbEnjbSxzpD
N2+JFOd4iWA71FX0DAqMW3H5GTAFO9s4JZmAeGf7JRh5mwvP9rcQ78ILQGSE+PbouUv+X6y+G/GA
qD3Dp/xoy+Cn12WXUg2cvsQuqMTaIpm8GXG0E/uYOwY0j0Td2yoZdmxHUK0b2T2B0cuq2c+eJay+
bWOjwQjn5Lms/L1nqGLjcydUSBHDr2x5Ib6F8r2eeKD8rngcGzSt2aRBdxbm9TzOzCXQjnLbZU/E
ZEA5NIxw3S6/6SDX0c4ZqeeDkqOnD6t3NsHfqYu/jcKO+FBnhwksUoetwM+2SGHSKwJEbqG/tJfA
jOH2wNxKUW2vNSOIdV2NNqJNxAd0AxVgZuEcujFvH/HB9pu5g4rnI94/OFP9ZhqcQkBmN5Edbf3e
+64rllmu987GkVC43mLL53jv/yl3P4vT/4GnTTgCBdE/Lnc3b+/t228phW8xGYWHt/GjSP+v6vfz
b/mt+hXOF3uRZKGHF/AmQodC9jcdl6COtVzsr1TEOG/tBUHxR/VrUjJDSKQ88yyPsvRvMi7zi0kx
jdjfRAL2Kf76w+X3u14KCdw/TAn7i++XYTO2ORYeJADiRIES9ufSNyMDmDT7ItoqCPdZNu19N9kx
XyPCyd3/8jn9HanWX9MQ+bdTXC8e3oWesKA3/vy94tKgNWZtS7pUvRvFeK/L5tDlYlfhO57D5mtp
eutevYTOzhDzTVzO5jpxXpHSr+x0Ok0FlzpP/7/4qfgk5S++vt9+KnzWyBz58T4djb8W/5FM6xAC
T7SVid72qDEKXxHuYIudhQFg9hfPU7n2ST0NSFgI43GjIzaEEYN5r1+7trz75z+Q/fmZ/+UnCmwn
gCzDVIt4S56XX3+iklmKQbJMtO3mIdkj2z5iUXbvMRJFN1OSEBjhGcWNLMahxYw/g+pjUdjPHtV2
PrqLw/Cb0VbeHadDgc40iE6uy/0jqh0LApwLlfomph8FfciI6Nuvq4vPsjVXqykYEYZ40C/jVQhg
2ekQPpBmgKCGXf+8adgfgEC6mI2xCSWTQrfaZAWmiXzYDUl65Rv3yq7v54h7j/wGt4HeFuhlybhR
A/k7pn0V+0ijm/rc+fYhpdZo2ldcSEcjadbz+N2oTj5jA1BQzpWkXLPdQx4+j8P4Mg45cVkaiqCc
xNHtn4lqI3JjBAVc7x2CqMquwLAQ36FiSEV2XXD7QDFZB56G3R5deQlZVYTMhlGxiPUeyrG6chyx
mzoH4WDMCrXsd00W6J2hkFrZYmOzJYTgvoCbLmPi73B9T0KRYcP3LBQVO/nOTb3qvBc/CK/wEK5F
lR+twsPyjG0qHXcxeReZV+NcV+u46Ph4+Dahu5GNuq9bD88lmmfDOQy9X65mNW4EqTg2E0er+Z6I
G7tqztWMjTQN1moRYpjhlXR5M8dga2YYr9KHnLRio73WUuz8MHkbKeFd93sz1d+67kfVIv9H/kKE
zU0HNCTUt2nLvJqEozIQu5RJWhx1w7UZevIBScW3WJTGBYOjuxGQsAwm1/ckGtT9OubRsvuI5XLp
1j9ip4nSlZR8aOUoM5a+VfHR6Sq5s+e4fgudlLrL8ZaXhmDq1IqSo1Dug7AG+8nP7fGIQ3X4Sh45
OGEnjBmJi5BwusKMn0uZV6SNOdEKMyPFLLE4kE4jbygfuIVZlvmd2PTtbLBUUlhl+Sn86c1rdXGo
vBIBx9SM8SUZZXpGX33jtZ1/186juO/tstl9vqf/mQn960uSx3/xff3jS/Kaq3GJ7v3Ltfj71/0+
FPK+2Ni44CYxYrJZbKEt/13e7HyOixb+NM8eNqxfrkWfyQ+hkCz/bO4/xwV78off2/uyeMAp9bht
Pf5K8e/Im8mO//O9wAQ/cJyAdxeAKleW/Zeh0Bx0yLVwlB116uCkFW+xICk8TdvyOnF1dE4LtqNk
nz7VMkfAS8DMvkHF+Ta5nrhkAVG+E+qJzANNmkhFi0tX7lbBUwz9blO0IROVYaE4aqJCVO6OdyO+
hpWyHfzMcigeugQkXRa2LdpIFz0QE4vOv+iOEyHw8CaRgAFjOrobgAr6BEltTULBV3TxT1MSBbt2
IUGI0jsj6fHfRGoVLErZV9Q4o/MgnC9FOXNrqB6xCyiO1YiohpwTtVPdKDmFgt3MBhIhxlA6m6ak
OpgssWSFGJsaD0aTuIxcwnfuyZWS5RmP9FZ39j30jlPdyngNBHZNwMZPz0qnKyOJFu1UHsx7O2kf
Uj7bmzotqQJmQ+6xNzxNiEd8Q50Hjw8z7KVzzjT/5NTJr90K/L2BgxV9yMXxBjRhZl3u06n/QbM+
X0fPHWfOqmuIYSMh+Mq1kgI/WP/se3pTNMO2wBPalG6ztoLqZ+9CqQp9cDToj6fAJxIle2yQfiSS
jrEViBhJ91iZrJs2xpwdDD3cGbY3Ihbqpqchnb2jI8qtRCK4SfN6qyXq1Ek0Mbv/OHkAo3KfOCP5
5PRicecWu2nSAdi60r3xlgAf1FbAiiJc0hp91z7o4VwAsvCO6KD1o1PW907euMi7HdbcWZnoB7OI
ZubzXS/3EGrim8m/hKX3RAoQwP7Mr25VaxhrcOOX2HRvEmRmee6/xIXGMCQxAw1Ucplqz3HbHQ2y
uUz6ZBWTbTOlW+3plF9Vd922/c+8esBHKGkNQ+fgCVmsNZM7jK9bdxrXJhCNVRM6xjqaZmoQu7nW
o3nOPcxZJJmugiCAo6MXYTVCwWe7kIwMEwBQk7987+zYmMaqLaT5RARUuubu9rBar+xuhwgddVmg
rH1DGlblWW9uZLDatsKfWJ4uTj6vXLNEltPcOn3AriPb1Ll9386J9XWEUGfCmU+37hAGD6EPSTEi
NG1la2QIDlCbmzlxvFtLzZjbQ4zOFdCkH9JthhO5ZWm/7rTn3xaNI6+cqNOnzG0DbpQmWYdDFZ8M
glyPbKeHI2m9xUvmxIuncejSc2In5jHJ4vagUcE8dgL3JY9qh3jY1F9xqwF8b1R9m/jOeBSiKr7R
R4qHhSkAuD7PGbtU/inx6/AEgMTnblNq11vWoqyZpwuij/Jx7tPpkRyn4SozZflUUgDtmhFb7KqV
YfvWM1PaNFYykmEUehcCf+SZ6kDdoQl1rj1rHq56go2+WlkxMNurJxLRQtbUhZ8f2yT0bua2Tj4c
d+Lm7Igvfgczw4iXdXJ4wbOXXgCOqbMXFf2piAKLicg4mrdBMJn3yhmba+KvrHOZ18kTs4cQJbbX
nnlUxNkxlHmmVug7vFLwb0i+EXursItr+oMYtSAQk6xIzOpfFPPO56j+b7UziwIoxywYuAUCVgf0
GX+unXMmjbXTzfExiOPiWrptPR6zbuyuG6dC2xIRPSAtpVbatoaNpfJ5o6BAYR404i0Cxid/7Ixd
4Wg8XCJb1oydVZMsk5o7FvAdWuE0/tpHA6RtANnerV+Z2ak3y2sR+UDfmnC+ZcZNTx8FxUWTkgZu
IXnyogn7PKX+ATp4uWb4760S7T22LUqVYVDljT/E8C+VHqJHqZRtEOet2ah1Ym6qTVLxF68YfjC7
8wXJ3NUMRG3dYbCZ4BmTArgdCVL7St5ak26ogOqtN1vVEzFLwVdo6Vdd0RN0aBOfIwwypvpqrbFO
yEoD6+hFtUnNArBOSda4EyPCLS28a4NzL6f+nMj2ISK+FL6X2bMD8YA/pBOsiyglvRTNtEMg0lqo
TK+tBLfB7I6nqK3PIuX1T1ONuraLoQql4JeHllqccfqqUX78Ixk9dVWNyt0Z4ICIH/C96xobH2eM
VexEkmf3cvbjjRzi8nqYlViwITxKM0NuaMe+eQY2gvZqyLoz7PHwMnhm8pSYsX2OU7+5zml972vL
N2+THMrnGk5tf+J3PZ1JUEkvyuzDCyMZnnfmTd27iPExrWjrkw/odNV6aqNp1y5vil7emWB5e+zl
PRqWN6roguEqiSbnOjeq6U42aXN2zYr7OelGTPdclRDAO8h+JaYOin7y/pY3OFzeZXN5qyORV4+w
jaaLZ3H7IN5WTKg4BwBWhSc9IyeRbo2aoKmW56AJHlDCF9/wOIzHeTlX5uWEcZezxltOnX45f+bl
JEqXMyk0pHnMUQqcq9jnyJqAn73g3hmOWV6GR9mr+FT0yPfH3g/essLWJxkZbEvwet8mJbnXCxZ8
OFGA+D8YQif7CSgWUunUv+VPGzdDE/trC1nlNk2BjGLw0YsGPmqJ2OzmkAolZ+LQ7YIwL6wVATuZ
wg8MlXuDGt8v11bstBrgZlKO15XIgrXpNR7sKqa988YO0Qui8Q2BP1QMxOQLS8qWvszLZQ840cn7
Qx23Y3y2aRuYmnap266GPhgHtMYVWZFtk2LIMWMDl0mQJDrehHpqkCDN3sx9jafWXLfuMliTVVaT
bdQ7N44x2pcgnry7ycBGVoROt23hgd13c+vl4GKi0twTMFsUW6O18OdGrKDwEkhWUKPf0BuGOMtX
rZgTYzuUBRUQY2EkcoJj83UuCGda05xbnC06y0IeMauxzq3T2/c5plH0vs2diDREnixDON5pue7t
6tAR54HpuH/qx7OPm4KBqnkRQSgvLimFNGZGtKZGTVagJaM1djLMzBGuekKAp01ZS7XCDMjibsy+
QR9TO52pH1blNOugdUC1aPs2Mht1TaKvvfa79nsqvuM4Ca+0zfrKF9pmTMA14NSNu8qEuRdJjcjJ
us8Qqm6mIsDcAt45KYW/jktQAkPjilPvT/4Byzpg99S5Iob5vs4H7rzUcs4G9//WnOWPoquN5XeE
BFhL8lITdct1/jRbMv3puSohLxo9lCrq+QTggvmEYnlkBabeZFajf7L25xkkyUw62I16M4OrmYr4
P7v/3zb1/7M+75/u/i9v1bL8/zttHl/2e5vnfmGvhdAscMmQcoGG/nebx/ST9i8kduoTcrioAv6Y
fnpfWMOjPEDVheoP3d/f2jznC1FYSCBN5qMLPPjfcrGStPTXNs/3+DZ4bENU1xZQ0z8XDF7TVdIw
8/CQtWl50Kip13EaXuHJw4Tex2SNePH0mIOU2ruQO9dxMk9PZdfD3rHSlzYOm4vRBDgro3I6CVwq
993oEplZMniZLep4xfLRRofDIpnJ/ippo2fXDsoLxPFj18JKcIdgOBV5d2/gp2UiNCXfPbya6JYz
ECZjcZsFKA3QEMEARMGp0bc3A7cm7ShgPDb9j6GmxZiiPmKKpOWFM2tKNuifWHolNQo+QJ/7VObi
YFSA1g4IMKcH+rrkNZXyA3pPJTZx78AWmtLsW2oj3SdK4pC67nVW+TU+/yI/KQgRm85xiRR1USuy
Fd64wyI29RQLWwAg9xlxuYwCvYMemOeocmEZpYjH5xa58tikSL2T9BU/pI8uT9JMGNWS69qpZqU8
B2V5u9giQhTc5hDvWmBc3Hs2bk56VHlvquxdeZ0LayQCtJtoXAeWqWgGO/NbaU0sk9ARjcSfEx5O
3lb8MKpp3TvKeBgHUdyNhW/sC+VF1Ua6kXnnKREgxo4Vqg40WYTnWYyRaLIVdxhHaQ4+6LNCTZdi
NbLB2faNW0JZYq7GRrVggFlIyFTHlpP9JKeiz3bRbLMTdkmdjJCvRv24SwIjPI01EuHebqP22OG+
TfYIwMYrXIANZrZwbvzN6GluDmYhY0RCuSxwypQuJoHGmZ4rWDYjmIVOsJATDVuqkRhXWDSGDm97
QbO3KuENkH0aCo/jEpMK6DeyT19ZILeXue9d1uQo8dN1bEV0iMTBWJseiR4WyILmSbYkmoTVeOO5
Tmfd6bwPcJZkHSmqpisKsVWuRcEbthTO9xnqzuQg9DQ0VzxhDrgLSu15Q4lik3Gqqp+1TMuTaIc4
3vZatnLP3Yj8LUMbc9V/OjCU1S7WFxXewVM9BrlJ+i8RAWDHMAmbfbkZgR1Riwlqcuc6MN3XohO3
U7aknqamTeXbHpKeJtlrzUtBIPQKRsj9uLTd0n2ArbLVlquv06WNLQltVUNzzmJCnfMaqAn5QEw4
qiVCRMbzum9rfmW2Attd6vIYm7lzm2rH+OBx3tSE0KFDuLV7WKDVFNyZZiN3tZpW7CrMXViiN+Gf
+tOZ78p+3HQBX0NC0mtp2NldZ5pHeGHpRrXoEzDbuYxwMp/mFc1OWuSkJBoRU4/uNvA1AnyNvlFB
0xm9ID58zgkGJ3ksnTHZ57nIuAid+NAsfmvfLzUqQiNbWWXdrTXYLjQWtfHmunhAG7EnbyVhoVyr
1UgAL7QSk1F77WyESww3UyVMypFV1RczzfxvoY4fSMNNNykS6L2KCskrk+1yt8Bx6oh+DT5E/Jjd
mXLI0lsrmLqzbWfE2CPfTgi0P46eeODou8QZUmin0fZVnhLUAxRIZ0Wxc7Xt75sQBQeihT0bmfeC
gDl2F/ojzqMbJ1E1DiIo5W6HWxJx1Ifqg/z7MMc/f5lC/p0VlP0Zf/rn/pCdCsFt7M1A7oNP+PNx
X8kJJlhqhQcjJosnKWELh3PBjj6epHeTINtM18Y8eBI9V95dzHpKX4EdM2PAQ82apPQRPVFN+7x1
fs1IPLPlsJBq8lbzXKYBZYyVk6i9oJWe67ayfoDZ4322WgVQmaGKaFaM3jBLYrlCszXJdrzKrYRN
T4ITFpaI5XFYVDI6USWO8NI/TxMcbpwszecpg52zOE0lq2xIgVrYFMosD5K2rejbTNfYoRXI7vvM
YARVNKY4tg0GqXZpuuwIDa7dxzsMasO5iLqdClEHD2nKbxOSORg9dfKAIGD8TU4ox7JtZrMoyO0w
2ZSE4aztKoR4THc4L21ixnF29qvI2zeNjYwAlw1NQdqhrIj2dNz2FYyt/sNC3/1EuV5vGwew7Tbv
GoI8uhxKLoywOhzwqqTYYhl0pRvfzFqebham9DfSyvKHVHeWOmloNesiU/TOHqF5UwiwlU1UuQnD
GEPZ0nuzcGCSQTue1m120rHl3g4uofa4xuLqK4dCh2ZazDuvVlCUa0JM+IU22c0oCZaNe28gtCS7
a4vavvLNFMQmxhzrwiwwx9O6lJb9b2VmTzbuuUTSeEpoFW6qoDT2AukS4vzR2FuIdW8jA+1sLeL4
R9SkvK1T2gzftMfphSHSvmGngcCaGS0YT+u7W0TWwZy6kvmsh3zPLtvbglnDKgX6V5RkDtEpXHHb
tejkjJFulJwpf2rJS0k6MgjsTUpDgq9cn2XvvSbxPG355F4KwpBXbp6CO4pDFnFBMq5saT2WYV+T
VTsdWgCG3HNkrE3Oe2xaauc3xg9CjdElVa61l0l/5RDbAfTnXNjWqSujlyh2NkGTHEHhfEfUAHsi
vDbHkanmMHi7aR7ey2SyriE1f6DGQvoxSHdjCbPdBZMRHIh1e/OCrrtKlk1U5+fJu4YPdDX6QXdX
Yi85As2cITmAQirLPNiPY/eDYpHVo+e8jy5TXgCp/hpFW7AprTQ9uZnxdSaid19q07qumvCC+Uqv
nXzAFVoZeuMIq945vYzWzYCgZfRa6CByQFmDFznkl52TAb7tA0afELdr2fWXWVotihqt98KVTCcn
+wGr23QpLCsFP2wzK7G0T/Fh+dfItqy73Ks6mNLxFhZVejQWaVLMjKEgRht6jx96tkIeXrgfXVTg
pxgs+RPlNKF0uV/v3GGu2WASE+OU9uK28OJN5uTZvlFTtgClcGhMnsCs4U/afhGfFo6xxc2RemmP
GdE1cYilWfYz+TR/lBG+sGyI+wV4PHVyb7TYkLfwJEqUUdzR7XJb558Xt/y8xIlj5kJ3BEbdQ/B5
0Y+fl/78WQDIOKIYmD4LA/ezSPCXeoHhUP+fbuvf6bboTv7xVu3yEcNSftNvf6ff4gv/W2stOEVY
gVm0Tkia+T+/rdWC8AuaAsJAGFmL3//PH/2W/wUZCIDjEH4gPL/wF7mJ98UkNY6YJ/o0GiXE4H+R
l/wzuYnt0Aj+KrdAa41um/yIEF4rf5n7lwsY8VgPzVf4hzZs3fhgNznwNEJ+phapdZq8T3lRXDE9
mOQRfcTw4Fo6iLe+srJ5R2CE89Rk7OSq3vcp3/x8pBJLDW5WT/VTsy+NxHlaKuVLpJR5UwL76m8d
r0J6JUiWgsHhull4wGgUEB2mg0aeTaMGVkl+2drzYl6SIIK/1XmCK59AlqX4sYxH8MjNKRjE8ErS
U7GqsiDcWmaRr5squDe5R3DnmNdac/FDE20Il+vG9kdTNBJ+IarFhmFTHJ/NrAt7JsHWfPYSyvyN
cpkAA/ImgGIuyoMYWlz8dmofIi+YNrE3OzARNA2ki5eMo2wC/lto/04lTvgY1GGwV1auMCsX4TrT
5bhysLdunbaULO5C2sfEp4VEpPI81oEasLROUoC2qO8tJoToCmSqy22N0MikpItS1K6VGu8azkEN
GJ/z+9ykPcbwKBhHkkZVQfUZVhB3Nh09gdzEBhJFnNx4P3axpWGcFWNoWHezBSX1po1x09xZrsmI
h3ihqD3kmdFG7NoCaz4OZg9WMBpV6GzqLLLG7TCA+NxR8BavY2E33l1QtmBDrJnlEuJdqO4sq+xc
r5y5G4dd5HfjXvRm8m7WMhbrUpbhvmoH69mLFACI2IzjJRHsZwgFYDBUc2tXgX2uWy0ZXJvGwUDx
8ip8Al9h/t4SSEFR16iee34qWTy1alPqJr1jzs383yzKVU2yF2gQz1T7zq26d6ccxaHGF5PuUzzw
1qaozWaTo6h9ZOIZATbB1Kw3JbmVD4Vl6LMiQIYGMQV70/XFQ5+zaUAFUeBhqSjzY6e+MgW9NYGG
8dZMgyuG5gt21Jofoyq1dmNTe1cQE9HYZsY+rSz4KcGwzuuue9BuBifT8rsbg0Zvp3IVl2DrWO64
Ravx5deJKLFQ8d/3NQLJM1t0yoiMjbNG+HtuGwoduIxu+sjTOpzwDllEptnIV4lXSbOjjnMlV3U0
bFj3YkyS8XCMR5XfhNQ9X3t+t/RwdQQmIrYnvARaTRNZhYYC/9gmFde5eJ7StLxrdL2HglBsmxAg
D+TE9N2zDbVtAyEfyiHuGDIOGZ97pvd+FjdfRYj0G5/pcJG9/qiHAZSW1HaJGSvqD7mRZTufrIL8
FR6k/6Bq7GTsI3LxTeoeK5RZ+u5RFSMgWDDtuB1QtPqGPWy9sRl2ZtM2e9jPCrCKBzfSgh9WTP/F
3pksx42k2fqJIAPcATiwuYtATAwGyeAgThsYNWGeBwfw9PeDMqtLmVVZ1rm51tesF7lIkyhRDMD9
H875Dl5lGyrLMfeNkwnZkBOmmG5cxxxeQ7NDHNtF+SXyZXPq6rSkF459kAoN1kc9hn3wv2KT/6Yi
EyHHmrP019fi9qP4KH8qMrfJ8K9X4/rFvwsxV7mlwJyED4UJ4i9XozI/cSX+otFkCviPq9H8xK/w
IqAMJAuOoIF/jiLRaLqSW9NB2PgzmeDvXI0+M81fb0bbIfgA9BZ5c0w9PYaRf2xN69Ygi7S0bPg9
yY9BubeqdQ616z+lIccVfuZdPiMaGXFfYFC+Zzn2xrrnMPjvsUYzZxnRNbLz52xwD4Tx7i3D2KVn
0mdPvYbipsBuheNNrM3nBmRStvaAi3NIlxYLSVDFKMfy+tpqA3fw9q7mawlSz9P2aDf5VebKe7d1
bh1XHnRj39uhRZTjRrjRF2zD+7n2iXNtHj2jflxgE4Vct3ZMh1GYm7z/suSPcwTwvFgOzuTula1v
VO1dsdc7W7V9W9rTcy2J++vLC6/XrqbozgsGRqj62EE8LTNzCC+0nzoX07ZO74rQhqYarw5Wpz0u
IQIEZo/3faSOEj4MOKvxvW/9J9NrX1ObHxm6iIMM3SuMwTvGmF8h3LJtKc42J9AvT96/GTD8mYr4
24e4sn0hXzNV/vM4eSaKq4tBze2g2G9J0PkZxxnp5s6Z5zvVkjcax5h8FrUzBtwufDL/+Ruw/1Rf
/RT0mso1EVShrGJE/seniE0xZYFIwh0F+1IjhPOGdj+Z7ODG2QHSHIs7O8zcwxAuF3hjz2OZyDMS
ZOOqcFHRqM33WfbtfkHwGqC8T/bKCotdWC3nKW+PQ7MKFzymniYGk2JBIGo7ebE9QB8HCIszl21q
vtOkg28mLLVVFTqwXeR1M6F9iSmqdkMnvs46nDd6Wu4HMzksHQoB3r0X2YhrjGY3Xjpcl03cnKqm
jq7//kH632ON/uXvWhWC//Nwo+sx+R+F60GMIC9Bsh7/mzOSr/z9jHQ/eZ6JGg4qAINVdzVk/i5W
dz/hz0St7FK+/0Yj/f2IlByRPjAK9CVI5nBrcnr+Lsrjl1xP0XC4WDXYtRM0+Te6B2ttDv45vVuV
gug7aPV9vgvTtv+syRtiVxVmsRYFum0+F4RXvjaKJBIPKhbDKL+d3nrD/BJmVvud7Wb5rgdyLtwx
joed3elqp8aq3SnUAq+tNVansaijreUl+Tcnj4aXv/+o/Xtg7a8P0P/5y+fsD7/r/yfTMPeXhzqT
k+mvL20g7h99n3T/8jz+84t/eyA9gLar12G9Hfn0f4kF8sxPkHHXFSIDOFZ3q4D0H5e2/ckyuelX
W4O5BhLwvfz+RFqKfSRPkefaFl+qcHv8jSeS5/xPj6RLFhAPoi884VMK/Fmsz2ptzPhv4lqrYrEH
i9uSuJIKvD4+iTMbWS9duiPMkDZpjEKUlkqtxDR7YqW0AYVOjC1i13NJIwc5izCJzRASa4KnKn/M
Em08OauCOpqq8eIWZXzdFspkPeao4tDBo9gpSXXQlV38bZTegmyN6zImglTGQPzdHNp5CWE7JLD4
OrJKm0ExU/OAbJz53p2qgkCY5TEa5BwsxpHwt8HbiJHB/ZC07XXs0UNO1Cpiz7Sa/X04RcSLqHw2
9KEUumHQOjNRG/LFfAydJH+V0xQ9VgIIvWuySMQ2GN3MOXGvuArH5QuzQgcWka1Af2Iq10ITemZl
V04q/GTTSsBAVWoRWkMYUHmZug6fw5Klu9Lgp1OK6TqCfrqzilggDW3pDHH3skAl4Iy8JOuLl3hY
UstqgJLUe0l2BqeafdGuzwg4i3L/W1QZ0WdBy7PyMQCXbxJlCIb/Yiy3PV3dzpeZvTEl4/A0jcQp
5QPAEF7ZAa3qeE0+0vOcIDDcKjElkEO6cmIkXZpVsExNSXjFksmtZNZyM7g6/UhKu/huihAjazvO
tbFpyhF/o+nPkB59LkvsMGjZ4eIQ4MnwPJoCt4zIETEkGUICAhpwCO1DTivrt7gLuz4oyPgEFzEl
VcOGTAC1M6r4lfYNbCh55PFRdvw91izLcZu12vODLMKBDvi4hQZVha0Px5MY0yPLzeEbJlQd7yWp
LMDdDP+gBoUoTETuDN9lqGDWSY90FGj/3efeluICat4+h+7QPcVlXH1EBGqnwCsYul5Tf0nMMt5U
f20KZ37r/LiytlCxUIn5aVu/WwNrjc1iuU52SNOyfbQYSV1s2yJ6b6m1f05pYy9F3BBp4ZWxJQJ/
8tp7RgjTc2cz9MW5aBrfScx0sEdaVvtqq6z44pL4dvAmSi/ck75+6spSwnLpC5RIbQ924ohIGdvf
aMQlpnaMyDoX2LmZFwER0vrZd3X94PTVciXRxfDeZs0RxZNBPkDtoqYx0Z1vgbRNTRCaIvsS8XKt
XxpSVNltnjdHM+nSdmczwmYVhkIqx4CJWsnOJ/MlYkv6unbsMwb7allVbHyAHvkAGFdmz2H41ZgR
WwvW5BvVsPpburgDeOt+D3OxvOlo2lmg/lCqya/V6OPFMbO0/eKoiUAdKLrT24RSYNsMMYYOo9NP
mIfrc+zJ8JihvDiVRa6xW0c9v6wSeu556l6WTuE4j7qesG5PV6gOeliS5gJUBb14HZRzXe4zZIKs
6bzwSFAiIKV5YYSc15StsCGJggC10RAxuwgVPvuC7UzZI80kpNF3A8Oi0CM9qa2bgDlEs42X0k43
9pKYVlDoqah2AhNpwYiqSb6nQx1/XlQcX5uZlUU75FgQeg3Wsq8GL4q1p2ch1zVrmuGtkGnc8or0
LLCzZOHVXgqnuZDOVsx7ELBsNIqlnrYWnJpNTzEBsGtwh9umyWYQ/GVVXfVF1712q5sZ1eO3rBhT
dgEt5/SY5+x0/Gw1oA4G83hsaZ/NXqREjoqFXXA8jS92GLVnGcbxm4VIlGmgUyy7QeAa54FF6hQU
VCks65pFfe0Asxwjeg6zSWySsUqqDq4S5GRRmjffbCNCmsV0HrFn2Wt9kwxM7QPfiWaHCVtKLrbR
DV4csKCo2Ic4jauOyCtib9OlkSW3mel332e7w6WjJ7Wplppbxh6LY1u0zSl0k5IhKDURW35SL7eF
zrP+IIici49VwWjNTtweOOBSIm6FLx4lBGG4DtqVQeJiQkmA4INHs/kx6dlDuQicxuq6DjzaMnE4
+Xn5WBq8bsRcJnA9ddO8JaojQhVPrnff1614ZgQW8tI1mTibcSU+++3YvBIi7Z28NI8YZKmeYEav
juRdTZ7rnYvW73Mzo4/k2HB5fBQETUmTaUGW6ZLxZlY9yGNCoKJn5rImQG5QNz/MxrS8a77DWIJM
AIcH8mf23voJtwAXlOhueG+d4hjaAptVqx33ibOpPY+Fn97qsBJ7LHlqO4UCl9tktGCLciMx4iBf
cmtvNFWCJSFUL3Nq6k0O+uAuS30zYEwJJlhXyYVmsAzixbLoq9yKNWjcPA/ICT7Xvqy3Ftjj2lTy
qYdwdslyZHVDlspj4xTmU2NWxneRki++EZEYtrWs5BU+b/zdMUGYT4UZqYuqkqeqMo1LWM3hNgMW
1GxAG2YXI0XeGtk1JCeNfQ9Lnw8Db5eYZTnDSbIwmMwqXT2LOdJtnoRc1h/An0Pk4EOEQldlqImX
SgN0hprRR5QOY66Xr3kMCciAU9IG5VDFd5Wbd+eihowL5y95BwX8RgG9HKbBnw5hgv5TuUXyEQ4z
5nBPZw8elOADNvTlCISx3DdQVdiZecLYlZoN5jzEcL5F14n2RjlF8Z7HI+4IzxITFrc8QwdMNhGD
v6jmcOmQmF1hM+yfmgXfW2m0MXIjs931qwG/UBGGmAxtBXwDWx5sDqAAXtX45HC13MP3RqrSacD8
gGexi1dsUz8WkvluvI49944TIb4aqzC+jcxRPJr2UF8AkaTE1UTIjEFWuI/SiecmyO2V49ZJcUi9
ybslEirqr0scdsnGN+P8xk3JhK1nP3wbCFx86GmPfrRNLhW3MqUEs5Yap7zVrIpGa26NGoXZUOaX
ZLLLbONgH+D+LpBUtl2fwEi3q/lFLESpwqKqL1lNQM/GRm5DxmJnyQ93pGgG7hvFz67dxS0bfa8y
0GXBBbGjFGUO0hqW8cx+Yf0nw6yv/BCjOniY1H0ZDd5IQILjg4qa5tBnhXWnRSyaoHc6BGWDwfFA
qnJ0cIu8f4vmrLpvca74ODyH5DQ0ZnPtxhnv6sKu/KxmCYiMGTphgyjD7ylgkXc1/hi/xlaPbyHX
I5QM8gvkk5lOzQuEt/rid6S3YBNZbr3BjUZo+7Y9bZ2GJLpN2yZLQbqO+lbZNlPfPhbzrTGG5cmv
S/PQLj7elFb3BuZ75X5dFq+3SKe3548e3huajKI0dvZcj19SQajOHlHvwGg8RvCHqPx+zHpr+O1f
iWy1DDCGjG/+qJ4kzuiNJuL3hZdT2psmKeuLt0Jz4qb47GT5A+BdAn7yqDv7RYyrU4Ys7DFyIbEv
HGKASKTqt6VkRbYJQ9d/YaPMDRLWOmKEYhNhu2F+JJ9TN2zOPrnYD35VuQ9w6+obmpf83EVz/mqA
/UgDl+iar/DP4wO8H1KgJ1c5t5iXRnjieT+9e8lszqdqkuOMYdYas1NcCgtTZRTNxx7j89cwj+Co
lSamsBJyVr6JarVKQVrPZ2MegaHg5vpuWJ37PYrCdtiNaYZQelgYom3dgs8aPaJMxEFUfvJ59Dux
J+YyfV0MY3kw/QL6HlFuPndbPD5bhBQ9IBzOb8txWC5LIvvv8ufl24Ypwcpsu6khovBhjufuy1R5
3Y0iyfCp1eO11USRizBndD/iKmkmxGdejLktJOM8EC5IoXER8s7L8OKaOgJaGCczmrguX7mqZmln
GWkD6ZqV03QcGk2FMpAFuvNqRlaD567pUVGYSQuG3zTrr7bRACevWihvBFHfJ4VuXoBaAm5rkKDn
SDKfCQJAlD2xfLvyx6Hr95YmhysoSNkDaWsvxlVWNuZRKEzqWStna+PMKxCWJjkHqdYP5ySWRX3I
XK9n4W+RF0JLkBzdVotjPZlNtiHlkIWiE1OHziN0pngo63or65VWlAJ+IbJdQeZDjdmdiiLFVzvi
msu3IrSqS8di5DhgWqG6AUt+cMwuPXpOiTwMkZ94AIJnH7Xlll+8aine1y6752+QRb4dbGk8mkM7
XKB7ty/ZhIErs2RBqcqFH8COWoIauwq/MpqUGIaorjtzrs+VHwGhQXVehUGVV+lHUeVtfEQnF90B
SeGfkGUAo3gf0vR+8Isfbc8sndcFPjgAqovRkqK7gbpYBe3iONcRkpGRUEjDhMgX+g+TSJed7S3C
xg88uBmAxJGCBNg24SWJ44mtu9j2CpJx62PXE4U2OmVi0JrGLG5ykRTOse07PhrKeLPw52vsJozC
uZE+ElbOblAmYRdu4HgRcF2SIWmvtqQQfYxDkPei+3Rd4roIZlpIivRsmbsDbBRfdwL4Uwun91vh
WS4AvKno1zKyqHdqiFsvwDOSXPkZddkUZdVN1P7kiUWhD7hUmZ8LZ+0pWILnQE24xQPTs9o7e0AY
X5B2ecR1Wh7HTHVX5TDHDaGixYRi2BXmgYS86soghZfxtpfgmHeX/AZJbyOuZNti61PDBNtzVJo9
7P8Os/5bC6jf51FMIv96mPW5J13gI1sHrH+Yrf7za3+fZVmfTLTduNQEMox1ZPVfw1X1yVESVaK1
QvB+UcJL6xOrJ8nwy8eCjFr+n5Mssq9xOcOe+03NsX7V35hkuerPkyxLYqezHIg564CMidsfNwdx
iFgXyYU4oOIs8oOCg0GwCEw5WlblfHRzKO6tmWK6qTMzIMeR2YeZzS6Fs82hqB2lz6QTJSDMqJAJ
PGmCuP48LCUyK1KllcqcbeyyTVKUwF/iZOivzDSRqxo8MpLAX0peLKhBcMLnwssCTyWg9XILeGnf
LHeC3Q5yRrs/puXAd8GeKt5A+Z4wPmuU7XX7PWLIEvRUs3AeigSXtW95t2Y/JOeI/cJuFinlrBqa
fSEg9th9key6PvWuU2kBiYqXNmjIzjgAlva/pUA9i41D8w4OJbQP1TyYj4ou5y6r3eaw+s+3hZwy
tbF7vZxgZootvVi3F4sqySpCepdsCP77yD2Lb1RHeXooPBTkm2icMx3E9giEyhm8e52n0dZt6uoy
enb9xSzy5tbOAMMt7nvvmzdLlaDRs/Mji7DzOKrrxZnvY4MAa8ceLkAnbqg02u1kq34vW/YpbkTs
skdHv68MN0eHZhQ1EpFJ99s4C92nnokpnql8DM0tfIV7UaXXhPt6MLcLexvSQTB/WdnkcTGzZOv9
ltySchDVBzXdDPO5Dd/9dHKu0sWrL0tncYgvwnCfctTFpzadO/idhnkDqwTEntlL4gW8PsOqtI76
3GJSx7Fr1JGR+/h5ZIVFKi3S72IzLSjcpGGd2QMYV5VAitjJPmQA5whEJq7oNkOp1YtGfH9dCpJ0
MD/iqSKCZ94BZUm+JSwGdiZP5ZHhE6bkyonLg1k55fsIiupOASTe5CDcvrR19dZ7s3rz/UUdKI2z
h4La7UIr4T4TD5hvasxVZ5yX6ozrL8Jm68ZbkifPSGii82hO5b5tpHH0TZ0dIMyJey5oWoAJWzu+
gown2skIfbDC4ZZhVnaTTzaT0jwjHogQKes8Y76dN46VqudeUXFDo8XxVDXJ/Dgl0XRV6M66UMQN
9i5y6vFDOp4+sbmzMaJ1KWb+pX/XRajPIb37EbSPfOpMz4hZwFUaL1vavueUlm2QpUvXBONkOM2t
b2ZgUkJdGO2WLKtug33AIEtZA7AMtUf2TJ9N+EsN/hpy6vVlRGr+bFcG5VJn8FE02QTnqovYRhG/
Latryv4mkBD7TioFUWVAaL/juMB2lyUiuU1jGhdvsfOL7pf+PGL7uXDTM5oTsLwfSUi0TnbWd6up
xaq+ggqN7sx+JvFLWKmAst4QOTMhHt1ISxnXcMdIWteWriz+0jK9E1DTbsJxyS5dq8FuhlO563OL
MB3Pno5KaUVTY+j63qt1eOch5jzHBfOUsSaJatNB19uDiKEihICWnEUakmlQze7Zirvp2iQi6mBK
0Z9Ls9Y3MVPWd6emM6ZeoxIJxPy5xnjrBw7F/5PVFuRPiqU6hBq1Fsqe9tFBcL5NbKbLSW4lBzAM
vFuzLrLbMMr1vTdY0z1rWQ3ToWr7oPaVorOHfKn6o9GYLRTIMcZjH5pHnDXjqVdGc7Fcv7gkjnKe
G8PV5FmZ1XctacQ30FqQji2e8YhEVNyNnXCerbAxEGXXGqOypvoGwZ0i8Sbzoyml/EHcpocGWdfP
TmVaW4M83+ckJvw2Qz/bb3ISJHYSqes+xfMHjCiL92YXa/T6UQeTvaVBNvAYP9qqCPdx7PUEf3t6
vqqyUp6jIlkOc+E6B8/vPYQN7bKNrJSkq3bwX+ng1b7pxPCAN2CNSkIZhjFVvSbaKg5F1MZ7/I/N
rXCh1CCVXsOWkJlhGSvewUv4775XFJfBHZMDuxR6sYXFQYZNdVeMrWTQYChxRaXW7Cy40Xbg5Fl8
yqg5T4xgGpBEXntlL1ZxqSHmBNAcv4p28pjAd6c6RhKkuNUIgXuv5dJMGFzVQ9TgoSmm+Yqc4uip
SfPxe9mZBG21cjr07ZpJpgbRWDt3XugUTeLdY+R+GPuNWboRXhNZn2tl9MFiQ/FrB7xKuYf8jLky
YV/pKnkGXmzL15ZkDoeR/I1VjcciwoaikuiGsVR75KjeWTPNfJHCz8JRzASkRbhhTXlZ79q2JyfC
Mh2ZnzLZd5gcPBgfcTqUxI/EA1GCfZpfIa9a/y1WVO7aCQ807oF31mmczEOlsIZqOTGqNyEltd0y
0yeIZSca7exLvxgfpAGrZIfz0j9OVo2rG4IK1fzkbzRcvoUBRV4M3YVBTP2lHmSGBEDU6zKoOE01
Px6c5w5DLdIgl6m2b5BCSuwQIVOyrpyvLS0OvVyWoztOC8oCkb/SnX6jauePDT/iSXVHXaBn8Urj
SOoCI5IoaJwqvPItuyKw0JAPZJYNJzutzEcA0eT1tAYxH7Ei/3lDBgsBs05s2ls2CxZI0kTAizCN
H1PYuicL1ukz70dzxiA2HOWyCh2iofpW9IRdeqLGxSTqhT27gyonLi/rtnllqCy7aCzCRz6Agp8p
Fj9yuWFJeGLuWT438a0V4X7mN0rm7hPaenOpLgS3mGd8I8WrBqC6G8n7MAPTGEnL0gIki3B7RnY+
WLkfhSFlEIIlZHyR2fiMZQteKfJ0sgNs4toHAofjq9ImTBiPELnC8WQTqoPgzWSIXLqkEPll9UB9
kZQ3eWQY8dYoIKJuOAaC+MrskFluRdOk+s6fpvaEgjKHISaT7wUnDtkjtquDfGoYPUs3+SzpQ3cp
5S6ARMt66tQI60QArOL/lTwWYZzsZSogUlYJklR/nYh7IjmaRSJ2g2LlwjTuzmDHVOL95S/srtpq
qrYDwMeNZ040xZQWNPBZFLSdnr7pZJp+6Fp8o/9r31U+frj1aDIxs6Pqzjci90iiFQmBKkmCspL6
rGQLsaQ2x+vFFu22ChkTqo64JJ1zPXXmIE+y8Z7EogEXCJ2hyje8bUj0zTbulIW+sYtApTvlPu6G
5DotS33XW6FxCCtchYzK+oN2LBfzGMZ/l+HwN1Y5sOtaVFllvEg+hqF4SpyKlGDpRRcTXwRZbGO/
N4iII0cqdx8jte4SSq7OIBVLunXsPge/M/rRaTbUuO8UQ4YWvswXiyXzDoVVeCkS5jOmrlTQckRh
fk+d26FKssDIQxCcDZHgYS5xn2uvJNuSwbyzW3KM407GuC8QiVa7ODTjfdqrMKK60oh//Mq+Vl47
Al2e7GMxudZj2Pvxrq1NkMCYWY7ObGeHbNbWM4O8CgBMJ4+ZO+qrJA+ri9I5g4/BZZO5hhAmr07S
9sdGZ1g3iSndToLJgJ2UakMigP3MRUfH7bYe3UHiip2tveyUWIV3VCE5YgPpzj+8MvNu3M7JP49Z
WcDELM0ddiayWjOY/X4z23s0tuZVOdbW1s5Cn6tmBqhJNSBhWpTTuTP7e6Yhe+pUSDWKkGZwvy9G
WG2R2sW342y8QaCINzKqAOqUCJZcryWloqJpqV3VBbUwp1MNPG7XhqB9NpNNfvqwblto4o1qw4PB
RK3oc/1gZmwUTHtxAOP3If8C1jFwe8PTL53lv1GYiX9ReP25T/uTwssADJtqM4mP7PnYka1BbAa5
0CyJvWQvnLTaQlU1Pje+mJ48y/JfZ2+s70S8RNfeLJq3kBxcdpUU+MBiRXSIh7l+mqS/7E3HQLys
MvZErW9cyrEVMS9tQqaTzScAQs6mlDBCkbzaMLMNipqSXCvRlweWAvaO+fW15yXG18itoq00porQ
27w7Ytd5HpoOLm1fO7sQwMerGAYgARYERZIv8GKta80yc5xbO89Q3zqydbYFvmo4NUq9U6lHB0eQ
B8XA/qMancvQYw2gQtkQlZDhABPz1lni+X4cyjMRBMsZ/52iAiemgv1tyzg2QwXkouttF47tqHW+
ib5hBGWQ1M3lXlAU7kbDql4WUeSk+iRexhEbu+M5VGq+itncS1YBwr2vqm6860j8Rk3McQDyIxPf
sXMl3+pwGXEXGzhmGVM/VEuGKA604WZBEWnuqnl0r+1+MI6OgDvcpUvVkAgGUwrUuzl9H7vptYuX
hiWmk+zttsgx/zX5nngkNv4sDTayXRKcDY43guRqe7UZHNZUQzV2OzwFyd2SldzQzH5PIf3rJQEc
ja+PBJEHXnT/avInfSUqG4IIiwoYhXP3A4cXpWCh9fQUF9pB7UC9oAOvIUUv8CyjIn2POnv8WXLn
P8tvsVbi3MIU5WmtO5LWG7E36eXzjakJlpNrJQ+ig7PJW+t762elDzid6eta/2vD68/+2hNka3eQ
r33CkI8CHm5keHddqq19XfndU7E2GO3PXgONPh9Qu7Yg8mc3MqyNCbM0fSl+divh2rjoNuaydrUI
iDbz15DGxthFMapL/2fL4/1sfyzVlvWxb9QEAsO1TlPrILG3a2Jm2owHFwdHCvPQUh9sGPCH4v3f
iHLsLzYixsPswWDjEKPfWprlsYYiss2N+sEQSXKsDX5gEs7pAwp5O6gSKmVj7lD6VJTCJzURqzTG
NGl2G2LOGtKB/FGPMgxISe+TemhaL/genGBAaXfxPa2eGz6DmYBmWsZsbR4Bs9JHogDIbuKsZ1JA
k2mXaRron52n+7ML9deGtEbIfmjWJnVY21Uk+7g56GDrtZUFX8fHvra3fJNro0vL267Nb762wSiN
2N6trbFjRN5baTdvE0uaL+7aQA9rK72sTXW5ttdEyNBpL2vTHa/tt7824vPPnjxf2/NibdQxlIjr
fm3ep7WN73929KBPQoCitPnL2vCnHNJFCN2nBzVWAIdcJwPZOiQY1nGBsw4ORD/42/98ov5kQv2q
KvztQKU2FOvURjnIF3/lrfotmxYbStsBucvj8ipfmw/jtXnQt909WLnyzshv/98OU/8nKlB/n3X+
RwPbKSaE9a+mpP/lYPPUJx8OB6vmP0tQPfmJGSUWLSn/qEAVsCQ9/Ny+b7MEhhTFnfgPLKT1icmp
QJyq4OQ4ML//zpRUIVj9owQV5AjUZTSy/HHYCFYO5q8Pi1mYkASMGai9ZTMwJCepKjeWbzFQJC5v
IFnSCd0Xnigz33atm/S7usuA7JNYEFlbVt1o18O6GR+1ie9po5ze2fe5Udx407BuluL+oWKLz0qi
wjqGsoS975wnx3ioymu+oYL8Wjb12kdgRr6ap6ezW5ntNcFlZXLnIB8hOcGV+KjzPFXIBZXqxC6N
q/wBOp0zI5aZZzY7apF4qBuz9A+VoljdVGjdUPLBeiVvKk29o+mXDpm7Y5g+jIPTHBsK0mxrTeUr
/ObJD4bQQkCGiTvIPEytLBvl8KQ6F7SDMEBKb3RhhQft1IrsYuD+1UaDqdzjyxjRL8pGVftk0Xa1
7aYwuU16aB4QQpiQbiNVL+aJO3LNiNMTDRibklAdU3hv5tFeqMR3YWsnKkC65U5BEpfGO6I/HxpT
PifnKmQh1dDXnWF42uamrSqVXE8CfdPWy2f4Z4VUOPCztiWBrBpDj/T3anjLRaYJiR/66ruAMfsj
thVkRYoWUgHwp99MGpjZpnf8rtkMHdSVjVNP2dEyhL4YizHeY6UqvsoiNlLmEHGU7+ZGG69dY89E
FWGVrw42KIwLPEl6XWGTErhZOiYpAeOk/KmS+chJDwGjJVrRrSuWmp71w61Nfx3iWvkb7DMZ7gcD
0h4xpgtUF1BKNG81I1nYTBm0pCEEOGIBdtlbNRJA0XarNMqoL/HI7ED2FTloqWfeNnjQjA2pBYXe
5o7j7TKnqD/Mrp8wc6dyAF44E6NSq+xk4MHbkblWI2+qkQMl1JObZS7nQ2831b5yrHlP7vT0ouZw
vjGjEoMls8/nqa6SF9tPmdvLBVyWZ66BOWG/PFrVNF0Ak3UMz1nfZ5av71LLy3Z55gDjqJvsZrAw
eg/8WSwiJrLTLJQkMDA9RhGluQrXxE4vrYCCkpA8wyhi1TaGJ1Igq6MoYn9fSrdkFRoXz62F8qry
5GdXMn5HYQyhjGzvZrweBa/BuiuYEQShV/FHQDQERNaBHkwPHkbSXeNaNLek6jLri0oAfMMwnWRf
rrqlZQwa02XX5pKDSKiKzc8/E5D/LdiL91KMSFxK5g486/JQi1TV25hr84en7f5+CGtBILRjPS6R
Xp6RNwLMUt5Me582CifnVJfPObXcCx79+jmr+uEH+8X0WVnOFaF4pBVl/NmpST0fdKQ2XvDDNW+N
KLr7srCtD+2HThU0QvmPImEGUMbAU4K0oLgk8nAmZm1KZbrTcmYox97nQy9pP29qo7M/C9HQrY2k
z7R6LDD5pOoOQb37nlJM7eLCCcGU4L58kJ5CHVgn1hXVR/5NdSGTgqoxBXmYhjPfpapE0UMaY/1D
JI31vD4IT3JRy49YaV1vPW3mnxe6uvu5mFaJkzFCBe2LNmCGrPl3su7c5pDz36SkkDsM9lQ6Wz/P
w1vw3cNp5ox4CBmYfy/iDMoiI6P5JfPLvN90HM1HCXEavJgM5Q/S71A0wIqFDtplwn3CIIvGdKD+
Doj7iR7aIio/XJAI3wVtBEZHj7wlM3FHwWC2JDDd8qYzHVOP2mpJlv1U9/7Whpi3sQHboaOkIGYX
wca4ndnb2oI1O4lS7Yk5WkMuUU6xSdLlsBxzdJ8NU7B4uHiWzPUKkUMM7Drk3Hu96B4ikTeHpJri
ajMmQ/dIImGyc13ZsDKDRijdPHyIctt+Y1qRnUpzCd8N3T2aNXjD/8veefXGraRp+K8czMVeDQ1m
srCYAaZzqxVaUsuSfEO0EnPO/PX7sCV5LNvH54x1FvACqzulIrtYrPrCGwK3hp2YyX1wjnhfGOM3
HfoTcMcqCDANymbYFZjcwEZV1wpA4WMztKuTKEedaUKhxzsLjU6cwgcn9g0GqWYiIn04b83SbVcq
ckiXgBeinde4xic1gLXZNK61ockln1PIaI98XZiIRdAR8MM6BgeDOeo8DDtxFid9v2pSRCQJXyVw
8jUeppNIbn0JEFdlolzi574xBbCdo3DXq1emV6bnbh64G7VqzCNAVfG+K3OxB86FjT14K9wONa14
UKoKMffUV3eN4tvzQU+sOSIVNsqzRXbvOm67R7Ge1A+rPzRkQ4k+wmRo2mJl9nhGUxUfhVmU5Alv
wiKkRmjZyCFXoFqIn/uZapTGmuZCehy0oYbO7TijvYaJr9Ua2OogFLH2vCY8xwNLApMt23G2wPiR
89bOBH0XcMaj05URKxOvbVo6aRGpmRerDraUPQJCDfrlZ0pYk8Ckth6i4xRbdDZ8PSAd9PvzAile
TvaiLM6T1IoFZpmiBCcWoCoUUp46BmqTc3g1Znhalp2LgmacHnlGiTuXTh3uwQJSVk4gvbby1NE0
f4PEaCsWqtrIV6YV+R85s5GYwe0N0QpLpA3RvWRsoshGHQRpgCvhQQkjdwLmZ6MmlSAKU0ubyHcG
ee03ZbLDTFZDwggPqs2QS7K+8ZJeu04zGcd34GhrvzTNbGKUCcQbVL82VWqpF51sq0e68MKFU8oY
mNouIpDp0G6HpGRCBJvuRLKq6toQefrk2c1wLbeFuYwAta/LwQZFMdjJhXBy/dgqcGWlT1ia15Va
eHi1tOj1An3WsXMEgU4dDufS08jJw+sUuhKSoczZ0iHXBaRWiuhY9LV9Kwbg/51v3shQIpe9GXYz
VdJZzq6OdHSR6TsJcY61ByIOVSza0rTCAJ9d0Xmok3mGCOGS2nB0m7hy+1Fl68wmgVpkmAMrGMdW
g4wS2qB2K7WLvCPTT+t130v2mEabS8eRFj6yT/kETjPuYX7bfOpVpG8waNDNKSjC8NbuR6UfADz2
qnBk+1QDR6nSoJSbR8cosW3tgmlBYDSXMx/HKa0cVfzsFcJgIRqZobFRKnuHhHmxbEVzqVhNdl3A
EF82egH13WpsdqygMeRlJ5UoSKWRG136LJPrvJMRdaXbtoIW0cRzRVN8LAJE0x0Blha4XtZZ5c7B
vOk3oqz6u8yi4os6gE9HoI0Eu3oQYzkAwj3Desv1CHRkN6LOxmMesIKtjZJtO4tu/dxsmUQBwK1X
OT6XzohxHbw63AYH4KsYMbBpL0lbE1gsIqDW1h2Rsv4BNIscmLau9RaJ3wOoNhvxtdmItIWkrq2C
EX0bICC6cGUPgJHfaLtWXzsjjXzAJCJDiuWkjGXSUbnV521cUKAWMulh4sXrWJEBuoIG25Z2lc0k
Uzm1cBw7RYzCmeSF3J47I1g4HGHDtIFBEFcKZ+ykPSCLrby1Zs0IN65H4LFC4fvYzWOqz1I5wpNj
6BonxUCwOClIZz4aByjzcIA1q30iId9MgAiwuDDtmTZioHP2Ok6w3rjILHoGs1FxCYP3PImaiSPZ
ArekEVFN702ctgD5t641Aq6BmOPN3fQdLlsjIrs0FfPKRvfh2IwsANt60pgfSzM1ztnsqJfHuezd
8gLLC61vE0LoA+x7BIBbIxQ8Cw0A+tynOhNDZh+pfPAnYTaoBnqta1FXJN5cJ20MxDw6wM3BK5QY
rI4odK0cAelxlGkJu2avSLO6pOc5cUFXA3OicA4Bx3VhFdel5c/p2hoquDFd2kuSXl4mWExhl0bM
PssAYp0NVlTfppbZZ7O86ZOT2rZoVdomYt+BRIjT6418ZpdmdFuGHRmaB0gtPisTT9bAB+aRMTM8
HQw7XsAOPIKmQ19ETjzq3V1Gh4k3QoAjb1Rx7eBW4kwaywEnEYJ4pNpBoRML6UjH2BGFZRnk+6Bc
lyV1xmVlyvZG9NTaKPa7/lUq2XGP5lGBtQW9Kv2pRHchXWbU9vqFI1cIToGEwBOKbk3pnVWaTsoR
RTjDUy5SBg497Kk5q/oL3hmM7jEZRvLQG4g12P03ldesijpONh3E82u2JePCTDkO/MARm6Tpq8sO
mXKqp9Fw3Q6uJUFv8DvElVHzmBaeHNHnzs3B/H8o2Z+S+EHGAAIWnToVpKOsqsSnXxSqZvtq/2Kh
erqPH//xt+P9A5CyL/Fk3x3gGVlmiQ/QD03D0EYZUwuE/GdkmfEBtyhKsggCoWOgfOGwqhkfDLhL
JqUMHT8mY/TZeKmaaKNjq0URht6MAB9ME+I/wJZRSHtTNYFCh/UVrHj9q2qJHlUpfJ7KW0WtFY8V
SMTjqBmjI2dncT7K1STDxpISe1lrRQm/xLCOUKPh6G7MClpGNvaSE7s3YlIlf1i1A+mA4gX5NO9D
NRojH1mat66JOEKQiHmjZ96mQU8fOVTY6WCf3eCThv76GYpY8YMxZNW5iow4UWkx2OT+YdB7sy5w
iPmUunU+5Vat4NWI5tpCNOyYk0ZnW1oI9pbrFml1CpKWYUVEFqZbLkpdBbbUS4l3mruZtrRQ2Maf
3ErEpUGV4xSxHQPFHiUweBlVhW6qXG3VhoR+13K2hpeuLhplUqGM381EeqL1OO1UUdF1M9kM0hrT
SP1MdUqEG/vBOLNTqzyqYXIuwIsTdYi80IJFPjThHWBkI50onuZmbHJusAkyovAEdAJiDkl0pEg+
Z2mM9eBZp8suINEy1S7ZDcMr7sNBj6ggCJqiT++AaPM8152pemnW0y6LvatESmTYo1IeLlWc/JKJ
22qFg/0c1iRnkdLoJ2iDpfOsFX48EQLo1FTuXDVZ0lWEkGEALbkO0F7rp4WIR1RhjflgVeTdjd4F
3gkNeuS4Qwuw+AQweoHZN3FNtRKYqhfHhPHtrex0cYGGoWWHp1oiDUsy9WHqEOtfeWWenBqq3xBW
2RkOCbHtZHfwhr1mGUVR1S7kFJ0hDWX/DNGBGgYVNFDtQpfUfpk2inuVQRr4GFLmiaaJG+u7WBUV
BuWpBzkuS6JuLuHtQaJBZxUn1rTgwVsyavWhLp0I9KMeYZ+r5e1g4Ekw6zKJU2oKssCsZr4Xo9Qv
R0lNIIPHePcxRMDX2Eiqmcu4H8Yuy4P25dKvJOmoCjPlU2nY/gntY7QJSYbYrlVk/etV6FNLXNJF
MAN+0sarRpeHm4Z0Bv2/Dl2muYC3sauzNEekzlPXmBqLbFU7QF9QaQoJ5OIwolE9YvezGXKG/ZHZ
RXTzeTCGdq7QjHqoSqfusC3WgSXTfMiBOIVlsiUvgEqvx1Q6/EI1nmwRJ2jlO6Up5sLlvJv2CDT1
Z3kiejyr2sBQVxzX6vVgpcV5bdNQL+i5HCsJ7uqLHohLMNM7rDOFZ9v0+uvQRtK0dPaizdULOWHm
57XiCWlaxMKI5l1mAgcAMSU9IVs8LMhBijXNCTheA4JIC8lJunlhaWjA6/BVIMN02NHkgZzuNZFn
6jZoqMU5DQASvuu2qRzBDEmytMXfPivws6yKQp1Cu/a2JEH6Wgtt9yyUYzq+ZBOWgsuYmmNgA06u
mVoM6V4Fvs49KQB6PmasynKWYy32lNLMuoDGjNoSHh80hpwcG+hAGrDUQrOyKDoQK9iVzU0HwBZ0
UgyEJ71LhclNqmoO3UJMcaQLjYnBS7r3IqnYhN1ACaNTAMRIFVyiXkckfonBKVIZSMVIOxRNGcX2
SFFd3g9wlmy0I4Smdo5QdS/u+0jUI+RIcS96uc0gCqu+2NhOmoC3ksMM9EWqLWWYhug04+4K6beb
u4Waz02VqgpyZ9aw1gOYvpi/1nORUqSp+7I+4ab1I2jB8o3lV/kc0DukUZxVpZlRRSm5sTMAxaWb
A9vaBaAVhDVG1jX9uFiLAO44KKTxxsv+OaXZaK5kwsMH2BbGRo5VY04V0ZmrpnPXmbZYyj5/ktYV
vU4h3E9qEVd3vQzQaSJhMjZzezX85Japde4OSkmeosfBUZtK0XKQ4hi3narb4U29hZqBIwrQrHMQ
CmLWqB3dK8c0uiM7b9qVnkXuhjA3ZN5NHwPaCNdouBbGMg1l9TovBuoEqZ+aEOkkytmeLNNFtp65
SW7Q3IvQl++MpsWPVypdXBC6oDxhC65ZRFjO1kWD7Z0q+UFF1W2I1ikcPH8CKibdYSBkL6IgNbem
2emX+kAWY5mltE1LGGMt5A8IDwGC37mUue0EuV51bbq2Pbe6xttliu/ceqaKBoDt1JTWhEtHtqwb
CLBRgigqnF4PkxvP3KIIZxaTnHcWEpkphyeGpNUrD5rKqa8OIIEdGopnRZS7tNVlPHzgiltrJ3Z7
KrF1UF3C7fGv8LlrtgBvjHveXWWreIV4zOEuLwoROPHEVHtY11Kr09KsUipMShisIbAGmLbKkMDk
RujTuLLBatS1inStHQdrdkpvVidxjOJcTkwtJAzDMzMD0aJ3Gyniw3IA5yaZTQKrvXJTc25QC7ou
cpn3WGrpl8syxFhfrqJLR43sXeXVuIz3NYAVDIlac5GHAV1XTe1O0lTC1SaMWrR4MDNOdgpn9cLU
m2Cb6uqTRUGh5PWExkdRJix2HSWhY3qFFgJzNWTvfrB0ekCd3n4EJ5Q+FqNvJzI41GRniPMF07pJ
q4eQ5uL/jh7Y/yHVEDS5BNIyiqrqo5SWgVDXj6Lj79uw/vav5OG339UD++4lXuJnPFrp/gJh1b+O
n0dpMMVARUQ7iGZ+ET+r6N7okDbwbyWc14nsP8fP/Io+JQZoCh9nHNL+T+JnRRu5F1+2qJ+1wVi3
CsxAAzTM265jjhtz4MJ4AqR9VffpidgpC3dBc32MEpwpKw3FL7m80K7wkEZOGTPqMvfxeLx2OqIQ
R5rajQ5bI/4kHHQhPOw6wNJLCxBfyybjfS/jtWff9R0sqMyF9+df1+0nir1zqQdlKA+XGqoSrdoj
1l0sNOkIy+YC6YsVdIJGPXUfkAGHB3/c06tL2pOUEM4xn3BinoYFRGzqq4qJyAdAVIFELzvgrEdY
I/L6ZWziamB2BJpUOg1pSdxbLALs1ikmRaed9ykR2J4n7R3tyKuyks/jfAC9wEFHvttn85Luop7c
V9GZaTdsIhA6AQnRcWKDjCijISXdWuoWKv2lG6HwoBULuVdXYz0P3fkIauWx1iFzWGbZWVmTBhB/
zmq008xA3gIkR6A74NzT0keDztM0yfVbGY4Ij2nepEjqCroLTrvQy3DR68S32K0HZjHDz+FE86tt
ZWrYZGn3oWVuu5R7pQJjTDJFRQixpwAwLNQY+XBUSelx6hSHTSQaofS66Ev4WzfOatizJX0y2z/N
8RENupMvXpvv4MmUb+AP43sns+VaCsJ4FjJ3b9dW2MglaiKSmHdDfFVUIAR1vdx2jbFis5wbKoKW
kWUSnCbLKDsDhbE0FH2DvEY9QzqYpKJsOEAdsTb9CClGmfpluygCiNa1o221JkV00bjUdAO4UECc
ROk5TzZyrS+LLNnQO1QofnI2wbgYzo3IW8HRQ2henFY8QlQdnvTCuDDCW4lppkI4xYFx4QYhcqPe
FLAtUL5RPrQ8toU1w2hj5hbSiv7xtjCKRaPp214Wx6YOeBruqOgAlnvVLkALmiWJ6uORrnwyDRTk
hvqIYsepnNIFl1I3J43rPGTIEcLvcc5tUFJLTqwcFC3+EEZs38VVv4oieeW2o8WThBRaWA/HQ1fN
bdvZ95mxSJManwAib8BhlN6VHnCxfq2qLr4aO7UoTgqImaXS7pLu0xAY3SZTe4DosBFvc0cDnudB
AA60uUeCYAYskdbUF+TQq5yOBwkW/P+4P3NxDUPgPKUtRsi3ydt8kpnDpx8vE3UEwbzZgVgliHdo
9GjRABMHVOL9/sJP3PIff1P+PqQyB2CbYEKeho+uVF87TJ9TKJ/ywsO6twDlVVzkTng61M2ZWxbr
oO1OffjrSljmC8BWsBhEMAvKDMMMceapMXtXdVHaAoOzirKu1zxlRvIHqxtkyFf3jdAjjDbMGAwO
GAUuxNvVXWYIljQKxri5VVjU4TEjQg9hoDPa1XQmC/x6HeQ0llA/sYMwVxIwbxo19R4DaDqwy9yL
+oklDQaWUmSuGcn9RnFVNHN95HqxD1BN3Cb95pKNdalF3dYP6stMUq4GaE+oAT64Bg7uOrGuZlez
1CuqCfhELmySMHe2zdbYqE9yTcnDrSrpGJkXlMyoUwA/bi+8ptnS6t1kpuNOfDPB29YhQDEFhYpB
mWhhszOV6KyhQQcsK3uC8+vNDS3btZX0JDwtmtq++QQm7LI0gxtU65dFUwIrVJ6yiC4FcsIi4Q7c
fF1QTxhQC0Ij4yPAjSUkDjGxirsWl4EeXkIat3M8TWlp4ATpTUlRrpMMhjw4VJ3mZ2xUJ6B+t2XF
6ZHJlNdtPBYUBA28ur4OiuqKnjD7uH4zhPmV63dnNVjxWTPmJVK10saKjiuvjDy5NLx2JdMOwB3m
3pGzywgN+lpF1AMwahEYCNbaWzeR1zhbbVsdyHpkX8aKSkoSm7NaJiWFzeeja+F68oJHfywrKBI2
7SiadA1+fdWQw1QWsguAFdLjyhnmeEAu0DKZRhYt0PImGC5HCUs8LGZevRFZuA4S57pgCpc9eQyM
bARpQCTb4TD3ALWQGOKe6ZEn0IXHgWGGcsFtHuPUirJBslLVSJ4OGpD9wLSq6yC2zlNXKyYSEpEJ
uAO68Q18ngC9aB02jfrk2zHNCHGtl8jHS+kDeosLNMOgs6XOccJrSE6Vbqs8XKELsQhSNHNb8yKk
6qOrfTsDbTrJocSBB1f4/4rKUr0AVTlz3DLhZLoJ1Haldd0qrjH3DhNqNk4VX2lecuOWxnFXaB+j
yk4nhnljDPmui+tqzqpe5471NKjaxkGHb96CfIZK5256xAhoK/X9DLXnaG7owzGYvQkSKGcAeAtq
YvJex7JijtbXRar1+zCngAS36EaOMC1T4LRPfdFvC726agb7qLHgzGiyP5fCdQh/iZpmQgelm6pe
sEOf4KZW643cdXdxR3lOSqB6RdpKaukxyvI2xjEQutTHGHENu8CBSBcXZi2duOEtaE2i+Hoq0Pgo
G/9cQ7WnZ7XrYBMGH60iZqzrBEVxDQymv0wr0MdKfuFId01oP4lB/tS5iImq3UKpxX2AFbcfWyC7
DOPCEY8xeaEl5rp0WtinmXJqaGdJfYG08bbAo6LWaARoF02PMFlgX8VdCeqFhhl0CcTJJw00MTV4
DH3MHVtSnPLGokRowLDvKLRETyijzxT1tnYvLRckvF1MbP0cyAj8d7zEa5XlIp0EMrR5P5t4w7EM
HsvqEQ/hjPLRPoZoZejxPDxIcZmcD2dKe4/vN7Ip2k2F5pvZ816H6o0ttnHXQqM/l0fNB/bK69xR
w2mNYrXr37UQXOP6qQvSaZyJu07TIuqk5Z2UmSu/cKlSKQ9NS/ugFh7ZWypw3g1J6UU7o4kJlTS1
14EHaRbEejmz3fij3+O82am9/iAVqjKxYWCkVKYXLaZv1CR3nptbsyFQdiKUbtO+v07DYTd0wXZw
KgsaH1ayWqLpa7cKo3kS2cncMpN61rTJfVoPS3uwVhX1BnRp6DVC6CGu6i4lHZONQs7mLV2eGEh5
RbutVgrwJg4WkxWwLNO6i5vmCE7mo93XOwTYsmkeqKsgwEswBQqBlXwczh0LHhdwt1nQVLtIGwjt
4jmB+jGmdE+hTOFDWbqVeaSDc1PS4gQBbXZfKE+5gVx8tYQxos50YBkLJEuABYPAnsEe9FGjK6Rp
qYsKTJTUT/7uDSSzmH+IeWaIbagG8oQIjH5nfAPzH23tFOSAWzoXmqccMTf+HCTO6PaB0mpqYeJj
JTX6GFiAYC1lXh6igxFn6j6mL1Hks87/fZr1hU9r9qtv//l9qct3QFVfrj42RuYHqv55/Vj0F4/I
4b9cnHsbf7tN/aTapT/3R69tje8P9NKRebbKY8Ek1XgHrp8mXzZmDjH1G3mAwy0d7vdHI0T7yq/q
B5o9Kv0WA4EofYy7sBd1X35OX4dmEbLQKpKn4xcNFC70xdT83of/8ed6nsUf/82bO98/xPjdoElf
+PfVm88uk7KjzPpFOPl5Kr+dgK+G+WIC7A8mwRtBJhWS8Yvs/8t5sD4gTaBbtqFgUsHXLzcPOtq4
zzf1/NL8zCQo4oNOPkX3+uVpfzUJJqqmtgA98TwHo0vHL7YYIKG/dxJU8QG9YIV+5NsVYH7QdFml
7W4/L5BfbgWM9SOyjz+zD/z+a2B+OMDKTYUka/yij/vla4D5JQ9fNglhD1+/3goYW83vnAQFy1AF
oRR2w+dJ+PY1QAhFMdguDl/Pk/4L7Yk03M3nJ/OOvQCtGMVUZPLtt0vARg/ZkrHkeZ7mX+hjc7tQ
I3gs733+1gfe8dFt6KuPLj5QeeAFMF42QH79a+1/GiXf55v6+Qevmh9AiEBt4tkfvt6uflSvIbGM
wcIvu/q59feufpWNbizEAz55s/pHbpAFm8Z82f/+kyPwT7wpn62skNWMHg4Bpf9Yfi/u/L0/eA2p
vv39Szi1fqBcRg32zR+O8eXztR8/i1L9880hcQj5vvjlawh4uM7Lv798wG8v/eZar5/q9Ycr/7HY
F/def/hF/3Kbzxgk2ilesf9tW+wfHkvvTdiH9/Lr98/R8Zvb/WIH+OH4gIX395iafe8SWHT+FZco
y338eqfj5I9YpNfvf/7OJz5cttdhxmE1oXJW//sJ/eNvPzMhq33R75P960CHxfIcU717ZD/+3ZlW
MAohgH/vJY72yMP/9l/7OPvv3zZ7hBT8NzPEgT2+ze+9ymZfJCR94dtJeg473j02r0L01cC6ICV7
78DH+7D09g/t42P2Otjh2VrY4L3+4OcX48n+weu//5oy/l+w2s8efG7/9UYPbxHV9L/gYW7rh/re
eyyK/s3gpjYa67x30rd1EuzvXsc53DX08r/gri/2wb6sILK+Gfs5/H/vTV/6Yei/2bBouYyx3nsH
3u1jP/rtdP9Qv441zshLqPrewa9GBcTvbeIvEdF7x79+LKvfJo+Ju4/e3P1zqPHe0U/2bOZsWFXx
Zo2/pPTvHX1ZB4z+pmhisQxV7S84L5bpmzsex0UI9HWKfn5H4eD/7Kp26t+ndzzddRkhcFm+Dj6u
HrIwRRmT3vfO0b9+FAgooOCUQ1/6vZc58UFnvg0HxsEtdawnvXfwHdQoPEteBxrn52Xwv+Dt/T7e
5ZtrgVF5/dnPP/zTPa8Zj/p1pJdPQplvZLu/d5pORrZR/TYyONQQRzj8uwf/A4vcz9H1z4Vns8fI
81/v8t/TMlY/33vnv4taYg2NBda/4Dz8Qwewd87On/F0euclDufMj5V233mFP9SoeOf4u0deLffr
GP/flZP3rqM/Sxt558f4/n70M/i7H97I91Laz+2PbxPd17bG9/7tbRY//sV99Lgv/vk/AAAA//8=
</cx:binary>
              </cx:geoCache>
            </cx:geography>
          </cx:layoutPr>
        </cx:series>
      </cx:plotAreaRegion>
    </cx:plotArea>
  </cx:chart>
  <cx: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STATE-WISE NET SALE</cx:v>
        </cx:txData>
      </cx:tx>
      <cx:txPr>
        <a:bodyPr spcFirstLastPara="1" vertOverflow="ellipsis" horzOverflow="overflow" wrap="square" lIns="0" tIns="0" rIns="0" bIns="0" anchor="ctr" anchorCtr="1"/>
        <a:lstStyle/>
        <a:p>
          <a:pPr algn="ctr" rtl="0">
            <a:defRPr/>
          </a:pPr>
          <a:r>
            <a:rPr lang="en-US" sz="1600" b="1" i="1" u="sng" strike="noStrike" baseline="0">
              <a:solidFill>
                <a:schemeClr val="bg1"/>
              </a:solidFill>
              <a:latin typeface="Calibri"/>
            </a:rPr>
            <a:t>STATE-WISE NET SALE</a:t>
          </a:r>
        </a:p>
      </cx:txPr>
    </cx:title>
    <cx:plotArea>
      <cx:plotAreaRegion>
        <cx:plotSurface>
          <cx: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x:spPr>
        </cx:plotSurface>
        <cx:series layoutId="regionMap" uniqueId="{00000000-4B86-4B63-B1AA-4D9B2213EEE2}">
          <cx:dataLabels>
            <cx:visibility seriesName="0" categoryName="1" value="0"/>
            <cx:separator>, </cx:separator>
            <cx:dataLabel idx="8">
              <cx:txPr>
                <a:bodyPr spcFirstLastPara="1" vertOverflow="ellipsis" horzOverflow="overflow" wrap="square" lIns="0" tIns="0" rIns="0" bIns="0" anchor="ctr" anchorCtr="1"/>
                <a:lstStyle/>
                <a:p>
                  <a:pPr algn="ctr" rtl="0">
                    <a:defRPr>
                      <a:solidFill>
                        <a:sysClr val="windowText" lastClr="000000"/>
                      </a:solidFill>
                    </a:defRPr>
                  </a:pPr>
                  <a:r>
                    <a:rPr lang="en-US" sz="850" b="0" i="0" u="none" strike="noStrike" baseline="0">
                      <a:solidFill>
                        <a:sysClr val="windowText" lastClr="000000"/>
                      </a:solidFill>
                      <a:latin typeface="Calibri"/>
                    </a:rPr>
                    <a:t>West Bengal</a:t>
                  </a:r>
                </a:p>
              </cx:txPr>
            </cx:dataLabel>
          </cx:dataLabels>
          <cx:dataId val="0"/>
          <cx:layoutPr>
            <cx:geography cultureLanguage="en-US" cultureRegion="US" attribution="Powered by Bing">
              <cx:geoCache provider="{E9337A44-BEBE-4D9F-B70C-5C5E7DAFC167}">
                <cx:binary>7Hxpb91Gs+ZfMfx5qPTC3l7cXGCaPJt2y7K8fCEUWyabS3Nrkk3++lvHSyKdyFaiyQATYATDhg6X
rq7qqnqeqjr+r4/+Px/Lu9vuha9K2//no//1ZeZc859ffuk/ZnfVbX9UmY9d3def3dHHuvql/vzZ
fLz75VN3Oxmb/kIQDn/5mN127s6//O//greld/Vp/fHWmdq+Gu66+equH0rX/+Tao5de3H6qjI1N
7zrz0eFfX17fVqZ8cX77aXj54s464+brubn79eWD+16++OXwbX9a+UUJwrnhEzyL8RHCHCMk5csX
ZW3Tb58LeRQigQhi4vti57cVPPDXhPgiwu2nT91d38M+vvz78NkHQsOl85cvPtaDdXt1paC5X1/u
7Cdz+/KF6evo64Wo3ku8gzthi788VPSfPoBNH9xyzxaHGnrq0p9McXLb2Vt3W4B8/5glwiOBUUjC
kKAvP/ihQfgR5kJhRqn68kO/L/3VLn9JosfNcu/RA6uc/O9/lVXiuzIz39Xyf+4bRB7xENSNOH/U
IuIIYxYKyfBXi/DvS3+1yJPSPG6Nb48dWCI+/VdZ4uwWAuJtn7nun/QQdRQygiRl6lF7gIcgqSgJ
v5pDsYf2+IsyPW6VBw8f2OZs+6+yzfa2m2/tP2gXoo6wkliFoPD7KYQf0RCREIXyq7kO/OMvyPG4
LX5/8MAO26t/lR2ubvPb3mW39vsx/QciFj9iMmSc4285hDy0CD2S4ByIq28R68BD/pJEj9vk3qMH
Vrk6/ldZ5fquvLXpP+ofWByBB3Cm8AHGUkcIKbAI+xax4PJXNPENav0VUR43x71dHJjjevOvMscb
5wCZX3a3n+767Lt6/hFHUYQyjgH5fvl5CLYkOgInoozIx8HWX5bqcescPH5goTeX/yoLvb3r3Qt9
Bz5T/oP2gUjFGBJUAcy9l1OkOFICK2Asj+f4vyjM42Z58PCBUd7q/6eN8jh1uk9NHtzxN0kiIUd7
XwBmEj6whlBHlFMaEvINkB1k+G8M7sdiPG6Hb489kPj/Mh38MVX8nTzHwPdWX1j3Pbb486tftgfV
gINHf0YZv+pq9wmYOWUS9Pk7m9+/5EF6+B0G/emZO8AVv74U4ogpgZAQDIc8BPO9fDGBs8KV8Cjk
FEgNhiUUDhGsY+vOZb++pOhIKsK54kIIGlIBEKGvh/0lIo44kCGlMMFI7a98399lXc5pbX9Xxrff
X9ihuqyNdf2vL5lQL180X+/b706EGBNFsWKwCqB2QQGqNB9vr6CkArfj/1VgkpGiyOwmHwN5IZCY
xLpabLW2S56/S7kb3jPZlDvLy6nQqk2IZj6kK1S047YbidrlTedeqxDeEY8iVzf1IOk7Mllxviwo
fGNY0p9NBNHdXNH8t9oE9HzoUr+z8PeWV0ygSCJl5qjFLvxU+IUMum8Hd85LRK5DkZtWm6Cyn+e5
IWed5OU1KfEUS4XIsc0ovuxbWsTDPNrYZbzapY1MNW+S/KaSrD/uApncoCbLz/K8WpvZIS0DNUa2
atXKjEbqPHco5iJLNSskiWhO8a4uZRKxlLWNtrxOz5WhdmN6U8ehL8qYtkOxotJXr43rhB597s4H
LFWsEhnLjDV6NhydhmHYnNEsC459icI1q7LxPCRjuB5FUbweHXJntUuXVS64PW9J2O/Ssscr0bfj
VWkztxudQjos0aCLgZ0nQ1ee89aPm9YP6j3uQhotgR2PU0HCVUDa4qIsabdlxYIi1zWzLge33Koq
LDU1ebOuy3qISdbN2i2iXCWdY8cdsIc3SdF8ttY1LIbaUGsiXxXTe+R8euPGdHo3Z0l/rZIhucNL
uAgdyqUZtWlxZaMZEWF2HA1VvzY0Q+8rQFpGh1VuGi0X4T/kczuF6yIJzaWVY3JqZOVPVJD5VddM
co7DZZEmrgel4rkr5zCCMxLIKAjLttbNsNhTOQ7VZzx7tk1GAN0a1Zhtu762p7QKg1XiWfu6nMEu
YVuhqDfi8+xz+2rJXH0ceE7PijJN4yqw7q3PebrqpRreijE3NzUK0rhvgyvC8+YkHyfyOfCG6Qrl
xOt8aIda5+nsXxGSf8oy+YExkZw13dKB0UVyQkrK4mGyLNUurzGOEkeHQgvRsLNxHPKrrJY4Nks/
H/t2ERdVozZ1ULzxmcWZnkQ6no4tsbddPyzbmYTTNjUyO+3mptixvFyR1CfbOuhVqulC+atJyfpi
ctO8njn3x22asfcZ7bhcFcsYvBOGmZu0KYudLabpQ6U4up2S0essq2hc91KeTLTtY6OmuODslfG4
vaKjryI1lONtTtv2hnmabbp6oO+bsUl3yzDSWc80EVjXxtCzsKImi+HW5jztmeI6pGF6QrN6jBbR
NRfMm/7SyKZ5myjGe51VaNiSlgR5hKqmWOdJqZMRzXmUVCG+SoMKp1EB0eECsKLfOp/VIC+qeqJH
gqcbXhlxPNT1HIslqM8S4VrNXU4uzCL7s8YOeOWgBHLcj6LDWoqcmYg3DT8rstSMq6R0+C4pOnwn
+ezuBs7aM4KF7+KpahccMTKWq9Hapo1t33c+mjia3pgus+0Gc4nKyLKhELGasYqrOeetTmjOTlqq
2iwe7MjOiBXDqi4pWg9JC3GwFg6xuAmtlJHNs2blqBjNehGBPHcSt4vuIBS/FyFZjE48n21csK5a
9LykQRKP5cSc7gyX4J3LlJ064+t3NMzSKprzdHjlg9F+6quF+yixKfkQdswzbZs+e+9rSUMNATGY
tbC5GAtdkkG8n23oJp0FVL7BiLDzosXTuxaRxR4b5SnXU1DPu2BCzG5cJSmOBmWC39Lak1o71oh3
Q8YquVKl7C5RM8gzWs/7oD0lMwRGb0sTBc769UDGedhIgjzSlqjgPc98SXRR+8DrGffen3EuKrQ1
hjRdRFHQnk9l3mYr7x31q5TgeYn6YMq7zWxlUeiJsPq14aN1epJLHeg56frfULeoXA8D59mJGRlx
r5sMBSeiW6r1UDWuW4khS2edt9X8GqVFk0chKYb3pks5iyoz2VxPwxSaVdHPWVQMAXca9SwpdFLi
XKeUslGTssDHc17yHcau6XVPjf/cBdy+HaBXsallP5cRCdmU6sK35ZUpRPJ2mFR/VqrwczsH3S0z
6ir0HtV6YWkotC9rvh5QpY4HNvgPsxxdqcNh5B/CAfUySqti3iGeikQbUfJNikdxlRRykZdpkQRW
z2GFW12IblqrXMEGOpG5TVEqF2ouZj5FJQTfN0FO/UmfzOkNCo1t9VCGfdwAE5v0xLvpDkvIKlRN
3kXcZGiVZRM7C4qxF9qFuO+0qwa2C4IS/L4DR3jXsJJfz44XJ1MlSKArbOEA1llYz5slScZNglP8
ZuiH7KyoGE7jIkC5WVlu83dMjCCzKGV1zMM+tPGymMToPlP9cV2W7VvJ8yrcGZHPTZSIamIRkJKy
jzrU09PCguECWmKrA9SDgGxMy09tMJaZ9m2+nNtgBI9xCS7f5rYcTiCG4luE3fx2gpbLrrThPOtE
LDnEXkvDaIJXpxoO9/BewfOv+pEmSmeFmjaCseB9W0KGIrNEbyrrIOmNnm0SY9VNuvjgDWpU+Sqk
Pu3jybMxzhytzmhpk07XCWgWgq67yJMQj1rlmbsZx3B28WJo/SEo6manCA5z8NGGvmYmk6OGqBj8
Zls3L1py1CHtlQ3CiCQSoIIaXHlrsmZpNsE45t0qd7MqdG7qrt3kpELvXNUNr2uL7J3IQlm9xVOC
Qt3Nk7jKaZ6lazHNoMkxXwbtirq4VBleMlAXJ30Upmw6SVxFtczz7NXkMjPpXk5J3E0mxvlS/ga2
8nm0eNncTL2DLDA6yO8hXq6KLgsaXdC66nTaYnCQorH1q0AUJNWkDdBNkxd0iJYhFKdjtvBK+0SI
dOtMp4ZTkZJuXhUDT12cZMxdoLaA1SdBehORIkveJdyXu0r5MdOmBK2mQdrcDL3nr9xkVFw2Buye
d7a/xGW1nC0eQURFMuyvBlw2V5NMFOwZIbLmHZbg8ampdiab+WmuEG2jEDIcnAw2i22QD3iNazw0
ER0Ls8oX5ADR4izTfd7lFxyzBOtUWnK7YFHfBK2qK415j85550EjqizaU4Q8aKgJG7PFPpW3hSnp
R0IEiJWq3N0o7CfQbzZnsQhF+lECnt3yclA3Bpl6ky1tAMHPkfNioflZObPExwErl00+5WwLmbYp
NhXHldFVjmaxqfNenSbKyxMfOqqihQiXx8Zk/YepLLJaQ7OVfi4bVd0lQ06PWRKkvy2OzHOU9os6
JZ6eZ5Ki3byUkOa/MKFvNO0B3/hYN3Nn0uxbg/X3X//7uq7gz5cu4B8f7vuzf/x29r2x+9O7Nnf1
viDXH960l+b3d/3Rb9wTtd+bjwfU72sr+Dtv+jsX/xpppEjuG7Y/Jo2vTVGY6nuhZs/Evj3ylTNK
eaQIEECoISMWcrmnf185I1xBGHHodmOBv3z+jTFClwwT+EBRGWLGiICKzR+MEQm179gIgPLAJuXf
oYz4IWPkAN6BszICvQYOlDFkULO7zxgTgPh2soRswxF4zdJNRZTW5ixMSHMs/CR01i5NHGZ9vZqa
1L8xU5EeW2yVbpHLYqx6qisyyo951uM4cY24stXgd3XQuLNK+OzrIfzaeH6E40L59h7D/bO8oJj7
8rJg5s7IGW+VKaftHOJKN0BHNbdJjBrUQJxS6ExVKIGa7e8mfWRhGj6lKqD+95dueFg1XUPnrUl7
oxfv8vOiaOV6aX29yoegjhdVBnrAXaULwi782HnNW1XFSqg0yhvWbefFMl0HU6Vr1QotuuyCKDLs
SAPa49RflDRJzxI3zJERda2LzqJtv5irZsxXXWneFDlilXZt0HS6KeX4rjDBvMTAydrLOqsg5kCi
fz1SlJ4WvZC6KL1ZlQ2pjiuF6jMGOPCss8v0PhsmF+OgqU8NLslqrpZ23TVuhezHecwQZNl0E7g8
0FZlY5xOGL0Jp9rvxGinTUlLCVA3NetcDB/zTvVOq5oM7yCCo01mg3y91FYA12oB0GSs3tQkf8N4
cjHM06sWigy7foqnMngX9laduDKvAJept/1Cgg1TzUk3hyieM05O8yU9qyqIkE0qaCznvNNsMBs6
NaUepbh11bjE48SsJio/pmMSaMCsFx5lbN23hVsNKKFRkFF33Izer4H2kjgpzXmdLHTtO7Tt0vq6
DP1xssxJnHZNPDZIkyCN6rw95jhhgB5Ru86L0MdNuufFCxkhVMtwRaam1dbPBVAJVK9gY5BeTON2
rOPow5R26YqnkIQ1A/SyzSrzahoUPQavgSLIcJLMqgX2TcZ1k/lrPwbjK195F/sqRLrhwzoNp2aL
suAaWz+tAOwq4Bpgk6yusws1pHQ1UlqeqixcsSLHwIR5spOWo40zWbKDeoWMJKmzVVvzJsoNYGU1
NCYePV2uA98et0W6CupxjMas2i20ozFMA5Qr4+A0e0aD9dQEtR6kmjQthvlkSjMUeePMBo3Vb6Gw
165wUacI27St1CqT19CeiXs+AGIoQZdsCpnmxbjl1E1R0VIRWUFoVBKpcTk08aQSPYyKbRlYU1dh
suHsxtq+iDo6Sw3FF6jPlEMeBwlUEZIyj71tO90KmW/acrrCFqGTIA3B1SY/xb6cBl03TpzMdVO8
huJPEM9CbPwUvi5q5uNC+iCq5gxBDSY/59ITPWeCxA4KdpHLkY/ngGyCqdswEgSrkKdXA/FSs0qd
pKzYtZW8MnIwup39tfPmhDUmci47HwExbWu2xJMYV76/Wcr2QrS4jwQarrKskW+gomPWWKiVRQNA
CZJEPO3OuoLEc2Wv+6BbEa/WbVZ9RNiu3GKKGOD6GLWkz6Kehudq5tkGL1CrydtXZlLHQYcvvEiP
88SSs4q3AdHJPIt1mnBb65rW/W9QeGSgd4te+35e96QkV0GP0nViJqB0avQfR6hKaGQ7gHOAH9Rt
Vhr4Hba180vPwFQqnKNpGKhO2qZcA+1OozIbysi31G67xtgdKYBBNEOfxl1VsFcyIYkux2I5y1E7
bMsgzY4pxMW4CAGDA1WMIPpNJzOahutOSQgWLgw0TQO0mTLcb8tSmFlD0RGdArVHO9UO3VWbVMPl
NNBma2oidDLlcGNeZ9G40CxyZYdOeZtcNPN83BE6rxgvrmebu+MCijhwBMObYV4yKFKJIoLSK9Ag
YnsoszXdOWnlECGZZLELy0KTbsp1XiyLVn1vdqnwpc6DDm2C1JiVQGMCwa5n7yobHItkgXiXh1G1
yHxrJ5nHRPBl201i0QGuP4vUbhFMjm0YpyQKxqLY9sq8p0EXrkKTvBJQioxwlgRr3/tJF2M2rqYg
x7uqye350rGrn+cxABuHCVRKRhgWFAsAEehhFsNBmOGg6PG2VvWr2lR8W+WLHkzGTn6+EN6/6Y9i
9JdU/WClA2hROG8zRFK6HdMBwG6ioNzYjxrqwHVkC/4bJ1Zqz0Ks1T7yNmKq45+L8KXefSgCIPmQ
MkwoUmKPJu7Vw2Vtp9z2C95CtBJNBJNiQUSHvtWyFCIOOhHEUPYsXrulcdvCQvEi2UeSbFToBOVJ
e6ImBzSwr99xk3eviilTcZF1EOVTbO05E0uyLTAycT6W6dYkzm6J9/2qW2YIghYddy2SW9Gkny0X
gQ4czOVVXfUK5AhWKTDBn+/3Mdve3+4ewdzbbh6WJakLhrcB65MrqH7RaJ5lH1cyWKKfLwXdjD8Z
lwsUYhhoDEPJ99fvLYWnIKlc4fHWDOKzE2WrZxZ+oHKycceadz9fjO6Pyp/seG81gOP3VwtMUo2+
zsmWmfFyGRh9S6ts2OVT+gmbro1aXrjLISuzY+nIsnWBpzEpGgYEPHVnKh+2OVgy7sENS6i4r/N+
cMdDAsEt9UMFBAtMWLAJAfnPWUzm2l6iPLO6KaCCWHoMb6tzKHDQ4NTvQUm7hych4JSf73O/jYNt
AuLHnAkiJWz3sH1TQbEygDyy5S2DIipPUFRRUgB048GlGQNS6qEtiydM+ZijPlj2AFMTV0Nwqye6
DUIGrtGxT6LAkJk7qJ6ZDgXHdvbnSdB3l+Ue5YjJFU846qMiQFBSXEJbBaY3Dhy1RNj3TWXwlpqy
i3pIiYb1Z1LxBErwLNBlwy+YRIA3Kf8AUb9d/1zzjxxndX/9A8/Z1/hqbNNw68rhA+2NP3c2ocdV
y+FgBykMEv6MS+yZwqGdodbMwMaYMPj34XHOJhN0rpZoy2ifn+KpmLTpE7f6+SqPRAPQ5x+rHOyp
p4iOJavDbeU81hNsUPc2XLmKN0+Y77GV9ltBBAYMGHQ6H+4HN2qwy8LRdkmgHDJJ/Lbkagd55okd
PXpM7i90EAeAfwwuKbsQskkj7swEhTkiwo0aJJRX54G+LlLHoTazh8ftHiiTxjVnP1frI5Q5hAYw
ARdFBAa/8EFeSzI/tcIkdDuIvNkuUzdeNyTEO2M83TbUv6kbVcTpmAptxhngW5q1kWhLpEUV3AbC
FKumDiBiArqwJ0VaveUdLS+xITd5x+snCDP982ELEbSEFZR99hKzg2MQ4LFIqqUD0dLhxM6s1jhD
ZlMvJYp4sJx5xf2qGdB26DOv0wn6fEBCg7XxBcB3ZqGdUkE47UYLPV+brKAvFkNFHohOgGcNJOJz
00zpDrUVQDganmAxQou3EkDPZsmjJjBu1Sw1YKsmafVY3hGDsJ6ntooQH8PTvu+/Qpz/X6j6OqP1
YIbjftUJY4jcv8ehP802PJgc+TINsb//a41KiaMQilCUMRpCw0ZxOCVfa1QcSlEKprEhkCgEjZ59
bv4+18COGBwtjgQgLJhU3V/6VqXiR4Ij+FAK8D/MlSJ/p0r18AgHUECH6imj6ACr9olP6sIovs1w
rNhFP8JY5O/7v/wace8PTDz+XnDih/FKETPyvvRi5RhgBr0s8/w2I9x//ZbED2tVP3r9QXjPRVDM
k7dilXVt111NfEHpdeqX+vPPxX+YtL6rhaiDKKiqpZBDkfAV0O5+edVgKO3oDLqYWKMQVQRauK1L
1j9f7EebOYjtPUccYJblQGmphLYCoikg4pnLDz9//0Ps88dm9rnlHpAUqkVNDsR2NeAmPMN4CqvX
E8oRP50ldCA3gVh4p6u5bZ4gQj/a0P7zews2EjWj2C84lkr44zobkiEKoc9lnshW+1P0R5b/Y0cH
cEqaZUJuoGw1QQVuOubQbCdRU/QkO2VFlpMzPBRDEbV9a2ehURnido1sNnbbn2v0IFv+IcABjGxE
1Resn9lqSNOxhQKQ3AAZ/NwUtIWpnzadxkoPswhO6ynFxWogdS2hF5dKUv0toPOHBAcpskznCqDH
BCqQBHp/HdBgNpkn9vcjAx5EhRo8FeZMHFvNcy/eoXquYQBhyC9+rr0fvF0exIZSQpWspx1bFdSY
OwTc79QGphii573+IDZA6Zc1bcbYqnRivMFTG0IPbRHPizzyIDJ05ZQ3DWnZCiD9sqwQjBZ0MW/q
WjxT/INoQHyK5VzmEA3qcMij/dQKzCe04Erx8/RzEA5IPge27ptgY+tZ8MvewPdhbirngs/Pe/+B
9/fQJkfQ5pWbpcbVak7DoNPeFH33hIL2cj7i/PLA+VVdhOVA5gRa0xJmF6YON+OqnGZs4tZkoXrm
MgcuTsM6kVCaFRvnBuK2MNRm0WqxuAQoZ9zkn+dq8sCP23psE+oruWlIsVwX3ZxdWMHV9c9t8SNd
HTjyVHiJYURFbQgMaa3KvhP0NA3nun1bMFn4J1T1A4f+MjN5L95nMm0KKRq56coQZmKqBV2oFHel
/vkmfvT6Q4dODIzMFQvfDKKFGTOU+/A9X+rmiWTyo9cfePQwilpI+DLdZizBAq5Mq1U4BKJ5pvQH
/jxA8XEu51xuwn7fJS9nqI7rHs1meeYCB/5cqIC1yoP2Fa5au2sws9Oqy8UyXT5P/3vF3TOvIDPt
MUwFblSfmRsh+/7Sm7T91vz+IZbbK+IRf943Yu+/vlLQWsqHVGyqsm+TK1FV7XBD20WhYxdkSryC
IV7Kd8/by4FXi7mDWWH49vCmoaEzW7dQv59jqSb0PH8WB/7szdxyRzqxKfq0CXf9vnMLY5Fh91Ru
3p/6x9R14NJzmqeomuA8tcncdHGeUiEuq2AZ+XHqkqpY+ZTM9l0JM2kfBptO9gnN/Qjz7PnLfTuV
Pk1EvUwQd0tZNsdZ0CcCkH2hANZJN+Wh09blyxiZjDfVGgaTUxHzcKL16xE5PjxPwfwgGswJD4Qs
gmRTiWCIqZnERoqSPuFMX0oMj6iXH0QDNkLDqYUO94aipatXC05Gt2LJspTbBqbL54u0r+rPTRBO
1TZcpGXnnlJiz4iQMn8noSvNnhDlB3HpsOQjbc6aejLhphFJTyO+qLvGQ2HkeUGbH4SNsqMcBoRz
semCZtqkDsPMc0pl+ulZjsYPgga0ojjMR6XhJm28hJH4qTnvUVA9L2bzg5jR0tTmQSDUhpXAZCKY
JIdh0MF0c//EKfuBl/GDONGbdmbEd3Lj5ikhOxl2HfrNNxg8LiMZzCZaMzTQzVt4k35sqqUnzzTL
Qfygky3hEHV8wyV043QDnclKz0MYPDNd8IP4AePoRTvwTqyGluEVn8c0XngdxM8y+2EpjCcK2bz1
y6YfUrdZrMg175r8iRj0A5c4rOrCfwiRQd+hheEuYqqIOJzHyVyT5x2q/UTS/QAHrAdGz029bAjw
Ro0y/BbK1U+h1h+JfgADMG9s6Mt02aRidmfDbBFggTbD+fPODTtw5ywfXEO7edlA10jtyOiLOIHR
p83zzHrgzbQZWeMKeLtLyH4aVMBkb4XNM2U/8GaYEFzkKMCsMMcHk8V0GKGZLMLnxVF24Mo5gtbL
lPTLpsWmXPfKptHIwmX9c83s9ftIvjic7rIJy5YFB9NmCtgd0M5iXIcOhjo3bhL8mTs4cFk6wkRQ
XiTThoLjXilX5ysc1sXz6PiXoax78M5ZgELTwqdNDeN1O6nYEOezfWa4CQ/SNXZVmcglHzZpX4Yn
pqzEWePLZ4p+4LGQqJOiwNRt2jpPcNQxmM8VmS+y50Wz8MBpWZL2RbBAmaexxh8XLnWnQ5KUz3Oq
/f9DcD/eQH00GPGQu3U3pFP/msLodXnB4AtbT030/SDm7L9Jd3+BApuxTUfiARIOSwTN2vezmu0T
B/9HLz9wWpYH/8PZly3JiXPrPhERQhICbiEzqdlVdrk93BC2u1sCIQaBmJ5+f9nn7Igufvt3bN32
oFQJLa2lpW/QPEnK+Tw0KszY6Gg2pAAP//ew+tXoh6Blfc1pWSczVj74YkEaApBmLU9+gx9yrO53
GwSj+P9T53QAR28WvlM/RmuUlC5R4XxOFzSN6XX00Xth2KEK12TuS1DegH+qU5W7RLtMCFr7LTuQ
r292jOJR0hFKMDqnfw0Vby6ykp6dLXaIVg0hq6SSGDzdnSmaOLW4eYnVrzZgh1gFFyYuQWmbz9FU
LtkazjQL+3LyS1HsEKtG9bTtGHHndt7bbFHVX67eQ89VP8TpuNup79TizkYrUFJ49CWYR+o5+CFO
SRkB5aeC6RwPpD2Na/UNzLnRc3D6dr8MYwraYOXcuRapykRdAT5hAR3zitN/MCv/ykwxqwEHC1JM
PXXh44jnkecylo3fExU7xOnqOG05Ri72ENSkbG8TEZ2CKUhGvz1DD6FKhzU1rpdzAQJSa7OA9VHR
L3T64bU69BCrYVVS260GmbUcm7u0Brx51PV29hv9EKzOlj2TW+SKKWVfw5q+jJy9+A19jNRxq822
BVNRqQDAQPplo3jK9hv7EKdphWfxsI0n0D9UcgIF77XTZef5QQ9x2moASNPEuQIP7lXe1PFDTAfi
OfNDnOJZeOnHNQnObbP+WW3hJxqZ34CffpFM6SFKk2qRAfL1VmBYwMh3gF1Fto1M+h299JBPZxk5
pbmdCqhfkM98wjkAjPYe+lUa9BCowGNR0pSdK0xn91O3xt9V1Zd+y/4PFOVfZ0yZVAOoptYV0Wa3
3JgeU9e/e3n9xcJfhXT+XYClreBVH5ipgIpB+piMMnxsgrL/5LXXw0OI0olOFiKM2I6qVBkzy+c4
qfw+aXiI0Z13aV0q7QobzSwLk/VLMyTPfvM+xChf+LpUwLoXQT2+crc9Rnz8DYLoVwt+iNBuKUs5
MQmORRkEeVCDO78Tz/7AFdrx768Zhn0PQjUNzoKk78wWf0ksyKx+a3II0UChTrcd1qRR7Usnu0tp
lN9JfgRT8X7Z2IoG/rnboUCx0Hse+WXQfzrF/4qdfosm0fW42wkjH5JuLVpb+j2zkkPurBqw2p3D
pHvzcZ9dXsd/eC00OYRkk9a234GlP3Olv9s1fUl24XdOkUM8umHW67aIqdjGOnzdt4kWtWPjyW/i
h4hkbbm2dZVOxRgASkBbfZOW6We/sQ8RqZtqjKDyGZyjCtVtQMQ3njLPxEYOMYmNPQCZh5SsKrFm
0ciDU5rGs1/gkENQJhAxmHg0B+dBfLDdKUEX229NDhGpACnkg9qmwiUAcyxs7LNwEK9+gx8y5oL3
rm1ry/Ecqv5mafC2P7B68twph3xpnSM6aDB40kTPzPU/Kr5Zr1WBnNXbMxAQtY0MSQr8vWHPEcZe
3ew79iE0w6WKGVtDtI3BNHhwiazvBr4Kr1UJj5AuNfIZ7GCHjRLtIttJ/bGBEoLP5wRe7+2qrKnj
i04R+SvbJqh28FJ0J4oKqPI6WoAWfPsD/QLWFt5qpkLy/luwzJ/w+PDRb+6H8AS7jVjBsC7OyegE
mZ4qYwmNveqI8KqL9u+cadUcox+9YuLr+uw6crfOg1+EhgBAvhm7NsD3x4qNRaLZYwPA4TmJY+q5
4ocIdRISDqmbp4L00C4Imry2yqtICdNjfEZBu0lmxoLSiOaLCW0OfYO/vT7nEVy14UVhTMw0As0g
vshxvavi6IPf0If4XO0EVQ0aQGYkbJas6eLh0praD4YBrvbbr9lFC6hywAoVeELaT+3ePcVs/B3G
4LqZ/7NLH14Vyv69DV1PR61CMA47YG2abHQ2uA8gqfPeb2UO4bkEDKcid/ii8/bniApuHZPvfkMf
wnNC4lG9gHSKBk1y7ftbYozfPjwCqeYy0aJuuC32GWoy8yLpKWjaH37zPgRntfMS7Cg9Fqnqc823
J2iL/absvK7qzz7mITSXAP3guY9tocwcuczGon4cRL9mS03B6vab/yFII92uLdistmgq9rVR/FPQ
61evoY9wKSjbjI2IS4v4n8ebeYQIUzhzv6c6EBDfbnVJVVRZRjFxHn4yM/RveND/4TfzQ4yqdQBd
i6gRxN2KL+eduY1nbdKo37GVfhGn8SFOodgkE5c02JJr8FIZ+loNfnfx8CoR8e8joKmiARdmDA1K
+MtEqnclE17PUGF8iNEm2UozzJstWGlAbE7o9BKC5eGF9AWD4O3EaTyTaK6wE0uyQ1cMIjaMe6LT
wvgQpmYtg2kdlS3aKyWfzPFlWKRfdxgCHG9nPlnuHE+x5Dge7+eN3jfR6hlDh/BMFwnC+iBtEZey
zeJ9u09t5fduhjz/dt7plem8Um2LsJufWTg8WDL5zfuIXrKQ3ynFEgzFKJJPVWhfoIHjdYkLj8il
cuVGyx4qYAIrA+VJuYBAbxK/8/CIRppYPQQ1OOV4twHXylL94oLUrwQ9QpEIwT2rjchQyIoZaA6h
UQFNiUB4LswhPOs6BSoNmooFSzeTJ1BAe99UZPf8oofwnGtobgBrNxR7amkejvwJmdTv9Tw8wpBc
0CZQVOiwXbqUE42zdtOjypJ01r9JptdF+EkyFYcYBRaYpBJ6D4WUaoFyBJpnRVnywe8dITzCjTbt
XGJN2RdJMOohn5fe/O3SePG8NB4BR6GhhC9p0BdWbaBhS1FnWKHo4pXwjoCjOF7XhMykL1wjKMh0
ALEz3H4zv9EP6XRqgMAbWdsXI5Stpizcqf6mt7WVnuMfsulaWejWrVibTtVdVk3m49qEfjnviDcC
C34xQeyw7m3S32wjGS9L06kbv5U5hOzMIKHZN0tf1GW0fyJdKW/gaNJrz4U5xCzDORnRDZ81bcth
vMRQ4OVZVHagIvvNnx4ySD3qroUaKO4b43JrbfJRDY1fbz48Qo5ibSgwxrYvYj59gFLSy6KnD37z
PqRVWW5Q+mvkUMRt+rXtljBTnP8OW/uLo+YINIKuZJwEkJosmK2Tr5DrWm+cNrPfljkCjSYSrNvO
oIOESE0zAehLFmxBfPZaGH4IVQthyqkH1buIoNYJraH+Tre/QzH9IwzykzP4CDMaqhXwOogIFbPQ
soQScFvjsIlBD4a4ZSr1jem35QP0gptbBoEEUUxKDdErKG7x8AyfhtF+SGPIjGi8S3Y3tW65gHRk
hWa8XIcE+pU7rwf7cYGkLERYtqHV3zpoLA+5QGFJT2GEXvs57t3qTk2ILlku8Eq93rohgAIQhcIY
vy27etly6HDE0ecAyN7tErJ6jE8sXjHm0lTTfpFDqkaw7ejuLobSdT+Ns2Ht1zXmvHyeuAjq72MY
DUOR7DSdC7vi7z310x6dazJHkH6NaahzscXS3ciwk+mDSKBkmZNhpx+g/7ZA31bY274a7V6QLk22
y2KamZ9mC1XG8xwv0DaOGjXzXDa96VDPpumWJ7Zi0D3qKhveL21Zp7cNg3R2sWO1lzxier7d98A8
2XYm/MTJPO9ZXdpy/wBd0y72q0KOaC+zcie0Yx3El1SHrg+Y85KlfufNEenFeLmhkGz6Anref5Vc
fyjjynPeh7NyxksM9Ggx78iVxZg2d2UU+jUH+eGUjGYgU0J0kArwh9esDKDSmTbh7+j5vzpuDpWN
JZIJjUe7QtK6zlY9/C1q++p3HBzOyRr01hnaSV3hNtc/gQ1W3XRsMn5H2RHjpURFXEvFWEir+QNH
/Qrkv5u+eM39iPGyRs7z3M9doRPp/rDJsKOZ3yaT31Y8oryGtppAE0m7IkVTOYto/aB26cc0C48g
L4IQjnjSdwWkx0pz6shSF+tAKs9bzhHmFbZVuAcMO1JIE61nOrZuz+Ig0sPJb/Gvm/VfT6aTgf5z
AJX1Ag9Vfy89v4uC0Y/REbJDpPYOOhnDFkOgkECuLptGqGpBFbimf/vN/RCuczTsbHa0L5oh3ZMs
7gaGN/aEQonM7wcOEbv0bROSVaJAgHll5uKlPldV5VkgHPFeEL8qoXSIFI43GguRvvCqnLGQwmvu
R7DXQkCVjqq2A6u2ae4Eu+ori8EKP3w/pEvfbpyxbiFm3XU4hlsX36mWka+4025+rWB6KG/iFcru
ZkS9ilbWelvy0hUxmWK/TU8P9xAKccG0umanujIyH5dBZm4yxm/X0ENjL7Th6lbck4tga9lfCmjz
v3bjjB/yM6SHiI0ogyJ9rXuoy8VzcKvTNswJRHj+j2Ju/8vkh4ra2y8LbmtZiiZpi70JmX3tdTV3
kPRuKfShxi54BeHsKQhSyDKiitNpLuE8IC4qiKLO8+sfAhukYLhR1Kg/l21Q8JEwtYQehGohRegX
HIfAFoTtuLNcT6ZyCst7U0nwzrYB1iK53w8c8vFOnAW9lrYFY2Gls3WpFw59QT57FlhHmJgYd2Oh
4dsWm6OALe/uE9D7P7wmf0SJNZPZphSuHUUPXe58lezvfYp8J36IbAnHhnHUsSlQ214aKJ1ROvq1
AI4YMRMERC5QECkmPo+5DjieGpb9vd+iHKJ6Uo2V4TK3BTxckrNT0Ec3UeWZKsNDUC8xrHxbfNGi
smvw3dQL+2HhoOB3WTwCxcaatx1vQ1Og1nqK5/2+GeRXv2U5hKpc8c4obNcW40rVXdjYJIMt8eKX
xI5QsUWLKpk1MwXTSSezOkmGOxW7VvmF6REwxtO1Y6Ilpoijts6HNLnRHApXXktzhIzZvpWyTKu2
SLlaHkZreA5p9/nlv49+3Xc/uaMfcWPpord5CZHfm53DyGUio0zPENXrurPAra71q7GOGLJkE2Ui
mOwK4tjUQ5t3qq+hRdLfCXded/jP/o5DLjZBBa+ktMLejOgHN5H3Miz9tj05hCyULKaEQOoZlN8o
OlUWrfzdwYLiv3+AX038ELItNmMAwVN1DmNbvp+3oP/QqsiPzRQeYWRN1YaO0LG5nsHJS29YBH3n
KDn5zf0QtT26C6Q0bYPHcHQluiF5CbisPBfmkFzdNrWb26oGCAFIOOUgHw5f9ibtZs/xD7kVgjRl
CXuYptht/B29I2jOq08+6wKPtrelD58JXqvBEARptSvh8DG6+S/YLflJb8Cz9O3wFa5vrSqvy94n
JRqOY3JrROS8tjukb9+ODrl1t+4Wky+lQtsppHDvgqeN11FJjpCyVOzxFo3ov4XLFG6ntgIeIa/b
tp69mi/kCClL5qXsUdk2RajEdkokIc8d+Hzv/b7sIVo3UaHDtQzBSYZy7e5qmDQ8UdpH7jez/+dG
/p/nGIz93q4+HNDpKoTD1hEuMu+GMGzdTaXnwV5wEXP0EqVcjKchatbuIdhwK3joY3gbfaEh4xcn
6H4b82CLoIxcOqgrbIHW70wbrTQ3w7BV+S5VuX/vyq1yl7ZHzs1dVK8/4J/G7+ceotdbpeYLK92C
IaCBoTJiKr6/Ql17q1/0VafitYWr13jChY3v+Ld2yRUB8vMJGvbBfsJ/PVaPjJbd7FVIkiMgDrhG
OKOBkHyWZVg/zamGXUlF4dfi900PBw1c2CB1SmZd0JX8Jejwkoby2W/owxmDu+ZmArHogu3A2TaU
31LIf/9m3tfU9pOtcoTEORcYuY+rLoYeWh23dtybBe5kQD2cFtwQ5C1sJRvl1V2DHujbfRkOsHDj
c6SLoA/Emeuluex9Iz96rdMRJKe20uGOyHQxd1xBr3//BF+3363TNU//bJ0OpUFIZOW0dbqAvU71
Aahq/i5Rcv221mHwm87mr37i+s//1f4iZQoLo37Q53FlWkALeoB5YjZbNNtvqwWMtt8Acn/1yQ/H
D+AJEgZhjTzLatL64qKrPG8dwHYBIvI0B6Lbr6sEz5i3f5FU6J2UtsGitVA+11x8wkHkmcAS+nbw
AIIjaAS0uoAbzNeJLZeJhb85oH/1JQ7BHLOrQxo4uCcth3i6TZsxunRJind/IeeGeKELSHKI6whj
i6qCBnx5FRIE111+himLH7UVnj1vl2eEt0dVbbYu4jiaLsBcwzFFhX6XFXIE0s0VWpHMhaqoeMIv
/bwZWKhWXvc4mN2+nToRfQgLhqY8hXN1B/uUjHfCb82PGLqNkWbsJgy97/xcpsPFVNTrfghR2rez
3qC6Vo2pLk+w1riPo+B+EH5dPHLE0AFWiEUSFUwK6mW4q8dxKoKIffA6No8QujKK1byxAJs9lOO5
7y3PtrThF7/RD1FKUm3LiARVEVdjfw/U66dBbn7isOSIoZMilsFMYcfTbLS5uBT+BwQC9a9+Uz/E
Z7CteE8xtiqquh5OvUoegtiOZ6/BjzC69epMMrIuPU2GV+uF0uVjb7X2ayqSI5ROdek0NLxNT+08
POmmK2rb+SXxI5RuU+sqjUQh1UywoWldS/K9+Z1NyDUH/STNHpF0M9D5Oxh+CKJxhsdlavNeQFHY
b80PEbpDpGecp74Ca8lseSv7Du6rtk39AGnkKOuVwoSJxzpKQbTqdgqTj9LedytM+3K/+R/SqYPJ
WBvDKfZklh1vti9AAfxmZf7p7f1s3Q9hysUOKkYrYe+zBWy+J5WJQDCSEA59hVJSV1RRurMsHmYT
nQW6a0s+TDqaIcfZi+0yuJQM570PJf1m4gj2VGXCqtirA0+OKLw1GELobkzX65Kd5G0FoXl3VqMe
25Pfuh4Cva2qCcYQKj6tVgkcUFvt2lxFImQ/vH7giMOzk3b7XPbu7Dr495qEL6c+5V6d5v9wc0DJ
FsH807hzeNX9WqIBTG0YZPrN/JCK+3jmcIbA4LODdnMz8iHrGuqH8SPRoajmyoEN71p3pnUIo0wN
p1x0JL77Tf0Q7Z2GHQFhsLWYqTJwaQ9A4Fo58ctr0aGIlsCaEh6w6dwBWZN12sqnJmbTH35zP0Q6
bNd6FophOgcpXj243uW52iLPhTnEemWXsMND7HSGRiV9bs2qvwuyx35l0BGAt0dqGSY3j+e2FU0O
5WoowvDST/WERIdQhS0xjMuTaDxX8Ny+ROUEffFA+72xkyMIjy2U7Y2exjNbjALianoFvXrNvL7p
EYPnlgGSWfE2nrc43DNNtM1j7VmrHCF4EWxvAzZg1XcDuZZl2v4mVvlxCckRghfsvRnKhrmzBHvm
lC5K5TiP/R7vyRH7tYMGUVYzCqu4p99Hwz4YRf3o1XCKeluTK4OWctdzd67+MULuaXkuS8Do/vsX
vZ4kP0ma/BClTagHqjuWXETZRPOzcqYyl03AePDCbY8s+N9/5hc10REJVsJOmoc1/oiIJsFppvBm
alfnhwSDo9bbJepVGU+TwOhSttUJztmAf3Tbn35TP4SrrnEcAM9oz/3aw1LUDPVpNKVf4jsiwdKe
k8lEkT3P2s0XoxKaQcB498t8RyTYZpgQ8KO150ntzSUc9cc9rCO/T3rEge3K8L1Dr+fcJyrOTQNH
bEBS/WD/5AgEa+MtnuKk7M+BCWxe732bsR6m3V7f9AgDKzlvbFiLHi6dg8r3yDR5Apn8k9/oh4h1
4YaWs5XJpa7b/XUn/fpHTdrf6db/IpSOKLCSLUvoAFY+RzYEH+VacPQwqPQ74f+xA/xXAw8ON2hX
b2l64QFa53Pwo2vaV79lOUSpho1mCf+MGC6NrIS10Q504qTW8bPf8Ic4DRt4de7EppeoNy0AuPUq
1IMImzbxi9UjAqwfE4cqvk8v6RhmdUrvGuJZiR3BXxDigtc9xdCGI/1d8RCtHyCRHJFfMIOoShUP
6WW/Sh/pJeQ5V8nit12OyK+aNGrat46foMJ109r+mQg/NUG4br091FE3oUwyhp8E4A91Gzzwtnrx
2ir/AfmCjJCyrOUnKpwJC9434F2rxbiPfuMfkmrbh0PduC6+8C6EfffOR353per9Tk/wenP5SdI+
6n1Vge55spTiYvpgvJnKeTZPY0ykPIOnGpe30uyLepz28veX6//nGPWzHz2Eb7zRsp3rocG1dV3a
NQ+bqqH9WWtEXXNR5aqbbOgM7Gqylg3I7Wu92Ta+7WA8qMwFF+tam6zZ9bzdqnILym+MLYDdtQSQ
Vp2xetsXmPgR2w8PWoRJ/ziP5RKK2zXg8aAzuzcyqDLC0orJzE5xj0KoE/h0WZQOnfzWW2VcmHEd
V+aW7Rpyz6cNF/pYwtt7XmyuN1avHyAht8xVFmlY/EDme6vWsc3C1AWCZ+kGaXh9E/ZaQPreoGc5
wWa8so3DBMe4az/CBhwXmTquk79Nb/CPrRv4fBKA+7LMYYV0Ps8LrYp9cytclzRhY/utQ9M2dtlq
QxIuWQRLTfWlrbhOfxjpYPQDIufewfMcal/19vkK0rvpd7OtWQvRqDFflmoM9Qnurnt53vFkQ2G6
W65jXibYaWk+i2WLzInOe0Tuw2QW6aWK3G7ACxu67QYuAW0ei34WMBN2VXIiFVtYrmIxoApLTHJK
DARws3WQYmiB34QlsDxNKe77cY4OySo7zGxobZwlVMTgjcxVUfIYZSPOEmHcHb5Wp6rMJqjssjQM
GnNypqVfBzglnpZtX+Mfrto3dultF2lY8tJE/KEGGsdPbCoZe9hLlTh5anZwVPglXVwIRYRdxK55
BEMjwffqq6rH5CTZU+kuBKrGqMYM6XZ9s8H1ffk+JKbq4Dg+oxl8G4OBlL6GawzH5rxpOZzEZBJc
ZSAb17RLABYLzKUlFHRiNztYt4NN0t3SCI00eit0m6hMC51ehFZt3ol1MRbdlC0Y52tlOY/3xI36
vFicUU+ik65+XVcqYcZrHTzcYbEZjWveScUpVGLV1pxwr1HJl2RibXefrjsufioibrXZ0k9o5mdp
AkdTVFDTxBjL04ix+iXUiRUXCKzo9b6lS4iuNpmgrbbjmXmaYb+syDaKCUhOAZE10rjvtAnAmbFz
zPsPcWTC5KTKMaq/4+6TNAgaw7v5NNZRNz5pR6R4BTxrMJd6i0ETSjvSRXd7FFD9EKpF739WbdM5
MGZs0PGnAUGrzm2vNnrbm7AePqnAwC0Rx5uWIoIzI9xcn8g06fA7r8sy2bJSpkYWyzLP0R2xFe8+
14vYoqsbNwEbXS4sTCHtHInmRzktUstMDzr5HjEx9J/ALt9Vjtcl5C7wPLrtEai+McH/3AX8R1fb
eb81FF7Vr3qHw2TeK0TSj5pjm99ITfenKYVHN4Exdf0usS4WZ5JUvXo/aLXuzwsIHjDcbih0A5LT
VYlY3I7L1LZ/a7zcqPtaDGwruq5uymKgaWjv3ZDGNK854/RLIihP/4TraPkECnlwdebef4DaYrJ6
ieRJQiAoOK3Vnix38JCY9xuIB7HPTVrx9NQ3YDq+xJtq2qdQllV4u3SV287BoOr1Jt0sEUUsVk0+
EVHq8r0aUtnn/TYF0ESsSTqCRGMEjPxmWIvbx5HsE7llveibjzDuKLt3LkpjdSFKd/FpWusZZ+cS
JVZdgJ8O7eOQzuJHA02ANi/RMlzeqZVYHCWqW5eziLrJyhPBa9V8r2sIHF9K6XrQa4J4lq8qGVMO
W+2+F9lUBlZ8Vyqt+1zCbH6qs6QNSwKjI87W27Ex43SaFkqC0zS2NMzaZl/6L2xKMYNTRGQIOcMV
s6gCOdqsXoOxPbdXSZ4Mgna7fhoWENPOUW+Xr5Rsi4C9mmyhywkrCPGIckn+VSKE47xuFDW5MEvU
fdoG+DNC4MgYSJ5lDAbk1e0ygSX7usGfzpaZGqZ4xXm/90vXZTW8arslQ8d7Hn8sbmbRH7DgsEgI
Gmo16fsGo1w/ZD85e4b1Ll46z+1CTZSB+9lGRZOGqT7Ps2TNBj/rKdnvl3WU6FqssLFKb0i5oUYE
k02p2xEua0G226oKPohIW3pSXLjgNJI5TE/xtu/1H5bsrL6Zp31JC2e6oDwNCy23BwaznGcSjnX1
AZ0jusFUuGmm9ALVeDndpRo3mKcNLbHkwnWFfDeVZTQA583V+mAkqXXe7Tacct7Drxu8BTvCux7s
uX0M309EG5AxWj5Nz9UK19abDk/G9VMHpbsKbqMbh4EOdMWzYbFpeBuydJzeReMQtN9otSbNg2jY
iD3WKtOoP1mT7NgJBpJt47mTSTVf8Jet9Tkymo8fBczZy7tRVjW7haKtaB6dpTD4OuM4asQJvkys
/GuHVDI0zUdVRzdjV0kJbDMYWNgjCXSU7lQ9bf1NX8PXWWYUGGJyHnu4HmbztLX0A34z+WMO1bTC
5RiNkiFPqep4PkB+UeYBzqcyX8t+/VBTMbGbJO3BdYnaFmBVM9skyLfeTbCUs92ygkAyx2GOB4VE
PWO6UfRuXTZZ3QQt5Xg5qkoduFdj9q69A3RX7aiK2n39gawxthoaqYSEL9eXGkZypoZ4f9xJys2I
kxh+7bdJjU8PoVkBd7OHBQfy8A7uF6O9JZNKp5t1gkP8NXOvCpoAEss4jtmUIsoJ9Ork7mQ+VMu2
vbB0bdIMrmmJuMTc4HzLNFtq+45MYTJ82+3Y8zprpnmNbjfOyPrEsfvV53pcYUGDP5J15TuNdtjy
PtFYxLud1nY9tcxF0w3yf9BLLC4183nZ43iRKJ6mbsfHtHK+zIsOzMc43CbzPGPN5ruhBiz0XT1X
qsp5rbrx89rHNPpiaLwlJoNCGGl7rBRr5J8tNFPJM1Trefqt4yLVX4dm0BT3KwgistzUtI5vTDyN
G+o3RRKY+w6B25AKmxXpA9UeJGNFEM3xaYRIQ7cBoxcH36Eqv/GcIKnXt7sb9GvssL/PmiyNyKt1
R8/VxC3/FFHgInK2JWWd4y7KYzgidrEraBNHYs7YSszw1KtBgXIcQr7z0qd10z0y0y9BkwkwsL7B
SXtaL1FY8fld2BIL/V28s6avPGkXdZkbOOU8D1Sxz8kIl5fTyEu0ApIqmMTT1vZlfCG2Xug7vD+x
9n2j43G/D+t2gNV0yxEbgMUDqJYUGiKq9rE0TdqvecK5fN6AfAnyVVRmfj/uywBCNHivdMkhY1jq
PE7Dqn+nR/SYMmVkM5zZBl5tcwFFLTwnJWvhM09Kii9RqSZ85K6/OrmK8Vr8JIBWKpmnyRzRk3ED
CV2m93X7VCcNVJOy3YC1+NqD3Mb+kKPoHmzrUHHlStZBHtZQhdtynO5zFi+CTZ+og+zBjRRLj3wf
rwRlOgOBt5+yjfFguq0wBfLiunaKcxqJ4aQ35dpCrwj1LxGxy3yhsW5COJNYSJ6FvGLJiTWAB8NQ
PtwvKZLRMmU2KuvxyQE6lba5ETBQftBjub1LtqsB6m53dj8miSbnBA42K9IoSo6T3TmO/aWZA3mr
RRtNr64pw/l9a12Y441koF+3plzmvFwUv0G5BtdMDRZNh057Ztda3aiph7AGB68ayZbl+z6lfdbB
DEmcJkvojUQ98GkxMbuXkFIymUjrYcxVSIWEZmtPs67jtbhLFrn9ycH+qR8pQscUez3u6eMQUPtM
Fki84grEpgcpErqjdgq5fZ6DHrDdaY1zARr5I95zQNaGeSmDGjloyI+bTejHbgnkWdNa6MyYdbqf
dZO+kwsU9E8a2ziPVrfkVJXVDec8fXBCbncyXJuvm5zrDymDm3xFxEsT/Q97X9bbOJJm+1ca9c6a
YJCxcDDVDyQlW/K+ptMvhDPT5r7GxuCvv0fZNT2dianumcJ9ucBFFVCZZUmWKEbE953vLEv/xJpk
SNKSTAq0E9O17ZyupE6cQmB4Wfm9R1SdP+eWls88XKejbrxMctzOPOs3s637YWnY0YO+GD+5QIqH
snMRbNmpHkRwXvTCui4tcOcijTz2FflW68LrJ8Y496mt+1WCyhla5/P65Adw6Py6wTZFLqGfkKw7
z4qij6mjsclLbsPgaMMYamzISh05LlVYJNcqWJXeW+j8yfPGO8qzxMdWX5h4YuUrKtd+3jFNA3o+
1VMdXzar7RD2Wg62S104LfI5Mt1EbubIRNMONg1+gCWB4tVhDGzSfQ4qZAk3GfM1q3OimkqnhtUo
RRNtRJ0tHWoUlxZREEVd6pk39ddVsmi+tOtoty8IpXIohyqNnPgB00o+siltIBhqdnDRKejZIru6
uVtD9P67cYijfq8F9p0cHU0pDvOJfrebRU+jG4hqGnYB/mwU5mGysuQQQja1ftQgY/c3Rmk5kcwn
pa2OakbWPU9hKCIxHt0a2vk7tMaCogsGZXO7UKpT2BeqQbjwauqxJB9aNKvuc8va5BCPGJFFqnfi
c6iiNnjtMWBFm7yODImLAKGrDHcHiqW0MBa7u1rMmtu+XOQnDk2/fpYOe/uLUnNCm5yJOcB5VQws
sA/cbc1apgGlIkq1LpY+S4qoo9dqk6v/iCH3774tNdRsO9kgtvDed9WawHCAjcstMp5Zu+4GC3fX
s6QO6HjLscqwI5JomSW2p2oVAAurAbLm8yYilTuP2qolfR5vC0qAtOOcl7CBH9F/oOJr5szb6VSL
IMZFu7tGL0vpzpK2bJfnTgWj3Y9NoJODUolh+Ma2xC35TLvVvrYJgxaJV22iXrVrZ7ufStIHWdKa
8KKey4JnMwbh+tI3TVziKxE1xIAKKHu2THZGUTpz2Mk8my1OJATSc3E5lnQ+c8Uq7+eIeo3qgG3b
dOO7rksXZIOmEIWVJkK+mGzGvXeS+axEnKo5bJFCg1YlRqRKuzGYUm20U3cidKL6sIg2kbutJaTK
uTudq2mpkDFxvvGeffEIyqubNBqDpDgijjnmcaa6rQlQj3oSnK0b7uAznPihOGps9s1bstVVjjM+
Lm5GqpZdHcybwUw1KIID6ttIZwQ4okoDqecig71S9BRZDf6ZdVU5HZLqdGLgaukQ7q7jWGc4kab+
mQHCJ/umqgadTwGr3c6uEDKg6Qugr9tEFdbXsnEEDXPt22vwwM2hK2o+YEUW5jgSAB1XCS01PZhC
d68SxYq7HlqnjnoWQ1fl0vs1YwwbB6CYsniF7UVT52WPvbNulvZKa4ICboMPiTt0QlbZtHnkkkD9
Qc5rsUTd1awj1V0thVEXZprG5o0uq2x3o2yXRzSd0a4PImhG8H64PPhNIJCsW2P3zGBG8r5QTpBL
DvuNGjcx6oy0c6LfR0idNtmM8n7MJAabFtF4cgW6i31TZfO8rFln0DGisJmSNYPixZdpWOHmnX1L
u2wCUQYUXfiL0KsxGTTgFR1sSX8UzrLqZXV23i63ePXNE2w+RnrZ89rUKtORneqLUYJGAwu1dc0R
bD4aREfHNxQRhrkdxdpAN14gqnfAOS/uwipC81ootEYpR/TdcWuKYAW9cO62vMXIkZVpoSEi+loM
iOY40Balc1pAmy/fRw0QAmcWan5E860EE+dNY3u7CmQy6gcMJ+hy6SD77m4Wh8jI69jAjSeTcpnc
TY/Z0Zd4GwLY3JRMV5+qsYS2qNXT1IE21cePPU10nSKttUpdi0gJdMyIzsPeZ6dPVY0eEYic2rfK
+DDFHrEWdboBuWN5K3hVdRfeCbSZKeQ44SsK7CHKRjSi9sZP5ebuyDQH4sUV82BujK2T+iirpOzr
XW+Ktj7YslrDCvstZR+tQzX52vrSocDekgmmwu04b0/AWXtwhSwa8n5NV5zly/naKIeVTednGlXR
HpB4eAEtOg4SyeAInQ6OG/GE9eC6XVLpCkYpMhzWSyfN0H52PRrYdFmAsV2FAeXDO3LjkzZvx2Kh
jwHdenvtCbqS62JEINadBABFv7fd5npSUTR8sEEl4nwNy45kcQxf4UscZCUO63Jl1OUFF6ucMkQK
gSWZbSG4Ag8WJjDkyGFoQy5wY4n2aHgUT0g4I+twlUyAo1I+RQ620FO1vBMW1dU13YoB9IuCtMM5
/LkDegt5mOBjhrCbzQHmHvy0R0ydW/Yg9Ex9BvCYmS+D61WAHLhNy0PQoWt8IV0/o3TnqO/ycEmm
Bpo71Jn9tQFM0magkWtlUlhOhPSCcMpQQzMdDOc1xsn2i6M+UfhUvNBnrqylyxc2Te2uiyI55xTB
Gxpp8Evvqz2K3i65KGK4TIFj1p1SkBAKNeZNVSfrsdDgH2egw5cJyyE4Jwr20UWPsR0mPmN55HaN
NmzNeorPsU+OGErOOMJSwE1hm0IXtzX53A+m28erCed3UbO2C1AihbGOEOsJrwaE0/cdZCstBgFa
ZbbHcRhnQbckZ5xO1K+HNpSRfIY1bq8vT/fcOuGD13ETZ024RuMNE3W3fgrwaZIgrUIdjWZ/Mu1F
3W3lZuNrc2oULopgbFecMaAFwkfHF2V54/tQoSZbTMSJRU+G1lxkgJQZinKi+mT4Wnts2aAwedGT
90XbYN4beHiiLsQyB2yOUI5xOapkNPKGVY0tcSLKZvvWVgBdX5vGje0+LuMhcLi6UzQgcpYv9V2M
qgZHA01EzPYTtvb5vZpi5mSqwwSmtE7ERj6GgCFqpFwA5tRfErhWts9TYMbgdiyBa9/ZUz0OYbaX
Hc2EnWHfCnXQtHSHqge8j5sknqL9IlDf8R3i4sx8AaFTyVy2ASofUdDXi6hFDnKYlhduAmB+iSJC
8svWxLF6GLqmXY6ijNx4CAzyp18xdSlIxoeVQ7sw9oFJO0FdcDkSmPDcBUaZ+iXYEL+WJSgAhp03
vVyua6XB5+8ZEfZx68DcyiRRwLLrqBvgpLGUgf4quZqKx8ipKqMDbNwbux2DDSnFC/qlseoObioj
n6LMaABWiFWbcz8OSXS+AEx0Z13LN/IM8ISxY91i4JFNpMeccwfZJFnk6Qzf0MKfgINgPy+Umizi
fROkWHNXfFI+xkiFwQVgT0IwSOd9HYSAtfkAJNunHZKkZOrndWL5UgkWn+vVJNv5FK8BGeBcRZ1J
AF2UiIQaTRI2lyxclHpmCubR76KMTX9JAAGKfccqkzw4BwQ670rZlBBhgXdzWw9Dxy+KshvaBydx
YS48la06EoPkkCuL90oR3Ow3dtsY0ZfHtVmS9gn1bF3YjBju6zlvRtkDnYthRVWTzGAxT0EGiwPu
pxzjDiGTfQvW08mpVXyGURtRYZYk8Pnrdz0Qb2UOoncLLqwWzbTcrgsuGkZDuBOQ3UxF4h8iXHZo
SBJWtdsTQOJi3Vus5H2ybeISvQIPLmhQJJhscQKTLnqaVkh6RhrOp7O2ETO73LoRAtOQ+lF/drVJ
oM1vDRwS9hp5vL5KQ8eZwCiHgltCZiVtxtG/qdfexpLejlCXK7o/OVqGaN1WhgxruWyJbbKkd67N
fb+cgrO04tdsKeLhEEOw6M7nYTJRXlo/DZdUwY4DSBDBWGn0izD7GlhlmAYqDIM9RjG6zjtZJqiu
p1lNIuVRX0dvq0BY9kWxlc16D+V5rAExVsWyfYsGFpVfpnYk3YFEUHQdCMCt+Qri6EU/dnDerZ7G
gcXrZRgHyn/4mTXTpfdloIBjrFRmqGAAjgNGM4CQa6XAaZp1fGVIr1ymPfIRDwveQpObjdI2AwWY
YzQYxycWoZX7BATO684iAPWJuLZUV4vewuEokO6FugCfsAClO9EeAdhKxM0XoBlBlDdMBpOCJyUK
sUwNuNv7HbD3FuAANtJTN+NO9UgSLDbKfBCECxaLnBewwid2uoLJhK68TMnCkhslbBdAVV2L+ps5
nY/fhIFKHJJZVh7mMUEpQrDfdQ/RslCNtVeyftbpJBXEo+ikkYcjKlKTPKIsAIsgKufimlZCuz22
UVi+2W6o7btu1mm9HDfRs08oBni8ps3cmKP3Yls/SdFP9gandhmdK5QraQ9PjzlF5kl5wgSn1eLM
xZzmFsVxIo6qAqH6GnhwD10vXN43dPBzi+acIZ8vZvoN+rxZptBPULdb+dQCnFjm6h7T4LDMrUX2
7H0DAhfORUQJwKIusbJInsVEEhBqBwLY3p4NxTKPOq0ha4rTUWJcGmUY8S3mHf1yCYwKfSnRb2jK
tjpIucbAuEkZdlkNqKQbQWpP4cU9uXK/QgWHDJRhjXn1GUJSb5bUOGR1zGc9Wo66ydwMm2R3RD+8
sjBfogoT6z/HDPo56Yr7eOjHQXU7krw08SO3f47J+7N7CesiC2wYrxvV9xKtT83+JF//Z++SEdZw
SVELscdhRdCxJpZcKeyZ/yqH+w9S58nPIVfou6kG/QXld4BVMFdjrS96F4wwXFPLhO6W2gYe5CKZ
6e2qgBNlyA4NSDYGK1qPf87XOHG1/xtqw89GJyXw4LUOFrEfEZ3Y5ci3X6/AVJozVE2YdQD4l/9C
1vwHzI3wJ1LLMiuv4ijie6iPZ/Gg/ViYfCpRbUKqioYsI9Cad6gNVz/8C0nmH/DFfrZCaUBGwZ5O
2Z5LBABoeFzsZgBb/+ID/dGr/0R1mRAfpkSVMIyp+y/tEj47ORV/jqUX0h8ZQCiW534qC7b3yBhI
q8UfatNFf/LFf6Kz6DDUw2g42wPw2mFqU6dFCJjjn99Qf3RVfuKiFautNUtqvi9JoHCy2gLtN87g
P/XqPxuh0HaKQEXAdUHDBiNQnSDSbhsf/vmL/8Ed+rMPCl/C3k1rg9ulEgn9poa6dxnhniLERNJ+
SicD6uc5FBVs+lNZYNAB/vg9V7J0AgYRbI/sRfYpnhd13YQAaf75B/q+tv6b1U1Oq/4fKI2i8RG3
voz3vUwqwF3J4B2QXPzz7kPNn2PUv/g/QxwO/Kyemsdmqx9D3GnsvFC1qdAxlNUOUXDfVhshJzbV
AoXR397dv31d/718H2//9j7UX/8Df/86Tn6py0r/9Ne/Po49/v2P03P+/pgfn/HXs/fx+q1/Vz8/
6Ifn4HV//735m3774S87VMfa35n3xd+/K9Pp76+Pd3h65P/0h395//4qj356/+2Xt299PeRoPZb6
q/7l9x8dvv32S0hCYLIxbv1/+8df8vsjTp/it1/y966q//snvb8p/dsvQvwaRQkLGZeosE///eUv
7v37T/ivmPZGSBJDMBACiyQW8ICYxeq3X6j8FWBAhHl8mABFQNf+y1/UaH7/UUwonkV4FMIFhtFf
/vPN/fAd/dd39pfB9LdjPWj12y/fPTT+65bCh5NU0CSOQyAWDKjrT+u8HhiYMAkw2HqpkN0wQzby
aGzpXiqr7Q1YSY8mWIL7IdIoTDFdmy4wTcf4FGS4FoVh033u28W+obapD0WbIH244wwDJMRso7HX
+xrslLuVk/UeL1+hBHPTbVn33Ts6gS/OKJCrtgSJV41uQZOMx9spccXjTDGMQUemPkVj3L+NEi68
AfXosZGmfutHdt+Onb2AGx14HRF3z1HDyY40G2AcIMJ5gunuwzgmL2sAbCB0oH8N7bzueBC4MzKA
tLRSWudKTSid/PxA+qg6sQJHULR1cj+tQZsbo+eHuIdfrypRESP/HGLCRbNzjMznM6Cm7hMOV8z3
adF9JHAqubRRWX2RvJ8BEij9xQxSPTaG9rAILzCKjTlEg7GNRJ03/RqEAMOL8LVtKrgZx/B8OaWW
XboQ4/kM/sQjanHApa+IG6jhN5GwuE7B0yOfx1AkKSkmB7YKtHhjulh2xTRc/lMvWvksg05dVHPY
o86Q22Sh3xzhAPL9Jv+/vdiv6q9gpI0f+ufV/sMG8f/SlsDpqb774/3g4m0ZsBG1bz/sCX971u8b
gvyVMcolDHP+vux/3xDiX8GdYMAHQwIFIexf/r4hhPLXmAHTJuhtQyFEhB/9viGE4a8g1iHnDj+J
8QeojP83G8IPBaSIOcPGgwF1xBO8EpICfjxquGLBhPNY74BYAMfzNxjEf4Ry2Fss0KDQd3ZsP+ZY
/yuVhPwun//HnYiDqgWWfygJSCj4LPTH31xWLNr41pkdL5IFDtGCpMCeYvALmQ3LAyWwCEf7hFWU
ijrY7lc1rd2hs9V2XYdq+ohZgklHeyKtYrFL+TJKP140NKYgXNRogfOyZEkDNM/L27ibMY02xFb7
iBU0A5l6BFvTimNQahQ94BxsYNYWWHm+JCl4sDfIc+E5j6KvDSmH3LQQRyRRmOmgwhBuHu59f8LS
S4JNhpILUDFIGq9Lc4+8QCz+FScvmHZBeNuVYXstkNMsUrM27jqSzWOZSPy+wq8K+Xy8v/Ns3LVT
c9nAwfyqnXAp1mQLt6xYCSi1dQu0DhSzus36cbZfIx7ET1oo0GmVCcubGrn1l2zoGXgRvkgpRh89
FBYezAQMYcFbaMrn2oXJPQczZlds1ZSjwzwLHTV3GMrFeQFE80XDnbrM2iUOwH9qozGLbCBvHJrw
j2KlcMMeRpQVWdno5JuesDvuwHAL0nJJyNNKNoU/gnXIc6R0V/cKs74OBYpv0eXTsoF5Z+vdmSSy
ukCUortwiJy7pBC1ZFHA+PVa9/ENqTF029HWs9s5aMEQiBW5rNVqMjOtw+1anmZIaEM0Jh2z0Ecu
eoz2p6kYzsbYrJe2kRoupAVcqZYm2TdwgL8YVjs9zYMUmD5NKihznMLjMwV1DxP8QAapaAGKQJtu
k/G2pBjDI1+gxZbeeaOL3A5zn8VqSnRqQSw9x3CrnrKxItszBsZQE6aIf9cabVeIUdeE3KUbPM7N
KXVD+M4CwciuNHbYWaaT24o7IG8EvA2WmZMRLwtBJQEIFnMwEcfGnpWWgFmuUBCcxfBxmfIRznXP
zFux7bYGVnw5t0ORFquWGE8tCjbio5j8oeiVODEa2HRlTKVf54HiRmpn8lKSsXovtJi+4srU96od
khvI5cH1mn3nh10dm+oFTT7cojAxK/e0GZA8wUlobzk1+C0brcJzeLMkOvOdiF9hEa2OfGv4mhUI
sCzS2jbVkFdR6HfoAum+UZ1/oOMW3Q+hhE21C6necASe0HQAduvXuRccVo6lm+5sESavSo7Vp6XG
1dvFchmvkq5rQziblPzZwmksFYjdXQEN1etbP2r15MqkoykdFv421808pJPA+R2GCyoR3jULyeZw
Dt8DVYcPYLr0z5Y1xR1fI/GCeQS1aRV1YLtSF5HHEtN4TFNC206QsLD+AYkb8U55w11azuXUpwVo
KCpXkemjfV1JUAX50gVhzle4xpQVqAK7ilAJ0zJrQLkutxDMM0nOgUxZe1a11XIPNtAM8k5Juout
bWH8M/oCuwg8UEuX9p0LMILzqoc0SrbP0L+gPSJkbE54uxi/EgIkO+cs6s+3+YTchUEjQCSxiMQ0
ACNsCk0IMP2pkc1tAErjLdWCmWxJmGizbQjdXT3K6BlfKUvHiaMD43LiuwK2nQ+YtVd5PCE6jUWs
v+vCuoGlgOI8nfg6v4CFMIIaim3os4NE9RWbOb5RCbIaajuQOFgWyz5IstlCKwFYdgL2F8gedD4s
ch1lIPr4QzDpoym5H0CHbBKwreyAbcGC8TnmbbDZa/Bd3XMHVtmWbXHXKMxnEzqdE5rQz7VWlmWl
YWzakTCABMZ50lxBzWRuAyanJ4miDLVTYYXcFW6IX1y/Td/mclu6vK8MtvSaJEiW0GCmbdnUVRtL
S7n48hAWARUpEl7b637oSXU7wj222oHTFx1HC8XDmepA/j16jDdKMBJCrK5l7GuwPucmeHPFshaZ
LwuoaAe4nO3VoCBYcoBa93EEPU3upg2VKHhrQZzhxllsPmMQVcJZJ+hBcHUEIbvFCNgRFHOFh4SY
26frIs0lxrPIhQI795hguptNVBZXuJOWV2GD8CpoF/FsmqU/wjWqvdga4O8453h3ziuPE7QdjP8E
8Q42PXBL3XWsWzns+hY79Ta0IJaBDjbPacRi8W0cOH9YT+BvjcYEscITaScsObF8eGOrO0xMpyqr
hwaSftTA17J34R4f1ALKHftPw1guxxLerDUCsXHslLC4alM+bBc9hUcJ8njUBeig0S7CO38D0fba
uKqAkzphPt1CTr8ALumuYe+t3A4jD8wRW5hY1Bmc+QQ5L0pPHOYEsngjpRdzajj8RC5H7rswldxW
nwgYj/iiTxSjTK6rBJssxGdbi8q/QI7FH7H9ThhpUH5WktV/RtxmeMlpuYKWDS79596sCQZtahMc
LDG+lZltBKYoFEPLJFUeVP2MA9B/dYbp21gEGDWvBb0lQrH3yIONJot6e2JYSF8THhRxpgmv9+vY
ndG49lMmR41B/NLp5dtWW3AL2KwEw/wlAJMAXxq9q+PZoHsJzQGGn213OVsrPjNTVR9bi9D1LKxm
i/lI12JqbZoKhOwUCRhwpNvW2M4QbRTyxYcTf8PpUt/xMKxWbFvo89aUGvAn81FPgSYws2zFDQje
45zFFmQJ8D/AD8qCaIlz8JtYvkadwiIAWXtVQfMGFUFxPdrxk+2XKkeS+ppXTQhuWq8wPkZhMG+Z
0YGwF76K+QPfopNDiWcgrPZF3OynCjzcvMeVCPvCLzuD6QOI1lR+namOLoaKS5auIiyXrBgTdT4H
Ab80cYgRVTE/tWsUf5EtTbpzQXCb7RKqwO4OKYqENDZCf0jEt8zpbAT0MDFEEfeYeJXFHqR4fyLV
loXKq9U0WJ2RAfHagYqJm8ZCcgVhRdOCM2rWYLwwSLr85ODcE4K5MQwohLoYhz7Bsbd0BCQmuSHz
JcUBH34sbVGM2Ke78qVGOMuWBSZebyD5UDQnkEXtQNspe5C0RBhdtmvvj/VcB1+KesEYsUZP16bt
Ikk2gY/8erIOwIjR1MFrGfCRZ0iXbd5AEsYukNAeNH9EP4QPSLOK4/PSgoqDg2pzT67F5ACTGRWp
g4cWKUlxC7gia5vGl1dgbkf3BNIFue8cWARpDd3QkplomA+aU/GtL4CMrXGRyaTt8mWekizSId8z
G1efHMZSKQs2VGwLnMvStlcjOFngMkO+BTwQ8VRbg1F18NWH5fSZsGzQYHyDGHViQIOXXmrZ7+M6
8OjdMcE224RfNpX0BmzbEtsDq/I+siQNmIff5Dqcg18ACo5vZHzXTEGwc0j+2INy1e1EUsQ4cm1x
6wtYy2NTktse0W1fIXkKP+FOjD4wNGt2C0blWGGjSG6FWZbLploxY/ZNJ+630NfjjuikeggQ7HJF
jcP1w6J4BmMJ2xVoEXA5l6rxn4oY7bsCXEPyemOrz0ErhWwWNE3zkaAa/BpXduAY5aiqz8aoICrr
0d18RFLZJduCqnqMJ0AV6ahofOUUZtY1DaomQ/7pCi5y7YYqD413H3Ug1nza5v7BbdhU0mmAS00O
FoMApAs7IBSVWq/03ECVggF2u/pjjBsRRW8H4Z3zOGlJW1WgYMU+qnCMDXN3DcDc9HkLMhA5sKVb
dmXI64epnYP70UMAuAloELdebBLhRYvYOSpdNiZNhESU2TiSdgMPjm1XgJqzekCouIl58jgWFtyp
qPCoBHFQdnNeLraDejYEYwQMf15hmg/7RJUHscelFfH4FCJJYT/VpOU7007kAszlyu4gqUlUVjLV
fQK5L1FHkAiq91aUS5VCAoqqaIAncQ/mC9ggYAvT8ZmYqHt0ishvtC/HcwgH1ulgMDF/GdAZg+GH
2K63Jh5Lskcby26cbzFvjIIB2gJakvACTFGUhyAA+wVXWUoQvlwRY3OIQ7riGB7nu0W6xma6x22Y
LvWGAhsAGCIh4oXcUlHP4UUHFAiakCUmj2JYohQ8+vdh61aRgq9YQaMWioKntg+a8pzxMjxCvMOu
Rw2NI0ixoCUea6jOjvC8wg1XYOUfdMOWWwWeWQvmSQx5JTLs19SuU3NW05gcnCzZlAVj840LRZYU
EBJILMnC7ngzXIRyg5piHqElg2ZsrdqnCiRHqB9DvhsjdzaouDurx0DnFNZQqaP8RmEB3NRBIXee
6ykTXUzQN6D8WEao/IAj6XZn4AGQFlvd5JXpoPy0juwx+azPhjkc7lwMsUTvlzHXIarGqMd4ucCv
8XF3OQ5hvQvAAU2FB9Tm14bfACJVe/jdnBscbNCguV2pWnc78IU8k6Gn8NchDaghi/o0FNZkuqb8
3nIpd2A8+T0b1htRBavLKTP8fIzX5FAIpICgPqGlxQ6VkDwp5voiDFs4AS213HZkgUCtkmNy3Ozi
4mwskgLQpBzepRJniB1TH5Ov2tvSQrGl7ZB8Bj9GHkVFoxfk15XfJA7QTOACmaXD7FbHhsyQcRYV
2+EV2+B245EQ2YqJMireSk2P/aLJOYVWESNvzLofo74KLrpiMKlFAuQ5eHf2acJo97UwZANnnfjg
wxoxqNeoRRuEAqAGA2IoJNnOlqZ1EjspXXNdg46J2dHUfQtCvVz6sEJlaasEB1izhgTVwORbt+9A
3ElbyBhgfBvLZg/tjIG1qLPoccgUJZmpw7FAm4lKIW9PZ+Ykp5oB9USIZyod5Mw5aiR1hFM9th2N
t/YZtiSbzVdTFyRf1wA3BTyxN3bOerQJ4ApHUFLTUcUtaPsmMmk0hPxVg2T9PrGaFmChJC3cm5VM
DolN1uQc6g1VZtFQoYhGlh9/lxCf5TWQnAvllLv2zbqJDMRdFKYGHhdfIfrUYxqXc43A5Xg81yaK
7mNNLFBZSbAlwpDe5SUYGR6UBAWJbN3Dmvqsrgs05003WJpyS8mlWabpHCIiVE9aYhq3xwhWf9V+
k/rs/+Oj/5ORSYwJGgYcf4yPXr1Vb8ubqvTyA0L6+/P+hpBK8muCXo4QiMPgDiZOg5HfEVL6K2eY
epAQPNXvk5G/I6SU/kqwF2JHiDAdAQyIJ/0nQsp+5WiVEihUKcXURMb/G4Q0JBix/OOUHa8NO9UY
FRs4kgA+4p/9S6kB5xb6inXn9UTtOT/pJFZ7EjJvVfxRtshKwQkikihfE7stwOlPx074/QQKRFDv
pGgkujLFxpce85Tk2mJnwSMGRb9GMw9PJUd0EGuM8w+sHZyF3fdzsQiabrpjUGB+CmJWlw/EQwd3
B0/tToHODSfhDLEezqbLwAsQwDq3LOBvTgnYhMgSRCMGR4IasiGK8/xvJaUHlCOykQ3l7aDL8AN5
gjFkD0iozObWJIf5VDHQtgrotWk32+cQVscMTXQ4tzcnYtAlzD5RhrBTRRIOizuCUQ5B8sJGW1wX
34uYQeLwv0ft/gIynw/PXEBQAc2Cnrgqxf9h70yW3EiSbPtFnmI+mZtvAceMmOfYuEQwSPN5nr++
D1jZJZms6syuTctbvE0KF0lGAHCYqV699yi2uom0EPGmqXGSMxMSs10zO6GssuiOm4A7yWEXh06o
qBSZpG3zsypjoOst63FI4uSG7AfCGmrTk6xb+2wIe9bbBdNYtjcYzqbHZqp6omGXpNdKMharVjOb
AlsQD9SZVmemHB3C6SlDKUi7S2mKzdC68QDVns1GRcRVKG9b6lwXU1WyAtZd9pipLiRGwkPdikm8
WvlOFr/wr6EgD7q5DbEwlQc3q6i6l58VOLWMc59CqdVXxc8aHZA16VTkR2r3Yl6MaTuWksI+lMJd
rpzOa4yj9mjm1mJcHGOPxyp5adQy9rseZ8Fwhegw+2v3Z8ehMEncFtNkjmviR21xVqJDPiTTg0Ra
DpW5R3Wkl2mRjv2DcFLGeTQlNCFs9OiHjVuMxd6aVNcFpl1a5UYvFn/ufjZQrR3F4XZO0wF321y2
84aYkGVuIq+SFqdzNT22rOzM9smlUasuLVselTTLumm+yjY0pyNPHRq++Nn8DQ01beCaJdncRvQH
nbUdI7/FW5q1MOjK0I1CeUwSYX9WvtlP+8gkh7qJJt2im/jIwuuZVR5HfNcMuWK4rWcmvAgUsXfr
oWo8tS1Lt9ZdWBsHDST5qMYRIb0ldvSiisS8p9xs3xd/liffTfdDaWHkI36mrIeQkVoEYjHurEdM
qSgBpsDQvu5FNT/Ehb18gTRbroZLro+cQhmZN02vUSOmMsUiZhWM3faL0PmVn/hNt5+cEpVMJEP+
RkqhvvETT9QBXm78mCFw3nINSNh5rOfokuuxcskE0VBgDdO0cM9OxxYRLDaEmTArG9o89fjMplVL
BuCqqUz4BmNUzhkAkjx+J11rTRssfzztpjawyFYYSIOypjB3lAifjQUgwOKB+cinsvjCGop3t4ni
rQ6d6cUf+NrVbaK8nYkt/G3ONN+b6pKYRk1usMzn5akQ2fDYssg6QhbPOAsyDOKx49i3aIxUfI5P
BrwfynyDu5/oWSIGK9/XLAZ6MvO0PbXzqN/d1Ir8zdLBgb5Lpxh+o2fT2+0gmIxb+vPoc6qMel4l
IMUYYgqz5/HI6seYMfuBCoF5qJMVBNJR0YFTh57Mvio3ao52s/g2oxK1PDMNKb7VQzn4xFjtSe/w
+SgkCLoMit5x2DiMuq9BjBhslLMQIwZdZuNDBef9Jy2DKgnIAaujGj+vKeStsDoOcAr63TQTVMW0
IqokSG1HIqyGPKtrV9TtC2vvvBuqjnLtM6p6h5HgFU8qaQ0RjCwPRPpFegtwobOExuMaVN9yY7Yx
Fy/2Dg8zj2f0ggtQfHZ9RtDVKhP0jLTZ+n1UB1GLzsERnts0XTE/kj0t9Z7ZCAJa69s+x/4lUl9j
bSwey6m3GYA71bIZnDq8z2cDjZsIDSKxNXrDpiD2O24yJ0nuRB962HyFRXmksDYbJ4cU9Ycc4Gnt
NQs/0yvHDpe10hw5GO7tfFNZWH1ZodP0t2GcamzqHHPBoCezI9YasxKIZbo8iYTAMYWi049P/rwg
E7nkZcNVyzsfIy878i6bcAmvGUDk9RoYaVUFcr7UaZYbVfdxbRlcAIuHGkjhC/Qlot63DrFiYsRb
EctNwWnmYwePp1PaxWLPw7wYyOFMDqeprOL1QH3Q7i2DncPbrnb9PZ72+EtOfv1S9E15ZwxdTLK7
jpdvqUPmgH7IBQUzJb0qA35El6+HPlkOZuGk6b51M8YEoN0vnFe5WM6K0A5vQmH1K6y3eXLbpstM
gdDY9gf7Sy9iZFFUjzNywVUpqhEoVDqlLf0e2pTPdm9/NXg6v55kGd/bKhqex5nGhUyNb2MsZN6Z
5ALolVaMh65Sf5kfh0Uo9kMk9Pgrwnt1tZ9kr757ozPvc1ub18R9UUlKY0SyhzLDFKogmFYGCml8
ZcZTFN44FNvz3umTyr+d0U+HlUF67goJ0H+T7uzeJRYIdTuJJ1xa+X2f+3RYZDmjIKTJYxeG0EGo
B2OfxLT/6GefSZVhL644My3RpvY7nm2VoXks6qWLe/sHSjEMC2cqP5D6IeEzwEwPYoJryxlz6X90
8jA7SY8ZuMcUP7OjaT1MVnxv1IV3NGtPWLvBRnjJtYyCjPHOCi+Kjtc1cBfkJWZBK4e0+9qrXXRL
LyQ9UC9hsxKajtLJUNrfSYbosxzScS3LaNlPucC0X/noiFFFJH99CQrvEl0SwmBm3bHMWo8nIxo1
gXw5dpvCi2dvYyaxdz3URvMNAUR/OSN23KidHw2Ti3VlJdqJyWI05TaeKofRA3hXSg8PEkHDWURf
bC/WcHCKTn7WRlSJnVlkFnnfJDmYDu2L1YTqzsEhh0U9Nh8zhPd314za8tpO6uGHVF4xUhukVn4j
u4jpRpSMBrKdtaTMHzFzMx8ZS5NmOZ0+taX9r5G01fBcMhWJd7I0y6/atUVzN4ZgjDZWgrHk6OSo
LefYN3kbNUnueeXATP6ydUY433esaDiE6KGgTCjnECvNMvePRWEPD7UgYRPEqYGM5belfSgnmS/3
pFTv8S2n5dFt6mFe2f44382ezTDAXqIrVNR4H7tzK9bR1HS7hr0z646Fg6gSTjSVa5ppviYU4rA9
liY65EqrY5EY8T70R/tGOKxSw989lhs08B7huCI3JlgQv0qpQb4aNLMnt/CiDctarcAjb8oa51I9
G0YRzohnQnUHhWmp+JgLUu87Dlr/cY4T56snCl+ttNMUN73f1s/9hJCdIPGbRzuds3NrlV62BuBi
vljCMZ8ltdp127l652eDRhLLG5nv3Fw6uKWtyUZGq6p6bYM++8YFmQVcWSplPa1hv3RhS6yyDqM1
We0MxzcWSeJQdf1ixm5lQPeKPHLuQBnHtRHPxXOte/1IpAihQUlizYJ68WGss8lVPMm19bqMDtyQ
mkUy3zrWta8cw+E0DuPNRE3+YU6LXPdz9JCklnkwLJuTv5tc2z/WeELkXizmsJxTZgzzNs8gI1zH
5WBDWBoNL1kZDsPXvcVYcNnyp9zjzPMGeLRmofQ2rvtq24JIn049nfUjyWzmgrGlrYc4IeAZWA5X
eUSa4b6ZW33Ps7/slwENd5UqrvmgWPr+NibXtSaTUp1YFmFvLYOqIM6c746UiEXVRXiLGpW4hzZh
+vCCdT9CjbaqkLx3Rdp4tdiCnDcct1tnnFBTyc1NfR9vahlNR5H75cYWkpRZS665H2PSXC3jlXWU
eY2/siPXva4nv7sfWWHDfm4rfq14bw8F5rF0bcsiLfex4RsygD1DtlXIyE4ZoxjGW9QhGR4To8KM
0Nu59zTagxRBkTgmOJBmYIKbKY9t4ly01wSzaM5K70Jya9kx/hDPU5hty9hP+Ajd5Y0s4fhu8VvI
ICFibgLeyD1iPHbV7hy7md7xyjHLic3UuYkjJtgUuJywCeizLcmA6Bja5fQ9D+t5y9r67NCYaHp7
3A3OFU2DCmGdQPxNysoOMpN2JqDIQH4h9s30ekmn6X2yLj4Yi+yzxacYbvIM9/UattrS4Zaw02TD
l9msVyNgvE++vvLcptllM6ApuN0Hp9D7kLhpFQxRth1FTQoe/T6/sUDiwPtjN7ZJbC4CBkhHLAjn
xEZCV0V7I9c0uQvbElPr3e24wNZL19O/IoY5lwFsBhAiZDXS/NQQ0HX2Rscu6W0M+ONrqBv3MES9
+ZazeTdoI7fZpxXH/GKhYa5cdM9dg0tw0xQYm3JX6WQFHgY+28yIqGQqJdt3x6jDG+0N7k6aTfSM
qJipgPB9lG7DJJN3S9OV7bEuLaSx1g8leqku5IZ5Nz6jftQooHAkqGvcCP1SVbh317qL/a/Yt9WD
3eqnyPebbEUKnJlNwcw+rxZvi7wrdkA+1HFugQJh7y4OJParW2+oRVA1UoJyYqyWbdj81d43MAZX
dtN7ICWKuP2WdJHstj7h4GbvdQUkO9JwX1W3DDf4kaCy5Jbw0pVbas0lPc3iw+lGEWR8Dj+Qn5d7
LFUdlX0sz3hBJFMY7UBoC8cr6A4n7fmMKIh2A6+r2VGUOvJb21PwpFJ7TDgKvDwRXZJVi12bZFS8
g7RfliX64nFjAJkjN/Yy/spgYRza0M6DLFa83wkVMk6payc3qmPutvxCQ1ndEozjAiVA/E5NQcqc
w08+OOkHtE0XGnvoUugXdgCXvSCPW7qHtBDVA9sAxQ6WH45vPwrKsrV3Zlx4Xz1GjX0oGgfcWLpf
CsUYUPZpEkBGLrZJ3tgPjWnOJ6YiAtO0U5zQDccPdEN0zDBljEF6Skx7CDKQTzgkx29LL3FXFqlZ
4zlw1bFLyfev4MMl2XoYjfrDTaWaN4sk8jb3drMnkGJuUoTjXZJU475i/spjUqW3UArma4n236zc
MQOnhGXMR5Ttlu9z0pIGSqkg166Tq8cZmsh5tipyiW3h0BNnCMVVKgKLSv57ZkzNrrlwgblMXmvy
fCZRcLe/aiWHaEfiPVlXUMbCXV76eo+lZldnKt0VmNZWJlowGrKsuifK3RoDzdxW6+lnz8HcLqhb
N/2h7MhnqlQu90yfljcz0/K+KLHerUTENtDacmaS3CAP1rHLcYlys3NLkpuWrnYEcOVND7aPFzQB
q7JcMnE7C9TX1u4Rp7XXuechoz/tPad+hVB4As3EwFW4nnuf+U63r/NmussEg5tJRLlap0X6Wme2
eA1FXgVZ3zTXSNnmxilma1tdNmtl7RhU+ONZqo6bjCS33JAVjo8V9D8wef3enrxrhjfj2qk95zS7
lkkh5S+MG+waN0fn0iMPMT4MbWwGLuOt9AXlndT5mYMq2fCVUS+FUSPL66aGSmmDcWHe8ohHyh92
sRimRymndsvCbMTsGrbGjdKewmSQSMCAmTFuOHHnVWkX2XbudH1cSPBap8lMqm6DmsZoN2rfjESJ
R1fWnUGvsrRPy0AG3NKp/VKzzWbn5angU13EvpJ8/k2hu43XYvg71hOBejFGYzC4rkuds6Te51Rk
H5gZ4vVUkuWX3ZJ/H2Yv3HE+lPc1NFPKodC4zuwaK1Y4ssqNi7XHWoxhMKrY9E7uEoEdc3eZedeV
Sx4cC+QAoM2PaG9W4ejGJ1xxxcEje/tddPatEVJ2t8wRKMjC+VY6s9xMRjevTdZVA54a0I8M1nAD
TjrIaUGbmstFPksrd99caFGixa446D4+eXVX7Wb6DWZNFLbYMNz5c4kz+wlPlfgxNr1BP+C7t/0S
7xLpLt11ZTAluYqGKqKmNqJ9vmTfate02o1ht9Oe0nv+Eakkv01b19rju6g3jciJIwi2Gzj9jA1W
ESVczazmo5JaXG1RDnu4idIkZp6jaFruiH4y63ULk0vv/9uu/1dJDDIKF67//zxWuP9ISFtEH8Uf
bde//61/2q4tT3pEHWxyFbZHouIfMwXp/+Yo27Oki5T/U9n/50zBFr+ZpoWz2oeGicfysrng95mC
Zf9Ga4FmAMdUKGYE7n8yU4Cu+ctIAeuz76H0eMRBbL72v+QwkAQmA35IuxVQvy7bZqc2vLIyF0Qf
SAF5oLBGuW4vU4adnyR4QWoWhBZBbqSQkxvfgLJmaXWyWI4NVmKyz7L203idz1AA1lAmKrx0o1vU
66TPrf7s59O29xIb12HtQa5AqMBYNQwIRdikjZFJoROCNhwZIMR5IQ+RT1hi0/d5Xu0kloO3JZ4Y
x5o2i6g2zMxLbGZljlQmilCfsYbIT/KHLDTw/HE3Db66XVIS9jXtzoYqJ+UkTstNVffp/QDw6Rvz
OYMWbMryJ5GF8jNPu+LV6jVmoNnqE0ojlypyq51Wfw3CS14ylSPY1shVsCxHkg87b8inh1aInjG0
21hn4dX92zxzd8O0md5sBXl2NVIfXMdz24ggL8wEHazoqHdTy8LokXWGDYwv0TV09xypiMWPZoWR
ltDwTd4w8ljNZu+/VaVp6w9RKK7uuGQx6wYa0kWfdLh6pGO6cHJB4K26MTKx9/mFcWxbO8M0nA/9
EhhcCfZJDXPLlvSCgfihZHKyRujtX4idJNkK2b3lBaSZU63E1OTbOimST7vr0/OSONUtewqcr8g0
pycuEoYZ/RwSCR6nujhW6EGXHMuItTsbq+e8Zb3wsCj8RLnbM2Iu5hpBSGA1eY563T3XdQVErl78
2Ed/d8p7U+qk3vAbTM/D2GW3RVVHdynszmYLyszfR3gwd7aY9GuiJ88FXuHGnqL47Cc7UF6/vBD5
HpqjJKFmrLHpGua2N6Du7g1nSD7cdsD4AF1U2yfTo5NbuY1gz/1sDsYqF4IWph6SZsNUd65IESF2
rKuy7cJVN+PnAXam2udeSoY/fTZOb4ns1DmJwcCsYh9M0Wbowhwaug/ve92mcoSe0qDa78a8bOpd
OCYX6lkNOi8QDPx3cAD7c5s71h2eQ/WUJi0EaAyRw9oo2hxY15Avt2HS2dn9pAlYIgbY+7iW9q3J
rX+aBhE1u4weF68KSYk3NMD05HmQoQKzbOQ3alEvMItcGduGlenHOJzBTYnp4lFi4rLxi1K++Tox
FX4zxmrrsjd0FcC48keiwuzUY2luc1AwF5Jt2USwo0vRd+txMewZ12in7xFqkSPB7/qvglb2Baq9
+pSDck7wkJj9CIN/PMEOs3ZK9QLNB0kOawg7BjvT+fBcNPUb7ehS0tyNYJahcfY3dbFAREn73jk2
gwPGcQEtkGztpupf3TJqP6NEQ9LIQGJmu4ZzINla6dLb+3S28LBqCeJ6FYoBT0AoUy861ZUe3XUZ
exTMke2bA+hHHzPpBIpEbOIU/BpJjWq8mrEnmIFVWU0HwNGkpS9Dxdc8Et3M3PSyznBV8cDC2zRi
dMTKCPeWH2Vfc92bxDK0fS74hi8rj2rhG/1SeY3u5u4mgU+ffJikNAtt51tD33ID0EU6eJJAoFzr
vhzejQWmQVI47ZoG1j8rM9FPPFHU2rnPU1k0S7nlMpnf0n7OrmssCOO6YbbhAQ3Q1s4llutTXQ7f
ksaZdp5uIa5FM7OQaEqnoE/Mvj0BJBjkmUTJ8sBh4+aPqY+lVSWGukaoK/gBXg1MBkfQa8yEtl/h
/fWQWbLceKkZnl6ngy9+YJ0FOaYSAq2rGsMiiRJPn4Wwyq/Orn2bsz22aCVNTsdnCCUJID+ibgaW
yHb2dg4ow2bDNBfrWlcstnXVeHO39wiyPqrQzGDujQiAec83xWHdZbFpwY2dbDd+152Z7+0sJkpq
Vf1HNvXVQz8OzhqmhlhRFhoPUCkKNqFRTw9rUNx0nBeb/sVWNHy4PjGXfTzZxa2fAsFaMRYekNY7
9+Bl9fLaATWHr4QAuzEruyz2Tdg58YNw8snl/w3j5xrtiYBQpLKtz3V/SCcrp6FwlorjaBTmF0Zv
76YkA/tuGEN+SyCj3Nr11D9nelLxbR51OQeKpV2J73ks3pMsn5gJYE1e92PFZKCXDBviplQAc2oY
ZMMAuexRG/3wYwI2ngduntfI246HUaZtm2gdJuRRHINMAoDW0B3IX3j5BuGUEZk7zAoq4xLe9g3C
/caLkc0DBQ4Hz5dhyhcs9g4XN0soxAJx2cr9bO34IZBC35uAqVhQOPFfP5b5ZR5nqmFThco9hmnX
vxHJH0k+glvGCQvrI4N02mPkgw1fnN2hsW+6Wt73GTZDwOQvpR74YurL6CyBalbGbniKERAKbL7O
1xQl4kCKUtGZIVd2QzUHzhy/p/hDVmHtfXen+LPTjkFLnWH/CnVOIIdsBbgKPTkvHWg0tSkrTuJV
5LZ+u7JKZ7QPRM9S+CFY5asDu8hQbV0DbCh5H2JI9BOzXdP7Zf2yxfHegAuL1BeGvBIp3ezM56hS
xrKqRBe7+zHN1HS98Ph8QbaCLjgOlDpOlOVdIBDIGZniGYM4nexTcK4ba2CFcx+RGO0JygQYTrw2
yCAAHgDXi02UJN596poZltcQWZaW6luuYuuHisPuLVN2G0zL3H4aNSmodJFOHIyA94iJuKG8hulF
4Mwn37NJmfEz326YPoNALA3jyYnijPWWrGuAc5f2dRFYdTws17UiqLHJeWB0kFdEQFmIzubkzdDo
6VDFhn1dI8ACVp5w1W+wguNI86I0OfhgD7+rOrRWOcxlnh1VZYc8Z/C35kQYEI8moW6WJaMFWYrG
vxqXyj+LzprndWcSBc+r1kaKbwy6syHqPiurI6jO1Hh+F5bXJeBkUNHWvaGQ93pMVd6ukGaOxVz0
1KH4+ZddPrt4v1Pe5Su8ERau3tS+DHwmeUzzJlxXVsmoqkSofaaIWsD6+ab1ra3n5rUnWnbM0Nsw
kFuKHplLabrWjY/4lfmNMNae6cLgAYqb3PQePdQKuipwRGlES2CmXSPPAwFi1AdTIbJx2G3HEdTP
xTpQZ1yrgp9nZYzn3Yyv6XrylULfQ60b/aV8tn869lwVlwdleB44/7pP9vRq9d2A0MVwTFvNvOlj
/slzXHpzfINiqq/A1jXQapB1Plzp13dWlcv7sG28Ch1Xds1K44utOCstnhNmjbxmO+vFdmiToIGP
FAxdBLDcoDC9cwFvnfrwomNjqV6g90WL+0zuDEiPLqO5Qi4grrxREWGaF+0m5XeryRmBQbbmuNBY
XpoNrp6l2oV9l31QKIT38zDN+qzwv2HlrPG08bUB17dJIeYVEKsSDK4c0HPHqoCoe05DxxwuLpPu
pid9dCr6Af+HmTXf894170co521gVn52Fy2T8YSa5z9b0Ld31uD733sc208gxceTcl3jbRYhLXAI
NftuLJOeaJBJueDUneWsc8zUu5zkH8MWJpgH9pvOL2U8M+TouWNeJF6cjpG1g04Jky9JdyV4LLpt
sL3Yg+2uyqiUReochJFRxbQxJJ09QmxO3m9Adi6HyD7gt5fZthYpTiw8ltjonSiq511oRzo+Lp1M
T27vzPWhd0zYtHGS1UbQ+5n/YyiG/FvbKFVfJo6FtWnppZ6dZGa/nozGqTF3AqSLQZChiZwjQK6G
qIuRVMnWRSAZyIoQhDQ+yqb19jPY2cu4mFW8ySEqGJTCEBxodwKca6V6RYQx1b2L1bbd+Txp2D2I
f7n4OsL+A48r+RJcFduRTQmMYzJWflhkg3ZT4ciDzfeJB3MhTnVG4MVyymifUOlSaQpWmx0jK6Hc
R6wZ9XJMwxlXxWX98C347qVA0WPriHVmcmeEuygf+4wNqJqdn4IpiL2284GQLZ5vt5lZJ0waqL6K
lpLyqGK1A2uGzCp3rjvMnuHRNdshulGj10uSDmE47pM27jDAucVd52EXOyuXmgTlC5/ozicAYm/b
aYnig8vINHmNAdPle6Bc87ytUqLy76DkxYfPcIiU2QzY9B0tmVSjN2nTo0jq7FDzuY8Wwv3QtpSZ
DXP6NegwrLjo8ZZ4t+XQduuma0ZynWFlBSEzRf/M9V2P+1SZ/dGB8NdsLLdlIEqqZtdp5l2UgXJ6
ADaZ54c5lonYRk1lK4KqvU6uSscbvfWSm2W36VKr3TKmHdgFoUe5YzMd6Fi7wWCxJWjH3UUSwguP
RQ1PwFrhHBLzipshTzekWLL2bUopt6t6mvOrDJuit2Zbhstsl3myqo6FKGZ/HzIgmFedm3vRM5eU
bA/O1BWUOWIcz8NoKyBQcdwO+VMEiCn5NPkOl3e67+agkNVlfF2HMa1dK4fbpPb9N2DJrrNqsCkC
l+flMJRs4nnZm1qR0okMZ8ngqLues1oMr9t6jCCxc6jGOMV5+uYnRkhFblb6Nkor7kQnrN4Ne/IZ
DoiFbQL6PmEi0QdNnOLlzfyRGOZiDwnYc1lFQRzCGbS6nGuqIGz6AzHPsA6mB0A1QGK4uHCzaP42
a0wSh3Y0NQWrGBio1EP/QNyKCaXU9sUDMueHwa4NB+Budt8D8m0DwgPpSU98Y6laQqB3oUIVX2tD
D5+tp/qM6l1hTillw3xyphXO9nHbMFNqQak8t4Sb+TzUkqDsxtq8YQVPZl2xfnnQAX9bMGUqBjZ/
1Al82VXJSgKy3o2YdpNmkFBz9CMAIvM/MXiiY0oB5X3khiwOBjomCxE8QGZV1l6MoIspV5kmhBEs
uWvfuJm27+u4dC6olvyQWLNYPm2Tt0OOsjnxXHaPvPP+HtCG4O+XnlmytqA9VKKYPnQr9PM8xx2b
QnSX7MzEtI5YJi/ZTxzn616Z2ZtOB68iu03OYO2VJjBosLgVM0hyitm13/c155Ktcn9r8MIYJqf+
CfDYjAEmLdGWChWOLFun2ScIFkKzByuGHxwbixiCkfQdJ3bty83/rWn6/0GEjOcL7MiIff+zdLmD
Ht18/Ak888+/9bt06fyGx9j2qZBtmwP5gkb4XbtUv5k+a+SEZf5ToPxvhIzzm2cynfClZynXdC+K
439rlxdZ0+O0MB3LMi+Emf9Eu0QDJeM767K4MHKwyvITlC+AU1DEeab3i3LpW/EgW9Ivm869bF9Y
lnl+iSw5/Q1a6c9ks8uPUdJB0ZW+Jy1e1y8/ppWQmsfLdFU66fDON1NtlbA1rWOXkpMH+PcPCz/k
kX+PxvkJhvvzC1MSxCSmSCF8XOO/UJd8mInQ10O58czJJ06dsyqQupjLE5ibjfQq8/hBIaKyv07d
E5mCOQuobHkv8AbuRO0nxxZXAJ6lwdpAdEmO/pyNV3Ahl7M5pdXfLGb/hQ71j3eIj9xhfOMLT3iX
D+oPlKiE0Ps8TuwJS8My/xoH1B4i2fw3JfAUcKIoHHgeISTmrV9NKZavflLj86yTaueycuKH7vv0
CU50xyaYpfzxh4f6d/LQH0lD1r8+J0qSnRYezCPkdnVRwP/w64G/wyuJ23bTA1W8ihcznZgOlnbg
tWN0wofmAekxq/LEfT9thCGYTGqsrPzOah9NjvdiEaW8maeIjE91EJFxR32A6EZcCAOMxEf2hhFT
7YbQaW4z7MufPagNmpW6uv/r1/JzBfWvjwZ6C9Am23YANak/vxbFrEeQQnE3VZ9FZ2p6xq+X9WnB
xCrZ49jEPe5aW7gbo2zHr0KOZbjKgFNwEeYQhJC9jLt+mro3SQWHu8csznlquK+TmW7b1r3yGraZ
4TIbcKka+oa86nDoygiGl07eKreGzRC6rwzi7euOfRkFnBY1x8O+mmV+SJtMXjOjq8/Q6RecGxG6
/8qKzXAboeSvEvgyyDAKoCTATRzEIvpSkjD8ijazOjFcXK46dhPh0eE0OjW5GHHhWobfBSV7kP5m
2ekFKPPLW6l8bKmXo0ixeexXnmA2JlVl1S5OVNs62Ua+fC2yxnrAQOLemlqe16IcfRRtIVCLKP6D
v/4wf54cv/wGnrBdxybRYdpsQ/jzh4mtoE3ddnY3Jm6EmxJgN6mmUZwhdu082/xhJON001+2LOKY
VpDjSIONP2SdNZ9OVXdXNQ1ZvrJq8As4LbOAceCIIlCwdskI7eq2jMp2Pwytnk7wI+Yvvx/Nh74K
WaOXTcaraaf6XC1S63VGSHIFb2Y6oxUk266X4m+e3J+sxH95sd7lTlKO7fJd/OXFKlENAHwl7Px6
uNaMgvAKWYZzqLhXbo2ZxYs1MzFQgtly19RKn+zKZTIEybnam4ujngADzd+bUYtvf/05/JsDXl1O
eYtPQLIG6ZcHIdPEpTN3dDfs32ShUVP+iNizCapgCrxpOP71D/s3h5FyfOsSMrIppP1fgH0lF9So
5ssinLn1XkU5g2XA3vs3e3Yvv/Ivb/affsovx0Smkli2duNuQBjE3wWkLCwgBb0d0ui8/Y9fkU8B
73t03K7DH//8weLyRa2LMMVknTc8m2PNAjDEm7+5ha3LP/PHl+Qqk8LBdS8TU0soj5TVH09xiyNX
zVkiAdg091VraTZYzrskHu4m0IB+fIMbZw027uuCMUNyM24WEyYM94kKEpt5AsUnanPklHeyrUbk
8a5DL75vmQECb4rgdMeaFqaPDpWD8wy/6NIE+Vh/T/D4/vVb9uvHA+rKdRzuSsf0L3UVE+Y/vpYF
C0TdS7LPtDjlOuxjtcJ0roNFlsbfHDL/8rb5Ql4uPlNSwBBe++XhjpbQQtI2/I2XSX0M59QAYrAM
J93g9rDbsN/zVvt/80MpBX/9UuH6pBKgXOJgw6/+68c1YlyxcnMMN4jXj27MxNWGdbLzw2l8ZScK
6Bdzau8NHR9YAvPm+UWy/S/qzmTHcSTd0q/SD9B2wXnYSpQouVySz9OG8AiP4DwYjaSRfPr7KesC
XbjoXjTQm94kKrMi3DWa/cM53/H1Yn0XKWrMwciQ3szYgQMfy7f3oDp6CM6WGy2wizEVdTdT/2di
qc92Mpla6RYdPHJd4uXR1VQIXXw9H91yogn1lfEQerpDNYZmP18yInFcJB+5sRh7ZmzuOWiZKqa9
cd9Zotr7s8Y4kFiCXWb9OMos3DQAeLgHnuDcMfLlpnOCZ/Dc43X1vrE4/DRgp64NTVbUuG76oVox
XgWTr72mV40AFaB9I2R1w6imiNG30VrXsio+8V2ZN4drk23DWU0/FpNIeEsOKr56sJ3PObeAaxv1
S9dND30QjzzPvEjN30wZkOKR5bAhArL+8kluXGlq3X7vyrLE/RIiyq/A0Vjo2C+MvssHc/YYjFuF
HBCQO9y5/Wj9UXYZnOvaV/vcTE2GFyX4BhZkZOVqqFZRwiXxVSqWhYgbCfYocKtV3rPb5QzgJajx
TcOaDuY/AUun3s6cR3hCcotMfTfbxi5s50ObNWtsVfYh8V5IMMKV7UTDYoV/Fw2ZQo8vNN1/oKW5
b7lFUgEYhHpHeNp7nck7VSNcUuOA28yS5pssCvtxKnukxkvX1vysCkZsuIab0JaPdQhMIR2D81T6
4PG7niioMSVrrgxmbwvgarr2EABikyHZwzAFNQl6vG0jGAxnk2Tp32AawjhdE3UwZNA9qiowPxrZ
Ve86t2O4My1UyWIOHsgt6B5FidxrM6dG5m5rSy5kw07La5WuwyOQgvG1s0gXRqOPLD9LurhrRXkR
nUwPmA3FU0mhdRkLlFKFYRmRiQWb3+x1l2QV467Us7EbncD8FonZH/HluRer77Dg8O4d1qIeHrHG
/+onf/lV3J6hNlwR98n0gMsvXtsXwyTVlezEK96EcyJ8FRdGoVn2l+3vJDFZ5hh8JKU95hTgAYgr
WZp3widYZhjkEK3METftnLqPvtTZpZTtGuFAM7fA6pu/2NfnvWCie4feub42bvAHXdtnAzIcTg0x
78mmt/L53Vd+e3BSDQFjQdSfoQ3ZjCpbj4g2iBHq0/e+U+9gN0c4Hq7Z/6pac3hLg9I71KGs49Be
0GngbNnS+aj7vu6JPgh771D0XbXvsVfuXJsHZRpe84ZYXpxzHlXUmQl/uGyeOGFnFHtSH83BJsLW
a9LY8vV9oqY/tpueSOHw4IKGbCEaw563RZ7xB0SaPU/M7nfTPAm4A0FwTXARsBMUKGfH5ZcK3Pap
6rV3ZXvMEL5uGLLa+XRkufCwdob9OGY174lFVgqeKc0E0ASiH5pDts9CjcCFlclstd29XzB6KW2W
wukCnsMFiPc62OA0SrtbT4ZByLLbEneHxJSZr6MWLgiJKYM4om81NiP7CFdfQEVUj+7S6vPginon
un7AO1bEMF4+ZVarPYPdJsJZJDlX+4j9LaZ6VOmXtmTdvIgZ568uiJQKJEEp5EVhpUjlA7pIcKsJ
rZ23t2vnzU4k5lsbgt6O0KiIze4VlM/4lCbLCeE3M2F1XMviBU5qwzPuykfbYHJVLbn1Y6xz9dRN
BZV+gJk0LpTF0LhfmyKae+/aWzC8SUdeD3K2n82E2KjGsTbjmAA49McYV+O4I2/hFzlOp8x0o8op
f5EBTuhaMzmxxgYa98J4bssOvfU8nRvWafd6bAsJyL5TH8gLzaiTukm+UtozmATE5e2XgtzNTbf2
pwFbztaqbYJTy/QyYt8F0qXNbaZxyjDHQlAoJFuYMUdQs3FRvu69EJNNq5M7yo42bouiPLW2mB6E
iaCfLUpzn7Vtd+d6qn1yPPmYlSYSy4p5fe70LbmiRhmbiZ+/JU3g4CBx8nusf/YHj7rdKbLXLs2U
V3GImTDOmGl+Ew1e3IGOGDdQrNRTby2Y0eouPEwkg2y7oaAdrBYE58CwjohsAVeRKBiVfWmcUeOM
eM84vIu8f+zNv2XGHGHjiUW9sAkmtxysw4Olq+XJS8vghHLrJkX2i5Ph2MvOqYbkvcGw+kFsIQJ8
qzJvghQZN2iCj4TFF7HTD/kXKAe4Zg75hpMM/A9Cx0BHZGF7V9gp1222PABty6KZlJIHJjsDqtCx
vSdUzj0Nk3LJQyL3LUsm48UysvwRF6x97FHG3DOPhFIbFumZaB7+lwqni/SLn66WxUvm1sb2hqmA
DUh836h+BbWb7Rt2NhD7mMsXaEIzooCqjrIbutZyVA4YMNHfdePVNciVUl5zJShMbrBIBsMW03Oy
E2Pgn7HEt0/DmrtoyGX94Vv4SYRw3hbCiiLgi1x/cphiV09YNwagYrGB5gqbilff9Ngo5myn3zs+
YRe5gT7ZF718Fu4E9WReq3DaIw7JjtL2uz2GeoJZ4ahHq1PzwU+GHmbV3HjOsWDFhw7PeA+wZT8E
/P0NvCjx2BCoel5z+eMp7NCoXW0q4KpvnsnfvGDsPvjK+Ut8DFi0NX0gbNCL5mUqI9hyBWNtXueU
MKQtMmRW4r5zRvWxm1KE0AFWxT6pNSIok+BySG/hFWzneEWalb7S4Xm3SOrc3IdO42UbH+7QxWEt
8eb3vvlU14Nxtgbd3dlpOp/neVY/imiWejNJ2ES64cEIwwFaNhvh7yDPmrsyh/ZnZfw9MwlE1HsN
fJGcom+fuDepIOfC8m2Fyr9H6LcA+ESasetDv3nqGr85ZrKY/qDI8sYNGKHulAKMjxXOEvhxCJte
RUJNUpAeiB3Z5b6eGP+g/PdI3HagSHJVjjIBmmQibjIrhANKE76+EIhdUWdKr0PhRHAou77qrUVC
8oH/vyL+VMFS23RZliS7Anyht5FtEV7ILyJztRQ6smmGZg4b4X6mkivI75Lq07NGPw5dAZiqRL24
0boOIU3KjgfPRgyB2lrYuwkLstqwLFyvM3FIlEy96q7dkqlzMRVPWD9/OWgRx9oZ9xkKt7s+TdLD
OK4f42rxhV6xs4KY6Q+jvbY7DCbQw27XDat2n+q2X+VtREQoCZ5vctUh/WFPMfdZMmZ7nzAUoEg+
y7u+Tkg+yfQ+wfVbkKC753YlPIfcvZqdYVOcBP6Qt2Ze2Sv/rI7/FGjrBQPEtymzI9l5uK3VR2bB
DatTUT/KyQgOymh8qDu1f19NQTlEVZvXUWuY7EdbAN6X2uj6yHdJN6orgZTfryzqpMAl8szth2eh
SiCbgCQxsXYWiqQmZ6OiPNf9njXEhy0PYXyQiZs+Yg9/TubaxorYNJ/zaqxQq7VhHxgt6T9TkQzP
kKhkvMwt6eRd5x8IP05v3LFy+SFwaWL4iuo6dW4OG6SYMd9k9rVD3z7i29GHyTDTz6YdzE0PI2Dn
tSlMmjS8s5uye0R6RvQ3KdUymlTeHX00d29Gj6GXXoWt0ia/wZW8dqVnNUDPs5b28r/8nWZXEXLd
RXIRHherx/oXepACiqUDwqqKVIGHwDS6cxi17norrO8hpgl3k3st+U5FhsMjNBDq505rg+K1SJdU
YfAsZji1G5+h4StM9PaTht04MSFocaxYIV/uMYwFeyw87esjeacIO+rmZ2DouJ/twfjmOwxr19bJ
oQSA9iAmY9zNfohlecbIfLSbQJyNzE5QouBVO1csBa/AZZsdYU3NtjVB/Y5JkEe57ZinOg1eiZm7
s+C6/SKPO2fbLbNnjGzt8+raYjt2yN9zAtBo6kLvMQzZtma4n5+IXrTOlm8kG35k+vt2FH5B5crQ
gdUS6plZmqe+cC04pCJ89ddhePFLjO/ROOS/OViqSzbp+VUbmC2jHMPB3sQo+EWQjeQ5ZOUhS4P1
vhry9GKuKfKMfm7v2qKzjx0bT5jPuIFaYaXveTcmVyhQDV8gRojaC/ITXGT1jlnZXjc9a37MvGvX
7eQEzf3mzkLa78N8YsqQXxnMTW+lw2BuFkt914aTCtncavWIeNBnnLL2y6GhXjt51eD90aa0bvmy
Tf5o81F9JONtaTJs05Z1dH3646yimzzgeWiWTZNrVAlF0ByyRhfvStX9pywcw9zZBosDhBor0C2K
8+J1NN2QPL4F10oterXx65rGJkhr415mGAWFZ+BwwnZ1mMBTbIRtEqq7ZP0D12SxJ1OwsvmWyHSb
LcHyJgAXvopcVFgSAjeS3Qr5SjbDpfTnRz8hIGkTTOV46HgKgjVo1/zlXx0PvR6O6l25BPAYoKSy
65jTwMWjmeaR3xdUIYlVEkVPqtsrsizmlYZBfcf/LX9XXTLvpnWyriaESNp7Cp5L0gv0fllSfBKG
26CfNGHVb4n91fjcs2yIK2lT7Ip/QulaogQ3fbo88UQZoXf9LGiqajvmUl/i2ffqQ2kDd3mrk0T9
nSxEe3AIp7G5sxx8tlsaA6Q1Iat8FtGJiSOuWspeR1TSQlwNF6XwyVwQTu1m1/0Y67k+dGtgP1Wr
HWLnzCVqx6lFE0eFX7R8290OKVtbawR0WnIUrOuIcbPMw2xfN+CYhxZbtItdrNshOF2se6bUt1y8
HIORhzp8xcoFf2TGE0YeT6hec9jDWy1YTGvp06eJYP6LQgshAL23vltFW/9yzW7aK8i07nbhhsUU
j8zkvvbr9R0XpvoLxMI7G6srfnjq8nNMNAIQ0kKHO65CjoF/T9zD2LhcVAvgF3c+0emTOxn3TMNS
zvMJsW80oeK8UWe7a46A7EJ+XwHVV9Eu+loGvwoyYhluc3C/SxNA5C6w9QmHYYDoTosGT7j2uk8l
QT1UnZN8sFLiezVVN0ds3j43UxLcJ72blnuAJr8qmDK2JtnPGRyWJ8wzY4hAd2VJODlgNp96ZhXp
E+766mVGq7e3jS49EUZvXksMOww++rFH5To1ar8063BcamntOqAOw6622v6dHAgMRFxfbwSjJwMn
fOaBodOmuuvXovyG6WLutG5RuXZGepLBaD6Q3yngbeM3CIiFQLYNpXgAGj7PC8RQF3bn1pmn9VyY
Jo0B3fAvy5XBkelqit1i/qPM6U+vxKtBC7ABKmEe2cbPUdDacH81RyhwpfGt79L0LggR4xGNnP+Z
YD0Tx4oQ6sJki5uhprCG+mL5KNkc8xZXSFztOnfijyIRgxw9H3aC5Wr1+/Yr8HMjHAmf5swBRudZ
CKQ264SgFpSzgfLEsBfUDSaBbU7Ck0PhRQu+vrl9j6+uXPWvHHtyuZ3gWF3nxH9ACeieB85gl6eV
RPlAGBcieHs8TVBdj9DziC6Ty6fBT0HoJ1wnojEpY29YZviQaTBH/bJ+BSNzOPzvtfPpo3q73sy+
H4qnfkeCB2jlsBmO7LjaHdMl++3mpHZEJsngTBb3IsxZb6llAIWAto1ueYwZOJBT6KG4SgbZ/SzV
zLitHkUMzRZ5/lx0W1vqIdkmDXT7lvAdXkITTzglbbrpuKw0OiquZOQ7c+z1q4hbQ4EH7j0ocelo
dRdliWZvOL1/bH0YkRtOOvO5C9DtM8qASKiLYIZbXMzH1VRPddJnDyTkbeoQnQc94GifkwSRRsHn
cPGWNiW9t10OvOMD4ZqWw9IVpRTi0/AEheZDC9t/y1YPoeTSo9AIVjSfKI8jl7v3biw8+xxMoxcF
lCsfk+kVpxqZMR6KtttZ8wTXiXBPtHGhPs86KDHtG2LZhXbGtq6hv3r0iWrcO5OeTr0f5r/TfuUC
rqDZIHKer2WeNq81QtyXNB3XJyFS/419fUtLRJbrzeIm7V0AIh4BC4CXCDjFLVAETZHdVdbzsDQh
/WwOKtYZuqO5klDYAUnbYhMqtkqWU7N1Gj4qoQNVKkYGqED9Ai4ntwGRvCix8ERh5qSUWwu2+zwk
+s8TLnD+sNWU9ljT4d+TrbBuFyW7eq8wCzwNJvj0ivIewinjEU3bZeWYFFwtHvNqKS6ybZO7QNZD
nLWobLR2vfvZaSRCYbPZg18hw3BS9ECKCIc+KbqHfG4fSNu0X82ZXOze+spb7xs5oLtxW48caio+
ufOytUZo1HvbYanO3pi4hzTNjKeude2tbOzgrl50dc5V+dJkIaHZIAz/Spxez37vOC/4m5JjTgmy
E3J6TixkUBCt9JOutXEYK7e8zNykQEDR1afF+JSINX321rqOFSpXFOBMmRno2mcg5mPs4sgFUdA2
G5Yhn2OALdZIK7SBCdqoqvfjEXE8rLfh70C38rOAqbY7gUhwwTIzu6u/mVg8lXlXH/EHVDuJSjn2
M8VsiOhCCFRMB3YrSI4Xkj33K+tQm6zMo8nKdmcs6rejaszfMJOvwTj0sFFLhJsbwUnaMH+KncQY
9y34LACZgxUgtLtKFzGZJF162vauGvdAkfBdDqyWux3MuFMA6HXtxC4smsuUi/GzDt2fMRBpPIrZ
PILj4E8HCHdHo9+2yru31uEgOvq7Fvn5qZfZldlvy+6gjtuseGyFa/xCFas5mmiHLV3PjPOn5cQA
7LUMHcYKhr9l8bC18pxh3zR2R1gApxQyA73EXP3YkLnBjfdfWG/vwRCiiEzzliQi0wLizG7f4joQ
xPS6tECrmx99a1FERoakvG2Ghk0WpYd/csVcbvuVBhnztI+jF296YGJPSG7tBDEv81eD5fAEq92J
kHXStI/zHt2Xigwf6RaOePdXi2b22ZNpg4UusxBfaeKu9/B6hkOFp81h1tJmd67ISy+2a9P97CdT
pN8J/4GvZ99BxMRi82I7QIR7DQJrUy7TDs12R5q59HZrECzhngUFoww0gY+JcJJn2WHWIYu1DWM/
sI6YH6M0kNaddC3Ey82k9XIgeiL/RurIregDudj0IEWLF5GvBStHE2P4d4rwj+hM14biCXYsOXk5
/ck2LTGEfYZhUT6Gqe/aR7bJmOQRfN4OuLy4r1wA2jfkxFZLROUgGlDtp9yHHgnyt/M0BIxW9vlT
gd7/eRwA/W45N5rYLlZmmjoht3fj5Z7/2TXV+L20lvvzT85t74QjJPuQulnR14Ernav9ug7WNpCL
ORwKl+seyR/TiDyd6BaTDnVJIPoPBsVIrS2NE3Ae/Dvfc5nhCx+XBY7wZK0untECDu7k1S6so6q7
78wgw4Q919XlfkdEdSVd/KSKAUOMCW0GdkWTProUJGc+cdknomlJRww9Q6XGvb+YP71LgiiiVkil
2BbYLi0SOkIYT3X4NaXTkyvnDydRMxCGhDKjWG15nEt+V5AON0tPewlBgG+9ng96nTNsJFz0JrIx
xyfu7oYbsmRKBkeyBkNZ06kOwplRb6JT/rNOxG72Dhn0lD2wTjJ7M/gJPZMzGahMPLZSoOD0c9g2
w2s6klkz5zZD6sqVFxygD0ZVnpUtkp05+7iHgowhhWqTBAgBjcwOVZqMQIasx6m1hy8sI4Rc9N4y
n4ijMyDtu2VB4ZuzFpYDl249phx52TZgXrAUaXhYDPAwBq2OxflTtxcDwfKz1KFJocX8NDcEyxG3
+MSlb8bLxInLbHU+563bR/DK14/Fp2urt6yymGyQe5FfkYd+aG3ajwR1JOleDfby1Rl5eRipjs9O
OHgfi1zRykvWepREKw62YgmN81wJQ258n5cBPZhA5K7S5GozGvpNb0oXshbJJZ9SLLcDrx+vpMh8
c5cgsn+lhSN9rO9jrHJbXZvGyQnhM2dqKl9xtR76sdN7t9ZvgyJ6hnj1VxbIMa4f/1CxS0IF3mO0
XVCkR27vMuMuxJWkXMhUFA6vKEZhYAUdncnEB21TeUb/t1nzSyd9HCP5EiP0jRpdtTuv1FzZDPK3
a5Azgc+6XWbZU6QQuuBvsbp0Hy61RY+PGIWcCzf/ZY34ghA1wq4gHrj/MJqQ2arnyKNbWPKnKZnH
RrPFB0RjoM03tQyn5wqTPYxkcygPJfFpDNfIifazoH7FNKL6eGRYF26huqw8Lp9A5cZLHzNZXgZ/
pLKYuvyOzQkrB6uuDnMfYhbo8aPIjVPr9Wmd8+aA8EwT4gMt8BCURkXaUDuyTgBD/YHgOP+9mr25
bdC2PHsdFh/qwi4/uavDEeb608NQsjabAPztODdgNucW4dWBbJ1jb8GwIXxalxdNHXM3ERiPNUZ1
sOeybIZ08a8o6wE+baQHXvKtsMa3UuHsCII12OXe1McaHyFlnXX0/I5rEDRb7CoqqA1NqQUeHmhI
1rNVhG0p18em+1FFLv4QDyK2vT+K+/JW8erVyp/Q64EAC4Fkt3VVPBTripXOLOwHMHLrm5NZ/i4I
hQvmbYVX4LrDxloVDJqynbdw/ji3Gqu8R2aEmNyfqJ0TCbNF8v5M1HL7kVM69uySvX/b3zZjMjHf
K8YNdwlboKgrIao0uY2fDMfwuTRb9zfWdhwbTPW4PErwn9HouJjLNNC+Kht1xAzJjshPGDddKYYP
KJ3us8nn8zHrTD5KqY2Z1VnbJxel1KZlD7Xl5lFRwSHLgGrC+oGzg2lKueRRUBLKk9ddGRMeOLzL
hLOuNWwW+rpB2bZZjIJnfGPJT9uqMdkspf6gdqADfzvoaD/dKcivi6VkxDoR+ghCxQ0Qa3eLNX/a
WgYCcbes2i2xRwsK+YArJ20n3h3dyuBbaPHZBMufdPLtM77DBz5QTOuZJm3raigeMmHWIx5P8qYi
7WT1fAlXVtdxR9c7xi2HJ6bCXk0HPtaS8vEmQtd1ALS/yNNXXxpquV1EkxG1YUWcmeCVRTKwhvfN
ZCYH16/731aqIcA3T4lvD1dCq5djY8w42EsB72bQBfKZbMiTx5Rh0TOfrvy9bDrzQ1tQtj1fpbuU
pJF90ibr1YPIvpX+LRQnWSbWzpVpfKC6HF5LHMUR9iPJOHw1g2PWW3KLaiv9E6ZrEHWJUe4IVF+e
ZSi7+4a8nD23RbUDgqbumtkAZb9C/WT9Yv7TJY9b3HryJAq6Lyutqjt3SQGPDeEAgzdnY7KSlbVX
5JBcGLQMxzUrxXcJoejNVhTaDU3SQYlMMYf1s3iGdbw3B29XWfP4I0IJC/Kf6Hbf0l61zcz8Pln1
/MAnsqKkdvrP1puK33aIUr8nkunZ961Jbxb6nS5aWB+jYCBaixyxueCfJVOSF4J8wDiz3AjmrTEN
6tmca3Vx4MC6FyNoprthwbDKjFqPuH3D/CDzjA36WhoPpDAEdJJebR5CM6t2nTegUbmBBHzQry8J
JLUL+BQKEdNnaFNZpMBBhNrj5GGJGazVa4bl35UCCdWq2rNoxavfiD820s6XuhPyieyxZC/aOb9V
te20BUH2ZhDQfl3g0L7Yczk9iWVqo6J41Ixa9xZExQ+gRerBhdjwIZJs2BUIUU52mwdbSCzjB8fK
h1dW9nkRt/pA1+XFLh3rBFraiKs0qx9AV5VbfK3lzzQluGG0ZWz7esppVQxOBwRWB3rDPN1KTIXk
9viOS6SMkvEEsPizTiV4G4xp1m8syNRjqjMEVJ11ORW5m0Z4nJjLkjwWqZu1P+1GayudmzSiGQOO
prQ71p3H3OdG7rL98a4jHWibeab54YYVNtGAR3UzkNfmI8PW/ASfzN4zsy34qf68bwkyAgRc2Q+d
L9WuDkMzElkTnPBHIYpt/mrmNd7MnVEl4xxTRoc3RqODfbPIjG2iiuYgPabGpFB/Bln2g0rpT8C0
dZuyxc4Tcz/7Nwyl8oq4k+2f0gPpRgJQ3OQgvuql5PBb4MnW033ap/fab9/mkWMHlG00VyyGhLmA
ESOol6/sdjSdaMp9k1iv7hkM2AHF0NY3pgyPWVNtXQ2s1GUrNAB9YJEVjIx7aqx/qSUOqyHvKts5
jMVyj02jihfTYyPEjzyoAJe+M6Tokbs1p5kcx+LL75Z+L3wcT4Gfl88W+68Xt6FjbFeQEF7dmvH/
XFuDupHV/c4vh/SbdBPnTAts7NcghRylcvX6jzjv/3XC6P9H2aE2ylZ0f/9nJ8jLd51X/+Py/TP+
O8Xmv/7av6wgoPFtTCA0X4CKQyS8SEr/ZQXxvf+wTKj5ngePhpvH51f9lxXEtP8DlSNSV+O/3CD/
ywoS/IeBLJC/Bc+elguV4v+NFeS/a7l9Bsc3Mbfl8tssw/pv4tBe2sHozdDpsPg9mAlU+FLIr9oh
R7LHTSyG8s7BCXgYFYDUf3ul/jf2As++/fB/V6Yy16T9Ci1eExtoj/ffBLCzMNFWYbnamZVYD8ng
pVsxkK3bz2reDGRdUKYVFvmRUxaPVPj3A8ao39juSJLq5gyy+OAolh7rOl8mN+BaWmf3BO1hBtOR
23eyZweW9yo827kKorHnfEVMR+gERDk43n3nPzJBd8tzh3l8Kz3vhbFcuPUxMVxomtuO20WbV4d1
mRGNnjpjY6Zvy8uBnmVY9zfAK/cJtMuLD7z4xTQkPtauttfHfsG7aQVKvPjkdG3ZLKAEsOl58Sg4
57S84VPYZL8WOWGF0k+qjUmIBnnN3hhjL3NPIeV1fAPw0XQ7DsKnXghs0kSqlAfHl9a9z7BGRb3I
R30UbCvsk8TTCybMt5M4zfEz9yAoiRfgwPsKSPOyQeZ01hMzBiLMWA3ehjWCV03Zy2GZCnU/pL1g
AIf26REvwQSCcjE+WV8o9pJsgpatgS31JmPR+kMzV6NXC3T93NjqfZTC3U2JxYbcGk5B45xC0HcH
RE8I6fsgjwspvrzRCM/G6MwexLeZgM5RjdamLAvQYF4BLOWw1vN8GQGF8GaV5Ylhdx1XmVfGVpCS
C1fIoL1vsBwds4pFkM1+/QVFQ4E6VqdR3kMiUApa0TrydiuzNL6JRCLetekU4ky/nuNShFfsJfoe
0lK6L8GOnm2Bgdlix8yoEi+nL1RwMAdCqUK+OSSqDaN5v+Q664Dx1P62L5jt7ztR8fazbIbw3TlH
DC+kqwoLaDn434jiQb2TIxS8+2VpnDuG3j2iwFNgSnujbp/zIc0p48gWPttLH75MMKQ3WT0OEbA5
tUMAxhqjDjuYLBLCH++gevEthC8bFzrfc5AqrsLJJXmj3S7MtbOIIodiXeG5/SqC0Tb3nRdYREKN
RoOWSYFu3GWmdsu9s641AA1tOdO+zvP1EmCN+tU4yfBk2A2OVL8YuH8omZ+1nfh/1tTqn32twlc0
LOxRl2wUX0Vuzfc5GooXuyRvI5rbWfoXB6EI0JR5anuQDG6i96YQMvZCt2CDBic6xawo0/Y4lKn+
1S0z25epsKz7oqfT+woCtcSr7y70EsTg8L32il9q7qsHXRdlBD+3elG55R6aVh5VA1UCeNvf9ea8
hi6oYZHa9l8AHt0Pxo/isKRufiYQIzsC/UT3kHTwllCTTBcvJEXBcHNWv+NsDq+etsLfRWInR9F6
sJ7QOG8bpTXoT1W7h9Jg4hORWKzOdKQZi/yGtVVSyV2FL+RitKv7naxTs0dknP+1KG92mliGp0ZM
wTNGGPMbA5n3YI7rGCdZwks4B+qVEqWNq4l83GFO64+scOUbXY39isDLOSJ/vOXiLgTYosWGv8eI
XcedUhW1blNhbKFsM/vfNL1NesrsPlWMnKrAebXavNXARofko1+TOGHj/DdJ0JofnMUY150JYXw9
WFqsrCIYNu0Qye6DJYM+wYS0RvM/9qxPUkOyxiREDaWnKcI+mosp/+aTNtPVJdnCgUQFzRY45zSG
r0rgVsb0HDF6hx4gsu2xBhfIwvR+6NjRr+hNqT8deovbyiw4JjIwv1zhhtBV1ukoDT95VzYAbWxv
kxZR0ehc7JIEpeaJUXPynREY6SPuCvUJ3ZsmPLMZ/CNBeHmC47dEd0FeJwAgEgl2SUrQbFPM3WXo
M2XdZXUQIsZaPhcWoBbtAy8M/Yl4brBP/WE8Mx3V2mY7TY+BSm4kB36zTMsgI2+pmw8+/MSv1StR
TVvgF6Edl8kAR2x0JeNBqSdPbxHDDLQ6iICZ1+jO/Jy7iayyAfnivs6MhkDeUQ6fotHKoSDrnHfC
mIwPmVOAGpIKOx8ZbtrOGkYh+oU9PGx1RZgV/ih0SBcDsnER2+5gkDnjrTD9qzVp4yXFw4+RzctP
0ITAqqSdb7+QSs00XTt86Tetw3BqKXoeQF2uJcy5bIU8o80C3m9aFrXYlKpEabGODucF8hbEk23J
KB/ejDuyrPfsdd4H/2Qs1xARBL4p7p3gFsLM1ZMAfAfGwmRjnrrXMiewuaSV3vOWkSlYEOfslNV8
L28RzzmcpHDDhnG4Y7pNLGOV2WIgEbtuUB1hvEaqi5XgFhxNuov7oODDZ7uw9u1rMU045BwGtSnR
OffEmAGyAMRxQvCsieiF/rGB0Vc0WyRfaKbDW4Q16jvSrPU/ydYs2IzbFx0I5zr01i7F1/RTLIge
2LfkZGO3Zaj+9sDFQbHcsrON/6TuzHYjR9Is/SqNvmeCNBq3QXdd+L7IXUsoFFLcEFKEgquRRhr3
p+/PowuNrMRMzTQwGGDqolCFTG3udPK385/zHbaQOyROJqHoVq6tJBbp0K47DOz13u386SHF2vcE
pT95cTpauutbX3eMyIWCkSLAcTDy1umt2dukSXpvglvdt7g1f5e3DvDh1gae/i4GR8OgPc658ebX
IdnhlSu99hIu6d0sb56mgQdy30CPtmsE3ECkz8Oth3ygmTGAzI/oJn73lEPSvEqQvFQM0ln0NHVg
pmfZ2ecUBZI1FUbCmjT+rf/cqhdnzUyG5RYbDgPsDwxE3oY4+z0NBqQsbgRpmWt+Hl/o7zioBaeu
HulcL3yxVihiO3nTSHDHVeEDdSYsw32Dv21TiFuBe+0TDIV2Hr7ylCNdV3NRMQcxCP1S4IqvrGEo
gw9vvfC+YIsKeDujagbujk11fKpku8K2wh7S9O0nCKoQqTzMuh8kR6kBU78rwYZW09A2CPuu+F0Z
1tAhS33Y7yqxErgFC3F6S8djlfn6VmaxMK0Vqq8gXc0NnSbd0q9pAsC1HCQez0PdZ/23zjPi29jY
tFdiZ4Jxw6jirzqfpcfKDkOZbfPG9n8suggeJSTnFw6jdM42Q1acktDVVCYLpq9ta+z6a5MoM22d
ceDzpOYoemiMXq6F3Q6Htgrk829qgC1Ejhjsh6/YqOm+npweTBPmxUkfYwQDGkexLfLmcQPXuORK
IDxUJbSfUSGydDcsOLB5oufzFw9GMEApM4Fxqebc9g72VLd3xJhSsyUgXt+l7PJ+dVRTcYvPnWm4
vS9w0GJDHcHa8SU3sWwYPYIAzViO95WSfom/x+pZt0AcWbYysWYQ2/YUVhsCNbzrel54gfIiykqK
VfAK77w5FV+GFiPRiYYSSHH5IMRwYhk0hDvHKRg6cHSf+iEoQ8Yee2ICxlO6cmZZnHSc0zIZBSJ8
ZjMovgWp7cOcoUX55BAxPSsnne4WbjoFt/Qi+AotcqjOEwbphi6KkWVzMd3WYCFoQUZWONFnKk6s
99BqsokKlwW4TmAzRm1HwSl4LTg5DLvO9tm68p5E7Smd4/hbWQ75SzsDvb5b0s4Pj143JseybrGN
to31aTt4PYvYgfFp81Q5zhPABgwNaf7qjpJ+P9AZ3TfebX2h8pWt2aLc7uhxMz/EphTnRcLJjLy4
u2PdXmaEGGowDvzp25lfAvHNl9NVs91JN0FKES7N22ZGzI0a7xnduqGU4p+fx5xbHv8fjmMe4Up0
BXZNZAal5Dj653AdEETKazLZYfiySzhbCVGB6kvj6Fc3Ul+EV/FgDVL4Eib7TmZnefznP/+vAc+Q
H+/bdiiZ7mxp27d//qe0eREboYrRgpwcm2ZlLbrC5ZqV53/+U36faP/6V0biduK0+Tle9JdD52xw
uxGlgDmZABbrWSlTLGS5VniQ6UI9bjFoJVYigkiPPGqJjRhpS1s5xPFenWn2jrNFgMTXqnsqsiC6
3F6ytQ+L9mqNen4FSqrXbHiTat3zXOwegPXU8X8mR/9vKy2X7EdLQvVX92//wNn427/9mP7HD2jv
bZak3d/+P9JjHJ/AOdHIfwoWfv4s36vkvXr/syTzp6/8uyzj/AGz58+Ijv+SZYI/BDlriWCDXwAK
x59kmegPJgaAv570RBginv8XocPx/mDkiaKIWHXo4kv878ky0e3D9ufLFNP1LXqKgU5GIY6Nm3Dz
p09DVoSZccFnMIJ0Tz67hoPqJkFTuNfvIkuNn3k4I0D6UUQ/q5rXwVSa3ZD67oEnhYs5J6/s7cB1
mZONGL1HUvndzlni6ogHW6EzwHAL4sS/uDDNj7Br6l0HV+hnK+J6t5RTHvAtdfdhKBHFOW9jcFu1
U+a/cuZMXzpdmUtTtxz0esHmAsuuHZ6DaQlR9ccOFGCCwnugXov1fzLSXd1Li8bBaiSAubTc4sIz
I+Xw6gt2ZGw9cBLxchDFBGYuDy2GYNBNPGLXqpXtkUNx/rVSgdTrqvFHQGnlhNRr0S1YrSsW1ffF
JCUbIOloomNW5F1ufulqP6Glfa1ae3iL7HABPh/gVtJRHj9DJcQGJ+yCLRVk2PR6c51CirUmP1l1
qZvddzwBXtqKCO4WBwMdyKgfq2Gcr87sDKzvzPijtpX6bkE9Y+NbGnNP8t1KN2NFnxLt9t5LbJPU
7FzXek6LwH61alatK98NhuPcDOPjQPfEtiXr8fMW0A7WiT/dfvHSBbLF796nSBJ1SP9AL+o7m1QP
h/OprD78XmOYS7HArZiWBL9kGEEaJQC3L4gn3kOiZPgugnnexPVtuURfTYepwM/2gvkLthzZSJnG
Ifb68USTib1lRUzdF/mWp37KcPCSnHFuuHpGbcxeMQVfy/ieEBc5jXMwXrig+jxGV9fW3leD3CZl
EGzSNtoMk2F0sZ0BpBqJw8BS2Ys2NdHIyWrOjsX8aVmBAjI3NfcBRLV9reoZ3Q+bUhoV9pYIfnLw
e8WCXeLGEhapKLgu9necvMsJJ1r8AHA/v8w5F2pbj8FHV1TTjhyiORa1gBBfhc9NM64xjxARz/v0
Abg8xb1Rq79CJo13JF3le+b08zmjVwJgHY4knynHZRH2zbb1m6ICfoUhdADCN7yQmYITjTuQ2gaa
NLIvahoP7ZQ/aAG7KfVOvt4lwcLYUZU3oxtpZep0egyFN+MOsx02Sm2S7JnPQXAxDhTCqPB81t/d
lJ9K3DavJrDDZ9iMdbGpXdL8WPAopF/p6ZYTZhcxfxGN3RwKrqmrzcuH0tkBV0afyo4qwjS2UrUv
X6o8lFdPhe7BaW9o2VmxNIiDMfuFvVfv2lExhVJWYz6g0jJ9kNOIKMR2GJkpYOPtx3VAX5nnzw+p
zNJHDhb+BvaXDaCVpcGDnpqE0zPa1dOEF0lzGEaERcEe3nSWw+jO8EPPduVdAUVzIKNFZ+E70The
Dr3zFIkmOIRLQ0VGrFnXhdEkvvYqGA/+OM0fUZmp57nDE3wQfi4/uL6zX6nPhnsFLakB8TaL9N2J
S1LTDbRygKhpENzndK1sZ1sJiHogUJpdQXpxP2KtwHeHe3Gv+6K6B8TpPg/w1inx9sSXQlE52lpA
mle8KP5DmlGRsBF+Qxqsxaq27+0+uV/G3CHEkPj7fMy6O6wW6kfOJcy7GrviBaWuuysL4zIwLc0h
JI9K01oZXqtKYSQoW6rxVoix9tmPKfLkoJqcPWfI75ywIHEPFYJkY2s5zrPl+SMLb7+0tnx+gysL
G/UYton9JMUkNLZg301PTMPB16RUNrxbHu4/xqVe1rYCBRzA6Wmw7NH90YenvKFphmMZTEmw0AMG
fqsu9hkmRLMtMmg3LlikwxhVVztvCbs4lmdttDvlqzTqnMOE8Y2WcsxbHh/crbHxhVKpQHZpXKov
ZkAo6lgeEY+J7mlyTS70kYY/sMpnlzGJi50j6gXpvQOV4CtBnw0ev2JpissweGSFqxjPp/KCM6d7
3kOR+Hdx1BQowjkiQmCqczXTUILA3o9bIhUfjsH1UjpWe3AJzX3Dfbzzw/5b7pd6z0efRTwt9Wkj
0o2VF8NPWWefudHB1jcsY6kuoUiwRjmnEeOUWbLZe70nj1Th3cNQCTbwYK1Hx6ogQS5JdUys+GQn
LUYjTKX2tiut+XXWN1k0dpL2UcTSxWCXWHrbSrHhXPFMDGraKTwKuzrVr6U9iyN5SWfjt9nHTcoq
CToICpQ09PwNfXToeshw066L5fDkDDK/EJfWCCy6u7ZCnIPQ+95P+oB6gEuJgqsVskFPK8DkcGoS
d47sFgjArKvppmsp7cAlV0MJxJ5wFiSJ4G3Czk9Xk3crd09t/iekKLVv3PzUFjHenNibSd0vKSM4
hq9uVgDxR0Iqbfmu5hJIJzuIN7fUJgJ2OmcX0r7DvkqdBkOZyya76cp2vzRjyMEQ1NI6GKb+rNKk
UKyV22Rj5sVdLb3lfiqaRbJbhs4rtlIT4za2lZRrPfZwkixteA5kwmDHw91R4Z2HUvKjqk1/H/jd
eJ8VqVnhCwT/O/IQiyiCWeMju9R1eM+fRZNU4s35s2vshvLQiEK5tROP00scpz8jLve3xfM3jD0X
Lw37XWGa/J0bYvNE1CTDHeUp9/emiT8KV5INP+MRiXN5s5KGYuKgnEjfttEIwXvBRzHSd+JG7XgJ
sLN8GFGQiOYHrxLq8DDvuLQbKisg1aPbr3UwVIfEL7clms8Ju1r/oPM4ecEHo/eKTodfMLfK13GQ
eieChc1DWFYqO5QsYA5jFREXH9hMUAsHz3DlSVk98AwY94SIhyukzuXEwle+ZNj5T5OxplPDemTj
No191MrreCAF3h2CdI1bUmQ3JwivlYes+ANqk33AdWg2LmDrHVY14ClYUfcF5qalK77OfgEOAyRr
QApmrV1MeObWeIqNMJwgZa5C1W/7sf105cg8V3MpQo7cCg450GMhrHWj2kAs3UA+fbTcxj1xqpXH
Qs/eIVNx/e5xP1tTDk2lPdEqerUre6e7rOYJIzrCImH46JPGukuwOO0gH8eXCq1yRW8UvUBlRZEM
zniWe+KaDP1ZiPmX49Dswh4htom/Sx9Dcmm2cvFY3wtGrStlvXJXJWNz7pYk3Vs4E20z8lSJWmd4
7uK2+4qrpFxP2TTsRme62gne3SAyeHuJorDJAN9hxsSF0kYwY5Y62rncytK1605vfNFwl6lg+cAx
QX8DuIidTJPqDj+N+43XmxiP9HuSG1pnwU6nhdx6iW0diOGnJzy5waOm/WAVs+A8k/sr7oUXlFfK
IeJHYBThnQIsfDew9ROrVBfeA59Q1Erkt/aOc4h6rBLhfS420rQkAnPvTsK5er3wT31bep+UtEX4
4CmsY4OVfXHbpjl7ti9RGpoqe8P71F24bZbHBh1zY5rgB8jy6BBUlB0mOFCunXTCN7yzGBXzqkJ8
5kHPXOTm+qLnhgBCm7nZsVYJ6ZPU0zN3DzzAyTJVO4q4+0PUBv7R8oL5ibJdsxCr70/0CcSbyoqq
E7aX+WV0TXU/qfS1BsH5YMe6AEccNgfC3dlmLtw9lu8C9SpvdkHmO1uWPYjOqVNf2yDnSafjZKuZ
m2iU5ebcR35G2KPwvtkcZXiZQ3Xf9NzwmB/r15S10feoKosTPcNcwK2R1AUAW10tsPSA43BkfkwE
CyDV+/1W6GX6Ec9lQT6M515M+9gG/hRZr4Dn+ISV9FwHzVe/G5JvoRUzZSp6A3sGorZNjgs+C9as
WPJV+c5WbHjgiTqh7jLybmyvNyvc9xvbplOaYxbRJz3+yDLALkWk1SlvgbgNCN9H13OcUzABABaG
xrBJgZwf03Ad2fiTNDgcEPw/x8GOfiYhYcu85lsxwhL0G8v2x0yPx7kcKFLHSFoWOzHCJyajbm/Z
Sdc7KiN4+eQo7y0vZP9G9PkBqnKFT6fWHzYXDC3yznDMCaZTFpfTGOcYxokmsg4d5QMXFdkUQiTZ
/CWOM8O8kJfvhRMt/Cms9oF8pD84jIkj+Clng69TrgYox18pyB2fimEJyIhXrvNWBTVpVJSvXZPZ
+sDmCfZeFpU6IlOlOPR0ofPQ0iCzjgezMSHVNcRso2IX6hndPaKEnaA5KuxaG94v/F3FK+U0I1fW
6O9rFi/srXq2vUCiGx4pNTlXv/drMu3hL+BGUCmju6mK+P66o4YNOEkEjJzx1D4VfmtvSfN9NuN0
oBP5OUSFXvvOkD3QUsIGpaxmjDpBsptl20AIqLsj6/vurbHr4X0ZwBhHQey/WEhgd5DL4h8WM1NJ
H2KFAN16WMX9RLLpGCAnLKW+8zup3oIw7pmNPO8IdKbZUw8AHCWaJwu/hKAwOVq8qQXAaLFeweld
3IxU0V5QhImRs4afTzg73MVtHv6w4ceB6jHejG8uDr5jcvKDlYVB6EUzIm11NEfXblzonpuGbD+n
cXbwhTu9+1UKLcgrKgcq9Ux8RFbLY0I/w6nwlunRMoYNAD5bijxRbLdxESzHBaXiKaJ54z2Z44wM
16hfNc+3m6nVPdJzrm4mZvYbnbCJCnQawGTn0IQXN/Vj53V0ZVPq0X7aSzI8W1jYg5UZpLn4BH22
Y0/AkmCECN+wXTT7wIhfWVFRgwtNIAGYk7kPYeLY65G2gBduHDCmbdOnG21RpzcFC4H/WIidNc/q
tfcKJtcloDCHjzsezLIm/Tp417JtAfksZpmBVVSjwrQszEMRdPqe4ZpeUhj/86HNBbcaQDnDU1Jj
NoHU4ZVH7atwT3FS+yXXzLA0jhfqoEQkNxGnmDtynCwLysp89W2LNYkbBCSnigSAOTaJuI2BWUfL
kB/HikisZ8blpBjPTniMx1eI9cNzxBT62IuRpwnAgxclpuwUDU7+kQQ9z6J4XK5EXTRoZm0nd63M
nUtlCL2mDihJLy+9o60H7BcLa8caa7zvvZOyTvUtPWi/K98p4LoFy/RNFphgAF9hgV0FnbSb7Q3d
dbYWQxq6Zvm+wnGy7GB76QvPcf2WTrF+GQLQkIuWHAxCrKIzZej3FDmFX/2gCE4hYQmolQOrJkuo
KxtURqy8g22I8SAbXrFX+hvPztP7WE7QaTBcBwSDCv8Nsz99usa2V50OyzPRNKbOLA9omOxlsw2a
GGe18RPe2vAdpyF3sNzaL4hWIEI4g/N3sPFiUzEId+3HIXdX5ObCrKub9kDLvTo4HbaK1qLQyi1x
5NWF6elbh0X/YdGjTKVEzrgUFT7gIZCRqkOzwla7JqK35q9mvLVgk2cUjV4y7NRrT0zV2ptgHP2n
VP//TP/9BznY/O23PAxid/Pevf/D/9lSEAIroP9s56dP05fdb+n47//m/+k//JfP39/ledaf//6v
7z9VVm0y07XZj+7PAi2cV4kz7n9ttcNe8t7+y0P7/vPTpP+Tr/y7rCv/AJIsWCOApCQs6qCb/t1t
F/wBE1g4HtxSKLDhDcn8d7cdpXEUfCG2cngTOH1cvojZpEv//V+F+0coWUaAO42kA/Jf/Hfcdn9l
CjqR8BwZ2L4PLUQ4N8r0n0Vd8mYkY3tv2Ou8i76MfTvfV3z+iMRGWfthRUtxHm3c2f8baiJrur/K
yU4kJcaT0ANCj8bn/eUnY7wvqIIYhr0v+3iXta6n35W4pZuywZFq1WunSNcZ0J/XErvSsp1kjfoa
BqVLQ3cx2v7eLrUj1qZ1SyJQcYaS5FB/IJ056UivgdO3DVXO60KxyT+M4laPRrcTxZLO2PEJ0HU4
f8B1WbkdLDQeU27wpghA3kJf0Yuyc5XSuT0MjzNFR3pTdKgpGTJ1xlgUU5s6OKJ/rcjG7TyH9plQ
qbPMaiKrPHRHqrHNUn1gMlunHWGYhar0jYlret5b5860Y/7I8Tv4hqWo2buxld+1SjvcITgwEKRM
/PirRQI+3y6JRW1nSLKCrvFPhoRiD8xgF2NTOnZiykmqpg8EbYLdMKmFFFFNHbhTvWTZLeuheR47
I6vPkMBZFoknwu7cAfLytjyt4RBErryv9LgJJ2p0hEvsJhl7vrBtvF2l8cFDBgMvpcnmtpN4x2WG
ZSmSmJUYeVISMoiV+4q26fHWl90QvoVFF+19n3CR8ZaSf6lmCI3NeD+2fXPHvhhjfgzQLwZsv+vq
Hl5MK/s1h3kWVAlZ0o6EzLYImZzNhDTTeUl/FLYhn5W53lHi4FxZg2i2Ttv3OMZNtnfHVKwX3Irr
3qsE6aC838U6UdhsSDZGXhlvsIhn+2VsaV6lDoMqCCcpCadZ8icJd2g7krk3sHzryh21OjoMK0/z
UpoCS3kpN4npea6GE5b3FSsEF8JbmKpkg9ggo9teHIsP1m/zTg9YUa81eTprndGB/Zb0MrzQAONA
PBPqJ/MpsjrSiufemMow1+rizqaslMRxa2fXXETNscMKkNjSOilX6xMB4vqbwkTCa523KKs2zcrL
tsW+vazpvOYEaNu173PT9+sHVQ4UKNgkxGC/gIXbCHTIqzQFWd7Jccu70ihnPzm6VFgP0/CL8gBZ
bSwl7U3jV4vYepaDSQO4VnixwUAyLjTz8CioV93JJJ2TU5JoRhHk3+DNdCGHWmgeCxAvt07JgVjU
yIyhfbytM0g8YTdgNV6LYwFBlD5vO0wO2GHkc922HDLpnc9mXsxbOSO4gZEmFF+X966qh5coabAO
sEigv8qfhHtOLNmO29BDSj3NY+d81o3GzEdy9aVw06bfd8qBkkXCMNpJF1zmyjUNeZ0VSWTrKUTB
gfXWYAcyYc5R3BOty/aGgsSVC2nnuRe0DzKwW2dw1tgV+Y+7JoEZkFJiT8TvB4EPMAtzwPwTuNqH
Uekd6umeDILc9TNxUzWI8jCkkXvvyxwkhqT/pyvIbKNi3EVEH1aLc/PM2tps1GKRGtXNtfIX89Dk
9k+cWf6KDZaCVFAmBzsP9KUKAg5IxEh2wayQ9VWQPUCh6vYTrtAzsp3YduMEdgfAwW6mPOJqk3LM
NrhlbnjEYvqlVExAiGhLdo4ItqVcwCGlhkuF93jVzp7zESAmn0rRl2eSQvcTrlTWPAbS4gaouPE/
m3p2SgaMepbrsLIIV4Cc7lTC89gwrPiO97VI52BnqqF/jFhzM9ll7HJQbYbT0i+f2m1u2f5aSpwK
VGlG+JIugytRRwqUuWiyki2YLk7tHRERy3biZu25vbu2wfI9BUQLkcqtpYUKMhccZBLMSh3JzqsZ
sYFvUxq+CAB1AMwJm63nrhYO9LAp4MrC8cHdIvkIsRNvLACXBzckXOZ4gb0uUSBW+STE15Dsx9m7
ZUlYpfAdJi7ghKweGHizRkMmai8UUTnvRNtIcNHCT0+97/3i6ZRdqe4BZNs2tL/7XCnmmBN8W+uY
Jr9tuyyQNDKTONXGmpv2Z2ZR6oXNrSWo61eGlQmtkGabttAhEOAHWqLSAXhJUnzrMhwhZeDSeUzs
bc85YqIhhg/M3sO1AqgdaI8kNzaEVzx+6iXgfVoPk9MeOFFVP3t2rQ9mauKPuSwd+cU0ittst1Qp
DPYOQy97HL+ltpzpgIkVMXmL+3jBUb64FLzaHxpfJgFSs+xL4QznIItAPFavFj19ap1ORlDfZQo3
2GA3dCH3qp6to9RhyHKmybrnEdvVTaXO5RV+KFWis9+KVTmMzcMcVo8xeFgi2VlLiE5ZD2Un4+tk
URlSYI3OQrmzqUeh8/LW4tgklJslR+UEOWhv2Z5zarosjyy2i2uaPyG9RIP9swmmHzP3d9az0H1D
W8zHbIlSIB8NvaF4z4lm0xsjRHnHwD7hMGy9fUi8dh0nIkaATniTqQk4517ykrj4SJtu5AKIR27P
JAxXI/Z+UnrWkj6pSeNUJUJmQUbOOKPsurkXdykx0k1pdc7KtoLs55QIju/90F1KE7qrzAKLXk9E
+0FTiFVi4navA9QW3qFxyyzowm+sbHaWy9e4ZOEpFNAO5fPClk0VX+pwqPex0V9HL7WeSVC3hy7y
+tuoQf+T33b72g+dPXeg8AyRjFLdogWX2otiA4fTP+BplxT2RQ9sIvj4KiHvJ953VBmaj0Q7THJv
FX62LYghQRJjE+26LQY6w+nhzLhg3rLw9qamaAA7+vrMg5/paJvjTodxVMVE8wO7fAq6BbJEVBa/
zOQhtvHIOTpDNH6jaNtnPz/V6JqeXVNXS/nOJgEA9stOl/7ge0ShcHsLTerMjvfWEHoo45mTPiRW
xJOzSOCMoUxQoSNyF5Jm29wNtpjuUbWKcQWQJsp4vREbk0hh3huGXJ0S0WdfEpDaZzscnGd6zOLP
0mCQRs4O1Z61VlZwY3LiY97Z3inhpbaRePJom7hWxnJqIoKOIXJgNYxAsVekVl7odIhWNCMR5mIT
Eq1TUSY/WezZREZhxde8CRUd4GFoPYvAzw9ZagipTfmyr+x5eJVep86IgEBIF8aH61yBIxKmR4Ls
bLuIAK25y3ORz/MnRBfFx5QV3RM8luEpSmvNeTjz8dgruDEjo/0ujwvzEs61fY3TqjqlOKb2s6A2
kocfywqQB37ymslGbhQdJGdvsqbnYVTyMFTZ8GhFOME64ccPrqnDC7xN5wzKKHi16AdcN0lTv7oy
Ppra8VZ+l1zbMAelESY0sDcwLH2uM6mY3FNWf9zxnBW90tmdtEGnTQERdRhrDDxjnE3roOFkQfJ5
skt8ID4XE0QXdY0jIplRCQxKDNVNtZwxmXTWcsS9XayrsHK+uv4wFKu67fATx6MPacQSufPAI4Ln
G5HFYeYGhr1WGaIzJe4HFv5VtPPdikwE2XJUQ5lDIIze80w7W0s4BfeZat6LIfd3TaPTnwwtNMFD
ScnWyVKKhOX5XO2VN7ZH3QwGRpWAeBORhEbpqvZFyw8JLVB6OUuYraeASfgEVR7qqRXX0djD9F67
YmoeSRY05RfLp4hk0yGSxJxEOOCt2eHl4IWqdorXEgITT9meCAw+hsHae7oGDynH5HnSTvZrQXHf
I5tR5riMEsJJa5tHPQvnra8j+dxPo0DAa0UENzKJlm2eYZZLlJXC0ffzk+VL972RoktWQQNSZgVs
d3qyGVA/W5cFaTLWCD0qm5qnuXW4Vyz4mhnYjMNdzeuaZN9MBbfs1rg97kdlvxdxIL96lOq0zyGu
zO4a1w041iXHxrh1DA73RAGCYz+bw+X0EsyCkUoCqvN6Z86O2uEi3ID1jnPmdtNuOzX7zqos+PTC
KIFlXfM8PNdOHvmrwm00FY9BipvFYuXWWBrSF/8F3r8edHJs6t59K5cx3VdOpF90JPp3wZGI/Kdu
nlpPPoKU3iSYkjbahOG5mxP2plyHdI759nsepOP3BAzrEe5a9pIvA60aQHogQUazfPOzeToN3Tjv
aCGv78Xi+o8JxiuwLskUH2QODGfWxZGJOr3D6zoeGtMTUuMlfB+CZCAoZvkPMtXtjqXc3unq4D4L
8vnU+cK5ef7yp0pa8hJ1bv97M2Y760ajAU9hg8YZlNQr1u3ScscJ4gtQ1O99kv6klHZ6ZE0T07ra
tIq7tTACfOYQ/epDHazTXmU7KfxkM4wifWnDqP825nxySqvqvuVlAtB+8t1LBWbolJVSPbKZ+pVI
oqpCQwajdIjuP4VSNyGdf0rCADxBR3GoTOE/L+jJpyWxYXIs3fhSOG4Oi65IrwbS60O9tO52bsEx
bpWju7spliNKFglcP1Hp44AAsHFhzwN/yUf90HMm/WhmIR/pl+l280Ibpwnr9n5AywWr1Xzr7QlS
/RSKmfFAufAq6+hGjZrFrui7hThGiUdm6u01AWRmoC4Xr0NaC7b8qBilX0SvGZLc95j9y576THPk
sTo84UGev2fMYteqS5btYuLu0hOS+tIx5bHKLm25W2iHPrlS6ktsuOQHw/0+0HX/PcvaahsvXfY+
E27yMMtypHYqRHOk9xwz1MynK+OpskkR9VdLxDMlHL1hzQabrQvehEWn+aVyh/gFxqI5eXiNX6ya
68qk1PB0GBI2rBOKjUpd54HOLwFBYRg31kD0aJq1uKSWqn7JccJrDKtaULqcd1db8cxbzVXs/iRa
ywmrb1UL68lgjl6oGD5YXGhIpuVgUdHQFT1xOSK5m9qS+ls36Sbi3DU5Xwpv1s9BK8x7Tsx5WgW/
62enqKleCf7E72NnwyKPEu4vZ0NP+cPC3e9l+V1eS8SYIlsKrsAm5wXN1Ek3cr7y+sz9GPzKf6mF
WpB1gxrWq6MR2+3gWw0ueO2prr5LmNRoduXewS+U4+GvqGnOhkA+RRZ3b8dv6fCFyHXfOma4LMXQ
vfeqH87OrafXiDDemjorD3Pv0uJ76/NlG+Ks6iTTIH/tbIc5wHryysLDnQ9/1AnWHbf4el3VdfWz
xtQHdgGAvHewfJxUHr14UF3HxHkh60VQXBdT9muwJZ0OrT1vAZBPPjCfMaFnHLvIt4Iz5Cah2+Fg
goxKZf74hJngd2exSI1USMBDezeTxn4TUeY8B3nFBZQ5C7+DZeqnuQ4N7IYkqV6kan6Z343IDWg2
gOPx/KtmBj2mnsVtCMWbRDi0aW+wML/RrFwkCFtOXaz6YKZX25s3HY/m9dh17hpgtH0bxl5Yv9en
uTVf7HgU+6TPrHOSg62MEkqd4Z16G8uv74qeDoC0D5+6zMh7EmnqjmKCW6HG747oKS6woVfVecQJ
c8ymmcvBQvQ7LartwTmm7u0xpbBAEV2KQMrwqDJ80qzlPFEfdcmSOd0gerR7J4ohb3H5fGjM3gve
tVrx9WVz9lPbuwycoAjiu90TCLCHeUmdPc9m9nWxxQ64c1zMY5Y37ksLSBdmr/beE/b9TRN6s/1Y
EsjTAHo28B/zeyY7XGw296tLSkQHtct4NIlEWPmwSHPwxNS4SPS3pdu4U1q+2CWVK1AqW/+R0aCU
a7jQ8b3IM5T/MTCHTqb+Ome9s8H6YUNom/lclrBgYGGoeAd4tCD229ftWbZoiWvZ/wd7Z7YcOXIu
6VeZF8AxIIBAALe5Z5LJfb+Bscgi9i0C+9PPl6MZM6mkoz66nwu1ybqsmkwkEIjw3/1zEb228SB2
cA3Neza79jkDVmpWfmKxgHuDvHfTvj23/LR13bbRXeLY7tluoJ+ucMaqq57p1sGt8+wk0tlcNZ3d
XKVeGuDMxVhXjT5Knqh4TpkNd7eIa6ajYsGwpQkUfaLtYM3javGabBt781fI5GXTiRiERizsbyBy
+XFg4P/oszKBjexJb8B/ZT65BPkO0Fy809JebrEkpHtgMdhVnKwMzlPeNfeLNUGS7FubP7Lc6gAH
d2HYXKhTI5vs2Zctq+BUmxa90Qe6jXjlwIltSJdJW7z4yewxjLYH9lw4b13DywxE6ipWJJLcnPpe
LaznoBsIIMwYZJ25JMZpN8m0zabiQqYV2PHmwDp2hd+crBoSIQ759sNO2YBYcQ01qczgZobmwHGd
wVjZ3g7EqHY6p17dYbYL+xI3zrHzqMktJjXu3ILX6aZKsmZezzRXbj034RmvB+QGP5ijfZ+32uHF
I4abC3X8hUZx5yUYqxgX2ZyB9vU0iZzBz1Lae+hlJpGXNk+5YTO+S6WZcD8xv692VoGWdzUkiUCS
bWqcdiXiByXoeWy9wpgzp8Cmapw5M+LAOkmy4QFrFQC6WvnpY6IWarZoJkDsxWokx03Wpv1PBvV1
v/Sj/5GLxX8IprB2dooESrvNMnymO+nWrFtUmIR6VRRQzdf4M9wHE3hskUeGzoTwwY6+9p6b/Ros
e17WYTDa3nG6NHueFqT+p9RbqrfWjca9lVXt7UR4CvKdbM39QLoRuY0B6V0zIsS5g4cBIu/epZOS
eQ9MDps+DD+s2k12ZHAJqrjKPZlAlC8Z1DNMZ1hzYQolApu2UyCkdEeuwsJkv5lu/NQoMN84Bx67
bpg2djQvT8iXEpqjUHfu7CMxZGPQXIOrpGOmgzDwjWrgy3VcCUb6F473ypomy9tYagSzLqt2Weu4
nt7SwOcFgYQ6n7vSo/EuuU8b1cNWq/zwKcfeAoeDXF3u63xDO9NEuQ1vggPm2gYTGzGdX8RvDIiR
ecJcMdUElmh1s+Q9tggX08w4FyHg6pnq685Fqd0MdVDlhFXrbMdrRNwV0MPu3Vksrwjn472FcYdY
rIORjhj8vjON++ziJr4l5eRt08Aa7V2dinljaI++ZYA2cy4fA/+ja/IEa5BfXHWWM9xpS+QtEqST
eABsJ6YujlPwTyi58mZO2WWtO2UNbzOjRuR/Nte7RE50IiTpdIvTHaO38vIQTzcX4r7OoKKS9BTx
N400RC9Tz3Ee4+iSe0xLu3zMUkbxkxVxgAb4AyCzMnJN6JmD1FS68kbXjnkgh20/iNGtbmeLmhT6
dtP2fZmC9MaHC8hZvg1AFpsL9zitLiSVtGudZx9q5hXeDyLsJT6NZGV69E/MpqQDs9mKvtK8XD4b
Wqm8LYYjzp6D3V661BeqT/zZ5Ri36KF45W4bhjVVCLwJUD2nW2O70ddodZcFjocIn2zxqmjFg8zb
LWdbVOrEgN/ex21prljbeQGZ0P42Xg9RLax5842NZT37Vtrcw7NQpwm/0LU3dsNxcZP+x/QeVgRu
W7h9QdgqfAfT9NvPIrBkRb/hDFFk687vqkPlLeokWbc3g6qLR0DC8mQJGl+WfO6/q6x1m/VCmfO+
KezqkAGqqTYkuNtPpwE/vo17VT9wREL9JiTxnA9ucE9EsiAwqNTjIjT/0KxDMMzbt7i7WIBxwjLu
SBWg+i63x23PNXwkKNx98QYqg1WmxvDJWhw3WlelFum2NskdxmnzQHhPMj1gbQEv3HtQF+yuuytd
VVw1Dn/JieAKED5Xd/5UoSbYc9l/LMhqlxfyIM5BDw8WJiHxyxi63AMZujxbJ2EmGtw89XI/5YzY
sFoxNrFT/57hVnUsbCeh/Q0Ev8gnOiGGlqOGV+ut1g580GSMbsth9k/8tfiWp9v6NdFSD+IJ+1U0
UAiU1pQih0tw06tluZun8rulm6bMAfm0SR2smdTPZx9j6mM6uuNe14poRxI+zvRIbHO/uDh3kC6P
EAiJ3brjRCQTB+ITaVT2Fb7i4ZkvDfUFzzUGazPuBo6vTGh6FA4LG+KxY9v+oZLav4tsG+KY5076
wWNDz0mgkCRVgp633DBNzQn8N9USMEcMHc2Tvma6+lXrXAAH6oy8TWKhzqNfe/cTcsZHpQJPrnK4
hB3HXcY3Sc/dNNKMyqpKciGtgA/ZaAr44MRPU0WDtcJGSrrSqY2VrpHdcUnlcpzLtWSLcNXTJvHq
xryykjJky5KgcOaOGCm7ZtpCYMVpXpindseS64sNuqsPU6KDja1suMDEmeu97cJ+rpKYLq+068oP
340I70RLvy38OfghiG2uMEJg0+d1/26Tt4Si1BeBtc7tgZRmJNnIqoy5lbv0nGCEk4xXRgBrEGVL
zpJpDnJvIz8b6VUeluvOOkYW8W4PjSSFIZAv526SLHKhahvILiZ5lBUzH0gk41OqJu+7HufpF113
3VM79UD0ffI8rP/RJWkXZgFUXXeaPtqc+eUFoBK/IJGyNVlKznh45FiMhz5QzGHyDi5cnHfJGWK7
/atwZVBuxyYiDKApxeOQFvrHqKa+gQ9lLdzqelonjUsiR+K+BTsAnkIb2VCHFQva8rKomF/bIBfM
bZJwJ0TDO79qgXFFgESjdR3BH990Kl3OfRqxenejyE8q9A2VvIZcrsxn9RXaALNW9AGwqcunmreV
SJsI630IRbsp00SvENrwKmUJb7EVkYRsWPmgqtvrcJr4MXnuxeRG6zpcQ813KIDQzFFElV9Ng5rq
VRdZ1hGRvcTRrs3lX4w8dLhKU/HMzNal6YyBqFqX1Ox9Y5KrbhomqPe8vNi7gK3rVxHxIHPs7NLJ
N6BGpjf0ZrHVeWY9xZfTVRkAvOnjcOrWHvPB7Zja+WZKC/schIP4zj3cxh1y386Kcg0uHo9PtJO4
CNYh4vDVUtoOlU/tdEOIeVjDA0IkL6nsYkwjtgHFODxZtC5T3XpPCe6dCwGD07V569mEn+aoIitu
VdYWOp3ZjHM7/HYamZ17thM34rI6xwsdTkrZ1bU1NAKTIP+PqngyU05v7Deb9O8NqK78TM5LbOvO
xkCJ2Y0AMFSFtwQy6r0ehuq6znEHmsSxtp4A1Fw4yqYmYVDbuAn0ddnXOJOWNtNroKfppi/G5Ytm
+uRAFFod9VKPB/bryMSgLOX/j33+z7xBOFcwtPz33qDX36b7X6vfpD6Lf3AG/e3v/c0ZFNr/ha85
IFmsyFT+PYcrILopcOjD4HL+D4mL5PH/dQaJSxaUpTK0ac0RrCz80f9zBjn/Jan9IKFpK1pJlfcf
OYP+qfWTHX5I0agrhaMUFIR/dAYpj9RBwXh+r5M+37V2Btk09tMN6cMAwXo+/t3luftbjvTvq72d
S1HqP8RLIZE5jgAhxhUhzvpHN3smJiicdog2mpt4H4s8u+iN7f3gVM2WrqtxU0YLczBkcxta6jww
fskS2aM2RcWatcRlZxMFw+Yvfq8/kWA+v5cgWOvZUgBMU3/4lC4nXA8qR7BHXf/owFdvnBGBnpDE
QXTeKQwXcIsIjrsoLaZNMp8lydP/sGn48ju4DoKFDauHuPEfvwPHUj+asj7YN6jzeyY9kOrZszz9
+4/6L75xj4/KRtINobCFlz//u4Cv4iKz2GfB3q3lQebja4C36TCmBX7o0Yx/cWG5T//8vqWLxsI3
LoXHjfSPP00L7dhTFoT7sFL+bgrIvmZ9I/7ip/zpMuPKhTwRpKAZQyDB/nFXiSh32lFGai8p2Fu1
lNvTdtY/DGX69R9fvNDB0KZoTZZY/f74QdJauKKX2zdKUYBKK/vBnsOUzq3u3Cz/iwblf/FNkfp2
SXeDXbGl/ccPm3qvJpfmqT31INgYQCeskoHXF2xuUiOZf/j3n01cvos/nk2MiziuqLtmShT88V2l
TuAtWsVq31qgP/RQh6AnI/uhABBD0iLJNw2C6S5hp3FY6owWJruMfqHWVauxYp6E/Kv3MLOHjZv7
kQO7DUeh7wbFRkr2251oymYTJBXeJyBKvP9K3u0r3SxgYWr4GeumW5iSSIpZiEX597os9V+wHpx/
8ZyHMvRFKBBt//l+HKtUjBLy/j6uEnHMpBUc50HaZMnkszVXO/JS5ljp+Ee5AK49kYsnsnPBX1zq
f3W/hqzcXshbXDJD/uOpyMDrEJML90XRI694uEtsP1w55H7+woL5zz8pBHbIeTVwA8m1/uMnJc0F
6JWF1NNHabmeemJ6xPA/CHGL7b+/fbgz//mGvbAcQUsyJHHV3/7875aWtnRcSwmj9h47s20+WOnF
qj7dcUaaHnyLG0G03ROnmZL2vY5xRxfY7ZrNa0OIuSbdHBoAyLMijMH5XvqPxPXkp0QRODB66Aoa
XPr5MTSdd40GVF/lCRHRSickCRunz6ZdATiPkauDJ7RU/ZH0QXBoEs9HvWcATD9fu9Ga+hVXajzZ
bW8XzkrGtYz2Ywe0OKY67txDRKMi15mwMiXG38bDJDiRg4KO7DL7xFZQHj1cDlu7oO9upheQyWSr
jnnbqTcqPLzbUfDBF4OnyIoYf8tQ++h5Ijo7GaXmnBS2RUS3RiJTDQ7RwYuP1+bJE7p5E33VfNKq
EqzIvFckr+aWs3d9CelWw7yrSBAdUrvLHi27aW8DuwRXNzE7J940MTacRrd9a6YhOuOQil6ScEkp
A2iDL2K+7M3h7r7nVvZaFYLOmxzoHP1M+pZ4oXujymSDlntwPas8QJCmiVEPsXjA2wtp20384Ipq
UXO7AANizEFTpml1vufjNOtg4DQElw7J9YJRBrKVkjZilZqvQxTsC+qboQ2OkKhX6Pdtui/acfjN
lolrghJ0nSSceOqid7A4RSAppSt6Rr2eeXVwm71I2h+QsWRjGL5oO3xh2zbDvyQ0g6er9OiBwY8x
trgxtS+963bwy23d2sBrUpJJTOEXXv3MC5DpqTPw6p5S3SA9iBgefRXwfQszcPkGy0DUIyOyiflu
WYQGJ916jZTvSSPoVw2F944D0eaYbufJ7UBgk46EAYIM53YbmhOLB82z2ps1o+xyDF8YOXTFi+ti
px1oP/tqJUmBlYokd3yIV+2xQHvFJJiM0PTZ4pxKo9fYuNTPEjMTI7GbIi7bHRV9+0A0lIRleT9f
i7xsT4vf+fUmLcaZRwhyVsKQdy8WNjgr1oPyl+9K2PXwe61NeEkHaYBm5Efynlo4ezr71Gelq8yL
w33NmEmv7bwsN0EV3eT9FB8QiyG6I97w+yYj1gFEQ6zR6xJTXLgCCbpci1Hv+sFpT/iE9FXcVeWj
W43IBOm8mzBrPQk7nLaMlLud4Xc7jFZNR0DbhYdA2iXf71RuQE9wfxQM9kLYIL2/UzXDN7QrdeXO
7W+cKO027TVJ8KRtP8IoZIgwxG57tBzMxb6VCeCiQ09IfGEsZOGf3bRFztXHwYPKRAkR4EBGaJVG
zvJkjFc0LT9tHWc3WeWMhOd19E3NhIxWeTaCxsgAtBZ8xY8w0+0DYP1iO85wYK2JtzBbUf01MLi8
p9p0PoSjVZIUoUeyJV2zg6CGsxAW5zSwQZwWx7uiyiejcZE0ju4zAmjNCThkwBA1aOHPLVRaGhMH
0CKiZ4xHiLTaiW+pshRX+GbDT4Rp91ksstsyxHdp0ol0f7GRRAdhy/qQlF26nSS6tqQL55Tm0C/8
hs0xEnNyFTfDWxDAWA9qG31fMtkc+74/6GipzjTPwzVtvHHZ1CRCQTDojJIqCzHS6zMG8JALV2R1
b8g6JdshU8sjFAVzbpY8/TWlrLg2thziLE66b9t8ujNDPZLVAypBizCOmnwJn/3Ww9CvZ2tD5xaW
wzB76/2QUJy59O1UkYE8chcV5QNWqAIhqfSPY+/iNM6zTbwQGijo+NnVrj/+hmvZIWE0KJQ8a5bz
xnTaPXuFOY9RgjunyeL1NNrzWnizQxWk68W4axJaxwvFgb+ox13theQsnY4DBe7jFYLX8IDJrkp3
2lNUX3RoJFll/Uw+SMtRySc2Scu+bxm5M3Z4GX28Vo7jy0spnHP2qu6+SfW1m6HUK8dCm2UF30dR
9enUWN7wbk+uJkkYxzU1baBpyGRvknTxtpOgw87tR/emHfvoobKjcgsSB99Y4J29Gi9AGFhYqlx/
2o1j335EYQQpboa56s/LHZO1YJeR0hpXPpaft0oxE6NXc97he8hdDJEMpCnXsghK13PVPLMvm+4F
RQwHuMHRXtM0uXZYbG4Q7SkMbq3wMeHzvhM6H6gbnwo6JQu/9CeW8xa/qlP0tdrgO43srZx1PlCb
yhWhIGdRd4WsQJjELF6vQ6LNL2Ex4ccgHur+GDMkCXY+yP91Z5afGec1LUkXu4XqP0uqMI7854h9
B5PZZR5IFEI0lC3MxQNr/8Zm8bnhIWz3S4ZXVLhh/i5saAr4pBHv+2VhKHgxkkKc36UpLkbHD3iM
R30FgHSicdV7GQSo0Di0yFWNpF14yd/5+C52BnsE7XYk00DQ+SN3bm4gpSmvfRS+/ahS0x5q2khX
hNftAymx7DTNhkrctu+PPQhVVvm+wpUO6ms/tILJel2A6yAUuY00cPWxwX1KW7m46xtaEys7qd7r
wDPbljbDCHcwuGhWi8mE9Q8vJIRkZPDD4tvDMyFCEiLpJMffulikt6ptSPcAjSEiLiGA/ULOO8sK
ajC0dXkcU/NTC1GfpjFyHl0nbHdYFe5S6vtO8yJBw4UuMpvjWMPLkOfxj1xyGuH5bm5bdFpKblv6
AWhmeVhkAfapjL512PY3TmXFu4L+9JMfZFjaoSXnh2mwpz0dyFhNqCPCymXft3QzrY2biB0Us2m3
RNJD+qe76ERXkk16X9g7x+27FVbOZUcPQX7lAb4sVl3Zp+OaWTKQWSB0X2ISxdWlcKTbVR1XJPSz
Yh9VoXP0EOdBW/pXude/zXqqz1M93UxFbb4hG/RAPt1mEzsFmMdA3PQuJOMwMubTNb7ExtkOx1LO
+7y2XgjX4NPvFzyzGG2rUx2V2TZpyHXHvV8+T2bqbkgioF3zEjxMtBFWoDqfPXolVxW2+g0NNfq7
rcaFNzebAuTUmlb5Ph43jWBtpjchvlENvU3OQJSZySV1kaWw8hXsk3qDkDHcIZO/NjNEnNrqrxMx
FDA2xi1gDeJDXd4A96UhsWYgthrqZY/7Cqspo1nDHOcsFoYGl06yezb2lAzFWbSZF0IwKzrmBLb2
6oWKynTXqGo75DDL/fTQj053ZD7NLI9JHG4ChWEYawjvvsk7dKnE+U1fZh9i7a+lojWBMCtBfys4
hTXJI+GmeBCKp2EiE9CSyd5whNpUbdzs2cpT8xnjoPaTLNonzKtp2MLQo0v51bUyelOl360agB/2
ONMkli0H/DfPc2fAhQz44qz+JcjEcJdQKcKlfQ872ozdxKJlvH4Rbn4GofkIzINoQ+ncMqX/Hee/
9UhbOObGHu5i/AQhM1mVbYPvQF2n0jlbArxmoXpzXWjrWnMH4VEN8300uoxQJpXtYmz+vKUwnDbD
3vXb8nVxv5Hiil0gWmftjFm5LihjWfWSaragNOlTX4Oe6Uz1rJfghcpX/td+5k30MdXyOnGKd0/I
7spgg1r3hWasWybPiQgPsiyfKIF+r0R7ZHhLH4Opblw/53cXJDP8ZmDuxux8BYVpXAmrzzaeRL9I
WkFwaWx3tJQ8ZDxVR8Ydv5Adjv44b6yglSusrYy5B2qAsiQ6+I4YbmGSydu5UeY3FLEQ0Uwesc6U
pzCVF5TquOzLMfqFm5+DOcf9p67FmXs55PPIAgP6Sqge2ZUGOFVUyp0O7eI05wU+wWhMLlspv8UT
gbUloX+cfEhFT5GDmyCsqrPwmGiYamKv0kQhh/sRl3nMEcGMac6p3mIPwwfOBKGcSfSEguCLEJjj
++bcSmmOpR4pjbn13DFd+0J/DEDOTcc+v/LZfZY5VjcZseY3FN63bviQLO6Z3vNXqiZvaIb3VnSa
92sQOTaDy0Ifk2RpeOlXz3YHCF8PRLFoAX3LHMpOSBg00Gd+Kct79Qu7Wy+ad/bcGL40nb80wu0B
Xgzly4QYupqlLA4aV9jBI7m8JW04r5rWZJ/p0AMV8hJyjAgiJ1VdJliqtTa0IbO3VfqjYhyx93yf
T0rnAKjs4VY6dAdjgcLf6xb9jwKBfctkkt2d7xa7GWfIzmLaAYHCPlecWXYZ558TfRpsjggNSqHv
NK2PK9kE7VtCvBxGTkTr47I8tn1cE4kjVjPEN0TXulvTWlgoWTu2Xhj55zoUBBuziXNziqn+ZhHE
/nQ65TsbmyS7f/3q5lguehAfO5FCH6AaFxfk6E9PtJ9ydKlIZ44a/wHA8/pr4kOdlFbUBU18pcLp
m4NIrH7P+9amRCwhYEM87VS2h2peMoj4ODXtuS22MQN8eo4D78U4tf8STPJ3NDlQL0U17JPCtV+J
uNEY6WTWY9MM+hd8mviu05gDiMhADoNutwftM+ynEiTKiB0H/Igptx4yDuTSRAF8TqmWHtnNw1Fx
jHq2L6HJPqbrxQYnAuAIjQ+yj8HT3idNfzRlYa9wrL/PLVtF/Kv5VxQn1TZtHYhOmq1Qd7E7hZjH
0Koz9kqZTZqhrSTzO4paG93N7z3ZfQ5MFA7x+O7wVffHSwfCdsww6ugynu5SpsfsFvPmpFQybMhe
3ScIUeuh5BtfgPUexCDpiEFLyWnXoQxKmPTsTVofM+jAVThOu5AHnbMUdk/CKQMmcM2+koHxORx7
NrhVkdBN5dDZvETJsVloFesn4e9pngJrXubztodytF+kGA6kbINTFIQRmkvNrDVlN88B7HE0wv3I
K0zd/tR9T6E7vjl5zKR5Kc7tlECqTZdvjuP6IYRUivdRW1hCrN7snFwPV5ZtnoWQr/xYap50eEz8
3ttCpK5xvs2UbUDqfxZkLgxflE5uhG2hDVX4zrdlb6MFlZaD6pj66zignxXDZrOj9YviPQ593msf
M6/mFmxeh4zXdMQMdxVUPeFUcmLdes786h6tonpurDFc6zBpPrM8cR9SyIV3oqW8Npk5GmJ1S/Vd
LsJfwFbDB/Q4f91ALcSQ1dBbHS2YM0LFIL7p1XVuKn2NMTTf+uGEdW7Cw9O0kU86oi73Ft7ZNabz
auUqJz3NCa4aQC+1WgUO4disWj5G49mHmB6Qt6TWWNKpzEbh8H8xSc3YHITzmgFBvGV829wWLp1F
ObDua8aT2ToI3ezI7Xcfen7jrHQVt4eJ+d91PFTEh+s6vSLETP2uhSd1uSqgttA92bvD/Qyz6XvI
qG07WVhJ9sNI2Gzt+ot6I0hNOZc3qkluNQ33PyQatFq7zZw110nczVDGCAvSM2bpaBtYU+dtPJql
3kZf9lu8hZz0lm55sgXoumYoeDvOFJUyNXnM/J41M9T5VxlBKMDnT8/1NMVbu/LNOjeNfI7y6irv
IEuVjj4VCv9CnfPu4FktlnOlSxJHKnD5FGoxeOMYfq8Y9NYv/CD9XBZV/ZZf1k6nLm8omcx3WdWo
a5lQ8UjMCjQTEPjqvakb99TJUmwXj2jjxqvb6ODIaHge23l5zKOhfUpz1zvb8GS2owX5264scCVW
hspuiqY4OE04aX502sPyiRaY3LPDmnjJB4EzL+AuLhBU1rEarW2KSdJbecmlz64j8d6qGC19bvNo
kwMzwXPa9/RG+K0pGFiPzSeGdSEv30n+pFh/bvoyAItQSatcRRwm9z2XOrjm/Z3ku1Toh0gaVq/8
wQ/Cch8OCewp9MtVE9oxdMz+zouxtKDkDGsTDf6KgMMNgjupcCBBZohYeJkj7PDQMvnPydUqyBIX
iOK69701lkLik1N+AYHBxjtLvEyrvDUvqk2zZJPkLmh6qrU+fY5Sh3DAWqE1PskR2BCzsq5/4EgZ
8fyXdFwSWd5ObcNv1SVv48zbT8h+2lpObu+RPr4XQ4SP0o6F8qjxpZ+TQzt2uG6qGZ9oENl3Bkz2
1g0DGwimlZPjxCdadVRazUnentwgJTpE5y32zFPkka5ec7fAv0MV3qLq9GdlMvFrqumr3pRZWTrs
wWe177Q9UGxoN92Vp3S/V0qCQ4m1HXxjfgj3JHybV+SP5r4KTPcQj0H3Rr9SdsuV51yMdLdzBq1u
2cuNl+BzsCt5+jb2IH53CRy1cHGmW0nLLDWHYRH9QoNlh49e3lxVbkwY2mPNs1eDUUrtSJJZ8MDj
FtBAXodd9wN63pm2ZGMXG4bcxNixlBV2BeM24TPvUupyKc9DzZJzzzGY6gu9HLtwbkj5ljYj1aAj
DFar8txRkfqc+wMVq0nQXpvYHzeRfZm4RKn1McMInbDBbYuELlvTj+ZBjo23B09g3yKLKP7TBrJM
bFD0pMKqtQvZy4Z4F1pR3AIZ25YJxQ1MemAWaFD+jTfcRkWxocLG4OjPtpyAKIHVzU+/6Oeqm8Jn
sEgVr92YdDy+L1NulLO8ldX0uhhIh16Xix0Jio11KX0Kmi5e13OanuIaTYiBzjEuUuvFjFYKIQnt
EtmdaFeypKDbJwJviQdogFNXG8vsENghh1n4MggviXaP7GChPqYaoP3O7ngrrmoTgLGSFKVUax10
2YpOJ4CrgYV1asVUxbqpaSiqd7ZVouOgaCSPGFblFZu++khzQL3Fbt88+gO4UzA1PvWpTWmYUiN4
+BEgQtHdGZdgKwuY6z/ZcUNbax5ziNScVuqNG3n6RMjJhmhhz9MuD4xetTGypj0q/43PtRA2LUEl
tD2dF+4yYIfixFLgHYsJ1MD+dL9n0bLpJbgSQmiv4GSgLDbPwXxZLLEAIiHnbuT+eH6OxWwkprjP
mCHwekMvecUhpd66OVHXOpvrM/lf9cDgUx194brPtgQBsPGllWTsqj14S11hwvdhDupLxKesjjiE
6d4tPTtFTvMR7XoJcnGVDQQrNpbjOb/xZbnPuIxtkMRZ85OrCqZAF5rylkQ+tmdNIH5ZtaGXf5Mw
tGkdwFZrMxmht1NS8ZEnluG9U/sfs/LULcby4lehFppIszi+7afaw6fj4rY1fVx+ZjJcTg2FGbhv
xxAZorA4MOE91WCiSHk9hiS9GgLenvNpsFkdRt0NtAsGiX+X2xFqRNCa+I6GGrTdxNoJcFQvtgm7
n7oS9QtDpOi1jMv63eLZ31qGK59xOXMiRkoe5ipdXqO5Tt5A412QUKDV3oW2/E9UYO+jMLNZDw0V
K9HFM+0ZtvBQldS24hY5NZbn8Uqpsy0lEtMP2NtxbaHbrCvb81YGj3a5nuGVvViYl47uZM9nPY7h
e4afaW0rA1twDtKTj8wMaMjqaIqqdfS5ILLwANRF+x5UXXRa2GuzqV4AaeZsALHElSbZxYN84uVV
/R6qvr4jm2PvGTZYeMikJkVGXze9KNZHityDER8bBdqNjbcWuMZ+oMvlBh8HRjeW/XbrYjK7Y1xG
Hc0Uo3fJtGBTUomyoZtwhFWVzwW5J5p0CqKQJjuLbiyO3jgHxwt340RXefMND5PBYA2boF1njiIn
IoK0eDLhaNsbQvD1mQUjaDbAgv07AZO23nNMnsR6EC2naBL8GX1QQOfYZ/tKfDmZHu8RrMc7247a
R4nB9rds++JcATmEXRD5P6Eng3MEOfk69pRF26szuD+SSMJvLJejB12g7t8rrCdvmdZGgXVV2qfr
4WKhnEfPi7D4uf6BWzXcJAxIn4xs4UcGtYSVQgm3/WDpznuJVVl+V7F+cUJU0cqwIxlmkqJk/2KH
4INs8zs8/PNnCfOD0i+00579FNF9hfS+HEyHrCfDwZQ7jgFc5L4Z2GBYfrPYpyxpvXKTwDRj3jBF
6c08dZLAEFNX1oi4CnYuYP4r4gRa0ZYiu924tNw6ZTWUxVrQnb0H9McguiHteh5aD0IEt4S4sXuF
YKc6WKTSV/FnD94h38TavIHhabINJUTJcSh1/ZDwRQU7LzDes2FAOG/tslXfbI28YQUbdf6iNHVE
XCkalR0aVV5a73B0zjvu5szsyTNflEGchP5ahZX/QZCISqGGLf9VHLkjxMPLmy30x328WKj2FjHQ
U6zmX1oDEGVyPE4rjtY8J+yR+AQMExxKggG94H1HWWOOA62lWIpvHY8RkmVHVY4/YxVxnGuq9Shi
0JAH/L0LNyoBQj1PYpVKzcDD5Q+enG4Y6CaePafaNvEFk907qiYpkqRIZ8bJviLjFUflpVKsi7ij
o0zhYN6WRdR+4QQFXj15IO0HRjfzFUW8xQXx6r/RZMLrI4s5vJU6KvODLnL3Oyvo0Jm1V3HAXeZL
T3lJhX0++OsiA9SCI7lmmBdUxzHuGZQphml3PhWFVNd6PW8TE5mvJWsctnjC0q+kX0swDuwmQAb/
uIMTXknLC08Zbqu7cXHB/PGxzSUups//m7oz240cSbP0E7FB0mhG8nLc6btLrl2KuCEUigjuO43b
0/fHGMygKqsnC33TwCBvEpmxSHLS7F/O+c48ayNgV0uPP5PepqBmGGz7DvQ2VRzQNde/G28Q8cbP
U2Alnrzl7H0PdtREL3FRCAJOQMQeU2JThj17+3hfds6nrMz5yYBo8WUoRjtQEK5Ym6ufWor0Vbhx
bh6XsfIZ/jrNB+QDVJVRZd3ndWU8ReR3/Rshxip/+GfJi286qKC4uG1c/M4qn/gHxUKcmS5E08Zb
e3qWp3TMD65CaZn3dcK9Tal6GywjfTWHgav07wUTzn8ll0CCwhYUKBfCm7/oexbbgPLhT95hVlF/
81XdHoe2Y4tgsrZHXU6SLD0Zi3EzHX6OC1dKq3Wxr4fM2mg+2azGXuEBxt3mtYkXvmTBVCKp34+U
8eybbesB/KxgLFMoQNDcqMuxVU51Hp0UZXSHLhUv+maUzAYFSq18q8cMEz1e25q7HhYpZjX7UEyZ
sUlQBwVq5T7plgBZc5QvE7nUGznO1kOTqK+0hCxluEN/bAwO/LQCUbWhGUMqNYHE+Psfnf2vMkKw
aOQ3CWAZTAfdv4jYCh4lfnwO1ToaSvoG88FxprnC10fEtYVkaZzRZhDizK00a4D7nZ73fr6jClg1
BqMdED7sI0uOByLXdKF2qY8W28TgsK0mg8wFTb+bZxTAIk2PZUo02N9/C6uQ9K+Pni9ZaDlA5NEz
eKty7h8evYS7pB781j+YbZ3S4vjDkm9B+caXxeifrGlQwcDlvAX7Gp8t09S/2HjpU2uuaj0GbtKC
7Wt3I0bEEt3G3391/yrbW7NGlMdzSRaC/KtIMGKGpywF1ROeJGfoJCL/iv+8/Td/zUrF+5cfgu+g
eOQV4Gi3/vI51iyMnS6s/QPrzznj+nYJAoUgFkxTrn7YNPCckRnpG1ZYBgBW1FNCEToFDMZB1vW2
f8P6lCGb4WWpZVncMNZD4snCBRl1Yr7Ufda9/f2Pxvrrz4bz2rSkXBNygX9wcPzzB9fkzcJAgmdv
6GwOhcUu5dY1GQ4C58DERhvy5me3ykwqQAUrEqGwzW085PF5dma4KG0y/5SpP13/fF3/Y2zG/2+z
eaTiqfp/a7T/V/kzbj//K4Aj6EV+5//lN7pK+q70EUL/k0qbtGRXIdJTFrnqDr+IZ/T/pCX7/2Ep
XhLTslzLc3nDu/9Nb7Ts/6BFQo7KH6d4vP3/DrzxX/Kx1r/CUj7mSI9ZD4bOf37gVJcbA/I2nKvs
GbtnbNoezkcDJjlbeHVz3NhjagPMbl+SurZ30IftQLrLfyOy5dX/67HLl0EKKM88mkWO3T9f6T+c
WaYcFGQrHxuD1XVvmYfTNlR+eBqiwn7RWeJfJ0VXgxsF5DpwLDjcHj7VHRHD8sh/AqNkEWJYMaL5
LmMWNSW4aKBHhI4ERRTKB7Ofw9MC3iJgDK7v4zRht5KSObdzGsN+jDs4Xwm0jRPLjXZrENUDMjnK
w53RotoS4L53ZUQ/H5uaabXtuPa+V7Lcpd7sX5QGdMAgYci2Kb9+lcNM1glrK/gW4jm5PJz7IhHG
0VMpeO+l68WnKc38Too8ZADY5AwGJrO5TKrfJgrnkBD98pNpt4SNa6KjmsWAk27sHmg9sIAhEwAw
D3HlR+963Umrob3FTm+dzYpNh1rTAZTv9A8RsozAKW2q5VSc86o+koUDVEGrCES8j9k+dWgeAeqq
D0uzXKuUab/Go2/sNYOYU1pyyS+DsK9NHBl7fol5mOA+B9UYt0dmzv41MsR4ArMEZnbO8ZxGcMmd
Rl/m3kjudeKA4h6beufqhn5S02hC1x1RKvQOSC6p+hcJoISxSyUCN2ri57wc5Ye7wF9oZ5guojXN
Y01iKN9a88CUed4UWOXuoiJLX/Q4Ge/j2AxsslbpEtxTRKjYCRskFluBL/NnU6QgWIqsfHSIkUnQ
ZBj6bqyL9pxEgrQIhYd+Gu+cuDmCprt4Taz20WSw0zTdmytSFnImq7LtwnrGLhBOGrKVxJ2W3GCC
OrPrFN1iPOdHrPdBGS7ZtqNF7FQHXjpRBIKGcIB1VwYj4QAEPFP71z0LsjrL+o8kjXqC6/sK3zzQ
UWhOxg93achfGMr5vqAdC/xxzXPisdpTeGe7mqXS+m/qZ4SO6zCiJHinYIG0gy13viONYw0hraxH
cwL4oYthupk1trAGQHIwLnWyKfzyluR5y6ZQL4c66vtHhB8K9YezPELcT3fNgm+vEKwEB5YYD9mc
QOG37Ggn7ETuSgYBp7jB0S/jJgra0qQ7dvv6WI11/ZYTWcyn6Tbo5LOYlVLxG7pmtMO7WbyEjjtu
3JkekT+Dmipu1HGY/OU6AU07VbL3DiUjjp0gEZ1WonDx5Bq+vyM3xttOoJiDlhieY9sb3g5GBYoR
l7If6DwM5r1GlYj1SyneNXrNwKgnatOymAv8S7lgbeKGGy0mdUs6QzwN07g1y+5+qpeFcXcl77zK
mQ+QTYfAGZR1F3nxzeeQ2VFh3UxyY/N4nFjul/qCiDX5mqs2/s3WTW/9vMft6C/hdbZGoBGuwAfL
qX8UOldnPFhgGEcHbGk5yL3huurW8WWvw7fwKWKO9WnX64Ql7eWxR0j31Tp588TJ7J1yt2q/2w0R
J+yVCfwmfybGpkWc70Y6kcpOeDMR7Mu2IRVJ65ldLQviAA0ODIKubsCYxtm4l53v1fdEb4wlVUKE
yWysoyCGGbgnFktsUcFgbgxZSW6B3Lp9YDemoGbUA/sqS4wUjEkIscwIb06RkNFjS7+yEc7kfM7Y
+3v5rbA8/WjYFZItWKvtWwfuAVtnGN1U35LAItVwFwI92HOmzQdyH8szjtD4G8xabNNe1PJex4yX
qAgh4C816AMmJf4krmtGxNllDuLsmFT/mjOVRae6LJvdSILV2cs7+eEkPlHrKfO3DbNMPBoU9gfQ
uuTPY/CofydEtdaAdtr+t9t53SYEzfFRWL4+1qq6lbHx3kxjdyxBR2KOV2hvywQ9YJ0zTNnMCoT+
Yi7ONxR/zDAUm8YPp2jzk5/O60B3JLV5TLztXDC6jJkHgxiwQ6Jx+ybMH/CW0twS2upMJ5XOg3+t
i9DKfilDdvoJ7IXzHBH2QH5ObdSfHa/CZxja5VtFkNZdE8Gr34RkdPIKtfxthb+MrzWaNoNLKmTs
MwwfWeEbl9mTU4iSem6JpF3xwbJnQmkmYoQNvj7/Ud2Kp3Ly1kBsYHGkg8zqtzXb8omrsPNOo5vm
6WPfdaSZ04o/67ahJLA02fbCaoDADiQT/46KTpi7GODRO9ZH8QWrdT4x3JLwJQd1UfiqfiEHxlES
2mZ6NDxLXsPUAcpgNCMauFiqu3Lip5pluXtA48tOqzMaBYhFNeCTVfPkcFo/wxlujogmh33UkQdC
flzsgVBxvIk8gVAcHZlEO/YwTJqc0N307Lne8B7k3q2zQjc9DxmctcG7oAohJcIBpWmy0WC775uN
+V75bfJtlKm2N22dLMgymaiIXVJp+V2ZCORvKQLFdQ5fMkHrco8UN/Ka8I3ZvvVoka/DcWtEj/Eo
x4+8rYHLGaN4rnoLRYzVyT1JAxU7CyN6hW8Qn6hqqODVwB9BrTWmgSjbIcinZDw0ld1fLBepG1Wa
8ShnuzpYjYaLShrWLzeZ7D0sN4KfECcOr+1kIY3J0oaoD1WSeDhnhd3vlmWlx2J3IZ+ZMTLDEWvU
wQjyEoft9CN2jTGo2jl+R5/U3WE3LrZGHFuY7x2xHfgBb5eB+7MgcwuFCPk6xbTcNPyToG2wTmyJ
ZTGoxbzDNKUs5EvQ8pBbs7Dqpws52Aa87XzURGN10zKeyTaMz5QzVcAEBjAuZYN6cYgsmLYsGcqR
mYhrPWQN01e0WzwKS8XmNm1F+8Tv2ssU1HILjm7esqEKUNG4lzHqZjitc1SgamA6WIdkY4SpnE8W
MR57DLoR15Hw92Wz2iaY7B4w+0e3AXTvvnd4Rh085FdlsL1IojbZoPuqnV+oSFYkqTL1ZyghYIrs
bLsf7TAKZmxDqFmpGd0P6kuyJC1Z0x5icnsnfqR5yFvg2iILc4K+6HfvK4PL8jCbmoCdLvMPnrFq
jTM/P6QIF49sFdRBmokHkVQNzX1FLAtMO21tLF1gUAxNa4a2aiK3rKpF3ikWvw8xlE7MA9CFL0nm
Zy+DZrtkg3g5yKHLT2kHJw3Wi+h2aV3Nvwa7yMlcrMb03ev9NZBGAhH2084FyGoKqOyjJSoMDAU4
8N1UEmwSbuTQctUO0o1PAKOSLWxDkKVhWKDUnwg6Wqq23qumLa+lq837dHQbm/o2e5tAVNjnIRqI
th8tNzz6YdiQkAka4gqtXq97JHyABBhvFaOu48BY8IfGWfzgjHZHXd3N5jOnDeEeS6x1HcQT+1Sg
zrtiCEnjYDAAUGcv3CzfUfSgCQzL6MpMqduAGjY+CX3vO2JGeuPspelnIwz/1jDoMzbzYue/dOlG
BH97ktsf1vCmnRy6Bz2Hc8AmtLxzc9TtnTGYb4y4/AcuuOZSmSPACd/o96Zj670z4SVPMav/ljnZ
VwDq3BuieJsC2tWIM0fX4hStjTdDLZwh5BCysfTr0jxk7OsA9cjmaRkVE/ypt8V9G5r+NvGX6RNW
XfjIeNthqGng9gN0vCks9s8EPf1qHfC42C4aEqusmpszCik68a9JayTLg6IAhsRF8AntUlIgdgOu
/dfadp2d4qLZ5DXy2SIJ3bs5zuM3S7f3ja0wSrB1PeQIftja0NxcWxllF5W1LgeJnetjRY8R+BHe
NROZ4KMzSdYoeXnJq/xV2cUvI/Ru/YCcLrNikJ5TBniIIBHoEx43U9qRdMfUXME2ueVNU3wNc6tv
5LgWwLXC6BovWXxUXoSoy/qRjRnUuN7ZZ4IdEyiIozCcmF5qGQPULcXe4kKCVgHcKwVLHh1VQlIa
yy7Gy6cpkeRZK+SX0SVbEnUXuZF1KT3ILEQiAvtcaonTwhoMSsbipzc2kYUkdHypeZn2DjgExLxM
y80mSwK0sdkjW2MQCm3kXLxeO4+OVXjnwayHXQ86MnCNPykmSXrRM2SUjahaixK0NNfHkAHNzKNh
TG0ObXI6hrlSYD2Ts5f1wG4w+3rxwXQHnul5O5YyD6g6knNYWPDw7XS6tLY0A+je5Fqy7Ncnyy3Q
5Rkp9n9HwoQpstYJlmU6OklzbExqiMUZPLR6TPUjdMynkHAaaP4DH3XILHsbF7Ox4lSMSxw1/ofJ
9vwAjsV6byHvbv0mys81csbAgth8lxvS2cnRH44LeQDfsfqJd+Uu9RMVMKKgMBnesjKsTqKsjSdr
0PJpzT3krARfT3BOG1/bPo3voMctO5Oi7cuC+H3yrBqUo9NXP/E0oSZ1oDc2AP6KUAazGf4wJ+4+
MW8Bksot3LiXJtXGxZ5RldQjVC1jzt0TSk4fDMnoP69EwgBVUsrejgJ2cEux6wRTY+nWV+TvyGoB
OyogfLFw6CLN4ikdpow6oWw/LVWCrDUAzbAXNU6dsI/QO4yzKRIWedbY3/d+34G3yJ4k/HnpIUW0
nfa+st8bvEya/NZFeHu7V9+ymPT40bSOWTw9ez5iX6MgD6FF50bUJmK7iJVQNWwpDd/byP9A0xDY
Q/LZMtjY5i28JPRm8VM66eLo95DLuGbKq5ONNs9xW518L7t4+IzBbDjLRbWxsXOllx+LzDs4M7EA
WRrnx9Ask9MI3/0gBv1sihJW0VwOWzunwUOUg3JBUoaf8Miq40KAwZew05XD5xJBmWDuCAiQNSjS
jWNcpSLARgaDyAczV2VueJlyWewM2DBH36LTBwySon1m7Ux6gRssnTecWCCBj3JPlo4vFnmYi2A7
C2BWvta1219Zi4jXJHWQjrckUO2kPXMxIhwqME+FM+YgL9Vyz561fkNBlweeoEVZFJsF4Cf1Ja7w
SLHAe1hBQOkMndoDEBzb6bkvml/lJNs7ZIaomCLPJCcVVqBZe0HTWsWeEVN9Sr1slfFOALWydr5b
2LcGyrXNL8H3h2tNAyVxy2nd73skW6We9zDpUu5DTHkBQfWoSPJ6NzSTuVdDv9XEnXLmATBWhvk0
hGlHhzP582NhYvZH1KHafQ8K5jAmJVpjckVOZgY9HMqmj+oLAOOmbuW1KB0HC5Uar+4celcCtQCl
owldkDIIpNIdUB3ff0Y1FySxeJgTbEt98oP12685aqEZmXVFIW43+NylQqLXWYT8cm0aGLAABzDv
NncVMdpQigeLLhunKDfXMbPk0WJ9w5o0GLGuka1ZHD2v4oVyix237S81EvRektjVuctRGtZFeiin
qLX2zTB8I5WJXN1JiOzUcB0847qf70UYf9PCBnKG80EkvrwV6dR/GlLUR/7/pswoW1waiJNo6MYo
UYxnZJ53lWiCOmWijrpSXcmqxTQp7Q8OcKTaZiPxMxZWYLA2DbzZeitcVt6p8lpE1PGeGnrbohGe
q/4XnkgbSs5UbXwXJW6mPeTRhUIGYp9UTIQwAP14LF4alVBeynGbNEO0abjA90VIKkMhDgScfRi1
5/D2IJRKxlWpThBv/0yTTUyDQ0poSHCYb/UPY5tT6okkfog78ZpWqCndiUwWKzepF/Gw710LDTkG
wP2EeWDrJPhNJmU59xOWL3BCGK+yFkMFjqadTTa1alcjF0Sws5NdDd+81GOS8DqWzzpF8T2U59Dv
/CO7JdBl/gThXms/0JVVvIDSnj78sj+nC9y7nIZjU9QTUuF8OrBaBJycs646JT3hKKDYLeyMMYkm
Hcy2Zhmi71FmQU13xSct/4tgMzcic2DV3Px0mXO94PmpThal7ylmMrRDRHc1FLFYiJBRN02ud3Rs
nHzlqG8R2W4brav6TVi4L0CNo3FKDE/srLpON2WP5aup5/pqu0zMaBvC/YDe4BmcFoh1c5nuqsUh
oje1VXNSKtVIfyYMTewviNMuwWWmEx8UyrPaDsEe2u7sb5paJK+DnJx7nrOdjWN1VmF3TUPIwlVq
MvU6LantoYmeOhCzjnFiOwteDIEeErXF/aqXsDtisn72w/S5sKv44FZpfWj9OnuDBFoHjWwfNHHc
G+icgOwhZwRGiNQ94p6nToZulcYIZ+y8fsJTNWwW6oQZfxf8MZhlp6VmqdSM4zdZDaTAcoqfVBI5
d7kJXyEaSL0E9JnVABwjPrPjOAnv6ka1RIbhKhiRMuXXhYIhVFzGTKga+dNl1LXpsG4+AFGaHtMu
agBqrfNwIC8jk1QUXrYdvWeLzKDUVuUZvchU77okDZONEXYo48IZ+N4IdvQ7tGQycTIh98TmsAKO
Mx0UIOGCZDFb4GIuC33OhTm37nyJhvM6qPlSytR4C8mO3KQ1rceuMyzrBYY/rDf7T/QzfrH0OnWU
ZO6aDD2MFvHybkRcdPEnOnqaFSHQggSkMMIBR1q02Jk2EdT08vYbpi15snoFpjYmkXpNzbiOa0p1
aQgTg6HEuqoqcWiQyh8gQlMAWYpk6wgQOFC7upBXc+iDluJPkFjVblKmFFe/lfazXhOy89m2Xzj4
y5tWIkZZ1CAqMtumOdhpQcD2ZOJrJSGhnrY0/zVXn7tsZ6dB14eYh0lYtQZ1e4rzAsnGmL2yc7/T
PjG37jyWD2lTqa01Ob9C3xQ/TMi5cQA2IfwZrgHglCHfUl8i9MvaR1t3LzAjh2BYB15E0B/7Za73
UIy7yzSZPK6SwZenyuE4GUv5WUssUl4Ndx5zirkbqp6niPFgEM3Z8gB3CpWumSPMnAHI75dsTYsw
HQZ0CudyUbnAHNP63gMBuq2bCY1q3L8OMzpW027fE6shYztB+YFkR90vawz6TDr9dydCq0gIkDse
hNROs9UOcoxa0thE4Usc+/7J89dyR+Mz8vRlStKUA29Kz7Pt/k4o/9fk8p7IqzWEnSu73g6aZHbr
T0g78YFg23urvKolfICY96AiIJCx601bIIlYa3r7C08cDyOxuHfTmvnepou4dPAYP8mVjHZh5X8n
2ds7qhrEB1WSs52HnCLMF2t0fEiA6DTY1pFbl9bYPidUTa/pGjZvWzx+pYupWU+ecaSxGzES5499
ojBNspjC69pfLQr1zuuxcC1MJYl8WroTGn3jflijGvg8XuJa8deRnxA4bUbOuKEGMAQpI/yWbz6v
tyCFb8bSmFdAHTiLQZqfLS+iKc4yn8mQyghImJ4sGwVo2GIWdcfROtshTEC08BcyGJ5NXqKNKcd9
O7gAb/v8pcrT+xnfKMKi2lltj0hJlgz80lZq3KTo6/q9TYXDWcho1Nn1/sCZjAK8uviV6GOmAHhh
q3kkscRSHMhYrOrX2TfUT/x5TC0rvFgUFgsfL3xzYNpDMIORjWmpM4R/HIt3fdyFD8TSLOe5Vx6o
NOgZGVheGalH1aX+Xjv+p0otjALR1WPafXAkEMN2Fo8+dREJaHrbAnRIivZt1umHxIu4qbua7CcM
DUb2GHZDHCwsWJ5bbCdbGyH8kzBhHyMo6wMYUvGbRCR7hHpGSTN1VYB3B1e35QZNXDs716uNQ4EZ
O9KPE7umuwhkNUqkZfwskK6FGPhqyu6+ZfaCtgk4RymvlrbZiyFyI0O27s/R4HgBSTgnjL8V2D+k
dgcPTSrdCtUCLrCZ6wTlVbk1IVExclSopxocDRuXpfyb2cQr4FTX8gSXqPxB+hHUtlrb1ZU/ND2X
3vzae4yocsPeV5xvd/6ck05i4IT8WjIKM+7D8TEZl+EU1SVySr/tzQ+wHgbRFYW4LjzKb1OZD7hc
rZAcDx13N84F+FbkMeTfkWsNX7Hb09cxNPAHlkIZ8aaXrgS/xfTW0W8Smc5tMCZe4znjQ2DHNMb3
EMjTGedFQpmZ18J/IWKjO8VTtXBcoW//NpqufNWxFZcH5LLyroxkRWDN5DgV1SD67UhCtduKHMgr
CcTFiHbOS5waSaabvAKXg8pscEluUf8lezpq5+iSMkDye1Xb/Fooqls/G4eP1C2/8LIZW4x6X7Tl
ICybBDOL2dhfOQUfC7eFgdXGSBmJdNr0LoPdJ5wUFf8EGlLp3YzgipLSlB/IbHiX+N9md2cI1f0Q
5M2624485X2tB4kuVFT7ZXDUyQsjdceWdbrX8GwYj7ETbtXY7+skl49aOZxosRvxoDQun56OlVij
gQBWsN3Y4kbx10kXwRedGOC7SY3nGP2oa6XJ0ZzaJzU5rCHzECc22AgDskea3/VrzCaTtXjfEAK8
kIyAv/lPHmeYrdmcONxwU7hqQjhohfJHhRNp2DlrpGe3hnvaa8ynvQZ+ulMubvmfFFD3TyLoSCaQ
ICNUD461NUWEe60lQJSN4gGMbUlOifdZxma099a4UR78hlwUX58qu7Jv5hB/+qSdoW+npt3ocfjm
1Eg+OydqdpmzPGjkJ4FdF/5GmwvIxdiet6ovlqCZP8i6zjqTeES7umcjWPH7G+sVsTrC1Kw9+Im3
vJVDTPxzBGpVp3pEnGNhm8/bsyglXYe7tEe6QGJIBbFwuoaP4mr1nVS/eMbXDm3bxNp7l3oMvyZG
YE9OFpLGlpbSeWHZtOwBXIePYzkm+56skG8hmW8QQeQ280NiC9u2eCNNmxMxQ3ns+n7yqEdfHAap
8mKLVx2rD1sUtWyxyfrI88OBriNL05dYm/2Ta7Pw2dlFEhHpZJvJBZsVJUHkkTgVCe5kibYrXMT0
PM2ZdUykxrA5+TRoOMrYIJ7glLM6XZXa603t0njs3FW8WyMI2NRWY76B74G9o7uZacpARMhiEDid
jMOukvULnRlVSu+0Bw8r0l06psO+mGECzJn9nf1beKEQSa851SRoYxqamZipi0SWuB1SAkfIeRvu
8P7Kd5ccniIyx31KJjhK4N49ZnXdXurFSvaZ7syneLSHA0sGxpx9PUIxp2ppDn05hs/xMKl7xpV8
KylLQbcpnQuraeuBn6pDfeDM9Z0Varllu0YERLW4NjKK2luu5TK5v+e5LPID2xd6QLZu0xkpd7IF
GMbTwyz1JVocfRO6fjCiJSiZ5mER7NXJyV2IgiYJypeojBjGNSY+1YC1it6jS822cPV+N6A1QIgp
VipuJfTPHOnAvjfy8CgiuCcYNWr7ADXYuuDyOeZkBn1mAzKenT8YZDRHskze+Hy/44VIDxNDBK4u
9uoYOC3atikMVNp9mE4aY9VNsL+OVox13mFMx3CH/Z0ZOI4wNGp8Tc5zplgptiShzQsiZK8p9bd+
FvNDOnM/1o2bbvqYxgAizsUtV0tQjUUiw+MxUv83c5w89Q1pLlh9O3EDoIucucLLlPn7ZOT5hUTw
auUy+7kYRYKivXV/soHzr1Jb50Snot7Qb0Ov9aDrAHVNrJxETqP6MFjI3iqracEelRZPhUWCeybq
76OPFHgzATi2yW9RjIKpGb6YgdJ52I24RTAzdgiDyKPzEMix+J9OZEuvLJTJMS9RASFjSrGWDAYS
YjIbvoXt1H73Y+qNraoG88L0mdtmSCXiZoaVUIGcEYH0aKVHNDuQpCrdvDMY+oYX58c4+TnXuGpf
hR3np6QBN7HhOk0+LPrP934GnMopZM6YL6jT6TU6uikwWZlHzwKrAzcrpPPy0ZvJDQlLT936onB3
dp2Px6UkuH3LpK/fW11UOXvIYWgyCHIO4SmNvbGdc7H90+BkjCX2i9s+svHCLplUFlOMqJuOnmH7
rDIMDx7YZD9Wjjlc4d5gEuQ8ekLkYWwXJv2k9UwTdJPIAQDZRx9xX4pXcPYZWoc1FZagZsQchjMc
Or3Ox7FdWuR6jsydzLbwWHj1RMq1WVAluMc3bsRNkMB6LzYDqHLSWqOgJyaOpFRCWvvSRuRTLopE
tMpz00AR0rnz3O53aiV90FdhAxEtRc7QZvmys4X14jLb3yamRQgrp+mO/W5xNXL7QRIgv+8AtOC2
W9x7onkq+v1p+jHkosEn443eI4BZ7H+AH/x7M7GKJ5a0/jNKzOmBBfYqu4zLizEr9mrknJ3T1iUJ
IIpyvRVQKp6dmS3jLPqPjjn0ykEhTVCsFnKUNO2BqxS9CxkMN20XT0jwsutEzXVM/U4Ezui94VmO
g47EAkpJb0pfG/Q6DyMhwdPG1E76NjU4cjeGtyBuSoZ6W4vlruWB2JZ4NcnenN1TF2eHuBjjsyxw
Dxeh58EagWccZkWgReFhFp7LE7OMYbtA6OeNmMazVSOcWdKW+WbruoRvAj/5QNKK6gOV8buhxJPX
hq/+VI8PcRvhIQ/p4sj+ioJilHFQTOljzJ4QkkJ/JBGW98f35wtOWSav+VTekxPR4oTLTgASxsfS
TZgb0ERd/bmYsw3Nk7irXR/BvjV+eR3AN3O+RBELI8+Q57IpWNoQm6qPaTiZH3HbYCfAknyQjlO8
WmQVJZuenfSpTMuzVSl9YSaAJsSRU5BYdvOGX2C588g12tAmN2D+WFRDalNoxNErNdtGjfkecX56
BE+HrANoyRY2Sr0f8e4UXF8zbr46Yi8bO2b+yDE95OtKftpxc1R7dpLmRdvDrxpE1aHuInnEMMVo
D/V/fc+5JfE+i/mMngAduB9NL0MfTffwxLBya295QmKZ75YkZCTlW+VTQ3HxNPazvYtgdn4DtkB+
Rqyn4TIVxMvh4vV+q0mEb0OXTRu4FNz1Xho2GW/+QvBEIv13HD4z5tWKqUFcGWQH2aSzlTI+paOs
TkXs2o9WopJ7UXYMypcYGLw/iv6B2UD8lROeApmuhhwuGEQid7DUZVadg8t9nDjPlo6p4SRJX519
2BBwkdBtJewTpON/NaHvnClUoi+GhNQQ6TqKEk36mNCEFzQCmmCK/mMdBb2bWFDgw1dm/20Jlf3G
dCP5hj5tuTHbEGTbh8Zuaf30V2w41hMJQ2wOwip/gQoW71gL0N6vjmTh1+6zNAEOxbohroI8wach
Yn0OxgvoXh+n2e/KEsNzyfXKYmYOb43fSLgSpAAfiz51gFyH4VkXQuzJLWOrgFndfMjzefzGmEXd
sbLKd17laRijo9Pd2Bg4z4WmATeqOXsGoPMj7VqITi33p87DM2x3yPBCtreomaxPWQ6MFTPemU0J
6Jo7MTEQBpF02zeLfYKiBExFGYSZLKyLN/ao2wDXQr1fWgYZdeqDAPVt67edeuEFhU5d4vwhZ4GM
CB0/KIqDPcs4IHkV7yHZ1QWPLa0+rTPTArZR9tNYdeFT6vvVDht0/VKGyTO3KzWPpJfm+hXHtnBd
dmlxdumyfHpVY4xRoIcR6Bh5z86asjagRs7e/bSGytIYYfwxYBROV5/LyNiB+faCroYjKjGyvWsK
59LZavks60QdvJjtXdcXYuvTcm79lIgRtjvzM9Ow/iilu6r71tl7beruN+KaeetVkXxeGms5ESMG
19Weuw1Nl3+us1Ex02ATw6vabHqnGBmfdCTaslcFh48sL+GxZINdTPdD0j+S89GjjOuHvQYYtkdN
Rs0ZJcahZHXz3A2ECkRDJ4+mQ2LKtvOsUdJUQuL/T/bOazeOLN3Sr3LQ1xNCmB07dgCn5yK9I5NW
NDcBipTCe7+ffr6Uqk+V1KamgYPBDDA3BRAqMsnIjB2/Wetb2pDEgTS6IOCXayBF62ziTJb7chiD
6ybpmzMOtpRgBX7/kPA9ZvkeUFSmj185cIyrIZgJHpKZoYyFm2WcQf8DrViSJHY24+gdXQt87cVy
VwZQKoLsJSOXjxUKkuFHmbH/cFFf3QxFkLymfjtcuw5LF+a0iGGhiGacSEnxgwT73y2X334tr9/y
r+1/Xn7we4mVEMVH9z9//rL98XX4tVy9dW8/fUHBFHfzLZb9+e5r22d8Kz/ot//zf/cf/+Pr95/y
MFdf//qXt4+cbNm47Zr4vfsjdZw67l8L4SGSvb1Hb9k/0sL/+ObfiOXeJ2G5tm8qINSW7zpAdMev
bffXv/gX9rgv0LX/l+L9b8By/5PAJsL/baN0Rlft/ZcY3paflMIowTBKWbavlPPvqOG/v/ofPCNA
jQRWX9OzL16SP4jP2cXUURKZCGCgdXarwBpzSeJZOZ/bIncex5I0hoo0uHQ1OrXOF5yCxQMpIPO6
iTLrg3vIT05zOVrWOu2wQhkEoSJEtkbU3KWyYKSNaASrJQJUWlbCZMHCFMqK9i5MhvE8iQxrdpnC
Kmilk97NIP+JN0h9ObhH1GnqCntOihEOXqCgrQNrkqAPx/nRlf7G1Y6PgNIazDPS8NZcBZ4cr3wg
3/tx9OZtT/d+1KEBwzYi2R1j8LRzJ88/+DDRaQYYFjoZuaM8LLrPfmJgzB4ZhTU9CVHsO3iyoXyy
FxZaoo03eQKoHsy0UmhAT6Ov552SDZCSBcXHQB9XWlCrwcS5+ckTSEMqT5UNmWHefGgvWIYsLC/h
SMI07tJUInwiKOucz61zA+ktvK/HmX17A5EirlxMfLq/pGFYJfm8SNvgM6qzi+7+qTAqZzU4itgj
xvaQowvkEObcrSECzzdqJC8BUaF+s/jxr8C1m9WUJcwxrYBfgdJtORJIhcbO7OO3FrXvCTZhQJhL
zqgNpdRNR6DzndnJ7DMLEebPrQsZVDN8yHCWm/1V1fryJh6g8GnEVFcUvMXO4iNzrjnH7+PQffdK
Md2VUd2gf+77a19kKegW4sfTm6KM2uRGhXMzPGazqJ4RkJX9QqXAwbe+GCg42SrZKy+ziLZedkEu
LpBMLNY0+UF4GC2yNhamOeSvFd2ddZh4s5jXeyqMoOxUdJcRDU188MJU40sN9VtdWrG3roymwi2p
s+FKD/zZS9Di8Yb1heWtvXACQzWadXaIx9qwl6yCIxPto5HejQUbLQyBLN/WZpOiK00zHvtEYiQA
hAWMlnZbXICy2L5TwG7oTcLrvAv9g8Q9T9aHUMFtQTj4MwwK8bWnyNxFSQt3c3Yw9zlIltAVJTZP
XdUXu2r2tX2AU6cmNL5W8Vm6SXpFppy4jgLZ34U8h597JCAPcS6MTd0E4R1aElo9x2yKe93X6YOl
SZRSdQwtXDMnAzU4DkdczC6cK9V6pyhlK3uZ8bhrZI4lQoaR+B0hE3uVdbH3PAfjt6HqDf7UvrWT
FWJRot7SeXptnJnCIZjgdy5a8p/fWjMa7q0qE8/BxA6PuC8MeIvZguO0HFTuvOb2aNEgsWO2KWXr
6cHC/3xKJEt1OLgYoxeaKCNCYE1mPJTI1HTkE/UbmM/ynYkjfmaj73DATxrdHpYWeJFi6uZXUzXG
9WhWuYNdOXCHRW520Z0hkvpK9N5IuWEPH2be6Hhpdq16whTbdGwsI3YxsW2Gz3Y/zgGD3gmENx8O
wAGdZ9ovisnYfTWZzSP7Apfxm4CWuJyRUh+NCmobcJq87VckUE7InoIasbm02pldjRijLwTU27Cl
gYg91QSOEAmXeq3GVIeP7jhP3H1QIT1SvoJY9ocoYQWypU7zSKSPem9hdVa7c/FgPBLyFd2QH6a+
lJPV3avBrbJ16VEv88aFw7iEagCqD89GLchbK+RJD5W1zyGkzBta6zxbTFXOxrUzY+M8YxViPGUy
qkF2kRnfGCpTW7dwdTNsHKbLJ5bxHyQeBjM6cpwvodHOhGqLwQNryiI4XZZxHT4XE13tJmUIzE7I
ZxET5WFWr5FrFNaqjr0JDOeQDuys0vqzlSca4EIBmTwzyC4C0azGtY/DCUaC0aJSSSMN3q9J/DPF
qX/XRHZxPXYWg3PZNtD9HOmsG5PlK+FiuY/hG5EaiojAT94aYVDCoyUjqI9lLDdkkdFBFFPGKqZA
okXPirCyKWK3Ze2BQoi9XNrZSzYAXgkMlmHXKlZD/yUZKzTNyRSz2q6LWSK9DeLmupmn2VrOcWkQ
vm3NtwWxQ69pXbr5rr8kDd4M6RTtBm27b1CfvXjdz1l3rWAGvFST3T73tdN+m3Bv5CsDwlINnCwJ
P89jxjmbDkhO84b9Gm5kwzVOIQw5bByVgYg+TAxUXU702AzSPgBA6JpDSjRPsvV7gzzhsFEj+KGo
ObM1HHC81PoOrQcV+xAWAdhcc7pvbEFVSUh0sAc1JcONNTnZPpQjrlDd8wFa2vZMjnKvMVutMejP
W5LdnDfYXs2+r83yGhwSP9H3mK2IRow+5veKp36EApm2qzamG6MZyenL3PEdUXX3EVYZ/VSfqLyh
BuX5vJi5Pd/GUA0klxadh3NCMv8uDGKnJ3f0eDIn8+dwZDcJMMzw44XvVwlakioaoXcP6WXtwf01
L8NBO+QLIllKdN89CDdLrJUIppJygKAE+DzGCKjWEvWVYuCyzWpEQ73qp2fMBUF6zo2cVaffXM6m
KjYRe3JCOse6m7r8pqKzYs1pGfjspxpISWF6rOVItq7WcxWBJuSxApvlQqZnVNmF77q5LGSVQh+n
6klPCz8PUwYajWrY00LGI8UsmOfDSERwuFdQe6N1IIhKrnwqBxOdy+NEE/mVnBC1Nw2/eHLdNPrs
F0PPRNA2x+1oXjBtlui2EgTgfmYjjGKw6L/hpSezOXAEOZZzBn1nSbqDtScrdl7P2ASWCeyBG0op
RIGTmpcWUIBySXC4+y486IALQAbugzc0+qCF6eynbsRvPkyzeZ2NoVgBVSVtKhoRfffWAM2v1JUN
pgd5umO48cQ93qC4His8M6wK6i+aMB2krMB0l1kqpocSSOp+MnXL6eJp7yrm2AVOlJnugXO0frIl
UB0w8cN2dmvucwZzxblEzJFi6ZPZbrKCjiA9qN25tDSobzXcTq3jbqt6rHaAqtF3oScXpwgi7S6V
sXzBlsHH0xkJ6gy0lZ5Qw5VfI+JBmSzDwqCnlG50NaMBfSxHI1yPwTR0KBLacTukmX+mTsFLiC40
WmTsOYnbhFCzE0L4p16G8wGESPY6h0Ny78OIWnJktjvjYru0ka4cfGA7sDpLHhL/Z63HP/VW/5c0
U3QZ/9JVDD44/6n7+v4NvzVQ8pNpObQ6NP9SkrlGq/KjgVL+J4+0J2zEQiBO//4vf+ugvE++9Oi3
cBtb6GIv6RrtDzuxLT7ROLk+YWSe60IPtP6dDkpaF4d6mRFxXuw//voXJYBX4XQmbdX2PcFr/WIo
LiNvNAErObsgIjdsATotsta9FTgkf5a41phJ6OxGxUEUYXdxVLFE492x8usSCt2o84YW0YfpNeBb
O2tTKJOwTyd3ezIAjT6IMcIKXLScYmubo+7rDMhnpPbx4gMHYg8unMXwkpCQeC+LcJ2QE3oj4sK+
9VuLJRVKVDZ1RnGabD/et2GAwNcW90pU7ZIryPlfWc2qxJFzhWli0wICSgScffJPDuB1ll5FdKtu
Rr3E51Qs7Mt0Rzeq3HioceAX9pcAEJTqZe1fBaFhXZP7EG6FjqC1xvFxtjO8V/hEcJO1/qZ0nQ+m
Uu5yHNp3LDUK2wAh713r6kU/BfMeU0d3q31/5NFnRh9+TdR0NltAL63uzZsMtTM9k3D0nmy/0ec1
VSy/BoNnXXf19KF7VLYmidoLkRjXsvYQyOkvLDX3Ruisujx4mmrnyKrxJNgLdHN/yIW1jSMTw5lX
G++iVOMmmJwPkDrbVuA6TuXMYx8YBiGrD6GP8gZ1kV676YWDFwJ7g0v0lEXutO4871km5ilpyDRU
3or4p2YZ91O99kPC6OjjCFof4cgART7keTnjHhNbbLdscLLuJm0qVJ16ukBXMYDvxkp8mUcD8Xwj
zVvtSPs89xcMDjCa17y1qT9LOYTvdgAeLUKKepP2QFyRd4v3pumNbdbX6sxh6B3xf87fGr/jeSxi
p2YFOOkjdo3x1ETp2bSq+JtoRrTWc+UsrBCGcN5S/QCb6j6qtGcdo1DC1/4hxVWytEKLcaM2GufM
5iNgbqVu0tLzV6PUdyoqb1PP3Brh6NEmxuPeHbKYrFnSNTAVB/YNttN6FbvzO2G700YZ2Wvu9MNV
68m9YWcamA/NwR2lMo5jeiTgIdQRtcQUk1Qj4kxHL8EQz8cu9c6WIdy7Lmxb6+R5QeKjZCusmnwE
I0bvKtK833Q5i5SlwUMOZbmfSdzfA3/sKgOwRxi27BmTohvLaUJ0kCP2ihPJHwwi6a5hDsNi3clb
pGuxA540k9o0l/1AshszxwmcFzHKc0hVEUFW9awy8FYBT2eUk4nFPpTUw2haAKhCUmiIOO92veVX
TDFsUqwJHxFx9YRlqomRLBYkM4KaVJf1lnmJTx1UwewuYh+JSxtV9zGoo2zcwPalbgLt2qh7VhOM
5lM3M8pvVRprn9dFdrcx2yjzlyHyHsm0NygEhBtfhWvyT5FahANxF9vIkbO9KHkYy3XHJj/aBLmh
2o/SHqIc14HCh22VANiQw/vuK1DS+akYuWP8LkEMRTE6rxICK+oF3v2o3OFUoUmyB1B2S+b0RHy6
ZQY2gdk0F8tLDZTxYg29LnwE9Msd0qFftol7pgkm66TFFf51DC5RBXE0jqSAIfRKb2SZ5MlG07Uo
mg1ce9dRWvDus2CPtpcwIaYfGOHgPklFrTiHrBO3eR951h7/Vpe913B0443vpXgE7JwoyoUYLObL
vhdj6OmjO7/QBDFkkhfsK0KULFwrT0UVkXg0B1PjLmo6iKzUB2nY9iuFR3RVgBl4G4sSdE8WTfVV
X7aYkyOlk30+MYBRSFzcqAXsI9uHpPMeom56VkUyrdqinl+UC4gca1B26yQWx14cYr8viu4eWGC5
GYZWvYR2Tb/tdEK/Wqb+GGWPS8zsi8+B0VzQhEAdiRaFxNcdJT+X7BbYWC617zQO+alrhtTZ+kbA
FcWSdHFWkRazIAu2Ps9NZq2NaIJxHY5VZ6/oLZtxbRdFNh45tT8PnZi8jYzq7j7Jvcy5I4qIDNCM
DMIVqgzJfL4QBE0jzpruXCIN9C4TeOIHE+/7feZZ0QfqactdjDHAnZVqRPzQ0AYMr2xX6Gg0FgtE
KkNMFE5NgroFO3HHjujLhG5FLRh7l9ZCIY7E/FnpjRW0uIamdriBlxafhYFUdHCm6Uo5/e2cEvgV
RDK5Vayf2PAxdDe06SFUyKaXFg3mbWWYNBgDAIyHlojU2zlo8uxm8MvyS+G47o5olXEfDLlHt9cz
2JBBbN0aKAkWHgKjM40CnReeKPUlZHkApRkfKs2lC+agcXra46Bz1DeV6fpUzf34LWBAD7jZLz0I
e0bNZsAzsCfT0UbR2gM+lX2LmR6GQDMi8zodBkn8syWfcgaQ23iIbW/jA7bJThZWY06FOVpf4iQe
Sqim4bJNx+KrzXjx24C99XmsbVpdqPP+SroA4xbsydlsxhM7Pdoa5yrMWiO/QnstHrBX1fmpqCaV
YpAoBVlcsTEka9+M1DM5QVCMk9aftkkVlPZBWil5vkYz3MK6VA9mWWSnIkZAgcwl8B6zxnJfdc8T
JJ45VRdePofPcjAQLk9WCI1hzpC6A/BYKduTuwCF0doKXQt/lt3tB5LgBrxerIXdnpaHM4Is5s1l
AkO3bMwC4oSv28eJ/NZrlspISKawZWkvYc3hhDHwLF90dsXIKVlnZG+bUEoQY83Zmtzi8tB2U0+C
huO07m2TDNlz3oZ86MowdC6utCFwVqhOcUz75IYg/Az6LsDUB9WNdY7J8w8QrSxumRQY89mVKLxu
DXNGkQRZmoWQgbpIwZCFP7eq2EeFq3HMwnTB2GWEDKZYeW7DxnfDU1wAZlsOxTjcWgj6w4OotGue
xiTRyJF9tNUMx8o7kiFAxOrEmPu7oI7d6jOBAcsJJzDC+QQRi4//vEi55X2EyDhaAQukQHQIWqv9
h2DK5W1C5cIKmhg8AON1vDOEdnbsECZgdbG943mWnx3N6hIdhNpC5GDoO6PXWRlJq09tIEDZFkjO
jjG+03pZMWGGst0OzfukJLnkGCwoHxzzup0JzI2b4M7khl82bRysO8kYsiVe91lZfX3Mkzh8TFq4
4bRaWD3NSob07iFEDKqbgne4xLEwg1Y9se5V6ZYAvMTfod9UvK1V5zoASSG73NjYfs8MLh08e5Hz
KMZuqrdQa0cCm2XKsZx3UgINTwiRM1TgPM7WAOa1nGdCOfy57+8nh5Z1b0G1OkS2Dj94zHFYBs2I
PmIYIyfcZbEJ0pf+462ycv84M4q80aK8qT1r2rZo7RkIEF3RFNo94QpWq6J3j7WGWV/YENYlMVGL
uAiI3nb1Gw+M5D707OyjgiS5rdPaInLCMVKE/k0APU149UcYFpRgYKYh8EJmJxeBB1Q1RR6a27hJ
rLXZOmJTO95loY75qdki+A2DKzeCfdKWI4KbccKqnmLuW9bdXL5X7fze1QYChs6KgQqXpu3WaDMz
/NBs+pM/Ze39ScfzC2cMkGphlmU37QUo1A7MZtscisxIHv7QA978aKH+o+jzS1561/71Lz+jwX40
VkpcwGC29Dzb/YXoN+i8KIPAGPfe1CDmpftPlvVcC+9P+Hc/Ywsvr3N5fy3wdyYdIV/+vAqzfMPu
WLf1e90X/VtyecLLTtMRhLOC/D8Zafw1G1g8I0jMbfUnr25frtbP/SPrP5iJwmcj5Mtf/8x4DFMD
TEW3Fw1TYkTw3b2tcrkBUKT5kLbZrarxa6SQWl7SuWRnTDUxmP6DproQ38sMkJTZpfAoJHW/nm4m
ryz30qnZUZtmCE080R0SG4Nc2nPbNBxVJdhfNAKA8xeu/4Od9mPT+g/et7//g+iETVBuXFhlA9n6
+XpqrH2A5ftqr+OWcRCWYywA0CxHcw20yecZH2bK2f/rD8vfv6hjSlMQoEhlKj3zl89kA8hFDKy7
edFQnxzPoZbuEGIQ5ObN9du/frGfaYOXTwwvBmGPP5CfRADwz39h6Dt2Aam+2486NtZuY39Addzk
5tT9yV/197cA7l3KEIZpDDkc9/Lvf9jSAq6wKmirxT7G09OdhVUFPDhZnPR/xg78B9cPeiJdJGWi
jYvzlzctTElsdrWbsQ9CuRP1lBRBP0XhiemHQ8Kj7djtFvo6fd5lTHtOx94RN5BOljyIoo/+e/VX
WSi2MRkEejd9rw+b77Xiv774f3dNLMvmo+Uz2OGyuM6vv6khwq4pVbxPo8j09pXqu5upnGiW/u3X
cbjtXZccZF7G/+Xayzpq6zDso30R0AysGiS88SqEyf4jqPq/WztxhRyxbMtv3c9qie8KiN+lFP8P
KSxISue++eeowUUcvTV/HAr++IYfQ0GlPjkmNwbKBZOjWwnend+Ggs4nDnLPljADXQcaKJ/034eC
rm1ioL0M66Qt/d8ZgwwF+Q5iHhwT6Ryrkn8LMqjkr2w/20SZgfFfuJcHiun+ckLUg8xaOGDOtgos
8ZCEQq+A9haHCdPbaqA93g51/hKlbG8mW6mXmFHbyRZuT7PBf8SWnC15FZUifUqiiETjQcsri9jv
YD/pLsKwbZMxD4Ffyidbj6iCxyKTpyDF375IO0yZqT9L8gsG/eRDNftGiEH3FGnsiQvhcJRIj00O
Csls4bemsRR1mW7wSrOCbgb7rm/H+ijaojwweuPJgfl2Hw7zZbVkGxd5p7bFsera5JhkvkMwrBLF
AyMxbe45SIyjmfBCS1ck7JsjyfAvcvPgkeq53uau4R6lXw6vdVxhGEgMldKKe3P8Gbat+RiQ14Wh
ygn52U6JbxoSDDZ5Kn/7w7/cfrCo8vLQtFO4cQeZkrqUNGSJtn18MvPEYyta+uhYCW0gY0s6za1R
laBnqbLmW59TbkOzV1wVStCDEExH+KBNCClCSsaB33AtGXcBhEJ6fkI+KApdoi4iA0E4CJG5vo7I
80CZznav2gSeQNUdRuA0Wj3Pe4lQEnsPpmlmJvRhID8crDZeeaJEcveJZSHnB/DvbHKE/Du7d1mR
TM63qLswxWSE4RSCnGh2iZHS7bAd6UHAdSbvbtSTNbXQCmF+izQRG0XhrefOrDatZyFkLE1vMzhO
8zF3GdMkIh77bU/L916xOXqxukEemIyER8YS5S0oEPtxBGVxlZJqAbJ7Nj1j41ZmYqwnnNjYx1lZ
tksvke4BDfO8wxrko68sqjX0SDpwtxT5gXGwd2KdPB7crmNE6VaMGhNjXFsSpBQ7zuwhL1zGGqaI
xl1pY1WOtQEjR1HrkQ7q4gsxIUWdK/BT8cJLVXflNso5uTWWdtO67AuDAD5I32pkEsXIJVWNxPBj
GT7a0LCn20r9YToFgDxzUwevhAqkByMV4sVDmnyk9c52od3YXKbS8q8boh/MheuRRbKoBmZnMOMv
sRUpGqAINxabKwYOl2gL1Wpn3zJvQikqW3sdz0NzB45eb9ScrM0xNlZuVb9WYM2AdpZE+XWD8bm+
pLY1fnkwp97YeH1QrtxZnLsU4yKbjE3uY4kLGvEUROy0e7vdkEl/SS7wIkL11IhZo36HuVUTwdbc
14R9+DFhnYGTrjOf0MeKmX2nxXjOGbh4bkXG5yXe3bElnlfZ56SqAOBgrH8JGBltOy1WNVQZwE/T
jHGi1Vvw417HcBxBbSPr5Wg6VNYij8Dg6C4/YSqSa27D4ZEZV3FlmBGtD/ykbSa6vr/tJGXWIvye
mKJNIxoXaKzUK7vfFHeF6gy8eV0YvWNkJFqA0wTpRmnqzj9cUMzR1um5OFhXM5RZ2Fr4Jfkm11yU
36NcJkRDBrCjrgHQrrz0g5lrzzoyMTYKhigfi27aWrkrtuYgTKbktbW3GlzLwwgdKg/B9C2QQQSP
Hpd22XeDWoyVy1wB0gfpYth5YtbGmLiKpOs3Mz34FdYE814ljX5ViB3ItIvJ2srJ/9w7XpDesIUM
NmZSxt8qhCwdTk0XR5juzHkzImFegzeFkK9tjxveGfqXCtXNrk7lCMdHp/FuDmL6sDINoSe1nn3F
JF8unNSPdzBpmmcibsnOaWaYAcEYbnJWH+tMFMM9SerNs5H1KRsYOp6VnWApbXt6La5/e5MQlEbm
LULlLyGGSFTN/k6H7hGx8HzqSP99buywRQ4/7XqdGvf0oilYU4XMDi3HWbamPrPwzbeqKJybujhV
cbdnLDJDjIUdC8l2eGRTNWxakIT2Mpk8dGBpZVybbWFWR4dP03msmuxEl54MiIV86yDG7CXw/e7F
M9L0cx335RWXOb3NUy1eOyAQKbgSc4ITAGjhHEZQDKJhZpBoh7oFzwKJblSE47VgRWDr6EKvxqAn
MNzvj2xnBequwa0JjtDHxmCPjICYt06PabbJdK7vA93ZzRKCV/qkICiywZ+6M/RollhZrrECZqzg
W5kkH3Ua9Xu4PrxJOattokdDPmWX1/bi2LnpitjeQFqdd7ZVyXeyr+atDEKOPlyu89IpsoKIbWsi
g1igJD95WGcuZAPCO0Ye91VTb6zEkhvcw+Nd5LekZHdQ97eoOtM92sFwG4ioWsYksz+x2dePkNrs
k3ZgJSwsOGOHSuBPWRaRY+1D0/mAGJauTGtMv7gED6WEkyXV44RnnNQTSg/ijevGO02VSq5s1c7M
pThbIeq8OS3QHEhiZHOLJjw7GApwrwO+x/Yx+unryHlKTlJkOsZ6DovyFhEy2aZjHeuH0qZ4Y9qV
9weTaBXIlunwOCXWR9NDatvGQWtgwsF16flt+NXru3BTSASJi9nGKja3AkkN2pEJFbNjf8bzMj6g
7R7fEIvFHLo2EdhI/0wWE17iVo/enGRfM4d5Est9Nl5RzMog76wXhFK23DUJzquOgRRyZ/LAQ0io
qsRbrvE4PftB+OWC7uHWUscaRNE6t2G5oMDYFbV1b2reZ9RZ42Gug2vm/DVKUrBKqh817o9qtu/T
hptkh5zQPZLBKe8HvDELo+1tEoj9DjhyQtGB8ar9UiWEo80o2EBINnv7khZZA0NGKNEYySqLk2xV
uPZ4GwZ8pvvZ5NFKJsem4pnyyCol2xAUXS5VYTU3JLRNj2mlDSK2fHeRZgVReW2Glbt0jQe4Q+tJ
zES/mra6HVs3v27A4jAPipMna57t/dDk/RpNbvVRoLkCc9EWLH+GYjd5hf8snXw+B5YsP4bWJve6
xeK8GKWc7xnH1zvw1xQmdrsToRmdohKcfzpE9atfoFmb8MN883BdLqvAPRPEGx9zYIcHMletL3PB
0BDbtELtNg3IVxfzYMTHLKf9ppJMp29BYI4njc8yJvbckNfgQDhI8LZ8yYfGhg7UKsJHjG475mN8
I2fqKCsM/I3XWcAcEq+6YlfFHjNGWYJylSVBO33kUrc3cVVf98rpwO1U7Wq2SMZVHVnK0MjSE3QL
kuH68UTRGa8SvxAkaNigoyqO9dI0BE7+dAvunxzp6Asj9o/K8s9AeNpNXnbs7UUYe3dlVUHKqSvT
2kS1ceRMzHuwJ/Ac85pzdVHOU4GucOzJGCBdWx892Y0bmMjGnUJeZL6MlVbeYQhaML2y8nnvy0x8
o8gqyRRFtfaZh1S9nUZMuZ5LUtlB56hnF41K/Q9wEZa10Q1Po1YM0Foy11sJ3esrszWuUitx7ygm
50PiY+5xzBbwSRP7VHMXgI5i6soSPrTaYDECEXjIUivc5S0OBPRxwWrskqPjVvKaE6Fbu3WYn2Ro
D80ihy78DK3JOdm5ARebOlNfN53CZVWZtfeSUVnfl43dnLhfmTtYBlkpTT0Ptyl5JiMQDogIwrBw
qFSy0PYa5a7JthvmDjSBIrvXlrRhZUHffcHVn5+cNoXmAETLvXZIMyXJr0b8SbGa24solCX5kZ0r
l2QpBRIN8hjD1K2bUK9DbbKVToMqejIJGz82VUXOWGQKg8waSgwI0XsyD/Nr9pvykpyWX9mD9G5V
aAqHAozk5WUCmuVDzbH1Jax6BXEy9V5w9vd7dr2YVvGdwxzLwyiNcEsyAAEHqByfoe/Ezq3EnwxQ
d1QPLXJYot/Yyq4npnoLryMGXdTu1gd+ucLWj1XRwHVFcmbQbDm13rCUdNDSe2KrlYi2mUL7McXk
3drhDVvcbzWjk11QlMZ+SgIwo7gCzSq6IF+vUZX4i0FW+SpjSXpvjo2BBbWJt4GbEYRoBs4yE+nW
uLQYePF2XAi9HMtNUVIb8pscYLZ/M9kpreLQ2NlyQomfUnDTIqfo+Hxj5ZfRk9+QIYUZ5aGL4B5Y
WfhoUHYsaAeBcSTdme68AP+orhgE1asclJoTQ+GhGfnCPuSUuskKySVyNT/m2WCGr11JyhBa2gXj
YXvV9Z5c6ZGw3rSMur2HomudXyTCrFc0+SG5Ax8W9Bih5PyeA6xe6SNJGLNmk2f2ysymNzZxQKGi
XYeeY4UG4Kzx8d2MTl4SmG1qCOea3Ewn8HFG+hZYsrlhI+rbziEp2vAuqFg1iABrXVgP/RpFe4/R
OL54jyoI7RqANkWpMZOBS6Ili0LXCpaklswODrxeQTTPuuYk4XfEMCu5vqqB5ptOBpsbRww7YXjB
596y++eW7MxkGUWo3xdJB/9namevWiFMHm6Rc+bRWoaV/zkT+fSGBzw4tlKP7q5BpUhB4z6zmAV9
3BmuDwNb0+BA7rPiO1mFKGpRUOsdOuVpwYPDfCL4L7vviMNDEtQIifIizdqD53kdNahqG468oXoS
ort3WH1uzU49dF3qHjlgWFjFldpNWf0GI91BZHGRAkzJ0oedDdzOHL7acx8R0x6Y6jrsHbQ3OiBq
PTKr7GVWSl78VXWyIBtteOXOipesrhAEEB64zeUkt9PMo9plW7e3Iz8E32VPu04xJVioyPLXJHBW
RyvkzOcUMsfPoZtmL2VG7Hksu74gvK31HhWFi8B5mWcT8FuQbN9nSv9/+vYn/iaLMQOLjn8+ftvF
+T/1N/32zT9GcZ7/yTQVQzNqQqFM8bs+z3M/XRJ5SOBCumf9UO79NopznE826mwGdWRg2BRxTOl+
0+c55ieHaTejOGm53vd/+pvN67flA6LGf7qMYJHOjPz3/YonmAVavoVBkKGfY9kC/9VPM3SPyp/W
Asw+SphV7LVkZLQ+eghkzfW76JxmnZiR/3msXbWVBtrmXATdyhuTYA+mzf4w8fLtUgqpFSK5c48r
ZytwgryCt4Q1pSVCWbLj6veacQw1UI3sfMQLAoRsulOX5MOyL74LHbrmwy+CeTtFrXdH8RiPa24l
8R5AEiNwXchog3xmM/v9FSzJ7EjUhLXqR9ntax2Ci4PfPGNn2MSVD5yfOq7yw/4ZMKL/kRqydxbR
/6LuTJrjRrJs/Vdq9VYPaY7JHbDeRSDm4ExRFDcwjpjnGb/+fWBmV0vKKqWV2eu2rk2mZUpkRCAA
9+v3nvOdcPJ3teZ3WzPXGeincTq+BZHlP4Hd746Icw3PlmO7m0EQ7+lcokEzRL5rxqrzAiMFyRM5
V3S/hs0EQHNfhCSuVVMnV0NF1nJEI+Z6IBJ248bM5lfEJUzwfPJ4Xs1+VH7pobm+R+RXXbRCM4+V
093PjXBpUDbOtakqS8dGj0zRkIVvrpwIFAU0v7pWGz9s4LxPBLrvnGka1+wdySMpU+JoOmN7zBPj
lRw3aPpJFJ2jEFhhpJzmLoXrgUG8gSLEomKvgkRFLyEqwa9ERnIawDRyDnBxv5RjD5pzbGzto59k
e5FNTv9YMBO/4Avnc9po4/wKMIwtrMvBBh/nKYf2EDV7umH1+xgtKhUpQwhjKUXhsUqWoXBqvlLF
ojeeU9JHGNb6a254iwul5XdWZsScTdmOQqcTjwDYmIXJtGIq3xdeSYF0YYZhs2c+X2Gyc/nowcJe
Dlp71fd2T2Y6ua8nW/MfnBpIsA1cAJs7caN9Q8+qxa7xbZzKZN8ZDqkVlsqWiAuISrVDY0ZiGF/V
xkAqrN/A4VCEwQ+y3mR2+M450feZWpf2pY7YG90/6IjUF+eyFdl5KGb3jd5S8GUkkxIfn5k9TKOR
Hh2MSPcDIQQgPEe3Ojs9EeVDKYybpkIIzi6pgfssLGBgVt2Vbw2mZ3eB9utdUG67MjYuZxPQcTzI
kT5qiu5aGty1ESmFX1LlGpU3MnjdahnXzI114Wl13j3N5JSfNIxYt11GhxErjbPFYVCvzJHDvLXw
l9nmykmph6TEQp9kmIJqjV5nPS0eJpLZQWDlX3Rnci9RuEO0smkjbIQPuoSA8zi4hCkSXJuzbnkt
HhjONOy6AQ1Hojsbc6BG8cW07qCErBWajFeHs6DLLqlVe5JRrC1IEQegWkLWZPHa6OMRGmu81sTg
GaLVtnUxXGQ9mFCHMhYrs7znbOEFem4cSs6b6NJCqXnfrdX/YAarlgHID8seI20XEylDQ3p2rMA/
LXuT1tJRTAKx0+2Ao0SGRicx7zRnfELiEn+ardY26TNnVXdkjiBgRluIq5lLUpew2bTArvWNPYcY
8qfZRxhk2Lgh4rR/T8wuuAeXPx1UNeDKSg+VOVfj2ujqJ6dptwW8hR0y5KORGs46SaLXqhqLNRc4
ux7Blh4Yv1QeGiHEhDp5bAbec4zeSQ9fqSaBJ+9rU65FIlook4mx9gew8r2ETGq7Y3aNy8t9QjeS
P0296Le4B/IXAxHppR3QoE8DuKnhoGe7oh3UIxom/yAz07+esqi/5T/Vtp676DHWTYD9/TB7dK2c
zZxJezd05bwr5MBZyBmmQxDS0lwN5MNsg9YI7iY0Dv1qmGmN87aHxUkYbhPL1XcISiRAQ2giqYlI
loWY1lXd+PVDiykYMpJbPsQmYO0qza0PSZqyF7VJcgJB0eDXsuNTaaeBXGO7sx+01jau3NnR7sxm
MKDCuAELrCOKdyyD44OkDf1gqyK/JmanvnYAmR3FnOl7U7fCs1+Jem/0Fi4jx2v70PGIU2mBgzRj
C0hKH2+MYRhuxiFLLkGkMW/CzhvB8oHXmk4dUN2pqu86Ax2RMIgwJVbHeLGoqu8LrCzu2k+/hG1M
vkY729g42mbOnjJRDhczU6XzXLegv8NmPOUoqM4ZEEZ6t2l0RmiO8rkmU3xb6zH+uyBzwrWo+/Ks
ysG/arShvJFqUByO9WDa2xnHFZsG26aukdMS55dcd0NYXEjGX14IAGA5uJZHAEVQFJdHKa189mx1
QHzIBCi/gl55R9N8VWG8Qo48XYyNJK/ZUciaWCvXE89rszy4geQR9peH2Qz0EN+/pn04y2PeLw98
WqOnGWpjZXGCQyGV2rv5c3XoPlcKa1k0umX5qJeFxMHJhpskMuZN24aihSvBokMbOP8yLgsR9qzx
mA8FC09pgAvL/R7O9jCxrJE4dturqjjNQu+ebHgaXoHo0ku02mBetKyO8bJQAmRCpJ3qTBKSZSGt
GN1re2XMlN/t5zos3BKmgKtN7eAleqXuJ1HYVw1mTd8Daue+RXVIxo1T6Im9a/BTHrW+ZEKybBYd
0EmPfhfbSF4GzstQxjbrJfe0yWIdlSfoFz0nfbDU+8JH5+bDrIy8+nNfQ+HPFwtNM6QNFvUQ7SsF
EK/hK1KfW+e07KI4AplGsq86nzss3XLYup2yvXDZfAU1lO+G1ZrUH/qJfuo4WAu78ZSlOoR7VxsP
vs2ECspKRre1DDEVZfEh7jqjxfoVEm/Vu9Y6Hwuimt00SS5scpEPZlvgb0BX/zUsCEvCb+Dc5pPu
Z6u6CfE7hrX7XmF5uh7TwX7t066/jpop+qLRKrsjYnpsvEB06sB0gxxXH2ovR2ArupK6OzBfAV99
KTWz29ewyC8obGjdDciaFhWpYV9nqJWJVS+zy7brkaOWg6pfOFk/ClmSA8ahM1zjpbIBNTv6DnNf
eK8CPjhtNuNQayVMppBBD/4DOryAI1GfmYmlXdtzYR6UHK27LC7kNQI6ex0pjnI6iUX3JaQLct0F
oT2mFsGTzwgvQKfcO4R06CVBp+4YNxeyxDUi+8GF6R6JF6KpulezyEuuMTMMmqc8aNthQLdIeySg
WRXQu/k6qQhvcMwVXyM9wnYty+Q01I6GMaof9rCxx2OsNPkpakMzUsmAiZ0mvumjcz0jYbpnikQL
pNCAAEEWOQKlgWw4WI68CScjeYpNKMTI7W1zZdZZ+xLYkJzLrm02QllkjxaJv+OvvAi0iJulm7Rp
s1yejNLl5tdUi2u2EtGNRsIkw5kUyyC4T+TfwySt6yWry0d3TgAzreCilItP5F0YmjYyJyNmjjXR
1DwmohzzI2zIi2jmsWgS69hPTUeGHZ2vQFfdZkAQzA+r+aCMcHFOLoQ+h6p1A/CTKDRXHl1hfdBx
f5lGcL5sYCmnBB93kapth6edxtgqj6vgll7xtGPlobr0E/GAMZXecJE96FZpPFqV3u37Li2/DrYd
f/UbUb8z52duh4Bz37fzEzO3B1MS2rGKY1sebKu4MORwFbuK5lczdusOMvcG6h80Bz9lDrwRPYDy
decSgEczzSoPjmzZd/3EPuJ4M/dzW8YbHVTat0jjPhWzZZzGQetQAEn/lcawtQukEw+gzZfads4X
6sNI82kMrbeuC32M/ZW2lXTLz1GdRSe67cF06nKtuAVcY9yHFPHjOirG9r1PSmomM2mcc17lrDZ9
YMZ3EMkkAUQLByyG9LhVIPZ3dWHa1IclBgXNt2XkYbSU/FZiB9KoJ4RJlfXRoH/M89Pw2fvUP6Dt
jk94Y9oFZFt+hsvh+KAmv0pkE+5zxogbuPwNeo155PRg0g7Rkukwuq4BpIrXH0WqHjNgCREtwMm9
IFJuYmYOQtPUO/UUVpG+I/kgXvmk4HSrDAfZAAFWkAacY+JYlUUDRKv55vrdxazExwIpwX3q689M
jtWVW4HxVOV9AwsmwInYNrdGUE8Z9K9ofovNmccgdB6yNqey7NjbSUrVvaGvh50jKoJYQnPciSWI
B4ypeIAWRQoFIJmQsRu4yKgA8hFYBoJ45WfM9FB1aeCCnPaeM/p8LxGslutEwMdBI3mmv1ridOIz
X6d5YVzQT2ckslBCTSswIEZGrfQsGLT5zlWudocKxrw29Xz4sJIXv4FJOEBkWGZ7oQRjPVn7Okoo
i7T8IoNxbImKlKUmJcQqT+MdSScVq4hBoT02mpfZbyQkpfEWc2VLW2uC6YYhWffK3j/jW50vKQhP
rYE7RnSPTvJUzLdTSHSa1eoYuY34I7aDyyTJclp0pbhRtl994/5i8yIl+2pABHNKw7x8FH3PcChK
OYpDnNPAc/JEf5vtZvgiM9f85ovE/ipj5uStaKxDo4n4yE4QnmXqA1oI4yU5OiVSQ2soKuLg0NYx
g0kVwYjHWnITxaW8JfxjeiKec4bCFmSHerbwz8XSIo8B4w6xBKCr2E/V+Nix5K3LHOrUouAN94Sh
ZATfTNUG5gTkI+iLd0bnlztbYwYHocnaIvSM9xZaYsRUVLI4g6dNH+njnhpS0N0sHGnhUxD+tZ3m
5cGqunEbpJ21SUD4f6kjKj8Isjaaha6ib1y7+yBNQ1xz0YSs2cdTwXugARjQre3ptj9W/bQMNMcg
WJMWdxsgSs9XmMXmbb9suFC0qp2uJ1+whJdHFMrdjn49BRmG/y1pHBx8LWndI9NoNnNXFnRmEZys
mon0CfqEygBtog0YFpuEJzDJBQs23sN+sWjFK95KsW7djJ/o24zoSD83H6Y8atao3cHcB7m5DxNW
CN/MGq9pkd5j/sn2ucGAoQXktdKdhPinmDGPh8doWAcJ6Sxd4p8M3fcvcsCZ+OtfbLoTcSIOAepY
PfRPdeYjEkqYKndF+Nhm0FNDTJ+b1J6nI22u3KN8uOVwusYjPHBtCfleSc3PLkJmGets6JXHYXne
RKNNHhgUXg6oTpKeQsdWXAJfPwx1oeNe7GMKhib/CH10BXJA5OiYk7aGm6WXK9PH2pCD9X0z0iL5
lkdWnaKuNfxbQMEuiiaZXnNWaU8W2NUDDX/aK7ZszIcYsOIa0Hn5LWMwuAb+WJwQvMSc/0o4G8i+
9sKM0p3V19U5h++2h9uxLqEEArpUoMUsd4b+GOs7njDzS8tx7brVGELlvao3UUYDIHTFSheMlts4
ORWGfRyb/eRwPbvc/dYwz46r0Lk18t7dxYOKH3AMWIcqSdOzihpk/zyC5AnC4jXl0K3+W1q8/0bS
STS6LorDf968PT5nWfe3//Oclf/xt9NzE2bRD0rKP37+j/4tkcyLt5o6QLcsCFFoFX+XUiqTsGbT
MEjio4mKkvu/pJSm9dvyM9ai/iU8Xl+6qv/ZvzV+MxQ6Yvq+FjJpyR/91K/9Vf/WVD+Krf9OqLIX
ieV32ufc6AK9o+O4y/wa+opGu2YZ9hHTAsnysrQSWWyW+LUIThPcuVXXWMmGPIoK3gpZHph9qi35
p/alzEFIi4konxQk4j5d4uA0YEcL/iXQUewRSuJRUKGh9NEyVkU7HTJEMKu0CaevEFibneIwt2kq
Ee6LrK6uIKcnX4Pap3OsSNPIlrpi6NLk5AbEBOTzwGa91B9ZHtZH2g5EZ+hu9IyHG00aFq/I8z/L
l2apZJylpkmW6qaH578qPkueYal+is9CSKF4P89doDFSWiql4LNoooVl3LdLJdVOVTSdqqrHbA3r
4Fwao7b1ncLfTZRhVjzj3HagSWAmY1xaJEYyECtGQlaxVHHAc3v8q1R2VdyXHrTX+ZuW4AvjnG3u
9aUWTFQ4kUeN5v/UBA3TRvf36rHLBOhVmQFEx5O8CklUWxWYc042E50XK5l72gOl5jm4wtfxZ626
VK1FnCdf6QeUX4OIMFKxVLeK0lmthY1ClkngtJsXuRtM6Kh+7XDZHc2OIfKOcjERWKAYdA6E2BUr
wgC0e03L1HgxW4rO+tyl7gfdOzyJcIOWvV2rT5Lp2LNWRgkUV6t311rWtptIpGDD5pjfEpXkvqA8
qdtNQytvn9PK2ISz1L05JZWHgE3hIZxnIE72hnFLzzL7qAa+Bc+ozfIBwSvLvePiz/tCE80BjN0D
rlphzyArLxUZNCArcYKrTCrz4GZVeG0blGB6WZNsWJQ4erhsdTGtqy6crn0c+ivQOJSn/ErjuuYt
PncohmnGaa3A3ExaC1FH7UjdwRTSnxWIM07D9SG0tGmbhbr/MZWS99Rkrp1SYwIfJuOWoIONP1TG
rZKN/4y2NHFobGr8Y9QN+l8RE9zQnVwK1oqcCj9qGw8iSn1jO/SyIho9K6KqgGN3M9NNw5ij28hK
gw9TJMZN0moWQS58boRpFKDuKlVOepKyrswj7XTnvYgAJa1d3Mv+lyZc2oUBStJ2S2YDNYpv2fJc
SdmC/uYurvecTCmfE1CshhmaRNhhPZQmz0fYwKHpymZ4szJ8hBsNmkp3AemJAUJi+5QJsDmtvRs5
pI0UDJ/o3AIkf1E6WjlunjZk9yZm5qJxMcx7jRNp772mz3eoL1zSwpJAk6chizCEWnpO1jOglb3R
pJyEUR0y9QD9NeIf1O3xxe9kU6zLTm9jr7Ckf1fTwHkAveki2WowIW/oe04XJorOD79Jhytpm/N9
FETpsGv7SXgNV8zdZY5DEBM0cZ1mOG499ERFVwEETxwaTwG69ZHD5sTZXTPJkiQ71NSYxpCHOm0U
B94rXDj1uTNldpMXysrXaeEET041NLe9EQxEXUYMCrYIvdxXNFP5a+tXwFYCmy5FqcQ0fyF3SNzS
TUUSnU2wm3LabQR9UGXmhTuucr+yxaEBUfwhClmrdTZX6tTiWvoyZ8Z4qoaIBRdeFYfwDksMWKNy
SLaW72NAb4uy1XcpvupLul/O3VTr1bkbUvyESenU/N0e8IEOdixex2GnfwHdMjyNWTCMGx2o3nWg
moIeC2m3N9loqnNaz5IsvXk497VmQXkATYukVfePOMSK1SyC4eAaUbQNQkS8iFKDYGXrbbtVWpze
2grCQgSNA0haGdbvNBii8NJQ/fxMjpPOYAV5ioEyvLDXMUbjM2I0SIGTT8amcKwzGuz+m9EE8ZY+
ereeWf92vZsVy+rghCVVM6ZgjAE5MyKzvJwdyXh7divj3eyL/JKW8rhJmolWqnDmeVV1TvPqz0Cy
9Dk3tv1QacfZmbv3jK7Qkv/V35EEHpQrZdk4JWkLHcEOJ88wTQEM5K4RXAVo+OhnEs66rWzMk0t0
2qHrLIt1pFTdSQ26fuozxhGuJjoUEnG0A8MviSfmZw6RHiTnovLH69gJ5Y6olfjYSKfiarbVF3/I
CWRkISIyZCJabSya28GumdI4vrpvYpfEVoSP+5kIRs/hUHsiHe6SuWGOfFojomBGmI/KT6ozgLvg
5b+ltPun3pn/hawcXcIE/VVtd3qvn1MMa79jTBcGzR8/8kc5p34zwTm7jLyRlEql/x2Xo6jZ6Dw5
WNdsA1/ZUmn9MY7Xjd+UcBjRW8p0MMgsxdYf5ZzzG7YTofP7DH7X4qv5V8o5Qy5uyu/H8URKSFw5
whBIBUxTLnOr78o6t8MhkCR6suE4s5GkDA8r2IhptKYj1Z3zGNIS506DxX4u9iLDF0nJlRDMnrkl
5ymt/WoNrMPARMP4UZZMXtZC5MWBdBEQI+RJOoqhXptDlu6dKxES2HPopRyicw0x99Wa7e7UEHlY
Hzshgcp1BdCybQCSlxA72hUJwhtktaALS4ANsSWkF5KU/ca01M44xuEFIr0xrodVmxL1if5xHHPs
v4n6ItCUJwRshuPZnoV/mpuq7hibCvm1mgfjq6+w0jehNlwxhGTQ1s/IaGUugiO59wDioyRErO+k
nQsrGxVekw+ER4DQY/LQW7nVH0kzoBAdqDy1o5xC406QSmdviVeKUgb1M5knSaC7aD1xTuXQeQA9
XIWq6SDWhNhb1wgNaBA2DEXYjDDCNGdDWrD1DZ/D5BqjDO5a+hojXm8V1GIdxVlJsTMWZ6PTInqv
0VSfiykWNuIAfMpriUmLWFQSdO4GXBombVUDlkjbjmlLi6Bl5jWw7DCQHsrkNaFzUR4mvUvJyW4S
XoBIOOdRRE18lWi+u+ebse6FE/do5/3p0i8m99rAkNGuIjeux03TEPxrmCZryhwTbbSTAQK3sh5F
sOb4Oj6IMlE3SSXkqxgd0J0dXhQUHWB4JFQJhyJmiAmv7ezG+Fp1UffVCWyLIWJqNc7aERlLOhiO
6hRnHSP8MENzHzsV7U02MazIIChJvEFmPjLV5xWIEhV9tuk607yNM6sA4lhFN01GECx02Bj9uAiZ
AlShMSkSWIzhkgFqyDnBTL2AovbdykPqGX+2GQ37vTtyCfzZPVi9Fk9eRfCy7zHvJDAz1+VTpaiG
V5kURCQMs5uNTEms0toOjOrs/UR6mo8Glr6NB0FzJpyr79S3CvFJvQLw2hwbbBiJZ5Wop1eVU0Y2
3vy6+wC4NoKAm+3cJwShNN11Bi67XxlO1W3xrznsdWbu32T9SGuynIguTUY+2GoI3VpfoQkucV4Y
qOMqMr7eughZ8cHJ4IgC6IRKLsHQEjE7WKGD5sxssztiZxyvUR3tmFWfZoZmrBqrjh9KQhRS1VHa
dvWAUQV7UHkS1EjcjnKfEgUQ7wUR3g+5MYgdGKB5oyJrPgduk56msDe2pFD4FVXcoIaLCdsayfXE
VTzUA51y9Mp73e7hc7gmre2jRfDMXRDG0FAbZH/QbJqZuSl3SoVi9wL3FTjgFqr7wAuYITwXX4vK
FwAJ89nomTOtCQFDIq+BoJkebMupaNVMlFHBygQ8n2x7bLE1Y88+ZuiTxUn04hPGfjt0uXxJ0qGi
p84eGx4GWpzzVZSkOuQ+Hplu6yLVFd7ggASdwCPCGDlIBjPzlRl003yhASh6aKcWel5lYhjcdqjF
kXjbodEpmn8Ty/zKb0JHWzQxzDA4Fj8DmTjhd4o5+yQePIdqJXiS1qXd0Yy0bT7t6v/apTuJruyY
xGdjed0YfbvTyzLZ/s/u2z/gw/+dGjeI4PAr//PGzfk5acLnt+H9vfxhh//95/7Y4ReAHZ0Vl+YM
ZDs0Hn9v2BhI8XQhheXYyJI/XbH/ucPr7PBYmV1AA9iapcXb+K8dXuKp5k9cQxloRP8l7+vCM/9u
g5dLP0gRvyd0HLgOhcNPfRu7GPywNkmglkN2dDNc44OTnoOsfiJ9DZ29El4iF55D3e18IjroQooH
pEXiXDT9oznE37qyvpT1vAjl+m7fVu11HOQ0V6UeeQXbEBGrDTZPO31snSUhxk0ecV7yfE9HaBIc
hjuIxEOprY0hvvru2/gHupofxYSfH84xYfwJ0lgArFg/fTiidULCK4FUjVnsYcPfJv4HqSfXQqr1
v/ZKtNbwLnPmxKxMX84FoPh9nRRota56dDFeo9OiwE0bYzaa2sLTy8D79UstZPvvvjL0QZYEXbj8
C8O0JY2lBfddTTbJaMg0Th5eLvtX5UMtUln+tYUJS/CJDh4JVnoqew61lSw91XfNWkiLYLKgCneg
49s9zfydFeEWYEqd59mFZhuzZ9v1I4TWUyHVsxF6Fmsa8sPipR6ziSQaenZjXp0nK+AggxgSvKk4
ouNpDiYz+XULZxcydDR4oT89y37+VlXRk1mpDLgy1ppfXwN9+ea+r0v58Lj9cWpL+py2bvykl/Jt
FfYTJ2SvcJxdyFRDz0Y4OCEheLTS3OKxzCQnRAC6eCLHiJRZq8/eANO8//qNfL7Qj29ELTwS+C4w
LR0sHz99GeE4Bllgh5u0pcohrhSAkKYenaBZDBXpK7bAk0WEFGK/U93h1bKnGyK61c4sCXfIXOMG
m+XdMj0e7WpnBep5joOnbMJaktq3f/Fm/1TN45lnEULKIBQOVvOnuzQnSVxL2jHcCDEzT2BAocRw
b/XirtLkBQ28+6YrDrEr9zN68KgSD7DHAONhyAjpytYzwi4wJ4q5wnoGthJKJIYlpoFfv88/fbtK
cqhxDMZdPEpolZcn4Ls7nKpMwRBXGiC/9A6vHFieLBsQB41Xw3Ig8BvkrPFAyopsrRWOsKe+mu+m
jIw+yrNfv5nlmnz/Bf/0Xpzlmn73XtB86ClgaozDMGbGkqR13Aq4OFYYAXdLd+vXL/e5Jv38elJw
N1l8U/ASfrqhFCRkZ0Zf6Zkt5S9aTLLLWuIis4G7wrrTg9TA1ZwVXl9oxEhlCltWOB04ZD2piTFc
jCFlEwyQxXM3f1xS7QJInlnc3M9kRp5QL6a02NwREVV041JBe5QwtKrms9NCbY8lDc0SnNkasgAG
wULfYGU7cYJlkp3b4C6t6pxWWrD16WGsSpd4oRY3FXl/dFFteOcrow7MTWvO17++Mj8u5gpurGQ7
YETBXrXMOH66KfBrpcSr8kXQ/97MVkCI3uUYO5BjLn79QsafHxMlJKp2GkS8EFyKH79ye0ZHTi1M
AFGsyFRM3nNbZzyL9xy/DHgVtwm/xuNwZ1Xzoe2mW3MyvvlO1iD19Z9q31mTjfcGwmyVi2Rfp3T+
2/piLNLdr9/nQuX96db88X3+dDgXQNECo8Rl6s/yPOnDFjlCvMay8uizQWPr6cnoLvuISX7YrMjp
uqhHghGdsnoMwDWhlJvBrloNHAFAq3s6Tf1F3dSZR5Zbsrdzx98FlbSOs6yTh24AUV1W7WVfcNiw
yg5TfgvVS2M4wa3GC0vR038H64Y42wIKN0x4sKso2yDE73a5VXwd2/jZD0sU+OUwPU1292DQcfNw
m/cfWdmTAOQH9dbvquCUy2KGYJ8+/Pqa/fkmotpB3kBpxbyLHeTHrzZpXcoNM3e9wPYREicsgv06
MtXOL43tr19K/0evRc2hzKV/o9NF+fG1xlhUXWMWgLSN2Tx23fwVNbR5KuspeEDyCo6ygiORTxdN
8BEoZriFyQzYcNlgh5aE2HnSJV+KXV/r7vQXb2557R9XGQWpiKcWDDNP089lXxr3WPMRPntxlh6n
YKts7TRXX/7iCvxcqSx2EXDLC8VFV3SkfroCtZEEHWwVMMdIKHHJjvuJdF/Pt/E0ROHSVOhuh6As
n9PK/hIP041N6DoTFE44Vo7pa85K9M1RvlHNeI30IjynGuTvGpTHXxQU/+idSsdiU+S2YLz30+LS
xqafjjaUYEcWrCoR470YJmpI3ycAnQfuQ20FTSIH3eKvL9ICQPrhm8CaYDDSk8pmV6bj++Ndgh6y
nYuggE9cqgd/UCwxtHDdAoOdcUss1jrKqr94Sf0fvSZobJpFLjssPZ8fX9PNJmGpxEa3X/k7zvM4
PaJyPJb0Gz0jorTPutcQDzkh0c9xJJ+N2cBhqb2QyxSsQ60oLp0x/4gZkOmFout0/+tLYv1pAYYp
Qn1HgauwFlG5//j+Rq3S0dS0GvOezoviGu+kv/VjHhcCuEB5JjN2G26iYTRQD4XHbpZPTVGPW5AX
32qUoaCCrVs6UR/geLbZKLYBHGOAENE1hpgdSCy2qgLxT1m8EprhbFQXbPtAcwkUJ+mjtIZjnIBe
zhCSTsSobBO7eZ8ycd9N1jfSN71myrc9EEwrwHzTkwb0F9+Q+vFYxmbHEIhjyxIcxbND8NuPVyCP
kGyRv6S8plf3RmbfMHPYq7zXVmVJuEjqtvWG7JGLcgxI/vD5PwXBvvWUNhsIy7dtPdzSoWEz0ND0
R4mF969mg1d4+TLxqNB3epnLzE43Gek0LWbXicW7gmtRD1Jf3AdnFViDx3wEQC4B4zJw7nrT/Uaw
z4UOnTtJ0brG7AbxlHuDoGtGv+MtXKbSnVFd1l3kEb2y1kV2labjeYzjc5Iy00Xo9ty3raeZZkAM
MpO1Vl4UWrKrOINsRhy+ZCoBbrFyxrqjWW0KTegrMehogrIRH3mCi9VqGFtKbcUfoegpXweICUX6
qEAqR+37r2/GP22yJIFBIxCKo92iu/hpZehk7ueqwlVsGutq3ttq3xf7CtEu2aKfr/T/29z479RA
oX/C9fznDZSL57dwev7bdf389t6EP/RQfv/R33sojvEbLRKOvTqDCHrhDo/DH6IXa4kbWMplh/OC
vpyF/2ihLNFryzyFZWRx3qnlSP5HC8XQf2NHMtj7mOF/tl7+lSEJvZef7xEcO1KiaWDVojA1F+XN
92eECMLROCdzs11sUpYn6iDcYXMKr2j80S2xW/2rA6QWZR3j/3NkToN+dPISWsUQIZu1jAhcE/JW
TjiT9cYWCS4yb12kcUVgwAnLkec+BGwSE8qawnngAGnQ2jUMb9RMErBEeltZ5vhF2YxB27Drr8pc
PBD4OrJe5MM9Rt+MmOo8f+tsZV7VkLf2Bo3lo4SFfqiDrLsmBjRtVkyhsP40aZuBfgm1ed0aE653
7CB0h9t8PtFCGsS67pzpxu38flqxPaQFk47qNh9Jj77tXWQyBxnOxDMxMu0JA6/7u0wvMvcIC0mn
P4qYjO6+ZYT9wQjSvlqZJL68aZrTTaupyn1CsjI6rWdc/K4LncEgtXJCn1/fEE5WvpFzQwZM4I5J
/6DpgftWzPP4QuJIweSfuKwMtj8d9yAeNLmNXLeGmgsWObuyCTEZjrNm9x9QkVv2eQYGT6nR6feF
BFllUrrfGNaEsyiODyHjMO1YamEpdkXqyBfiEa3+YEpyEleVX1cBOHEpEDiNhBvIvi4gyQRWtKYF
nyy4XnFvkcj3rYNY89ZVGmhe0ahLzmuT2jRO1WKjHAJrbWflcKJ4anc5m4mDKqLOdlwVS1+3doo9
pal6dwV9jbWnRwwU6G1wNlMtS55mbo5bcLoafW+Ri6OGTBFxSooucw7gPJc+EU4sakGE6mFJuQpk
SEgwzX3bSowFmDKoT9AYXLDktcu4W2jxkJETZQWz8iiI7zCIBSvcngksJj535/hyHWuzHq4Dayye
RTGSPBd15keQZs5XzITc5DqwC/MpLJVErJP2ayYELyYb+soNem0fj3bguaRN7EQMG89rSYw6yTa7
XSbdiBfq8Gzbk32zNDC+1XUaXQQD9PENWKFwV7XKea0zAx9AIrT0kRlSh1TKsLFLyYh8OApH4tAJ
2c7D5NNQ65AyAJT52OTELSgHJctqSoPmPPg94JE8v0URLzZRoVt0X+LWWDFQuU8tq/9WWwpJZdlz
v9MTtYmkJ47X2SLVcsy98LP52c7CLvzaiSLESw8SmCM3dHP8lsyehoNAhob/rJux9haZAAuqGw66
FJTw4WMzRCP1hR60xbYwFVS0Cho+5tNkEbrC4jL/H3tnsiM5knbXVxG0Z4GTcVho4/Qpwj3mOTZE
TEkaZxppnJ5eh93Vrer60SX9gLSQICB3mZERHu40+4Z7z033aObslnJrtMDASsuH2KG8N4dgb3wP
QeIb8SEutfviOuj2r4XbpWovhUz1HomQJbYuJug5YnrrCABYhAdts4k3eoOHWOQ863ZSTddu6yf6
CmMTvh6LkJzyQYb8q/s0GJGXzD7zwhd4cRC0TR+u3J7QEPyrcsQKHVWk4PEpW/Dk9qnsH8Gli4tA
EKDxkHf1HOyk0RPtOw5zcx7wdPBgM1QEO0Si8bPiB7UjQjvyn2LsQ8WGOVYEP+WtYdKd+QW2PZOg
M2K7DZadFRktw7Zcil+kBbcR0tgx2aHLI0SSTyZ6uQal3sYKlXunBlldV5UQ355BeN2RaW0oL7Ur
1KcTFsrYlGnebuNUsDeV/BWHxGQ/VUgjn1q3BHdg5pa7JycpOQqzaal4A8TCvsArHS1rCigNDN7n
DSppsCIckH4X6Uy3dcRLLLeWbFCf5CnCRXrunKlsVqnxbRiq4GrIRfVSEynPYlOM87Ue7fwSqjmq
HUVht+McSgxkfeF49Kx+vBrITLlF9cXCPcjScJ8Z3nQnyKuO3JT2oBwq9FFjL9C8IM+qL+LWhqbY
FBOstXaWp74fJ/yzqn3EdOe8lL037i3lzMT5hd6Fhmbcs+ITQbmbDBM3UUIP7hj2lK24+RXigrbl
YM46PEM7MyKk8+CUcLmgH3Sr5sboa/1hIrt5l/Szz11q5Rcesug9VsH4nttSBofW8rvH2sqmz7aX
7rcdWuPjqMpxP4jqIeRYwoXT+mG3S4f6IdPuRCTVkjaXLaZt84AKIjniTHO25Hog3UFQLSFV9oMT
CdZ06T6A9aw2XeG9JUj0263uqu6UeyT7hmjcN5WkmWRQYh6zvi/fAa4YybZG7zAeTax5u2Ig8KZA
oX0sy6HGvpiN1wKDNEkxxPtk+9niBQPssH6aGqWUhmmRRnaFIes8l87SbDu11E9tMRZEBE0A3VFZ
N+4FsLfhlOdp0pPYELhkDZu9fBeG4d4NICevsjYPb8hLXyliXvDF1azOmJi7t2wQRGhDDG8umylP
TiXpfPwsqMnuhTOp+1Li9N/0CCNv+Fn6d5xK5nNudR66DMzS97bPglIi1yQk1iMfyM9+vMAunjx/
yYjUKmV/zbtXvZmLuTBx7vFYql4catvFilI334O/LLcpdtZrKpcJ3GhVvs4WKo82NCRw3dpFy2Fp
tcvDeuB58xHXWab07sglYsVc6nC+Qxy2NA+YL41L263Vu22RQblL4NzITVwT9r5FPz+Q7Op1/afX
Du47WMfhbsJ95VwgKs1f6zFJkpvZ7ckoMTO3+qzHrv8C9AnrsZtq5BQdAZ7EWpjQlWjcBv8BRhRh
Z44o/MsGHzDgRsF8FKONMIKI/23Fhxq+P2wVfPMIIR9/mce9uHMzbApi7DiZeXOt58noqh4/aLAA
FACEio8lofFsxIQOaxn7X6IO6SUB2nODOan+JcZ+uMCH2JxHxHaXgqXzXV7XUM06WNbpVhDv/lRg
kzqk4B1PMo3Ng+nFOM0UTqwNC+/iJWPGTN6U13HZzPxyoHkS/ozmJOUvV2NNCFat7LJ9MztEpYYV
gebt5Mwfcjbir76bfBexxYA1MAlcUj/taU7zWwu/+4k3Hj2EzZdXTIuxsG/QkVQ3LVPmewrTdEtW
JJhEVwZJw76uWPiw4h062GFWvyO6LHnenGrcI1eQFnoRSAe9aJs3Us69JEJgUn3kswBRE9MqOkjA
d0OsNIG6rhGfgO1ZgnGyyMHCE46B+G2Zowx39EsfJO0XjCgYQ06N7lumgu42RF10nwLuOquuqR7r
EG/zRqlaXMOQHiR7QtldVAA2nJ3tJvUtp/68hUlBrgnFTr1mzsbJU2wV67kzckx2NtnD+IMsvKMx
RdN2RtFc0j7O7XsgM66agPSKG7IshAvmYdIffV8TZkT4K2ipNs9vHMA3kO/G0sphr7IIxM+LhLlX
Fpv4DoPeUwIz8xH5bx5EdALLtZxT81itkOstMy/31YQhkT7kkw5vWzd1CrTpTvDdU1v2sBnMOd53
3My3VTKLy5RIcHMjyz44OrVjgFjyU0QFCb+zoynBToi+h6IgLOXDZ83AGQXVaD+wbCXdwkv0c7r0
EnqQHdyCNVlZtKLt7gpsQ8PeDHFLUZKQjkFlP3hEcQyJ9zB4obzJQBZT5AX5fCOcNv9CM+Pct+TX
cxM5NUAUaQhvJwZhfHPiEbRcdN7enoPsx5+nZkspJJ7Qw9TWHkCxd2/q0cPplZHbE6aOjJioMyRh
Ihxepl7tv+UoOG9LUxmfNYbgB3NOAdfZXV+ekMn6v4iXk80Z6z7Bxgs8vW8olv3zMk7AbckGPvmQ
QuXW9VNUqCCTsooIHDXPW/JNUf23bekdQR0ZTwQDFsOugMABS0n0pxLrTwS8mFyoFjfgzpq1gt5o
gwk383JMAYiRJ7QEiN3qFNwg/9ZvfSRlctoTw9KcGRn7wMISqXZjlcgTSSfmhVXq18nsMWomtdwu
cmZoBX/vPa7NtZnyML6nSEIkpAbursS9k6hldgJ7JZr3GcWvyeG1cYz02c5JI3OVja+1R3Frd+Ev
JMLHDjDyxZTEya4N+mLvspU7BPjrD7Gc45/YaLob1645/2b8pRs10R0ClDjUJf7+kRIBudA0kC5H
js7tVIn0os2abm/NRnW0Otx5beLrrzHvmzsYvOwv4oHSqMCu9uhy9+1JJu6OYxEm75QzXVSH6b2s
OJo7zQ86Lz4MOyQ4G3+oY8gIgB+aUK0hMLo7azvhpgbgsR3l+EX30DMyxEy14SbOd0St9N95i2SH
sMoiuADdF7xnKKuTbdV6/eXIB4R0r1mdVIs1y61zQmAgT3wsQfu9EMNKT+PG63VKN9akFeyIWanL
2bAXlLEJMz2wXvCu2R1dAYysdhhMAAZWRJaqBPmRjCfvri/NOYjaacJ70Ob9GZAbojeDNLNtIJR5
IxbBPp1wrrNTx4987O88NzkNk35G1OzeMkhFBSiKJQLo2mw6aww3vJ1DFAKSpXFbsvQqNeAdRtms
i+famQDirYFJdJ+oCMOqffLMfvqQTT7dQupesbden13Ni+cfPXt0L+qYVe7BnDqX4y2blje2ZDd5
06mbHD3ZIe7WoDJHUQFqROdErep3qk7yjXMhXtEuD5/N0l2VadGeuiIDfmyZxcIR4ySfdhibn0i3
JwibU72f9RxcUegtpwEq9yp+0w/QhrnnglZs2TzqfVskWLThxIiLEjX5NWqB8bH3qc1RCGIE1kzo
39o4EJe9ZQ+7inSvTT873WdQyWRfhP50EmE8PsSJIAYs6M09JnJuN5xJe8cgWikgwCzfgDNIyHFT
A3FfVCO3zBB9AozJD2o2tbbKXWu0As9rriuwDbYP9WC02jSCDgHEoDec5r0vKZ62qaGHX6xvex+T
/hRMkUV4Fp1Jz0S75zb5VrYBHwMQ4XTMFlm9T4liPKEduyCk18ia5LbMGvM5lkNN+Z2Tj5I59rud
Gt6NTSbud5etEVi5S3LLpuF9uNB0N3sPuggbuGWSz3k7jQI7KeSgB5DQFdDPpCV2PvF6KLVFu7wO
aSPwl7fDBZFdNv3C5FS3xPYBU10HJB+JMKzdkC/ox9xhImLRcQEqRH3VGw8WxNlNPw5uxP3SPKSF
33/YIC1Aolrl0RbyXZEqf3K6rq92hU5QhYzMWejrCmuLoFc8AnPvUXJio7lKyFJmtAqjVO3szl78
A4ghx9g7k4EnOhjLKnjOWmmbh4Zb09l0cbGWjMl5HJu9HInD2bBh0wtiNrJlN9kQmr8a6NrXAT7a
F3MqgS+msxNr/pmfvcpKqksmOBWSN6CxMA6ZbV8afuaUjwCclwcEgQNckgl/9amG5T5tl3TGDzAa
Y0TAEw+547/h0SnDHXtK6+AwnPM5kaQJ7sUSyxVNp4KTyo0FEwEBZZ7g/aU1Mx6bIA7OkPG7iBIS
eYMGcc8jR6I0R77nnlpdZjfEgrpfRaaDFyYzuNq4j6ikG3Go8qK5FmEDkUwl8F4kEtEzWC5rb4Vp
8Z0ZjREfW1gba8gh4EnsAs7EbCcsYUhbioEB+ck2pBevGSHOKKKLr9g4EDOIviFhHlG0HS6lqend
Lee6Hhn7J2inna7G14UxDpWsJKKdcjhLZ6zjZon/q6MTy6CPEIRzGPzB3KpcEOjsqka/OnG7lsps
SbhzuqJ4zBkHiihmYnlDmBx8Ylni843Skg/mhns69y5bUbofRIxjStZpMkU5GG0qHK6omX1hs0Fw
O12OYbPKI63mxSut4HXxKlTQUH2M2zoonDnqXDfootHpZmQLZBDsZaHVBZV4sR8WotqjeNYd7R2g
KgQ8Wd9gcUoxxLjt3ByIyPGuixj8P00XHot972uMSzIQX0QixAabajQNnltANJfUPK9ZZ4CXsjyC
rbLWc25LlizHokTfyyfYKe4rA6QXxsFWRami98ADnBBrYCmvOgOCTlC2tlCptyXEjmY3lDVspBjU
6pCwk43LBnGMivVOk2h+IB4c0wYJktMbknXI5vEcdM969tGpe3oKedW+t+B0z3s2Un44M0Abcqpk
XaTWY+AH6bBz+8CjTsgT5+R1gy436OCzDxsJOHMLORnWfk4sEh/Kwe3VZeizRM7AmzroQTIP7UMy
+QKTkzklr6yMukNZ2d4lAxFf7qvAqQ5Ma4vvqi1tYhBnlOYFLio0yZ2vvBupk/6ZtMjspR1NEhP0
HHu8TDZNxCsakPf4iGkLNz8flct+jheo8SpoEZsPSfiIiZVufrI5fmbPyj7jeUSZrm27tc+cE5Kk
W9Nq+IDmZDJcBFOrqkNCTKWDXWvQC2u9yf9SCI6fCs8m3yyXsDQ2uc1IbyN7nzjx1GP2SC9g5Ltc
K4QlRO85yQdQav/EOmsluYRZcI12CsCaz/nJgZ0lLaoqzn/SOSuEzVtR9YsfFZXFwAaqTWuiKRqa
a9be08iQNp/evDhDU+K3+o0nSdlnZWK7SZqk0+fGJGyCetln/bOaub5J0MzS/WSvDF/4hEYbcS1x
rkwE2pdPmTMglgjrBUOS7lsvgv0qXIKtw/HgenmzM+xOoDRvzPk8V5jd1y7SSCIE8W2yW4q6yHZ2
Kpc7G6RIcwiojBQtU9htW5SMGlaAG1+NpMWPkeqJtSXYFKn+iPaXA9UMkUJxqjoDK75pb9Sjqc/z
KFDyrFSVhVxeIPCRVCbDJPJbOQeWNAyuuwVKDraFvKQF81jmxRn87U0A8MU74Exbk2DHhGHRXPMD
kyDQxVcEaLKQLUrrF/Hvwb1ihcvkMfO8jWuQNLY1QWjkPMYF2D2jaFS16zg2E3IvW+MO7vUSPJMl
OgNzGqAvBFnfcrlYg7GnrXflLxep+HtBQSZ2GQ67+2IisITfsWi36ejL+7wI5iMb1HTYpzhRnxup
m9MyD8kztFYq6SpostuiLV4bw4l3tfR9gPpcIrt4xQ4lbT8g05/i6oOFjvFdy2Z+JBhFG1scu+z6
fY7dGYw9G5zNFEAopoecgiMuDGbZ+RB+UcypTzMLyqeFWFkZYZ/rdjRr6aVhofOFh7i+oj4G/eR4
ns2hWrg/ltEi0IlnZz8xUDgx0nFxrAl925mzrbdGWTt43PxxOaLGTe57gtTvoZvwBGQ5SlrIw/aD
ajvO7H6BA5IHtjWd0lY3+4X5SrJfRn9Io9LomERZDYzafexqRx4DPr5wl+vBYW4JdwLAvAUmd78s
1rCcm1V9fCR702E9k/aBi63Fti76OX1IW9eD82HNH2Ysd47hgkE0UVoG7VKMXyxkWjqB1n6lJpsE
d1uWeg9gjhha1HmAs06RI6gwnj9SiyZLZIapb0QmqyiDsq1tXzyCc3+FNpUzmxfmAFHQmeWP3RFP
EWHZAc7uTQz7sX0QM7mC6t2Sg56KUnnl4f/I5vXfGtP+bxW44xVblT//fj978y0RuP9xL/v7l/y+
l/V/Q4COVDHwzH8o2H/PdbJ+IyjGdIVlkpT3d8zsPxaz9m8CnQvbV58EuFU2/c/FrOX/xg7XQhEf
WrAQHfGf0rYjlGDv+kdtjRcI7PYODpuA0g/Fy5/2soPXBm4NpBKGBm6PuoSrQntsmFepr9Kd8lFG
anj/uxDQZrmzAeOfLa8q9oiB2lOeEe8YTyahMYMjQ0hnTQJf3qYG2QQoddTBrgTCPkvCYAk593YJ
Y0MLH9VIwmI4t6+LFAVyiLq4kE6RHkvCo4+6HCAJrWRsmtbqRrq+22/apB/CrXBcSoeSOxCn+exS
9dmuUtWFHRTuSaJixljTuB3HmGNcjZnKW1YVSHKQEU/GT9xpWJ6co+GnDBV7LxP8N8EL8rLWxMZu
yPaoz4FwvBcockS9MClhYpBjKa43SqoBgzykSOKuquw564u3cTHllVTyMVZACURSDhcc8erD85b0
5No4Y2LVew/e4hZXpszsw0SWPLgv8pTkXKUXw2xgyh5MPL2q2Cd1texCfnUky2YpV5KKNyzpxntF
Mideq+AqqKfiZCe9RLAKNCVpxEZ7tbynl8wuKqspdsIf5vdpqb1zimMPz75pVNxohIsCnMIIcJmv
ae9RZzpMmjvdkOZdF1C7jJWmQktnuPBgC8timjuN3OBl6gdPpDyZt97cTffhUBThBX2q3dFnr7Ap
poQMMku7+6j9dGwvRlYKJy8ho2hjYpy4YXZF71e2wbDGO8NROI2ohekmIchx7/vQ0bEtJ+FtNyS2
E3m97wb7ijSoy24iKBnWDhR9Mw5aouoYtMo9YkwUWAA0mdV09rXEV/ZuDKTjxt1YHSpazfUlDaz7
gcs9EekldqIPpjMB5cNNbxHkiAVgoHLDui3YTY3s3gOLUdamhHf7osXoPdeNpeDFjMq6C0Xo3Xg2
0vitUHF9RB1QHMvQHTFkaAZhvYkHGFtbdtfBzOMOSMnjIblgpuPjJQ17XVg1g6xinTZAPL4nei84
4nMyjx6l6Z6KrqTAz1fFTOPXVyxaeqRYD8DIMJKMAx7v9LkeoQvU+Txc657fMQlm2RtVlb4VtRqY
l+HaDFR100/WtTPP1jbX04JnsFjHPga/MmAMkWJFdEUCg8PqXIiep5qU88Oo1Bp5UBmQNBoyEZad
xpa4REYzsR3F5vjjZ/EbbYE6035WV2MbThew2YlgzSgIjxpnIPbJCY7P0hFCxZUb32Rdx769GuLq
pCW40r09WkQVKFP6d5UsumcrJ22A6U7hAy2w1OtkuxVbQdVQEpEF7Z1EE+vpYgyo8hllJ57cmYMT
zO+uyZv0gDRghDRQ1d8FSH1G7EQdeQ1ZT8Mc0kdyHVovRoLt4CLN1to/SwYYdrXj5uYXhL04PFc1
07itINmMt2INUxu1H5SX0uC/j0xrmJ8wQ1pbofvyxbInwkLSmpgLfGZ5Fi340+jRNMf0hiPazHe+
0MWLlNN40CH1bMRh/6zbcDxbTt9dG6NZETAtyBJAjcCEIigm89v3cTh0U1xcKZuouoFItv1AEr23
wQTo3NTWNH9WXWy9FQqRmK96cZx4ijhhm4RZQN88jtJmFFGYiwAwTWR5/Z0MfX23uF78kxkdIeT0
Qt9qnJgx2Sb/sUUUeALQdXGnw5QQ4fYoDcyQ+EO7IEEUUwfT/dy1/oCYtCPLCk3X4l4krHy2PRXK
uJMZmXzH2J5QxZYaAf1VVfqNfVHSMZU7YctRb6w8WR5ZUq5qETKPqUmw6aTIFF2KZVtUyUAVE+ZX
E8snrhdQjI2VsrRaNHJfm6zuw0x7QC20sqqK5KboyuIMQAOirztNiKldhgkOF8+mHLvmEkAcYxQd
euNhnqbyKsnV+MQeOmEOHUIEWFy7edeKlwOzi0di043gabe+bp1TgqBm2eO/WQ2iReNnxzypxjIi
vGH+Mt0WT8qQz+EndGN2I00mMXk1PgwGNDhmFR5oaFHgmeU8s0WRwiUKArjwfef7BKzBe/PTU+w5
KdRDrRPmnBzw8obIdEV/B7f5IkNGeTE2tjteFW49HlFN8RR0Rnmq50LSg6Pcoiln9JixdaLHSPt7
f9L9viuU+dH2y707AKBl4xTrB3PK6QAYRaAN6AkogtoCzarb2EvufahkNostNGnvRWmhw8j1CM87
0nUP6U633kIwCViYhTM76yNzHucfXNfmk2DD/tDT/+fbepj7B88xw1PLM7yZDNu9t7rWfTG6sCRm
unIvOzhuG5GpNT58vlrCwp0i7cHuDkTO7na5tHseWOa/xfJdFrWbceG488yP2Hnrdqvs6OJ5K4kr
b0s17zs1GtXBLVznF4XTrPeNEZTznUPGz5NInWH9383glFullxwku6CnbMo477AE9GzH61UBytaq
vzF8zajSGOzwpSnC8mixHISrDbXPOTI4HEikM+J42nop9doG8gwUtS4nMY/2HvHQTQfAtN8FQ1cw
t83NG5XhSEUVQPovHpC5ooYI2fAg/9BvLYEsN9omB6kmNQl4RSK6h25xjQ9YBsKOhO58XNwJQ3/T
JM+Lzsdu28gmPOOGV91exqlhdkevMdElkOzV/XRFajL9ScYECyxaPv9Yzz1qE6UdP41wwsKLS82U
A9tbLINpXV+OV/5kNkvEWpS1dyKs5ptkY5HD6BtIk09bp4ncsf0KEG4fmxbWnHaHBQXFBOwRRZsh
uoibadkR1put/E0zeRMYD87CzIYXQxYMOsy5y64Gq34KxlbYiLBkYu3I6RCnUnXZLiuHTLMWqr5N
F4y8GGP1ulTEOKs25z0ftKevp7zBRwzsgxy4mtFlqTNmGIXHim1f5bq9zSTCNTiNPfrrwslSBr8t
Uwipc6UZnqBHhYpgj69zWrIEhcKQJTsjYPdguEHypCcv/dFFDyIuHuCz7GpdL1Ykl4qPHp60drv0
qmk5lZkpE8tEM+dbjkdQsJ2V0aB1/Dwwk8GRnKqD8lblE8N1cEu4tJc5PVCQHnMz97oNOuJq7864
NFl2ev0mnzCOOQF7KwbC7g5VG0egLPPuZZRhTtJfP0Xc+5wnOZ/KyyRw4mOfFM25HpLxkd3AGBXM
0rYAzqa3EMh+EXXKbD8T1GMobNLU+ZpKwmTiYRfn9fKG2/RnkDHJL7ChMNzbg7UJZiZr7FkC8beV
MZuwGFE7Q6QUCg6ohRlmmDJfLZfb6CVtawMc0uSIW2cAMEHSNQNuRxXMApO+KUifYc/cctBW+WeT
CJyE6HwwdLs1EzkvSElK9OqwOSqui6jnDriY4FDe16Ecn+MeIZcYC3s8dBlVppFWp4GMQWPT9sxm
j0ZXBqh7yO4jFNMOx0e2X+ytROvVAGLy8hN/oXq10WiLbck45Ue5Blo99OH831Og7jiBTAISTadB
dZDX3a3ZjCEBlBZKIbhn4S1QR/WAaQriTOwxmGbNWrXvnvRJ2+qaDPAoBdr8FjBO/tKJz9Ph9yxZ
Tjx4FIaySuuP0NPdI2A154zXz74tJ6t7CpyAkZXTaHRMDrGi3LMsqKNBGuGBbeN05NMzoq5PTf3t
9jMxifUiwxOafiIWzNpn9gd3I2ACPjtswrMOOru9kjKLogSaanR+8orD2YOFM1btptDFusmonR5U
ZGVYH9CT9aVFOuPVaJcr1j5YSzCCEqgHyoX4wMJ0sOFRE0KdDOfuzPiStWOL2szYLHZshoe0cssf
DonsIxtH/6oIzMxB0N9WO35n7GZJJpyiAREEDnuwxvHWiutnYgeHEw+rG0kWDdHQONalBVOakRjJ
oKnQ445TFYqkDw2PhJIwdhHxrLqghLzApywpwu8kbHi0FXySz0mL7KwaEdobXwZTiUlMWZ8gMcC3
mXBQpZHbyDroG0ckVXilppOKoZe1S57t4BgUN062VLe172U21lKw89ATOFiaOrsYcWtFgkPyIyxM
OKABSa5gSZZPUoIwADbBnKxYheyzsesKm1WRPDC5zl/tuDQfEH/R//ncIdcAxePxgE6nYyPh230e
8WCZ9r43RRWBdVOAmhOxm8qxRwdoHEdiP6KqekCMUqwxYAtqYFwcUe02DhwLtNgnMgqLEohxXyAL
c9LjtFBcbCGPL2nEniH99pyGYhExJSG1fnlABLcQEQyD75SwQrr1rDgFpzoaj4gnigfOi/acOLwM
KiPMeEOekpE6cuHODP4e7RHCCm9oTPv15mectlPoJg9tvTz9Yfxx+/fZwX+pNFs8WfXdf/uvf/Z0
YeM3mSMgmsWjAUrxT/6xRojRL0owhwA5HO5+H1/1VHvGSRE0uACQjqvvv/6O/0FbjkMLoxqYHxMr
lbfm9fxRW84cti2dpl8OOSj+u2Zc+ms3XWl3leVfSpyiB2slJv71N/2zQWh9mY6z2k/Q0AMy+5Mp
yZZWvcR+Ph2IGCvO1DX9LeJkPEkm4XrNoohPmWfvohvH9u92i//dJoj/90Zx0CEYX/37Udyt/sZ0
9aPU/C/juL9/2T9tEmuKyDp4E5z8kCP+aZMg24lmjbHb7zQp/ub3cZwFUNS1MUQiCfbCwHYZkv3u
k7DM31ZTBTNChxU6I+D/FBt0/aD+yzCOkx8Ph8mVtK5hgz99pv4Hq8QIxFsM4bwLKBGSRLOeWUOc
CdEGdxz6Z/Ldvv7wm/pfeWr/9K3/ZJS1M8vPc7Nrd6GbU1ql7FbTjFy2PP4cW9aZf/3d7PWV/PGV
roZHC3SXI+AquLa9Pl1/sIxn8ZDhSwc4PmQg6JM27qOQ4dB2Cux8P3fNq5lk2YF3ut0VhQ52oT+A
G2pMsR08/Qp3DoHFsi4z8lvExVcimyJHFwIdavzStrHNr6qXG1lnJwv87+6vf3rgJP/hx8ccS5wD
kAlh84H604ljK9aDHgaEnch7TGeOk0HjZ4jH1equddUikOHNMM2Zj91CCJMPbixu7GndrRFWxO6r
fc0XJhdo1t4MtzqnjntgDPCZ+GzT0FJdAAmhRh35t3YJB6da0XrJSJ5XnbKuCub2Imlt89GoTKh5
caGOmBq27HcQVNzNtQl4UO4Gkd67Ijsm8/jJjnGTj+mOBep2isklTGR+B6X0vilmXNrf80o8RTT/
PslpOfgznFDqZv+qJuCacJ2GqN9Ar7F3Hula3ZplEvBiJnjVrrKcg13YyaOXm3dsj5kghnxnpx2K
M2jJ+SMre/9QhxlTh7TnoiTEa+MiafJJOgrV1rW0vJmVD0oFhNDR9HNuOZ92jKSo8NIFwHoOAm4O
N8y623GIXdh8HetWIIrvjmn7gPxkfRMIrmodrvNn5mzIsOJwJ8bU/mzEMvyQs2BeDtZptNPxejQX
9nlm0HV78vfqvfDs5bLSfAvTW6BuVdbeqPzmW8rsWya1dzHSiCOhYTvletad0TWK4XN6GZPuByLx
snXDp2SA0+Lz1ohuVkjG+IImi2niy5gg3bJrr2jAdpOuH30Ssc9//YG01yn9Hx8nSg3GKJ4DJody
0P8z7yRMaqtlI2ftdFGA+JTkaFQRTnQcHiy+GiYVwnmU0p7OS6qN95QoSCa866KaQG9G3r7zBK0+
WtaR3ah18DNVwfzg5GZx6AgPi7ywM++R6+cvoK81zWVs/vrbS/j/l9r/JLbQpmjhdPmrS63KPj7/
9UL725f8zk7yfqP24eIiJzCwPFY4/7zQHOiI3EgwE1mQAEHiSP/9QnPYL1kgjUKM1Vxp68flH76/
kFuQ2o0vpJ4CJGH/Z3x/rLH+9MHkPvXw9q9JioI/K6Tpj+f8qir3EHpWB62H7qisXH9U0iMJjo73
FotWdxpbc94WrE6RtQYpeIwquVAT4RYwC61IMzV9DqpZfIeKRLbW9Y29z0KNDUA2nYy8SuFcGPid
hYgviSJONsm0fHjaRYMmt4625403lSfDKFywfZAU/RpplQolg3IaA2Yez3btfrMHjpyBoJK8a9qD
TTQPM0YTL0/bcPeimpHMPn3rqRASvjCB68Ulo9Hqqsnn5YYqs/zSOYfu6mH/nCUNHN9vvAE9Zuxt
18C12CCIfLbNgWQCsokiF6jdVoVx/i5K4mGThe8aozZE3UHX/D2YzkC2QZ28uGU3XhhV7WxZ7Q3b
tirv4D7X6MnT/jKz5pIGJ5hutAHjp07FhOCsY3SMAWXStykCgaORe9WpTkZ9P5edALBXEehE4pX9
NDPUTNQ0PcjMSa671GWZBhnpAH76loH88NSHZvLTFlK9Sm9070rWZaTvBOGtDFonmlTd7Eovlg9w
AGwAtfNz5g/tbUquH0dHKy40v+tTX8byTGxX9TyyKGSEbq7pLYRp89GIFCDCD7Bx8jpNAwaFrQQe
talHf3jgtC+v/Sb9iV3ktovMqYa017566HkZBc/Nl7fAhc7mYNn64fSS2s0xTwUQCRjKsrGsuwG4
9k4GWX6b+WP46npTc7bmxj05pUKDqJfim40AYQ25on9HJSauZyxw19XSrFc02J2vRugWIR8xF91E
N5WnarwkJim+HnErHDnJkRhaAU6iyrCv2tn/idXJsl/JUTN3kMTCB4a59WUhum5L0KwPrzvTzW5J
ZuImSlJ6iYi0yB5AQZJfh+l/Z+9MetxWsjb9Vwq9ZyE4k4tefKIkSkqlMpWT094QTjvFeZ756/sJ
3foK12m3jWqgFw30puC6sCWKDEac8553WLAWU5b5WVsyFcYZg87QKOtPmPjNp2wm8zoUgzjOWj2s
Q6BCD1HcuO5VHhDdtUaCywgHCB5D1e5EFECAIn8Y2op1wZjEIakJRnWt1e4WjsmE9bo27TtOmROd
zjOqzHrtwoXbYirkbDnD7CcXbIqxcJ59tSIFG46WsHbPJAYCwBmoL2kAvuplhidRKIo3zX3pKbOo
QbtLsTGWmDKSrI/b3CrnnVb3tp+hnYMSa98VU+PnegHjy1mq28AJjLWZOJ7ZWStJlfeXkJznnBTx
JPBm8FVv1Mo3M5p9wKr4BvTJgUcq0jN4dgwoDJ0tBcAz1NTYWvDUfI18MnwohPM5xSh6ACkshrMa
1+ODVVSfDSt/K5aQKMD2iD3nN0LmrfsFj4NdReLwlkFZwOYjP5HIOd0bVXKkq+VhbI0HR43BfbOm
W1Nkzo+hi5GpPsKsY2QA0SmGhW+WpyZepg1wYeGpvaU8lGTRkNI1MsfEBNVvUkswBQBnL+dCvWGM
2h3KVjc2fVfZ7x2OI1urtPRb4F1eJsroTQCC8khcLXd1MhAEzu7ktcMAucTEAYZ1XGwcdZYOdEs1
fQrJ3NrrdoLfVkqFQyFeHiZbiSUxp/WHMpn3WEHDmlGp4/btEi5+gKH4vRMu5hbsq10FeghFNJin
dUj26mpOUXaayOHIJYg6P3XrbKMENnmzc0/V2pvwPg1Lf6uwMME+Ni3nI8Ci6uVwttEMlMEnwKrF
g/OCOMAdCferp+IAo9LZRYQOvUHA6m6o1ITnuKl44CXHUgTCQLCiHLRifBlG/dn6K0xF5qqk14iV
APPNU4vU0tlEMSl8yQBQPUHP+z65+bM+1kS0z7GvYEEJpa/dMWGx1xwY5utQKOe+HU9zzC8noylC
DClhfHJgsNpJXhF7E+WdObh3z5hslyUOSkGTuSi5yUYBFI3aVSvzZewOsK+VmTNdYYr71s42qWBQ
E4V48pOEtyKq6tgnJklVOjBWqhs3yUJuF3SQx2IZoHlf42zMwugeIUvHcqb2PQVD243k3q+DYLiN
ivic6JaxThNl2i7O0HhxK4xthzGRT5BA5esmO7gp83QmOJvQLql2Gdico8F+TqyqI2mdD4B5X82v
VcK2sQqDPDF3gxWgzZHhPQITfqKLGpjMrWQMEO9DiLr5ICxkJHy6lznDLhjCz13Krp/FT6AiJy0P
N6WMCcJKON8AXIoVRviKF03ECTUyWGjCe3ePT3bNdFs3PpkygKjVEwwzaifdc0rsii6oHkMSDfy5
7gPTUwcZX5TLJKNJZhrVMt3IJmvupiT/7J2pO7woJKkcgxi9ZzIPqaVhX9tL6z60FtoraH4bS/Sv
PVlKQZLLOMrlpOYhbQyx3yFvikdQWQetsY5L4hISNlWMXw+4iULr1NsjdAYvpxSWgVWQRhMdYTt9
KL4Xq65O9AqDFARS6tLtkf2gTHKqo8aoAcZB8g7P3DW3VsHgiGmI1jzq4VgfK+cdBeB4ie05ONUT
SogxMLUb85o1NVxzp7CM7r4uHEPvySKcNVnoGdx2bKmgjU41xxt0wCcIo1DarilXcDKJWxizuD7P
g+jWcwXHRpmJxjI7yZ6OYZy+sPUk+EqSc9rWBSlx2jz6QkZsLQ56zh4mujerkfWoYKm8zwkbyLEe
noNorUftUwU2P7W1c+coZk+YuaO8zDH03aqkRAlF9Z5V0/RU5XZGzqptbXsj4/TW9dw9wyZ6mezh
viywES6K6AQ4urV66G6d3r+qXfPc0L6t9CLVz+Aq5RYPtnnLsUfgzzWMjEml/ZrIhLKSsoII9W9J
ZPgIrHZLi1w3tndjN/aMGA06ncXIiT1JdRJQwoENg8FTmZj4DAjiHGEOzop4SEX0jQPtBabH99Y0
fCk2OCGeqLeharieleBYZyK45tylCguijVlY9jqxlvm2ag3hBXAc1vps1CcMz7YZc7BoPU52u3Yj
oz+FMsHFrmrCXBSmG+sEOvUT269znJcWOmgnTeMp4dG2q1SdRnQSZRrfQBJV1vGA0XxNpPSZKm5+
LJMMV5dhNO9VB2elPPlONhnnzWT0Nz0P2quz/tZCdXdQolJZtaaZrcxWI9UCRf4h0OJurepkZenK
IDwkoF8TJlKovAglAo7miA5qC+cHBut1a03rconMYzsG6j3ld32APqHtCO8ISetLbnJlqj/3EJBf
cNJw1gTBReQ0zMqItWEHnxVw984NVBUjiPKrkxFgabpNhRFeHqwm29rDO4HYXnevNXyoeijNdazB
vp3z2rc6NEqBUJVPZpw7r0U+KpsYK43nwmjWuSU7eHOG/ZJx696h8sIsiFXrPMKp8SaGEsyzmDAe
UCJleKnCQcFAa6ePncVNzcMj8vvq3nY4pMIyW+td0X/C9LI+QolvPhOFCD3GrOX41KoVNh4pVh5T
pF5kz7J24gAFYx54Y+gS9GenrreYhulXQx88F3NUn0WoOes6qoMHvakIyYzDak8NNj6UWlZ8asIG
dUg+Qm0yzflBU3KxImc1+17mqu0ToFhcXCYJ/jRWhufUVNDQDoyjphrYBCxKkX+FzYu9w7AkqCAg
wNyUYo4fw5Aqj+FeHb/gZGKw1VZw0fogPKmZEH6o5+KkImrAIJs4DStq230gE3TxTA+/FMaCKpU5
0hpRSP7dqHv3hNbGfJlVVVnBKLJWFialn92WzMaUee9jiWvUYXQchKeJGg/cemZQzD7jDW9M4rWt
PFyL6NwmxnZpzIiCrW1fyEc0mOVN48nGrsSzxro4GS26lFyY9mYJgveRBOprSoW1LbKZ0m3Sgy04
mPNZnRr4GEWuP4yL1W6mTq1vwjaxqD8tjMA70/xCy1pvljx036su0NYuDeA+mp3yzgrj+EQoTLwz
jY6C3CjqQ6m7glPDcLfYdTA40uL7VBkL5u5U5k7sqnB9VCY3SHhP2tLc5SLSSIEzMSi0u/xAIDbw
YaW5+w4Y82iOTXrhh9abwCWxG70poFvWobwcs/liBsu3Lk/nlYOrDawxJ4TKNBE356rSU5Woizwr
gpsgCk9DmlI5qu6thun4Gm7mQEq0GX+KpTn6uGSfS2cgsiVM7Nuqh+FiLsm2gGDilVo73sgmH6lY
8Q7x2ceRwL0pO3feBE1EHilizpco0hQdcjbiwIh3bp0NzKKJEynWfd+oR4MSzKs1rXgOKeADernh
JRSmhQWheEzmMCDgZOuMga+mdXognv6cjNbaDkc2l5mSXIgt+VIz8b9Lve1ClI24gt8lRvvG8pzQ
ZOXJCZEQPrlzAyG/QxY6YtzsNwsgLPT7okInzULNAqJYm8S6Q+XxeYnEKWT/3GQYG8naIN5CRFU2
Q6VoG/q8YOegRFinRtychyqLYc639W5o3YWknCTfcVIkB3VglFoPuXPXL7Pht1DTcJgMbwdbx7uc
ajQk57BXxxWCMbSqaYIvkFoGpPsurvaJ6B9vkjyoOpPu7WUWwldXmPCl5i4qj6njYB0QDuMRLA/7
GEeZhsfWTIrPeaDx8ugEFH1rgmJRVkFk4wggonoSnhiSc96oysNkmHlHUKIxoIKUIcqUmeaAyUBa
nJIuUb9wAjanSslocwka9wjEq50VUnK8WhBLv/b6ErxoKiGH9UDfsupiRDSrvCCuHH8E1Ue63flo
ByyIolN6mDur35tzaT7ok2H4/aA136wmYViPuCP+XEKLgTyQo72vKl7Ggc2TW+PeBDjK7bFNcHau
NkLQsIyUJNO2A7FujFd66fFlIHzwEdq9cUptjShttSiXlSWaO51netZyjYuBef8SauN7lSUaKUsL
QbhiUO/IsMJgZAqgHun6AG5gSi4WQ+w7Tlt1kxuoa6g+8tU8K0eMFfDQwBVoSzIuRkFqrUhWKuIc
DfcWynQEaSdRufajnU0K1GRtpOAu81viDjaQGGH2hiY71hDGO2seUnwEEH+6XfmEif3XpiLce46V
VTLG39PUSPZ23RBo38DIYfJNLuH0qaX5cXiHiZibb3Fs+EJ0mXJA2RKd/6/gnv8POZrZoJOWNIz9
32OafvkDYf7f/+JfkKbxT41IFaFS/iEKY7j7N0jTMnVDw+vJAPC8Tu/+e0Znwos3LMYyNuZjOs5T
/8Y0VRkTg2slyBJmtZimOf8JpvnTeJsLE5bmAP9Y7P0fzYc1m0GcmY3IsXEbY0JDDmiAKZKnqhEK
OmKiD3+7M78YzIHF/gDtyxuBdZrmEDkruB8fRk1ZqLeplSH/Xow2gc4YXtAE4usxMqz5/Tdp+ke0
lu+iWcc1H0DZtE3xAa3tJZSrR9G4ASHGHiw3TTzOwkjds19Wt2kQDrd4NSU+XgkFEFTjfsfZbLhv
2Xb2dGcwgcgYVg/wB+GXpDK/ED1n2Hwy4EKOq9iB5UfitkpQjda+zSRwB16r2jBTk8mJ6PwWJMy0
YeW7IoVB0MDUp9xpumGr23Gt3nRGI+7jjKwquu4lgOZoG3BXohKzsDGRvNKsv/QTDuYwhgPUbXh1
lkG23KPBsUjyxD/Kr4ceY6y+42yzFuWmFq4YdrXRg+Gkkcul9HYQfHKgcaG1jerFxqo+s4GVndmm
qAsV268WHZgNfifatt4dQ1Kp8CMoV7o9NJc8UZqDDbBih6wHFWL6RrGLYzFbT1jCpxWNvB4clhAB
eQwb9n6asuMUad3GCMTAUK56VXKCTB2hnRNjgdBu2ke8mxqqCXBb3CZqT3eV5jhHuKEISl/ChcDh
2ByzCBM3B5FnaqYbVeEkoCV8JZGQOmIycPWg5V1ZNvj1NNgnYpeTbda6XhSlFUrgCbcFxcWYpJj9
NNRkyMiq1ZSHGbDRxJ+IUR10cQfjYKZZ7l6r1YF5rM7XN00CsBVesB1yVzCj+QNQKa7p5a7NOtcb
MrtYlVHL+WPw5ZqVMwR1aHl6ssn6suHVKcKvoZbeAv2na80K38aApa629KlGofjxKM5l2qwdeUdT
nWIH7OcR66GQOFftu9mjSEntfU375JHK5osKfBDqTuVprX4O9BTufK5+T6x8y0QLY6y+82FpXIRG
NlIKLRFS42UInBNj3AvBQ8e8Cw9hlapeOgQ1BjP1YwioCCcSTt1wEwUpomrlGJE1tgHiZ90xtYZV
FQAiHBPdGHERI33pru4gtSrlazEkiAWw5wAqzG6EO71bfZWs06mxtmku2YOI7nF+c4vVAF9ngyQt
pUQoYJ+6+NL0YLcacdAnPZjeoqD9NMEih2w9ttyMFN+QQHkCsTvOiS28RTeo65Q28DQb8+A0QBRo
hTchLEHfarRXAAR+QABFKeDrsjF+C+iISWIAKIYh4NEdroyqhDws+Gpr1JQ9juJYArUmIXpJdI7y
2QVDoUBQMnwjcFejLay15alT8E0JWvtpFPzSws6PQ8FzMET1xniy/GsE///HhX8YF0qLVeyX/7ax
r792X/8VnXb6mr//z//xX8X3r/nX4h9fi+//OMXfyrevzT/2bcb/bf8+Rfz3J/116Lr6P7H65oDh
SCMI5Dot/Eun5hJ/i9c7tp0uxbF5dRb970NX/yf/RbqE4pFsC+gx/z50ocyYjKQZqcGQEPyN/4gY
o36geCGeU6FbCQhAbMimw6f9MEek42wROjE2iEYiuRITBL9yiFyDar+KgqbaltjedVZceYubvpEy
iDSjJKW1HtBexyWmG07RrgOQHy8Y45eh5LX9203+xTmtfjg85SUi8MOoiPm7iyzowyXS8nKSp2Hj
O3kAZxnhwSaMcMGdI/c4kFaE++jJavt1GyKeSi1er/+jC8CyXeNW2fDhfrxHGONUzmhkWEHLxFV9
mQZPSq1I7g02UU3gYY//FBSJ7tAjiqWz5zp+fwkfapXrLSA+Q6gE7MG8/1irtAY+UMyLar/pQ1xM
VfupZ6hGrucf+A5Xfs3f+A7/+iKLr5EUQ+1jSgeTv7abCXzyixLhVAcdcmt31WuJzcUWEX/szfh2
eLXV6qthHPEzCkRxVCbtbBKJThvnKCi19OBrm5jjppk08aCnHGjyvfBdc2r2fVHOfpMTwKxUbGd0
CfbGtKoK0j3aRJotqr5eu8ciDbg/4EbOtfWZ0I29aFpOrbgmu7PgtFNo9KFQLNHtHDzjhcNqzUk4
UR1za0zjdJra9KLqS7pph+ytUDB+QyhGxqb7PkT5A0aWn37/hGQF9+ON45UQjoDrDAcOusiPa8Re
CpGFcQ18oEMrZTj2OYHTizanI0JZi/FMRKhi14O7/f33fgyB4YkZJkpuGyoJpupsIz9+cU6zVrWu
k/hOG2UbLJroupyl21FYAszjvQJNmKhdygH0AzMvdAGY6tlOwQPNJm2TReGWZFHXM1Elrcj8Ttdu
YDursh5nBovwxxw4CPSQSqH9ddagSA7fy1+82R/ZNfLaLYJGXFg2RAHY4kMJLnrXwHErynwXZ5x1
DbJ3E16rpsF9yMa+3KR2l/kE1ecnSo/9oKv7MQ0PRDfLA9La/7UBGdO2NI+WTfYttG195Sr8aOzv
KHQzBquTvnz7/T3/+VkbFtQLinY2JNOQMua/cy86LVZEM3DZo9JIGRabAlEE6V83urEql3xm6jPF
yLQ/vZ8/rTK+2aCJE5apCvNj1FOv5cGIEi7zg6GtEFK4zopJafsHBq6kJP64lpkqathXI552iQ+T
G/LfOIRFVuU6vg2ZH8124dsNmBVpklBp/t2Y/uLhO1e+8sevwf9Ug9/JOMDRPjx9wjptrO6GDAfI
7BLYTAIZhVM8hYWOp4YsaV1l5GwZCOEu1CU95GZ2UUNjOVcYSppFH3HuUDSpBvl6eWcqm2gJxS5r
WeRpMmpeIxjO6oXzpFgk5AqL4Rqi2j1iOtxLJsr3Qc3crQLCjemN0DaEHfpiYn8z1UnzYmwnMXDg
r7WRqR7p7pgD9yR8uwH/3qgdrGgWekVt4U9YeGEvLBtXrJbcbdErxSpyCVzUtPZlInwMBR5sw6BL
3vIlfjMT/ZxXS3AIiIBeGZTHjdZT1veRuxJusVMmV3hosNxtVsaXJqSu7BllI5ih5McGggWnsr6L
sIWXX2Vv1sAaNNLwuV6qZTtk7hN5aKzALuW69XMRuxDnCT3c6Fr3CtXe9Ua5e+Np3X5CkMrkFP/m
9YRjrZfCCoFnmBhfVTGzLWt4zslytsXBaq3XNfG+VkZuomZ+KRot8RAPaw/kslA8MJ0/oXhTNnaW
XNSIHz2EnbPOkYivkKc/kMnxbqWcnqNOzNs4Dogg2LhHMro3mNOqeAQvnZc3yqstgOGNAMM8F/c6
KJF64PWYDG/ZywofYPdNN3gcCFli5mScwNnc6avcyI8A+I+J6j7VbZ7zGkIoSAMn8il+dA4WrKoy
nUdTtM2DFeOSlVf9HQWGH9jFWyPaZo90W6qnyTJwJ55mPrNZNnVieU5mbes6uxRuowH9DjdYedws
eXqhC3P9qZ3bdWjwQ9sxx7ZFvw10VqAD9WoNUeCUBiXtGMppWgtaRq2H4xlUrHNECMpmxgfEQ2NV
QcpIL/TCrFie7GyHFxPnP/yma/NlSCGuFiGNqAZ5Ca5peMEojUWAknxF+JmzZnh1ZHyG4wbNlpct
+Rvju+yuB8HxrEFxHlst2+IJ94basNxFM3pJi2hm0aG9aihPj1ZCV319MFQGp9Yi5z5VOTyua3ce
WTZgg9gUBVmH5V385kCtWpmhftadzPW7OXtzAGdJHY/f1I5X47pwm4XrDoppix1lsUFS6EP7eqpc
CpmoFsDh8hXIWWGqqp/bDoDblPJKw6iW22LiYfWxrDYUPq/MK33lRKwgXeXxt4LXBY2QwBhhiI6j
AN1WxwDHcYdFW3bx2/XCuVyqmL5Y8FDjTHNdfreGWvATGANq7U6wX1cTr5odVbel69YbxoeaZ88I
ypba3qsWURwmUSV4A5FElUzDsYRH4CVpkGynjk4QjdwFfSgblg1EACh/ZumSNSMfMDOas5bVr2XF
e2VNyaW2uOqgTt6u20Vvp5duoo52iP5cFUnIF7S0rp3s8CsLo9lG7WjnR24izQD10EI9RZVsrwZT
3ZHvkhwJcU/XUNidNRtVurGW6tXUyuP1dIJphokOuqAteX7BAffyyyyC4B4rX8JJWpBoTBQ2TVtU
W3PC0392vxe4Sq10jZVbUHSt2jZ+blveY0PhcweZZWqV3JDJ9Bs7e+uor+R2NpNVsYoy63TdlHqT
7QXrtFcAKA5GnLS00lp2dYbprS0KP1Z5VSwneZuVGFBGB+rIUDv91U1EsmCxYh0ZM8cOlp2n6y/E
AewiXwlMj87yKCBm4dxVXNj1GTBTOsVkE+LsgIlpOh6dMIH5UMhlgwcwczoCxErkbpj6qkezAZGo
wmzT4Gy3ZoyBH6nc6RyDzcSMnKdyNtlRQbLID3LHuxb/sA1+Se4q4c3cjMrCv8JmdgcDJjh08ukw
UIXFhc/FEhZ4PyW8hxNKrMN1J44nWYhZYYYXJZgEZzy40eLAWUYkuuJfWFyJM21biVg4LQ+AxGF8
7cqe/PQ0j08lxCk8ISuOn5YdgTXMx8tzRU+5qFYWz6llgi4FG+x3Z18PYJdDohw8ucKmhb9J+NWZ
5JkK7zMe1Viy6OBrVl5WsawQlaKxHHg0uktBIZ8uQkVs8njD7Yhdny6o8OuQD6wHuoLr/pvJ3TFg
DIYpnaqvFDw+dzViu4084+C36+gdWNVmzwtkL+nRYlyy0qTUM6nUdH0th/s4IWSZOeCtEmTzMyMe
eP+wl5j+UFwhvn67rpWiy98SJ7oUy/QUiGTmwGiAkAZutTxtUHRzMHa8AhiDoIG3LaaAaDYZE6IS
MzoMYFHR93iYFPUW/1f0m1YTn0YZcGuSK+MZpr1FAotCkGjrNcdJfWKXrG9iI+r2xghmhBWstZr0
aFr36uJu0350Nsx8iLGqmb+X7TiPjKlMsWuqJXxjXgW2iMw03g4qhJPOiSEh2qidMVO5lHX5GjRF
t53orL4pbro86iQF3IgC+VhYdY8J5gw+fU681uACvGJmQ4x1PiMetHUMmTCkX+v6InYYYm7NhTaJ
4E1ZGlQDOmAzsu/VPu9Ifp5htY3SEn6uy70jG7g0ok6ul+akq5HBGGgCVnbDt17JyDC3MYzCJk5n
ck+iSAqf/2ZpeJ2qgs1etnlIK9N1pMb8jwMHDklatHMVZHy4zSBklA7pY5kBeRq58FrJmkT4Z1Cj
wIiPmMut8O3H0kaTjBwKtm4wK3wlioxQg6rbaLax79z6FSk5rjZ9tawG3cKJXsePFvpW62MfkpD5
ZAR8PXZQeFMHUuXAZy+49cNx7bdNbx7Azr+EWTi+p12D9U3tBPBKAvgImvWtsuWEYf7WTxTPihqx
aSEL95gPp4xrOyIkNGifSVrEILOQWAOjhEAHB8RiRqbvlAQQWW/JbRhCyCvCuiek3lPwROM46rch
SR0baK3fsMm4VcbmJiZfi0U4PqtiPCBBdFZOnFds5cp7ZbH4bFz4NxqhCfjMKV/Njl03qXHy7Bbj
HDJORccqoH3p6bogdgRvmL7FslFVdnUcwS6bCEtxZOezEDC9EgvbUtzHF3Uq3W0kDYfVgJ2mLKL5
We+MWj7hBYITJ5BRWMFlxNXFwycreynq3rgxFvE6SBmNoravhKFQUqV1g0W8a7C9kYqGLyw8xZIi
OII/tYXe0ewFPVy6SnDuR6XK+20o6VGiwHXI5iBUs9soOLr6fdXwr2RHj3cl24HOa+pUFDKFUM86
YuNVVsQQl3PWbSmXKA2zb4zjmzv0jp/CM40cVkwARWWlFDicQ2S7yOuUkLcK+uC3lkpbyGm9cimz
ezV6S83yVaREPQymOLcL9v4dHkHeGLXT4TpWioXdrys7vIc0eaxm9QsNZL2FTd7ctEJrnnsl/Zxw
poXobGptdg+4x+tY2yTpbTJyNQ5VFZTFjupabqdLly+3KVnl4PBdtR1N5wnI+a2a8yMFxnS/2FND
FajfVg11jaK6+D7GFn0j2vNOG6HeTSSea8R6aUy/OjyhGE801skYk+heNGr1ORbc+4IyeSORebjw
zQ0acmUHT72kwOKeIn7nPhu2g91v0WDFEY9PeQ2LkGE9hacEr+JwxlgxjVDasq8FmIZs0jqaToqi
a/3KcuUmLbVRw1BRe7fdwo+lxtSWAVfMOCGeoCl3Waj6gSCCl+nxpVCiS8hp3zScQ/jEnUitF7Ak
ONG7iSZMlju1XKshy+QUGOSFhdQENNfaJtFnBT4CX2DIM7OYyyxfya5lmQCIbKTl6z5sXkv4l94w
9uMd/ojlSjMFD5tcIL/DO/Iwg0zKdJ/pLoUF9VD3+LXnQt0oMLvxSSS+IqOjx8SXNdl0ZXGMB0Ys
LiJ+TNhd9YjjE7u+xhrGLnv5kmMA8b2JJ0hsNh/guESZumUfer3CanJnjDSzseVTmvxCnIF4y4Oh
OGacetfVT78JHQz3K5rVCyAEvyqzHhxc+y1XOxOWQasXcHIlFTwsgCrTWGBbhe5wC4EKYDOVZ6Ac
yvQl4iEM2uWmEFbnhkgEDjO38iJVSTxNRHBt2cYAI9NNbsMlgmh+UAg7YMetbmZtWTZGzdfPGT40
CQpprNS1u6wZSHc1mBwq0ajCtgOVYrVzxPU8oqEwztezF+eNlpUUPP2+8Td/BS8g2NCEqtk4uMmY
87/DC0OCP2yYzKmPhzaNuA5gi7H8a10BCkJkX7aLojJj63nK3QJxL9Lynq2mejHrT05dPQknRrAe
0ejKMqO3hbKxbPspHcJ7oU2Lh7pO2WlZg0nGiLSlGod7C2/CteZ0FMBd+HwFMq89EvPw73GXRxdr
IosTmvwZIjmZckqnHjVrng5WNeVHrFAp6AZZlOLa5mH8G9MvpRr9tUntpQj1ryasR5j50DtY8KJW
KNoaSgZUK1aUnA/S867N0An2qapO/zlEzkRAZ1DAgB5U4KNmOsnweAmvJgwtLYdjj8GhZV67szSK
rjw1X+LrxguOz4iW102FhfcHiPoXoJjjMszA6xixLnjuj08VSSpmXVra+4mNaS8GztGOfBJOIasm
JllJML21YE8OWaz/Aa66Wul9AJJo3wmxx7UPjdVH0ShvNkLH1O19p8Y73mRTJ/lLUR/iEdsfY6nw
KRJJsAnEUkJzTu7LIR8e3UrzZ31SX3+/un+epyAXRDtg6w6WLJb4gAP3Wi8qJAmpj3hK2UjAwOh4
pe2WOXBjYr8fsrv+/ivlnf3480mfQ0lNELhK4f3hzhdoc5E89X4b6M4mqwk/qkP+pGbQctpmYNCq
jGsYgtkuDod89/tv/8XbzJwAgNbF7FCOsn789pybChVU6XAloBhLAXS8gobiDyv8F7cVlFlD8+aA
e/40puI01UymZGS3qrHh9Qu+SU0yfWEQf2rd7PPcYSz7+9+l/uqH6ejPHfBt6bnw4YfhfxtSluSd
H8ZJexN0AOYxRIk9WwJQzug8wZHEtkqAnsnRej5lsz9MarXCYh2O7RB/X/7DBGGJl8s5ImwSFjsg
8IfFBZOtiV1R8Y6lyZeyMuf3v4rfNKHGwzby9IdbID/vx5WFCtC2DVB/GWVofwCCe81WrADave/E
9qlBr70uFJIMSoxySffkAFYH6ysclOcK/REuIM9NTDLmEI+3aMW+d84I9daMlz9kZH+MKec2mFiW
mBCWWHkIsD4OBDGTmUM7xHHaHcBpMopnq2arIXmNI1PT9n1ZHyNAsk96V1XbtuQRKRgZ4XdSvsIg
BZiijltllaahZC/gVFj6aYRBv+qS5JvV7sxOYPduUIJ09l6H6wCb9dKHEYTTsE+QoYekOYDU2Mid
PRyj1pmcOiI/CnGZyRLPyDvIvLrsrYXAwSnAMV+QAMOtAcqSY7vrwYYoodn//pF9FNBzb+Qk2QTA
h7KFKvLDvXHVYSL+XFR+SM76ajaJELM7KKbZSJhOZdcY3JCJAnSQ49g84NMufybQKukjhIjNjg1U
G3DSEeCYHirRKxsTLshmkHXzgr3Lts3D5VaKNVZ4x2mrEO/JP+xn0nviw7KzYUuREKwjMhHQ+n/c
UsAy2Ocbik2KUpz8XUdZg6mNcB8aBCi4WEdWfiS9ttmoiU20bhZvm1FUf7iMnxe/jVGsTNZkci8w
JPjxKvJk0SvyBZApzs1BG7kxkvUSF4P1hy/Sft5pGB2qjosvhbA1++NOwxSE7LQM1+0Au5wkoe5R
51T653XFJUPEsLZtUKlYoss1QvcVFtBcDORJDyoxnnBVRJhG+BZjBHW0c/q9lBbwSsIpZc9Y0LyD
bx8bndm8ngHDKQG9y+8X3q8eGgM8BqCmzev50+S4oHPVVMLT/KjN1TWuazHGU1Pl5S1V55RP9UYf
+++yX7qSZ/o6usy584cd6wOHUK5+aBHME3VIjD8fE4SEtHalqpUvjPJdxwbX4zaAIGeQocb5T9+m
/cxMsOGpwrJ0IFAIHGt+XCJ6qXYOlMaK+SXpxWlVzms5llxaLfRcNTQBcCmol44hB7zH8C5fytcS
+datlVPcGyJ8q9AX4lFIuO9A441zXkpnjq3VWgna4TbRx7vfP6afz1GuGGcNCmKLHf0jkaAxJzvH
dK/yCduJ/bIlqw0PqHTTC/onoGwYZCL7w9DyFwU/38aKwENIsG1/fJMySoexrOE143bPEsYvlEZ8
0o5JaUwoFTvwVBQKdLT9vgWeunF1gEqJGYK3K5tcQ1AWF0AIAYOidYfYEiAUYyygFXVbU81WOi1m
BKtxrZvdq7ZQb10xkUKlcdIYP287W+5msQleK8cvhtbH2LhCZMP5PNoZi234YdpGXhzozxmkKwSZ
DPUq1YIuztBhG9mymA9G1zflhBKi5/lqIXKdbZSZgRYlc7/JTtiKO75uEkwogi+6gsiP3JURx3OW
4e8f5S+3DZwpIPAwE8bt5WM14JBj3xhsG+HcRfdESAEK0L5sNdQaK4DlkjOQJhd+4xuwOWi2yYMu
xpoMPJLNNoWF5tqewYiuez1Ub0ajc4xmy2gx8uw67fN1tGlUKMddprWHnHH3iWiqP82bfy5g4cZS
XcBmwoRNfIyhb0KDESyG2H5hcxj301isc1u+EkY03ISNm3uus+SfDSew13BB0z+cmcbP+y/WQxh1
wHmBa6R+pFC4zpS641SUvkA6uy61ZkIlCN7vZCDheu0aL0Vl5l6sRymKJN6R1OCEnEgXYFPmT2Za
EP4o7BwhJMuUs4uJks0AyJqNL0LtD+lcvuLmiVu/nD8AbagKOF9A1GUURNAkKzkNMAHZE0BJX+QS
45sknLtU8blBFvAiMnNdCffYDGQ0mRaCYkzwQe1D938xd17LkStX1n6VeQEo4BImYmIuCkAZFotV
9GTfINiG8C7h8fTzgdIctdHfPbr5YxTSiWj16WYRRGbu3Hutb73zP4YeuaJ+Q8ec70oHgU1mM278
w+u2nro/FoOALEGa4643OZWt9Sl+pwoYmNWV6UjwV8OQ4mNAUEB69g2NiVCdsAyXLgeJmQEoVDMV
mwUVQ5g8MTyoVxs/LUoVUW0tXcPjtL7N1/2tsR5Mko+Yi9evJRN9P5qZRdgYc3a///S/7nuOblFR
sO7hKPxyR+o7pW5RwcJgcMydFjJfXLeKbKYd+dGNwjnzh11vlej98Lxs3inqUy5lcHg52NeP9N3z
ijUCF2TGTZDWdr2Z6w7F8zq5/5jFtB8/3p6h0MD+gpID0QgpWMw5OywqBpCJQDYyCwRilg1SjT9t
Hj8flB8fDhCJwXpbVUPr73/34cgoTQmUKrNdEjf06CSfAW44UwB+Tvn6VH7/+P/Fl1uXOEolA6Mk
aJYfv5zMatEyiMx2o1jfWjSss0JBZba8O9wd/1RBfvC8vn9XAfWY7CgoOhGyadwcf/x6sRyYNsok
3sUxVkw3GUz2Qmn7E741Rk2YvcaMiiRZddG4IcQ+AaO6x7WHsa4y7efRLNxLOvTkD/bn1nKmoLFg
KJjj0AQja9Snu9Iec6cud+44W5u6K5Pr0khRUA8F082lw0Gd8Jcng7TW2fUt4OT0kPYQkKq0bXyl
0gs/dZx6zx3GhElfJaNvRoJIQYNs8ikct3Qkm0BGjbkrCLK7QsuhMFHJzoRukdyNHGxn6wbPEEH5
NY7LFNN1Fp1L7snbZVAGPy8dbIsxv4F57bNW00zVxqbH2ezo2yKHnmTH3NTCakBwTkVHR5DIsw0J
wgx+s8K4QqAq0IFlbupbRVNuy9rEaZRK4lMLs8zokoUGGNEGXxOo/mulDiP6u/d1Z56jONF9he7w
0bGUhfbPon3qR5Lk4LOLPyw049eF5lCEQcLhXmip3Nd//GG7q19CyTnlUVA4+497j5GjGilblck2
tVSqF+q5bkhBDevR9AycbAFxX/wAcdL7+CBIn0zxum5saRNFm8dfcj01iIxqLGwWGNEEL1AwKw6p
fGyQaOdluWWIYHprV2LrGIvyMFejee2uf31adecu1h+EjdpknDBduoK0314W5V5PW+cPDaefDy9k
fywoVjB1DBuN+tOrzs6p4d8kHDyWIDDiGcuA8YfV+/Pm+fElbBSGwlUt7Rf3CrcwQSMgchAM4MOu
Btqvgxy4ZtSkDbUd7lHiFv50K/q5KOCLsnfiK6LDvm4bP+1Q8CeslGBNe9tUpO8x/JKwQtSGsRv+
AfiwIalIoj1UUg09s4ND8fsdS/u5tgcVuBbIOgU8/VQ6Lj++VTMQU/A7lb3trZpwoClt+WkT7QSy
mS8YCvdQu52zY7d7oO2Q7XLTGh5//xk+FHA/bGPrZ6BFDuAJ2JTr/HQFZdlIW5eKtU2tTPGHuWn3
hYnhbgEouGzkQMRbUqjt26Qu4Q0P0rypJlSnZac74AfsxYdVIb12NNMt+ArnRW11HmXTUt3F9baA
unOH+bs9CGnz7XSxfd0QvHNt12PzpEeoEgg+AsIxut3FsLHbxoOS/6H4EjrP8YfvkQKWlim+MhDn
BmfzT8856Syz4Qjd9qyq69GQ01atI81zh2q4+vgm3D7OL+oY2ddtzG8weAw9dyFDOicRC4CRufgG
vQjPiMNo70ax4wOBUVjXanuYFv29RouxV8ByeD0mYD+JjNtML4yglslwtSwxCBO89CgAFiiAEBaY
arerBTZFzWFhn7W6BYVPtc7YS2Vb1Priy1BsIjI+tpls2puJP7mtrQGJRRzdzYpQ8I6M+WVe6qdF
pgabUH8lRvxRi0nGU9TEw0lP7O5Fqf5EbDV+OWl5nDTh0VTatILx5f34OGvXDbGGItCA10/vpFek
B+XiOonG+6KASWL0prZdOiIBEgvek07Hy0tF7ewzh/AmAOSYuJgve7nLMkvLIT42WQQTHxMM42V3
OfK3WNfDmm8+wVfc00giSDSKrR3Epy9LWuN3TUNMuh2SPdG15rbRmxJRny49xaqeIC33W5LHwG6M
0s8WKOC/XzTmL7sVwT7cNmkbCYcFrP30QqVJN1u0U8QWpHR/dvAofNKnkSEYHxxbXA8tsK+cbteR
ZkbsZ6EgxGnio5YSezyboJHTGJIZGP3iMYlWeUfCssuWVmBQFincsbHmxbQgYOMRXnwV3EEwE7vl
aSCxYGU7WjDLfkfktIaWwLwfB+PFVDQg0q59H8bJV+46/aZmPnUkLM7eR4g2TpAWnUtHPRnEOZEa
xMFwHS/j2i/GqdtZ9AZ2JiO/LYNJXnSyhYLJzY3g94/uX707TC5Mmt7sO78UhfOUxMwoeXeGXLzj
NnAu61qReKpgNWFR/P1Xs385uUCxCgOFGp1crKU/i5mLnl6V2nfssMip/JQ59AvCsvhYgxf21IUg
OUMN0xui+OKj7kg2PEn5pY089GloqOBx1HtME58HN7wmJu4ULgLcBCqfybqao7Tym5l1PaRIXvl3
YaxYi090aOjJlONDH1nNlO3vVdsst3qFmE9rYPxoVdXusYppTA6n8jptVSsgIzHaxkjiH8chl3cM
/OF16/EAMy4BbKmj08hMjRaXtTQBURHDCTGXe2Aie9vhj9m7AD6YVro90K7Svpa4K06jyrbc1llG
Ajcfh4lpvhbiw6OYebfagWNGiQen8IRup1j3uzWZQoGqoFZkKchS/WSEJL0iYmacHcMt2bqyoO08
RMoWwDubka1ZQUwviAqUBbH8YaH9i7eFl4RezKpHX0/JH3ea1rIABUWoYh2MiuwhPD8JL8dbKtLa
bMGC+P378uvXY6qIIp0Si4u6+PmWbmWkrylLJcj+KyhAalYDsjn3gOYI3tUCQ+L3X0/7tbDk2oZT
mhsvMnWgjusn+u6S5CBva8jJNrfomIwgmVGGappjXScFg6hyUeMjpG/QHaSR11Uv97Jlu7Cyxgiq
gsVvjyWjgNEOPaKrU8/tOajUgR+1WpkSUYLW7eqGbyWxKnlXtGzXolwPdxECVl+S/EIQzxuBAhoc
Vgy9ic5LZ2n5G/pFkpAsVKFplSiw6wztoXI47OB9nPIhzrZMGd5J6aj8ZRTvmZ2/6TGfXVG7aTs7
4XKkr6UHWj/RWKnkQwsRwdMUdv6Po7XOKLUkntAXFGUGDAAE9xoiXzQirCaXRORdzCtIKG6uHsfO
7HaVtZ6mJIx5UU1dkhEV6fUFUbzqulZnnf1DFj2pOzAhgmzgPV8aXvFMynaPKp6zJ2PbbbO6eUqS
TNny3Iwgl3yg2sZsScdl8V0lZgowN9M/fjfnfSfsXNlKm7jQTYUyxO/1EVYc0oLNvJ66aay3BzPJ
bBYL20WijdQD3bTwEKf2EHeqc9IaBvh9zi/dLnL2rc0KLWP+FSjJil+Gbue3FeJvNN/dTkatvAEe
gZqjCyvOBb5NBUDYzaAsi18PWhsQVGnt8Cjh4yXwKCAVytnli/VozfaXAr0uWc+mfmB1DtCtMiNg
B+MtFrOzI8mQkiWhjP5Y7oQiAIBoyfdQFE4B0jzAqRU8/9g1Oi7t/Dg+3vb/b77P9Qt9qRiFJBGy
3v/6z3984dVE+cMvgrLjAL7tv8n57lvb591//eff/ULrv/m//c1/2DL/YOnU8Pdr1iov+cuX8qun
U/bl25f4Lf+Pi3z7+q2Nv3dy/vMv+IeV0/4bfx9uSfDaNPupMv6Hn+Caf1vh55qLj5LZx/f8BN0B
usCCQkXEn0AWQD3yP0xY62+MciEoONx0ViPov8WE5WbBfvR9KY0GAoE5llGcYPCKP0Y03+1XTVQA
5uNUOsgE0s2+h3x2tluytnxir8nVmaY+T/cwc+oesBZJYZADyr7xCZjTDzTG0oD4AXlY4lJYJw1K
a78ZoFb3G0QlyeuS1G6DXR8LTUBKSHS1VBZOFyHBJ9LQg3RaCVEk+xUh+gpYAThOpSXEjXCcR1yk
o6J1Agye9lM7sqdqnT2qG6ceAqgGhNoljklW/JxlQcgdhIEtODlyOPXIWbyFsIVbVwP3vZ8IZls8
fSK4dN9MKfEx6MKQHg84LS4GBM8Qm3WN92MWWnQqIVfcUujV4SZrBjgDWjrWwmuUpiUF2ynU9zhR
K9JsEYF1vmkq5l0JbAlDWlhELw0GLkQlTjh/MSylu9RpHq6Sy7L3nLQmkssAPfMWp+10EI4oaGzV
VvKK8AMgb2hyco+VqjIosKQ/Frp10LQOWXNJ0UruLGHJGwO3wkNn6fML8yOn25REh5Ccp1bJXnds
7gvGIjPaTnNaiKBubeOkF9pIDC+ABaMgfqFZzGS5MZKi1+51DiltI825ibamWxvu80DUymFu4lYL
cldFlLCUkd4Q56UpZJrkUSeTQ9O2Qj0763PJgmYxSKVMMUI4Dy3+kLUgYbwb4s98YfiJmXIe1ocV
H/ouJp2jrMeAvwbwq2s2eydzivms4SKCwWrHsGki22H0DGJw9NIxbYg4WfHyvTrddYn6ns4NwS4Z
OqqRje5QKbSHaSLpG9lopA727ewNEJFuOJtJkDSIOp4XE45qps3IB1GoEwkMPtc33N6+p7NK4pei
YW1c4eZKTm6amYb31FYY/PPhWa8NrjZEbUveDxR94iuA2EM5yMM4RSU4S7VYhzu6t4qYA4MO3inS
jfLK4rW5IwVDOVjTkBGba/LomsbZ4TZavdBrUhpqg0gxoRTjk1xC58QNpT3B60MXNpAdAsLP5qdq
xl9Nkq52Dpl8z0knypvBAITUD6uLyq0w/rsxhLahjc6ZU9uBkffVnS1NuKflxIA+E6QjMWJbFWVq
+Bjl033W1YBBSQU6zP0IKcG25VVtAZRL3Cr0wSOSglml2LZTg0ASLaNiIibOjnRQqGFuBmY5ZhsE
VdpmACCUaF1/ahgQNwjZabWks+gf8ri+DLVE2qIu0JowmFA+x905jPOWMmXuKFaQdAHVQ1ulc44B
152HO66p8Jps5b4s6299DyUMgcVGhPhT8o6YnTJt7XPXscoiR0Gpx+8w3M7KFzbZms3IeDAH3v+5
UOD1hV9zLd5pfeleOGrVbzIFSQkl+VhbNsF4IzAu1SUiTWbTuw3ztGeC6jWjwk++JqNKIX4UhJQG
3yjvCWEOBVZuGNkYuLl9LHPVXqexYuMKIzGSm/5EeLqNGHcWy4vC596mabhwMTObHSSL8eTE2cpU
VcZ7BMb3VhemkIgLG1NGPnA9lHbgwJMNMmMqb2WbtAHhmNGGWfByg3CpN/25mABgaSGEBzq1vU+8
jqF65spdnPNGAQgWAn1OUqLjZyMcb1yXNCQrs7PAjYX40jXyvW4Mw1d7p7marNDYxhp8C271UCuy
obgIl6Z01LX61YQ09HNVl+VW5fLKNw8U9mJ2aoQ6V6VbqofshEBG20DMjfM8unr0tc7AZ/7htvBL
P00VJvKGdRaimaAWrJ+u5UqadeU4V/ZBHxKoUmUXuVcO8MmbeizN0RPDRK4PPSxtU/cGBs65tw8g
CcI/aiV/aZGgULAYDFDZr/MB4wOt/t0xKfsQKbJmT4cZ+Eg6tN1niqoRV+lguu3ZcUrNupA+ZlOD
LsV4N8yVlKtXqeNiP+hVEJvDExw/wQY76zLaFillAXYVUTRvlmCW7JutIp4b9NsX2jHlabGM/MVp
QPUaHzt5MQ7aZ7ucSjB5Ttw8s24UjGSdca8Po/JFxoTtoiKPHm3V6G1cclHy0iXGKqMczJOrJrxN
WHWeyW6UMHrj6bapLFiSHOFuMC9qdsS0In1jroxrDsfoPCLY9joa3Xc21FdojpNx6vNI9zjp860x
5S+6Uam3nR5d2SNZSvp62tnruVd/HIFoiizOWJQCccBZLe7qj/My+jg7GROo7/XHiaqbjf3Vdizn
MolM3kFA1p5XF02zabAwsm9OhPlNnehxpkdOsk8ovR9xeMa4FfNVM6XJLFGZ9tZGEsAXHEcvISjy
iyglcEHuTud0bBTUd11l7ENEJZsOla3OEILFsW5D1hvNL9idZPoelFB/pLTuD/VEcCK0SxFkyyzI
fXSrtdMFwJEulrtSZmIoZU0vTtgz+CUjzF0YT10cOAt6/LSacX1pY/fFKFLr3olJgATlBGa+LsRO
bwi0hTRNFHssDOVzDtDSCKY0tDdpXFqf3bozbnQjQqmtUBc1+JtmYtx6HemgG+vLvSXa7FXoef0m
bCakfomTdXpGUMZDEkQI33QLLKzdaFoUUVRg9YsMa6v8qsRWnwSx6KN3+K9Vc/muDL78vWr8PmxK
/0XQo9pYmvE+ES/gmmRoUEd/f/vtSysdcDv1h0QI7VQrU4TtEZh5K43sUBaqc2gcWL1eCI0+gFl/
dvIqvI4nSKAANUe0013UsA0vSuQ7+KHrTVlkZC67DXlgJgfsC80OnFFRYjT35ohBqNYJPovmZETP
PZ0ZUZ1HVPaYUEZtuNaQYnZUolP4hYmhsQVJYh2suMkQ5wkC4SYrvTIs7b42YoZg4QW4AbL+EOYp
mwjY2uieNW7coC8/NaRZe5ZiqoQAJ6pQkMkt/eiDXrX2cdII3FpWB9NQS9X9UNv5xbJS9YLahylQ
ZYrogaFFuYswbAbR1CtAio1qZNPGTX3D5tJcHNli5YsIjPMFRQmELuAiQyCmPLtaGhWiea/hBfJg
spZf7X4NB8qcHmqj6C66O7RPSzSGfmWkw9qVzn0XXXOByt8OX2PK0ddJzAXs9qKS27DL4h2MdCXb
EAZnU+ym3Ta152hfOisJ0LSYX81C4oqZi3T4WoSuG3l5r4a7vrLKxJ9ad15HhIynNnZP8KKlyvA2
HNz4c4FjlIldlARhWIJbRCi0c5UEzlUihqs8paemq4l2w5m08FY6402eutOR8aryyYUiEPDXdXQW
nPIuS1JHp0Com0cVALrXIVDeDGO3BizXQwzHuA+RU4phO6NRfB10LXlQ4lZ/alLGZii31dirhoat
ifTs26XtIh+IiHFEC8k0xgbADwx+peRifbNjLX0s1RYpFeQx9BIIk82rBPlHHhSdFV4jrlN3lh2r
rGs3Na7rorp33RFjZG5qG+vjJGIsYN5aiiQBkOy6wpNS7cNNapSdcymJhTXI8eb2oX1cRLRu6hcv
/LigqOtdRVIOLHRD1itM2OZcZ9xkTrHmlvpngPJcd1wuPvrHFailSbqldWE/AfzmilTqiiI2zINX
8w+7d+mzu9WvUYV0fm/Q8I5ukLRrarCeY1/NfpzIk5x0p9l06zUtXVshm1pO/LM0OsM6wTuQB5nD
TBhHoR3ox3eNPzRkZW56d6GRj6s5S/epYxHePS99I3wmANXR6A1ydpqPYmBa64JMaC/giRkKd9ED
FvOXRK4LRE+5UtgJdOMF7cfg2ttaq/r1U2MQ5I59nGLuFq1SiT2xHu3b7zcq8fOlF3jEmu9qmrCU
GHmsl+LvTnOVki4zcuoKN8J25J6bTF7Xw+2/3x3538W+PVQF//1of/zVDvl7A+SvX/7f6Y4wNKen
+f/ujpySpZJvxc89kb//sb/wVibaeHTiTA1sfjj/ZFvZumOw9FC16rQg/8rI0c2/mQYNY/5De1VD
6vvPhohGG8WyGDPT5OXPWta/A5T85QQTcHiYKaL7oRci6Ab9+GoQJLrgSy6GfTmQSoxKq0Z/0hQ7
mRLnTrP2kIQD64VUFxH13/TQCk+RwO/83SP7FycpkVU/vaLr59ChPIhVSm8y6fzxcxhupFRAcQeC
6VvI2ra2NY0MsJZn9TTuj1ydG+sSYvLuE1x3s2iRkUfhKaUG2TTSeOgbYAw6lPanJbkx1PJopAhr
E6cTCKdQ81n2sdZqOPtMIE3R3c49gR5hSzQsFlMuCY9jm17PAJmmsCQ+uL1M2XQeM8xQJKxyVm8B
sROIE52VtC5ggGUPfWLIoDWiN9POKh+TpOUL9sUakgAs8okv5PcOMgq2qZe2rR/AFW+zcIaAYlxG
lyPbNLN4w4NtDaN7iS1umVG1qFtunptqYn5YFtpWEN0w66dKqbYWsTeD86xkyx3xdPfwpa7gjezR
lF6VNBoQtnCXbO6nSbxCOCJDYyLWxSRYzYxI/pnMytkb0J5RKd5IZ7myJvGtAlvtqJ+UVn20I758
Z5+kkHdWqO30rgq0SfFHXW82xOVGHrY8b+6zYEVYVPnwNWkMi/4Z+exlZr3r7hIeWqHHZKwYBTsi
PbPJXo7UCCfFQayHVy/fjJpOfW/dk9twkOodASgevUQLgf1430zRhanGFhF7ytNyM8yuc4D1s7PG
K+IPHgvsUxtVMen53jfl9D4UzmFq1dcFL9WM8G8Tj/VLNCbbWSRHvTEEWozIL8IqYGj4yOu1yQSE
G+4IKCoIouuGYFaHm0gJX8J6OQ6WcceMn3m+3T9qBj117WtVFDetOgDAnxhT9JFfTVzwtU4wryZh
JQupO6buU2p0nm4yAle5Jti8mk1sPaI6UDegv75WjSTHJC78qk0LehzIddPui9oRNBKqIdSo+aqz
ysDW1hte/JwW2oNZPNtSLucUbdzzsBTHNjNvw2kYds48uhtpRePB1MFjD9kRtIpvNeWevLUXqw+/
ZUp1IhiqFo+tCWhZA4YPWEe95SSl6ByXQx2lz6ZWjnRVKn/ANUuU6PUwNT7uuO0gjLM530qnPqFV
Jvg55pw15+qaex+we+DehKpfuimEcJ92nLVMyTvY5aiPRbZ34ssQadfQkD3pHtrSKD3AZRu2g0uy
UoJgwz3XgLeIhf8cLkmQjiXJ2YomT42rSVZOljPqMYJ5YqjgwADKnW2TXegVeWOt3RYFEfWVuc3V
5Ul1iv1A7rbsCH9AOkwwOFWOku94NWw43XpxMKreZPSn9iRwWzdVr13FOvk/+vKYDLrwm95+TaCG
eVkiAIIIUD8UGcV0tvV2h83VKxfHPg7lGKBG+GIN5kUL03U56WdX7cmL6sQ5caMDythPZdYckl58
rTJ4tYxK0Z+BT9CrYkua9F6U6nhN04IRpY0cFIP+3Toh8JZQPUc4JYNSu0jS/9RW5cljk4lU5eDU
yalIytGnd8FgVg5bc8Z1r1jiIqg+QcDS1irrB/rTu4GGrJeIWINEUn8mEN4nD/ypIGPL4v/w9TTb
5gznyVaumEnJRxvqPMbg134uaposfcwUyXlaxvneHseIcF7oEB3BXeFmKOSDqrjnxWheu1x80jt9
y2XmWp1Jm5+z52wmHLir+T5wNc1KFchhDhY70e9mU7lzHR5PwSjOsclM7Gm99PA2Ng28AEavMt3b
zngY6bHourFbZP1uZEQN9+kbeUDJZpzDQ1nH+olM8mZTAqDxtMb5hq7jaRKMmFCmBRDYto2xun1N
eER0QMnU1sq9s7hveo9VuWld3r9O3eUW/S49VR51bvwriihghd0QW/jcEAM02wiozKIvPbVo39LM
ZmHQuoy78ZXJ+QXKxIMyOtfq0N0sOsSDluvDrgXIoVfRYYnMbwzrxAYEf+5rSXu98FiVMDxRF27p
TkPiJzKHiRuzZ4V0eC+WGB/kFAbkvB1ZeoeOxl3Qm8pF1nTq5ziCopsqJ3MNeE6i5CuNPMDy+R0c
IvA2SnQLbXjX2LwP0uFJZoG0bFDhxqFazKuxpeUsr6y48zJs8/uKnhY3iitLvPZG9hgWbZB0xFbN
jDhGcu0qNiG1CrddHO5qafl19Sluy5vCtZ8HqR2m3PW73DyObbcfh3obGqWvob7w0GMd1GRibpCS
Om/fN+How/nYz8lNU3XPc4GEdMz3sFIgQ2kvDLrO+jigE3FJCnV3SRcCFmnD/aLEq1xBPlhh9yYz
7hCxCUHYks8OCZ0ix28POqt09f2Y99eafT0thk9rmVCKUt4qi3GaJ3YuArk2bsqSV4R9EVP8rZ6P
0WAHla2e4+m9GJYbxJE0KlFJqMY780nECH3q97l2pH7DOJ+8J3r5NY7Ms2F1N4Yl90kWPTB7CdQe
RLSQ7ouTggDp3zvmlM3M1skdsxXyRjQTi7B6YYk8NbO4svNPJMC9ku71KUJd2mbpda/2ZxKJPAOr
3U4P4xPKqWdARbQ/K1pK000POGmui3Mjik9FtCaqKuZn1yb+u9f31TSfuGUWcKcNL3W1fWG0KE76
t37pXwDIBLlY9og7v6AW+lwY8zFWQEeEm3LSkeRUglyO+tTiOSVesPVSgoCSe724MtgUYlS1bMs9
UjgSLMyuD7qp2I3GaUmdw6jnZ9VNvg3OQLOd5DyTOHWzQm8z0R3NGzha6gmuCvE3bnMdmdmtLC2g
KtZdX9ADYrSRFN1rfCqJY20fU4wlRqNs6za9qVGcMW4GXT2ggE/Ip1MWPShjvq30gi6vXEPbpnFf
Fe1XbF3HOMn200oZk/q1Ce0fUFR+IEoJbUF+NCcEuLb1JCf52SXPKehMswCXFGOIV+jBZx0pC2nx
OIGmvB0XV/PIKQEKoKoUNlWFzWcgbA16dgbHOesAapemuNSx9cqo/Ise9s8wMndYaYuNbconxNr7
akyfUlsG8F08Sx920UQxszwMHSphNl6Qap4hirumxtgYtrtZE4E9KJ4enYZRAJeLp2s6nwA8K88d
3/OYNPbktmvgZ6CrDrvknLZX5Nj4Vm570920xNuqxSlenpsQtJSCA8PP4pjzI0G10N/1HEX+zE01
HXeL+xjZ+nM0qndJr7IfOLuE22iysqMZpiTmZUEMW8v+elKL20G7FAYvEFibJfmkqPFmaohwr3qG
Senncez2oJivk1pGwF+mq8ltQQs01rtbPsWszbmKrpA+AWGp9qHLRaJuMAFfJ9ocbXLnwcL15Zjd
WwLPQlXd3hehSruB+qFX7OesM+jfN08NkXhLoxx6/YiVEXwNW5ZJSUqm2lVTWPda8TAIMnVm2uB9
mzXQwWwL1FpRPEZMUDww18mVi2a+tzmRUTUuVzau3FPtWHBmROyijl2qQxgaEJFU6XYvYsyqp6Zb
BlwYhKQNeTe/l6QLXdwU0YPMjOHrMFZZgNtM3QmRcndYrBDkeE+DxRFTwCRX/WKVeXzrGIV1VJuI
DDc2+2Lv6nX2VKFFDiCCu3e0l3mSShd/KqiG9znqcRqfqCKCDkrHFd5NvfdiNSMzj6SSkpCzg7Y2
pxhrqd/4ks4XJEzLZ6Ww1H0h5g6kSKrdV5Y0tpoddWcnxnypliSOqYot77nvUR9TmE2bQZbtbVNk
xgMZBZOnuA1nSxqPB1VryTUbzOjQK7O+tWXEGbcokx/OmkO4s6Jn0K7g1fVV3ZzKKo0Czpram4S7
HBTYNCe9tMMr9HntFZNFOMfocNunSbo8d7pMpw7jgVfq86lydGh30aym9wgK7SdVqnTMidA+prSZ
tpG1RGdzWqpXEKTuDb2j5pGLDuvHaaPis5Na/YuSG2Jk5henZ3PoxINw0/jONdT5th3d+kYbabYP
ZjqdZeXGx9l8GhiDtqTV7dylm+7CSjMfFdMkirFMZv1VMJTaTsR+gj2Y8ls52D2Mq8W+njkwPxEN
Z++LqncQO07T51Qu5aXPx+4iQMyd815LD0UC8xGB4KrpTIgzrZx+y7g12kXU9RvLqBnkDwuT61DX
vMpMi50bR/WuWC/YZTYT4hhHTHCzfERSxEjk2cA27U1sT59SketgXHtjb5L4emSQN7OnlKQT5Mml
mj5Nce+lSSy8ocvns67PnKR1MQ/3LW/mrCV+Oxe7qtLI3GmWL4KUAG68bY8vKhweQsV6dMrlTHbV
q5Xke1MUB4I4PXPpc7Z9VAnWdGySlADTEca7LTxFJU7IhMwvZs5f1X4ZleYwzCncTc38auUcZnr6
ZuLBmZGyoTrfdngUoUKNHAymmOjfO65140SmuitD+Tzp1YNemodEdW5ys/dNbfHiNeau6ndDhmpP
Pmla5wa10r4gOo43c5RQURbWw2AOjyF5LfWMMoqO4yaJM6IJlAPRCOhXo+FQaw1Bnoqe74ty1d0v
+nl2+g2uttyr0jJwm5im9tjiLaEob5Nk0+vmdpDdtmwV3a+Dtn/uca93VXt0Yxj+mCWivHyvy/bx
980OXOY/NDuwIAgmOpi2LTzaKPXcn5ouzMmomIQ17q38mWt+clymfjoTy6UDPMrnK9Uqm5upipZb
9qf4bkws8aAB/jlLQtTGTWuVA5k4Q/HZ/lgq2bpq5nX9iHUlxeuaytbVxRShOWofK25de9USZfej
UdJAqVia/bpGnXW1YnBcrvJ1BYcfi3mKjBaCcKZcRSFrfV5XvbOuf3h1UUB8T3Mq3NbdQRoysg3E
b+eQhtnsl5qEmkgjcsucMELLwS4DS3M8RCE7j9oxqGzM0Xiwxcy+pLXU51Ecd/dqWrX3atUW5KZa
TOcX2Z2jhduYu+50eoiUEM+wyuNiHxTrjqgQOv5NX3dJOXfJIa4rusVNHDDUYjPt131VSSJgRh+b
LTDkcT9nTvyprKkzanV278w0c4PY0LMnJjhcGOj70kCJR+vYzGN8a7qV9iV0lSkosLUadcoh/3EI
VD2pR+N6MrTrGRGup0W1nhskUMzv6nqWyPVUoZ9TPWnrSYMFiEOHn2Z1iOBaBoxQii/Oejq16zmF
QDU+TFN1Xa1nWLyeZqgu/pu9M1mOG0m39Lv0HjLMDiy6FzEHI4LzJG1glEhhBhyjw/H09wMz85Yy
u4ZbmzZrs9pmiiIVBNz/4ZzvPKVRarPCnLv5nSHhCUJ0SHSebXXPqi3N10APPY45AkletCcYapXE
TX9VAFl5a5wg28mYAVTOs7kd/LEGjEcBZ+NzXbFxvxZdUZF6nKR4fOzkWjKgXjlg8iRN28E3khAp
RSuiN7f0QO4inJxpbure2iGEES2e48/vSBJJuRZl0AnuaYJGeJiqJFl3dV2QwJj5bwF5X6cy45DY
+yqgX2XnTKWApLsiyo+Mp++OKe9Gp0ATKrFFNzuSg6lL6BbWA+saBl4l9uKsF0zVPDltx6a5T+g2
D8pwv7YVo5zBHOkkZurKmcdXI2nhspm2oRE9ZlnzWPRJuTVU1m6WfLtrWEdYVmnYP2hiXozA9C7O
EIbbTrpPhAxSARm2szVLRCxjnwTwjePiPlC+cQ7SKd9y0cNaNvP0UZh9svJ70r8S339MrewxADZ3
ypowP1SCMnsozavYsaAyj8nE7mYaKXp6+H/Q+r6lCMcOxPn+JG8qXxfNnFAV5wPJN/rcUn+sVMkf
VzwY60yMr95g1VeEvDq7yp9cvAe1vW900W6wlZIdPbv7IKnBqVTKWKFJ8XYMUxmrmO0bO6w76kLC
f/2J3YelnmQ9PeOrqx6UIWnHgiLZu8MwBrDGcszQQiabIscDCuGeVZFBxqKT+XIXiHleBUhzdqPN
u1YHzDWjrqYDi7Ug9rz7pqpRHLWVs/GYq2+eVVBBeGhiCoGPgPhV5CSsIXisUoKby3Jat9aiqpDo
UpZIt/VCzV33mecuCbYlpYU0aedvPVA9INqpmHRCy58EUf1cRz2/YU3XCjPNX3fh+MjXecfY8Qqu
XbSHT13gEzzee9HRlqG57FTSSx2JdwuL62NuGzNPAQeKUVbvdDE/M8d/RDqKccZKkSEZsXstayS5
tc9nV4TJO8Zkb1VAnUUj15UbqgJ0TTr9rrX9qoqv6EYuYA54IsBk6krczlZtk4BS/fS7+V5btU8p
PICzK3qAgUYgbLCYaXzdtfa4cTIOR8uk8RirgMsK5fPDaNnmE8ydju7V+jHVprP1muxJwCdi/x9u
DcT6dMYS0UVsJedYOCctVMIsmfeLbBey0g3KAQbS10RD2CQviLo5pD3oS5yOySFW8fyaBUuTGTuE
aE+QwQhdxVG+zvpx/haleYloDNelGApjzULXvhF9Jt+I13GOseGbp0SF2bHo3e4mqkV/O0Jru/Ui
Y/oecf4QRN6Iw7RUVONSWyEsHK6dpd5Sn5XXUoPZBuQYQ9UGkTpLdcaJ6z6B5Z/u26V4G/jEPy/e
/2f63V/lu//n/6NQNPaHMFMW78g/XmM9tqkcWvaKH5/i4+P7//5ff/uy39dY9hfHsREEmUSNBExE
/rbJsr6wO8JCjCbet4S12Et/T2lhk+V5y7oKa54bgMz/ZZNlfyHsy3QDzwnsJRbi34pGY4n7p6pK
BJRTPhoB5FM+EKzQXP7/L1tOWeWGoV1rODCi0AwaacSZ2R3KsSxWoJRfcQ/Gq3FKijVyEr2f6/5j
su0XHMavpSjM+6jBVeQ16r0nbhhQbrkMQvxhYxgklU59Uz3k0uxOC5hvOQCrzYycHZl+dof7Easv
fO0DtSRHaSyvYcDi+0x1QmnsvdYUJ+zv9X1NS1dKEpY15uAi9gCBgZGHTGq8u7GDCBNckFcbzbek
bhg4sU86cBKjhSUyg+8aj99S1mNYPM5I/0fyOBUU2NKPb9lihKTcwqwxGxpvy8kq0p85FnqSvK6k
If1zUkX4yaVwy4WFoJ+jkNlWmr8p8Ao5g8UCY72GW4T5aUvvQ8QZho11MjAmzGx3uIfzvs/b3D1L
zAFHO/eG3Rzpmiy2EGVFY+GKQh2hJ/Y3njX8tIbwutOxv7VaR9yheUO0JJNt0nT5XnewIiqjqS4i
q2HwT1303WGEevApO67QNMgNljF7XatQHPPWkldmEfvfe19/a6cwWTuUoAu0sFvbIaB9WTny++CH
xiXyR/OITMFfpag8NnPhuZc5b4edV9YfmdWrPU2wuGnNDJN7jOFtyCybw7cOGJUK9IgJjFwVNi1T
h8m+D6i+SMwFSoEVHqXNkL86tX51A5lAByUHvFtu67Izz+5yf8vaTTBgcKfnXCppFeQHUYffwuXe
90f+OPgHneyUhRZjpECol0qBPwXaF6n5KRXFIwuJR7HUFcFSYZTxlD52Ebz3XAAm6fAZAoSgJkEV
ElAmUqfMeehs1VK79BQxwgHiJ5hFX4aseeF5DT+mpeYxl+pntmsyjpeKaJQd7WAEnm3a+vUES5Ti
KVuqqHGpp1jcLDBb92tRTeYh67t7a6m+8qUO8zOn25VD3T+b8Ui8gB+g/gsfAcfeVg7tJh0P7WmC
frsbGSutwpFYm2nqlmUt2vN2X8L6OVYR+yAqtVbeuv4kt5ZnGJukzYubEAA/CiIWXGVqyZ3PM3iD
SnO8imI3xQiIe7tIEo6zsNvPvbws2MKE+TIRvniBsntigYM9VS1SYa97tuJueijDkhEV6/aD1cdI
sl0f0nBm7/N0LJ+LjBgzflXjVnl6ZI6d9cBxByP6ysx93Ea53ZzTvkPKr5WP6BepM7e119qbIWo/
atkSRkjZyzSS/ssv3emOQSCRuKTesQQenHXf+VdE0zg3aIag8kQeppVQpXfKIl1USzRNZjZjEDV8
knx1yCWNtthXomY1m/X5Ss7WXZT3ILXpaJYqqN6B4wcb3EXMrH3ywPNeocnzJaN+O/EqFDwFQiXS
x32Cio3hRXeh/zTEgzg0gY5egNBhmTExzHmjme1TVyRHGGH61AgvfYJ2zhy3bhAzJt5s3xezZVwD
FJ4p4orsBXXOi5nQNde+XsVdXB1kN93KfrQ/RmmNC09SbYy0w+OEBROcx1TPVwGJ7iJkM0V3pD5G
pytvhHTUFQpcdaB3YvwQYTkwRJHvrDl+CdxCXpO2cYIHZyOSQUvDLhKwq7kutVMjK25O0xiBprNS
J9uUU07/MCbi5BZldqvmSJ4jq89uUC8xgTGH8+CnI2L0vnmpiC1csZdj9dNoxm4a4vKQQscrO83H
mc3Z0xjyYxRKz/dRMt9NXlVubASvm1qr9Ciz4Y57iEllHYEVN734O13QfLAK4zGeGnM7OxU0fbvq
b+o88IAhzOmGfBVEi3Z6JmkS8G7s1ndehka9TFnPtxYdH7KIpTPD+EZ2ARW14YXWEZP0sOkNtEZR
GhAt2CLbmQwEz0bZCMJ9wAePwuEUTr0PUM3VJvRpnNwwJPrX/5HaAfCzjM0Jq1u22qbEnjbSxzpD
N2+JFOd4iWA71FX0DAqMW3H5GTAFO9s4JZmAeGf7JRh5mwvP9rcQ78ILQGSE+PbouUv+X6y+G/GA
qD3Dp/xoy+Cn12WXUg2cvsQuqMTaIpm8GXG0E/uYOwY0j0Td2yoZdmxHUK0b2T2B0cuq2c+eJay+
bWOjwQjn5Lms/L1nqGLjcydUSBHDr2x5Ib6F8r2eeKD8rngcGzSt2aRBdxbm9TzOzCXQjnLbZU/E
ZEA5NIxw3S6/6SDX0c4ZqeeDkqOnD6t3NsHfqYu/jcKO+FBnhwksUoetwM+2SGHSKwJEbqG/tJfA
jOH2wNxKUW2vNSOIdV2NNqJNxAd0AxVgZuEcujFvH/HB9pu5g4rnI94/OFP9ZhqcQkBmN5Edbf3e
+64rllmu987GkVC43mLL53jv/yl3P4vT/4GnTTgCBdE/Lnc3b+/t228phW8xGYWHt/GjSP+v6vfz
b/mt+hXOF3uRZKGHF/AmQodC9jcdl6COtVzsr1TEOG/tBUHxR/VrUjJDSKQ88yyPsvRvMi7zi0kx
jdjfRAL2Kf76w+X3u14KCdw/TAn7i++XYTO2ORYeJADiRIES9ufSNyMDmDT7ItoqCPdZNu19N9kx
XyPCyd3/8jn9HanWX9MQ+bdTXC8e3oWesKA3/vy94tKgNWZtS7pUvRvFeK/L5tDlYlfhO57D5mtp
eutevYTOzhDzTVzO5jpxXpHSr+x0Ok0FlzpP/7/4qfgk5S++vt9+KnzWyBz58T4djb8W/5FM6xAC
T7SVid72qDEKXxHuYIudhQFg9hfPU7n2ST0NSFgI43GjIzaEEYN5r1+7trz75z+Q/fmZ/+UnCmwn
gCzDVIt4S56XX3+iklmKQbJMtO3mIdkj2z5iUXbvMRJFN1OSEBjhGcWNLMahxYw/g+pjUdjPHtV2
PrqLw/Cb0VbeHadDgc40iE6uy/0jqh0LApwLlfomph8FfciI6Nuvq4vPsjVXqykYEYZ40C/jVQhg
2ekQPpBmgKCGXf+8adgfgEC6mI2xCSWTQrfaZAWmiXzYDUl65Rv3yq7v54h7j/wGt4HeFuhlybhR
A/k7pn0V+0ijm/rc+fYhpdZo2ldcSEcjadbz+N2oTj5jA1BQzpWkXLPdQx4+j8P4Mg45cVkaiqCc
xNHtn4lqI3JjBAVc7x2CqMquwLAQ36FiSEV2XXD7QDFZB56G3R5deQlZVYTMhlGxiPUeyrG6chyx
mzoH4WDMCrXsd00W6J2hkFrZYmOzJYTgvoCbLmPi73B9T0KRYcP3LBQVO/nOTb3qvBc/CK/wEK5F
lR+twsPyjG0qHXcxeReZV+NcV+u46Ph4+Dahu5GNuq9bD88lmmfDOQy9X65mNW4EqTg2E0er+Z6I
G7tqztWMjTQN1moRYpjhlXR5M8dga2YYr9KHnLRio73WUuz8MHkbKeFd93sz1d+67kfVIv9H/kKE
zU0HNCTUt2nLvJqEozIQu5RJWhx1w7UZevIBScW3WJTGBYOjuxGQsAwm1/ckGtT9OubRsvuI5XLp
1j9ip4nSlZR8aOUoM5a+VfHR6Sq5s+e4fgudlLrL8ZaXhmDq1IqSo1Dug7AG+8nP7fGIQ3X4Sh45
OGEnjBmJi5BwusKMn0uZV6SNOdEKMyPFLLE4kE4jbygfuIVZlvmd2PTtbLBUUlhl+Sn86c1rdXGo
vBIBx9SM8SUZZXpGX33jtZ1/186juO/tstl9vqf/mQn960uSx3/xff3jS/Kaq3GJ7v3Ltfj71/0+
FPK+2Ni44CYxYrJZbKEt/13e7HyOixb+NM8eNqxfrkWfyQ+hkCz/bO4/xwV78off2/uyeMAp9bht
Pf5K8e/Im8mO//O9wAQ/cJyAdxeAKleW/Zeh0Bx0yLVwlB116uCkFW+xICk8TdvyOnF1dE4LtqNk
nz7VMkfAS8DMvkHF+Ta5nrhkAVG+E+qJzANNmkhFi0tX7lbBUwz9blO0IROVYaE4aqJCVO6OdyO+
hpWyHfzMcigeugQkXRa2LdpIFz0QE4vOv+iOEyHw8CaRgAFjOrobgAr6BEltTULBV3TxT1MSBbt2
IUGI0jsj6fHfRGoVLErZV9Q4o/MgnC9FOXNrqB6xCyiO1YiohpwTtVPdKDmFgt3MBhIhxlA6m6ak
OpgssWSFGJsaD0aTuIxcwnfuyZWS5RmP9FZ39j30jlPdyngNBHZNwMZPz0qnKyOJFu1UHsx7O2kf
Uj7bmzotqQJmQ+6xNzxNiEd8Q50Hjw8z7KVzzjT/5NTJr90K/L2BgxV9yMXxBjRhZl3u06n/QbM+
X0fPHWfOqmuIYSMh+Mq1kgI/WP/se3pTNMO2wBPalG6ztoLqZ+9CqQp9cDToj6fAJxIle2yQfiSS
jrEViBhJ91iZrJs2xpwdDD3cGbY3Ihbqpqchnb2jI8qtRCK4SfN6qyXq1Ek0Mbv/OHkAo3KfOCP5
5PRicecWu2nSAdi60r3xlgAf1FbAiiJc0hp91z7o4VwAsvCO6KD1o1PW907euMi7HdbcWZnoB7OI
ZubzXS/3EGrim8m/hKX3RAoQwP7Mr25VaxhrcOOX2HRvEmRmee6/xIXGMCQxAw1Ucplqz3HbHQ2y
uUz6ZBWTbTOlW+3plF9Vd922/c+8esBHKGkNQ+fgCVmsNZM7jK9bdxrXJhCNVRM6xjqaZmoQu7nW
o3nOPcxZJJmugiCAo6MXYTVCwWe7kIwMEwBQk7987+zYmMaqLaT5RARUuubu9rBar+xuhwgddVmg
rH1DGlblWW9uZLDatsKfWJ4uTj6vXLNEltPcOn3AriPb1Ll9386J9XWEUGfCmU+37hAGD6EPSTEi
NG1la2QIDlCbmzlxvFtLzZjbQ4zOFdCkH9JthhO5ZWm/7rTn3xaNI6+cqNOnzG0DbpQmWYdDFZ8M
glyPbKeHI2m9xUvmxIuncejSc2In5jHJ4vagUcE8dgL3JY9qh3jY1F9xqwF8b1R9m/jOeBSiKr7R
R4qHhSkAuD7PGbtU/inx6/AEgMTnblNq11vWoqyZpwuij/Jx7tPpkRyn4SozZflUUgDtmhFb7KqV
YfvWM1PaNFYykmEUehcCf+SZ6kDdoQl1rj1rHq56go2+WlkxMNurJxLRQtbUhZ8f2yT0bua2Tj4c
d+Lm7Igvfgczw4iXdXJ4wbOXXgCOqbMXFf2piAKLicg4mrdBMJn3yhmba+KvrHOZ18kTs4cQJbbX
nnlUxNkxlHmmVug7vFLwb0i+EXursItr+oMYtSAQk6xIzOpfFPPO56j+b7UziwIoxywYuAUCVgf0
GX+unXMmjbXTzfExiOPiWrptPR6zbuyuG6dC2xIRPSAtpVbatoaNpfJ5o6BAYR404i0Cxid/7Ixd
4Wg8XCJb1oydVZMsk5o7FvAdWuE0/tpHA6RtANnerV+Z2ak3y2sR+UDfmnC+ZcZNTx8FxUWTkgZu
IXnyogn7PKX+ATp4uWb4760S7T22LUqVYVDljT/E8C+VHqJHqZRtEOet2ah1Ym6qTVLxF68YfjC7
8wXJ3NUMRG3dYbCZ4BmTArgdCVL7St5ak26ogOqtN1vVEzFLwVdo6Vdd0RN0aBOfIwwypvpqrbFO
yEoD6+hFtUnNArBOSda4EyPCLS28a4NzL6f+nMj2ISK+FL6X2bMD8YA/pBOsiyglvRTNtEMg0lqo
TK+tBLfB7I6nqK3PIuX1T1ONuraLoQql4JeHllqccfqqUX78Ixk9dVWNyt0Z4ICIH/C96xobH2eM
VexEkmf3cvbjjRzi8nqYlViwITxKM0NuaMe+eQY2gvZqyLoz7PHwMnhm8pSYsX2OU7+5zml972vL
N2+THMrnGk5tf+J3PZ1JUEkvyuzDCyMZnnfmTd27iPExrWjrkw/odNV6aqNp1y5vil7emWB5e+zl
PRqWN6roguEqiSbnOjeq6U42aXN2zYr7OelGTPdclRDAO8h+JaYOin7y/pY3OFzeZXN5qyORV4+w
jaaLZ3H7IN5WTKg4BwBWhSc9IyeRbo2aoKmW56AJHlDCF9/wOIzHeTlX5uWEcZezxltOnX45f+bl
JEqXMyk0pHnMUQqcq9jnyJqAn73g3hmOWV6GR9mr+FT0yPfH3g/essLWJxkZbEvwet8mJbnXCxZ8
OFGA+D8YQif7CSgWUunUv+VPGzdDE/trC1nlNk2BjGLw0YsGPmqJ2OzmkAolZ+LQ7YIwL6wVATuZ
wg8MlXuDGt8v11bstBrgZlKO15XIgrXpNR7sKqa988YO0Qui8Q2BP1QMxOQLS8qWvszLZQ840cn7
Qx23Y3y2aRuYmnap266GPhgHtMYVWZFtk2LIMWMDl0mQJDrehHpqkCDN3sx9jafWXLfuMliTVVaT
bdQ7N44x2pcgnry7ycBGVoROt23hgd13c+vl4GKi0twTMFsUW6O18OdGrKDwEkhWUKPf0BuGOMtX
rZgTYzuUBRUQY2EkcoJj83UuCGda05xbnC06y0IeMauxzq3T2/c5plH0vs2diDREnixDON5pue7t
6tAR54HpuH/qx7OPm4KBqnkRQSgvLimFNGZGtKZGTVagJaM1djLMzBGuekKAp01ZS7XCDMjibsy+
QR9TO52pH1blNOugdUC1aPs2Mht1TaKvvfa79nsqvuM4Ca+0zfrKF9pmTMA14NSNu8qEuRdJjcjJ
us8Qqm6mIsDcAt45KYW/jktQAkPjilPvT/4Byzpg99S5Iob5vs4H7rzUcs4G9//WnOWPoquN5XeE
BFhL8lITdct1/jRbMv3puSohLxo9lCrq+QTggvmEYnlkBabeZFajf7L25xkkyUw62I16M4OrmYr4
P7v/3zb1/7M+75/u/i9v1bL8/zttHl/2e5vnfmGvhdAscMmQcoGG/nebx/ST9i8kduoTcrioAv6Y
fnpfWMOjPEDVheoP3d/f2jznC1FYSCBN5qMLPPjfcrGStPTXNs/3+DZ4bENU1xZQ0z8XDF7TVdIw
8/CQtWl50Kip13EaXuHJw4Tex2SNePH0mIOU2ruQO9dxMk9PZdfD3rHSlzYOm4vRBDgro3I6CVwq
993oEplZMniZLep4xfLRRofDIpnJ/ippo2fXDsoLxPFj18JKcIdgOBV5d2/gp2UiNCXfPbya6JYz
ECZjcZsFKA3QEMEARMGp0bc3A7cm7ShgPDb9j6GmxZiiPmKKpOWFM2tKNuifWHolNQo+QJ/7VObi
YFSA1g4IMKcH+rrkNZXyA3pPJTZx78AWmtLsW2oj3SdK4pC67nVW+TU+/yI/KQgRm85xiRR1USuy
Fd64wyI29RQLWwAg9xlxuYwCvYMemOeocmEZpYjH5xa58tikSL2T9BU/pI8uT9JMGNWS69qpZqU8
B2V5u9giQhTc5hDvWmBc3Hs2bk56VHlvquxdeZ0LayQCtJtoXAeWqWgGO/NbaU0sk9ARjcSfEx5O
3lb8MKpp3TvKeBgHUdyNhW/sC+VF1Ua6kXnnKREgxo4Vqg40WYTnWYyRaLIVdxhHaQ4+6LNCTZdi
NbLB2faNW0JZYq7GRrVggFlIyFTHlpP9JKeiz3bRbLMTdkmdjJCvRv24SwIjPI01EuHebqP22OG+
TfYIwMYrXIANZrZwbvzN6GluDmYhY0RCuSxwypQuJoHGmZ4rWDYjmIVOsJATDVuqkRhXWDSGDm97
QbO3KuENkH0aCo/jEpMK6DeyT19ZILeXue9d1uQo8dN1bEV0iMTBWJseiR4WyILmSbYkmoTVeOO5
Tmfd6bwPcJZkHSmqpisKsVWuRcEbthTO9xnqzuQg9DQ0VzxhDrgLSu15Q4lik3Gqqp+1TMuTaIc4
3vZatnLP3Yj8LUMbc9V/OjCU1S7WFxXewVM9BrlJ+i8RAWDHMAmbfbkZgR1Riwlqcuc6MN3XohO3
U7aknqamTeXbHpKeJtlrzUtBIPQKRsj9uLTd0n2ArbLVlquv06WNLQltVUNzzmJCnfMaqAn5QEw4
qiVCRMbzum9rfmW2Attd6vIYm7lzm2rH+OBx3tSE0KFDuLV7WKDVFNyZZiN3tZpW7CrMXViiN+Gf
+tOZ78p+3HQBX0NC0mtp2NldZ5pHeGHpRrXoEzDbuYxwMp/mFc1OWuSkJBoRU4/uNvA1AnyNvlFB
0xm9ID58zgkGJ3ksnTHZ57nIuAid+NAsfmvfLzUqQiNbWWXdrTXYLjQWtfHmunhAG7EnbyVhoVyr
1UgAL7QSk1F77WyESww3UyVMypFV1RczzfxvoY4fSMNNNykS6L2KCskrk+1yt8Bx6oh+DT5E/Jjd
mXLI0lsrmLqzbWfE2CPfTgi0P46eeODou8QZUmin0fZVnhLUAxRIZ0Wxc7Xt75sQBQeihT0bmfeC
gDl2F/ojzqMbJ1E1DiIo5W6HWxJx1Ifqg/z7MMc/f5lC/p0VlP0Zf/rn/pCdCsFt7M1A7oNP+PNx
X8kJJlhqhQcjJosnKWELh3PBjj6epHeTINtM18Y8eBI9V95dzHpKX4EdM2PAQ82apPQRPVFN+7x1
fs1IPLPlsJBq8lbzXKYBZYyVk6i9oJWe67ayfoDZ4322WgVQmaGKaFaM3jBLYrlCszXJdrzKrYRN
T4ITFpaI5XFYVDI6USWO8NI/TxMcbpwszecpg52zOE0lq2xIgVrYFMosD5K2rejbTNfYoRXI7vvM
YARVNKY4tg0GqXZpuuwIDa7dxzsMasO5iLqdClEHD2nKbxOSORg9dfKAIGD8TU4ox7JtZrMoyO0w
2ZSE4aztKoR4THc4L21ixnF29qvI2zeNjYwAlw1NQdqhrIj2dNz2FYyt/sNC3/1EuV5vGwew7Tbv
GoI8uhxKLoywOhzwqqTYYhl0pRvfzFqebham9DfSyvKHVHeWOmloNesiU/TOHqF5UwiwlU1UuQnD
GEPZ0nuzcGCSQTue1m120rHl3g4uofa4xuLqK4dCh2ZazDuvVlCUa0JM+IU22c0oCZaNe28gtCS7
a4vavvLNFMQmxhzrwiwwx9O6lJb9b2VmTzbuuUTSeEpoFW6qoDT2AukS4vzR2FuIdW8jA+1sLeL4
R9SkvK1T2gzftMfphSHSvmGngcCaGS0YT+u7W0TWwZy6kvmsh3zPLtvbglnDKgX6V5RkDtEpXHHb
tejkjJFulJwpf2rJS0k6MgjsTUpDgq9cn2XvvSbxPG355F4KwpBXbp6CO4pDFnFBMq5saT2WYV+T
VTsdWgCG3HNkrE3Oe2xaauc3xg9CjdElVa61l0l/5RDbAfTnXNjWqSujlyh2NkGTHEHhfEfUAHsi
vDbHkanmMHi7aR7ey2SyriE1f6DGQvoxSHdjCbPdBZMRHIh1e/OCrrtKlk1U5+fJu4YPdDX6QXdX
Yi85As2cITmAQirLPNiPY/eDYpHVo+e8jy5TXgCp/hpFW7AprTQ9uZnxdSaid19q07qumvCC+Uqv
nXzAFVoZeuMIq945vYzWzYCgZfRa6CByQFmDFznkl52TAb7tA0afELdr2fWXWVotihqt98KVTCcn
+wGr23QpLCsFP2wzK7G0T/Fh+dfItqy73Ks6mNLxFhZVejQWaVLMjKEgRht6jx96tkIeXrgfXVTg
pxgs+RPlNKF0uV/v3GGu2WASE+OU9uK28OJN5uTZvlFTtgClcGhMnsCs4U/afhGfFo6xxc2RemmP
GdE1cYilWfYz+TR/lBG+sGyI+wV4PHVyb7TYkLfwJEqUUdzR7XJb558Xt/y8xIlj5kJ3BEbdQ/B5
0Y+fl/78WQDIOKIYmD4LA/ezSPCXeoHhUP+fbuvf6bboTv7xVu3yEcNSftNvf6ff4gv/W2stOEVY
gVm0Tkia+T+/rdWC8AuaAsJAGFmL3//PH/2W/wUZCIDjEH4gPL/wF7mJ98UkNY6YJ/o0GiXE4H+R
l/wzuYnt0Aj+KrdAa41um/yIEF4rf5n7lwsY8VgPzVf4hzZs3fhgNznwNEJ+phapdZq8T3lRXDE9
mOQRfcTw4Fo6iLe+srJ5R2CE89Rk7OSq3vcp3/x8pBJLDW5WT/VTsy+NxHlaKuVLpJR5UwL76m8d
r0J6JUiWgsHhull4wGgUEB2mg0aeTaMGVkl+2drzYl6SIIK/1XmCK59AlqX4sYxH8MjNKRjE8ErS
U7GqsiDcWmaRr5squDe5R3DnmNdac/FDE20Il+vG9kdTNBJ+IarFhmFTHJ/NrAt7JsHWfPYSyvyN
cpkAA/ImgGIuyoMYWlz8dmofIi+YNrE3OzARNA2ki5eMo2wC/lto/04lTvgY1GGwV1auMCsX4TrT
5bhysLdunbaULO5C2sfEp4VEpPI81oEasLROUoC2qO8tJoToCmSqy22N0MikpItS1K6VGu8azkEN
GJ/z+9ykPcbwKBhHkkZVQfUZVhB3Nh09gdzEBhJFnNx4P3axpWGcFWNoWHezBSX1po1x09xZrsmI
h3ihqD3kmdFG7NoCaz4OZg9WMBpV6GzqLLLG7TCA+NxR8BavY2E33l1QtmBDrJnlEuJdqO4sq+xc
r5y5G4dd5HfjXvRm8m7WMhbrUpbhvmoH69mLFACI2IzjJRHsZwgFYDBUc2tXgX2uWy0ZXJvGwUDx
8ip8Al9h/t4SSEFR16iee34qWTy1alPqJr1jzs383yzKVU2yF2gQz1T7zq26d6ccxaHGF5PuUzzw
1qaozWaTo6h9ZOIZATbB1Kw3JbmVD4Vl6LMiQIYGMQV70/XFQ5+zaUAFUeBhqSjzY6e+MgW9NYGG
8dZMgyuG5gt21Jofoyq1dmNTe1cQE9HYZsY+rSz4KcGwzuuue9BuBifT8rsbg0Zvp3IVl2DrWO64
Ravx5deJKLFQ8d/3NQLJM1t0yoiMjbNG+HtuGwoduIxu+sjTOpzwDllEptnIV4lXSbOjjnMlV3U0
bFj3YkyS8XCMR5XfhNQ9X3t+t/RwdQQmIrYnvARaTRNZhYYC/9gmFde5eJ7StLxrdL2HglBsmxAg
D+TE9N2zDbVtAyEfyiHuGDIOGZ97pvd+FjdfRYj0G5/pcJG9/qiHAZSW1HaJGSvqD7mRZTufrIL8
FR6k/6Bq7GTsI3LxTeoeK5RZ+u5RFSMgWDDtuB1QtPqGPWy9sRl2ZtM2e9jPCrCKBzfSgh9WTP/F
3pksx42k2fqJIAPcATiwuYtATAwGyeAgThsYNWGeBwfw9PeDMqtLmVVZ1rm51tesF7lIkyhRDMD9
H875Dl5lGyrLMfeNkwnZkBOmmG5cxxxeQ7NDHNtF+SXyZXPq6rSkF459kAoN1kc9hn3wv2KT/6Yi
EyHHmrP019fi9qP4KH8qMrfJ8K9X4/rFvwsxV7mlwJyED4UJ4i9XozI/cSX+otFkCviPq9H8xK/w
IqAMJAuOoIF/jiLRaLqSW9NB2PgzmeDvXI0+M81fb0bbIfgA9BZ5c0w9PYaRf2xN69Ygi7S0bPg9
yY9BubeqdQ616z+lIccVfuZdPiMaGXFfYFC+Zzn2xrrnMPjvsUYzZxnRNbLz52xwD4Tx7i3D2KVn
0mdPvYbipsBuheNNrM3nBmRStvaAi3NIlxYLSVDFKMfy+tpqA3fw9q7mawlSz9P2aDf5VebKe7d1
bh1XHnRj39uhRZTjRrjRF2zD+7n2iXNtHj2jflxgE4Vct3ZMh1GYm7z/suSPcwTwvFgOzuTula1v
VO1dsdc7W7V9W9rTcy2J++vLC6/XrqbozgsGRqj62EE8LTNzCC+0nzoX07ZO74rQhqYarw5Wpz0u
IQIEZo/3faSOEj4MOKvxvW/9J9NrX1ObHxm6iIMM3SuMwTvGmF8h3LJtKc42J9AvT96/GTD8mYr4
24e4sn0hXzNV/vM4eSaKq4tBze2g2G9J0PkZxxnp5s6Z5zvVkjcax5h8FrUzBtwufDL/+Ruw/1Rf
/RT0mso1EVShrGJE/seniE0xZYFIwh0F+1IjhPOGdj+Z7ODG2QHSHIs7O8zcwxAuF3hjz2OZyDMS
ZOOqcFHRqM33WfbtfkHwGqC8T/bKCotdWC3nKW+PQ7MKFzymniYGk2JBIGo7ebE9QB8HCIszl21q
vtOkg28mLLVVFTqwXeR1M6F9iSmqdkMnvs46nDd6Wu4HMzksHQoB3r0X2YhrjGY3Xjpcl03cnKqm
jq7//kH632ON/uXvWhWC//Nwo+sx+R+F60GMIC9Bsh7/mzOSr/z9jHQ/eZ6JGg4qAINVdzVk/i5W
dz/hz0St7FK+/0Yj/f2IlByRPjAK9CVI5nBrcnr+Lsrjl1xP0XC4WDXYtRM0+Te6B2ttDv45vVuV
gug7aPV9vgvTtv+syRtiVxVmsRYFum0+F4RXvjaKJBIPKhbDKL+d3nrD/BJmVvud7Wb5rgdyLtwx
joed3elqp8aq3SnUAq+tNVansaijreUl+Tcnj4aXv/+o/Xtg7a8P0P/5y+fsD7/r/yfTMPeXhzqT
k+mvL20g7h99n3T/8jz+84t/eyA9gLar12G9Hfn0f4kF8sxPkHHXFSIDOFZ3q4D0H5e2/ckyuelX
W4O5BhLwvfz+RFqKfSRPkefaFl+qcHv8jSeS5/xPj6RLFhAPoi884VMK/Fmsz2ptzPhv4lqrYrEH
i9uSuJIKvD4+iTMbWS9duiPMkDZpjEKUlkqtxDR7YqW0AYVOjC1i13NJIwc5izCJzRASa4KnKn/M
Em08OauCOpqq8eIWZXzdFspkPeao4tDBo9gpSXXQlV38bZTegmyN6zImglTGQPzdHNp5CWE7JLD4
OrJKm0ExU/OAbJz53p2qgkCY5TEa5BwsxpHwt8HbiJHB/ZC07XXs0UNO1Cpiz7Sa/X04RcSLqHw2
9KEUumHQOjNRG/LFfAydJH+V0xQ9VgIIvWuySMQ2GN3MOXGvuArH5QuzQgcWka1Af2Iq10ITemZl
V04q/GTTSsBAVWoRWkMYUHmZug6fw5Klu9Lgp1OK6TqCfrqzilggDW3pDHH3skAl4Iy8JOuLl3hY
UstqgJLUe0l2BqeafdGuzwg4i3L/W1QZ0WdBy7PyMQCXbxJlCIb/Yiy3PV3dzpeZvTEl4/A0jcQp
5QPAEF7ZAa3qeE0+0vOcIDDcKjElkEO6cmIkXZpVsExNSXjFksmtZNZyM7g6/UhKu/huihAjazvO
tbFpyhF/o+nPkB59LkvsMGjZ4eIQ4MnwPJoCt4zIETEkGUICAhpwCO1DTivrt7gLuz4oyPgEFzEl
VcOGTAC1M6r4lfYNbCh55PFRdvw91izLcZu12vODLMKBDvi4hQZVha0Px5MY0yPLzeEbJlQd7yWp
LMDdDP+gBoUoTETuDN9lqGDWSY90FGj/3efeluICat4+h+7QPcVlXH1EBGqnwCsYul5Tf0nMMt5U
f20KZ37r/LiytlCxUIn5aVu/WwNrjc1iuU52SNOyfbQYSV1s2yJ6b6m1f05pYy9F3BBp4ZWxJQJ/
8tp7RgjTc2cz9MW5aBrfScx0sEdaVvtqq6z44pL4dvAmSi/ck75+6spSwnLpC5RIbQ924ohIGdvf
aMQlpnaMyDoX2LmZFwER0vrZd3X94PTVciXRxfDeZs0RxZNBPkDtoqYx0Z1vgbRNTRCaIvsS8XKt
XxpSVNltnjdHM+nSdmczwmYVhkIqx4CJWsnOJ/MlYkv6unbsMwb7allVbHyAHvkAGFdmz2H41ZgR
WwvW5BvVsPpburgDeOt+D3OxvOlo2lmg/lCqya/V6OPFMbO0/eKoiUAdKLrT24RSYNsMMYYOo9NP
mIfrc+zJ8JihvDiVRa6xW0c9v6wSeu556l6WTuE4j7qesG5PV6gOeliS5gJUBb14HZRzXe4zZIKs
6bzwSFAiIKV5YYSc15StsCGJggC10RAxuwgVPvuC7UzZI80kpNF3A8Oi0CM9qa2bgDlEs42X0k43
9pKYVlDoqah2AhNpwYiqSb6nQx1/XlQcX5uZlUU75FgQeg3Wsq8GL4q1p2ch1zVrmuGtkGnc8or0
LLCzZOHVXgqnuZDOVsx7ELBsNIqlnrYWnJpNTzEBsGtwh9umyWYQ/GVVXfVF1712q5sZ1eO3rBhT
dgEt5/SY5+x0/Gw1oA4G83hsaZ/NXqREjoqFXXA8jS92GLVnGcbxm4VIlGmgUyy7QeAa54FF6hQU
VCks65pFfe0Asxwjeg6zSWySsUqqDq4S5GRRmjffbCNCmsV0HrFn2Wt9kwxM7QPfiWaHCVtKLrbR
DV4csKCo2Ic4jauOyCtib9OlkSW3mel332e7w6WjJ7Wplppbxh6LY1u0zSl0k5IhKDURW35SL7eF
zrP+IIici49VwWjNTtweOOBSIm6FLx4lBGG4DtqVQeJiQkmA4INHs/kx6dlDuQicxuq6DjzaMnE4
+Xn5WBq8bsRcJnA9ddO8JaojQhVPrnff1614ZgQW8tI1mTibcSU+++3YvBIi7Z28NI8YZKmeYEav
juRdTZ7rnYvW73Mzo4/k2HB5fBQETUmTaUGW6ZLxZlY9yGNCoKJn5rImQG5QNz/MxrS8a77DWIJM
AIcH8mf23voJtwAXlOhueG+d4hjaAptVqx33ibOpPY+Fn97qsBJ7LHlqO4UCl9tktGCLciMx4iBf
cmtvNFWCJSFUL3Nq6k0O+uAuS30zYEwJJlhXyYVmsAzixbLoq9yKNWjcPA/ICT7Xvqy3Ftjj2lTy
qYdwdslyZHVDlspj4xTmU2NWxneRki++EZEYtrWs5BU+b/zdMUGYT4UZqYuqkqeqMo1LWM3hNgMW
1GxAG2YXI0XeGtk1JCeNfQ9Lnw8Db5eYZTnDSbIwmMwqXT2LOdJtnoRc1h/An0Pk4EOEQldlqImX
SgN0hprRR5QOY66Xr3kMCciAU9IG5VDFd5Wbd+eihowL5y95BwX8RgG9HKbBnw5hgv5TuUXyEQ4z
5nBPZw8elOADNvTlCISx3DdQVdiZecLYlZoN5jzEcL5F14n2RjlF8Z7HI+4IzxITFrc8QwdMNhGD
v6jmcOmQmF1hM+yfmgXfW2m0MXIjs931qwG/UBGGmAxtBXwDWx5sDqAAXtX45HC13MP3RqrSacD8
gGexi1dsUz8WkvluvI49944TIb4aqzC+jcxRPJr2UF8AkaTE1UTIjEFWuI/SiecmyO2V49ZJcUi9
ybslEirqr0scdsnGN+P8xk3JhK1nP3wbCFx86GmPfrRNLhW3MqUEs5Yap7zVrIpGa26NGoXZUOaX
ZLLLbONgH+D+LpBUtl2fwEi3q/lFLESpwqKqL1lNQM/GRm5DxmJnyQ93pGgG7hvFz67dxS0bfa8y
0GXBBbGjFGUO0hqW8cx+Yf0nw6yv/BCjOniY1H0ZDd5IQILjg4qa5tBnhXWnRSyaoHc6BGWDwfFA
qnJ0cIu8f4vmrLpvca74ODyH5DQ0ZnPtxhnv6sKu/KxmCYiMGTphgyjD7ylgkXc1/hi/xlaPbyHX
I5QM8gvkk5lOzQuEt/rid6S3YBNZbr3BjUZo+7Y9bZ2GJLpN2yZLQbqO+lbZNlPfPhbzrTGG5cmv
S/PQLj7elFb3BuZ75X5dFq+3SKe3548e3huajKI0dvZcj19SQajOHlHvwGg8RvCHqPx+zHpr+O1f
iWy1DDCGjG/+qJ4kzuiNJuL3hZdT2psmKeuLt0Jz4qb47GT5A+BdAn7yqDv7RYyrU4Ys7DFyIbEv
HGKASKTqt6VkRbYJQ9d/YaPMDRLWOmKEYhNhu2F+JJ9TN2zOPrnYD35VuQ9w6+obmpf83EVz/mqA
/UgDl+iar/DP4wO8H1KgJ1c5t5iXRnjieT+9e8lszqdqkuOMYdYas1NcCgtTZRTNxx7j89cwj+Co
lSamsBJyVr6JarVKQVrPZ2MegaHg5vpuWJ37PYrCdtiNaYZQelgYom3dgs8aPaJMxEFUfvJ59Dux
J+YyfV0MY3kw/QL6HlFuPndbPD5bhBQ9IBzOb8txWC5LIvvv8ufl24Ypwcpsu6khovBhjufuy1R5
3Y0iyfCp1eO11USRizBndD/iKmkmxGdejLktJOM8EC5IoXER8s7L8OKaOgJaGCczmrguX7mqZmln
GWkD6ZqV03QcGk2FMpAFuvNqRlaD567pUVGYSQuG3zTrr7bRACevWihvBFHfJ4VuXoBaAm5rkKDn
SDKfCQJAlD2xfLvyx6Hr95YmhysoSNkDaWsvxlVWNuZRKEzqWStna+PMKxCWJjkHqdYP5ySWRX3I
XK9n4W+RF0JLkBzdVotjPZlNtiHlkIWiE1OHziN0pngo63or65VWlAJ+IbJdQeZDjdmdiiLFVzvi
msu3IrSqS8di5DhgWqG6AUt+cMwuPXpOiTwMkZ94AIJnH7Xlll+8aine1y6752+QRb4dbGk8mkM7
XKB7ty/ZhIErs2RBqcqFH8COWoIauwq/MpqUGIaorjtzrs+VHwGhQXVehUGVV+lHUeVtfEQnF90B
SeGfkGUAo3gf0vR+8Isfbc8sndcFPjgAqovRkqK7gbpYBe3iONcRkpGRUEjDhMgX+g+TSJed7S3C
xg88uBmAxJGCBNg24SWJ44mtu9j2CpJx62PXE4U2OmVi0JrGLG5ykRTOse07PhrKeLPw52vsJozC
uZE+ElbOblAmYRdu4HgRcF2SIWmvtqQQfYxDkPei+3Rd4roIZlpIivRsmbsDbBRfdwL4Uwun91vh
WS4AvKno1zKyqHdqiFsvwDOSXPkZddkUZdVN1P7kiUWhD7hUmZ8LZ+0pWILnQE24xQPTs9o7e0AY
X5B2ecR1Wh7HTHVX5TDHDaGixYRi2BXmgYS86soghZfxtpfgmHeX/AZJbyOuZNti61PDBNtzVJo9
7P8Os/5bC6jf51FMIv96mPW5J13gI1sHrH+Yrf7za3+fZVmfTLTduNQEMox1ZPVfw1X1yVESVaK1
QvB+UcJL6xOrJ8nwy8eCjFr+n5Mssq9xOcOe+03NsX7V35hkuerPkyxLYqezHIg564CMidsfNwdx
iFgXyYU4oOIs8oOCg0GwCEw5WlblfHRzKO6tmWK6qTMzIMeR2YeZzS6Fs82hqB2lz6QTJSDMqJAJ
PGmCuP48LCUyK1KllcqcbeyyTVKUwF/iZOivzDSRqxo8MpLAX0peLKhBcMLnwssCTyWg9XILeGnf
LHeC3Q5yRrs/puXAd8GeKt5A+Z4wPmuU7XX7PWLIEvRUs3AeigSXtW95t2Y/JOeI/cJuFinlrBqa
fSEg9th9key6PvWuU2kBiYqXNmjIzjgAlva/pUA9i41D8w4OJbQP1TyYj4ou5y6r3eaw+s+3hZwy
tbF7vZxgZootvVi3F4sqySpCepdsCP77yD2Lb1RHeXooPBTkm2icMx3E9giEyhm8e52n0dZt6uoy
enb9xSzy5tbOAMMt7nvvmzdLlaDRs/Mji7DzOKrrxZnvY4MAa8ceLkAnbqg02u1kq34vW/YpbkTs
skdHv68MN0eHZhQ1EpFJ99s4C92nnokpnql8DM0tfIV7UaXXhPt6MLcLexvSQTB/WdnkcTGzZOv9
ltySchDVBzXdDPO5Dd/9dHKu0sWrL0tncYgvwnCfctTFpzadO/idhnkDqwTEntlL4gW8PsOqtI76
3GJSx7Fr1JGR+/h5ZIVFKi3S72IzLSjcpGGd2QMYV5VAitjJPmQA5whEJq7oNkOp1YtGfH9dCpJ0
MD/iqSKCZ94BZUm+JSwGdiZP5ZHhE6bkyonLg1k55fsIiupOASTe5CDcvrR19dZ7s3rz/UUdKI2z
h4La7UIr4T4TD5hvasxVZ5yX6ozrL8Jm68ZbkifPSGii82hO5b5tpHH0TZ0dIMyJey5oWoAJWzu+
gown2skIfbDC4ZZhVnaTTzaT0jwjHogQKes8Y76dN46VqudeUXFDo8XxVDXJ/Dgl0XRV6M66UMQN
9i5y6vFDOp4+sbmzMaJ1KWb+pX/XRajPIb37EbSPfOpMz4hZwFUaL1vavueUlm2QpUvXBONkOM2t
b2ZgUkJdGO2WLKtug33AIEtZA7AMtUf2TJ9N+EsN/hpy6vVlRGr+bFcG5VJn8FE02QTnqovYRhG/
Latryv4mkBD7TioFUWVAaL/juMB2lyUiuU1jGhdvsfOL7pf+PGL7uXDTM5oTsLwfSUi0TnbWd6up
xaq+ggqN7sx+JvFLWKmAst4QOTMhHt1ISxnXcMdIWteWriz+0jK9E1DTbsJxyS5dq8FuhlO563OL
MB3Pno5KaUVTY+j63qt1eOch5jzHBfOUsSaJatNB19uDiKEihICWnEUakmlQze7Zirvp2iQi6mBK
0Z9Ls9Y3MVPWd6emM6ZeoxIJxPy5xnjrBw7F/5PVFuRPiqU6hBq1Fsqe9tFBcL5NbKbLSW4lBzAM
vFuzLrLbMMr1vTdY0z1rWQ3ToWr7oPaVorOHfKn6o9GYLRTIMcZjH5pHnDXjqVdGc7Fcv7gkjnKe
G8PV5FmZ1XctacQ30FqQji2e8YhEVNyNnXCerbAxEGXXGqOypvoGwZ0i8Sbzoyml/EHcpocGWdfP
TmVaW4M83+ckJvw2Qz/bb3ISJHYSqes+xfMHjCiL92YXa/T6UQeTvaVBNvAYP9qqCPdx7PUEf3t6
vqqyUp6jIlkOc+E6B8/vPYQN7bKNrJSkq3bwX+ng1b7pxPCAN2CNSkIZhjFVvSbaKg5F1MZ7/I/N
rXCh1CCVXsOWkJlhGSvewUv4775XFJfBHZMDuxR6sYXFQYZNdVeMrWTQYChxRaXW7Cy40Xbg5Fl8
yqg5T4xgGpBEXntlL1ZxqSHmBNAcv4p28pjAd6c6RhKkuNUIgXuv5dJMGFzVQ9TgoSmm+Yqc4uip
SfPxe9mZBG21cjr07ZpJpgbRWDt3XugUTeLdY+R+GPuNWboRXhNZn2tl9MFiQ/FrB7xKuYf8jLky
YV/pKnkGXmzL15ZkDoeR/I1VjcciwoaikuiGsVR75KjeWTPNfJHCz8JRzASkRbhhTXlZ79q2JyfC
Mh2ZnzLZd5gcPBgfcTqUxI/EA1GCfZpfIa9a/y1WVO7aCQ807oF31mmczEOlsIZqOTGqNyEltd0y
0yeIZSca7exLvxgfpAGrZIfz0j9OVo2rG4IK1fzkbzRcvoUBRV4M3YVBTP2lHmSGBEDU6zKoOE01
Px6c5w5DLdIgl6m2b5BCSuwQIVOyrpyvLS0OvVyWoztOC8oCkb/SnX6jauePDT/iSXVHXaBn8Urj
SOoCI5IoaJwqvPItuyKw0JAPZJYNJzutzEcA0eT1tAYxH7Ei/3lDBgsBs05s2ls2CxZI0kTAizCN
H1PYuicL1ukz70dzxiA2HOWyCh2iofpW9IRdeqLGxSTqhT27gyonLi/rtnllqCy7aCzCRz6Agp8p
Fj9yuWFJeGLuWT438a0V4X7mN0rm7hPaenOpLgS3mGd8I8WrBqC6G8n7MAPTGEnL0gIki3B7RnY+
WLkfhSFlEIIlZHyR2fiMZQteKfJ0sgNs4toHAofjq9ImTBiPELnC8WQTqoPgzWSIXLqkEPll9UB9
kZQ3eWQY8dYoIKJuOAaC+MrskFluRdOk+s6fpvaEgjKHISaT7wUnDtkjtquDfGoYPUs3+SzpQ3cp
5S6ARMt66tQI60QArOL/lTwWYZzsZSogUlYJklR/nYh7IjmaRSJ2g2LlwjTuzmDHVOL95S/srtpq
qrYDwMeNZ040xZQWNPBZFLSdnr7pZJp+6Fp8o/9r31U+frj1aDIxs6Pqzjci90iiFQmBKkmCspL6
rGQLsaQ2x+vFFu22ChkTqo64JJ1zPXXmIE+y8Z7EogEXCJ2hyje8bUj0zTbulIW+sYtApTvlPu6G
5DotS33XW6FxCCtchYzK+oN2LBfzGMZ/l+HwN1Y5sOtaVFllvEg+hqF4SpyKlGDpRRcTXwRZbGO/
N4iII0cqdx8jte4SSq7OIBVLunXsPge/M/rRaTbUuO8UQ4YWvswXiyXzDoVVeCkS5jOmrlTQckRh
fk+d26FKssDIQxCcDZHgYS5xn2uvJNuSwbyzW3KM407GuC8QiVa7ODTjfdqrMKK60oh//Mq+Vl47
Al2e7GMxudZj2Pvxrq1NkMCYWY7ObGeHbNbWM4O8CgBMJ4+ZO+qrJA+ri9I5g4/BZZO5hhAmr07S
9sdGZ1g3iSndToLJgJ2UakMigP3MRUfH7bYe3UHiip2tveyUWIV3VCE5YgPpzj+8MvNu3M7JP49Z
WcDELM0ddiayWjOY/X4z23s0tuZVOdbW1s5Cn6tmBqhJNSBhWpTTuTP7e6Yhe+pUSDWKkGZwvy9G
WG2R2sW342y8QaCINzKqAOqUCJZcryWloqJpqV3VBbUwp1MNPG7XhqB9NpNNfvqwblto4o1qw4PB
RK3oc/1gZmwUTHtxAOP3If8C1jFwe8PTL53lv1GYiX9ReP25T/uTwssADJtqM4mP7PnYka1BbAa5
0CyJvWQvnLTaQlU1Pje+mJ48y/JfZ2+s70S8RNfeLJq3kBxcdpUU+MBiRXSIh7l+mqS/7E3HQLys
MvZErW9cyrEVMS9tQqaTzScAQs6mlDBCkbzaMLMNipqSXCvRlweWAvaO+fW15yXG18itoq00porQ
27w7Ytd5HpoOLm1fO7sQwMerGAYgARYERZIv8GKta80yc5xbO89Q3zqydbYFvmo4NUq9U6lHB0eQ
B8XA/qMancvQYw2gQtkQlZDhABPz1lni+X4cyjMRBMsZ/52iAiemgv1tyzg2QwXkouttF47tqHW+
ib5hBGWQ1M3lXlAU7kbDql4WUeSk+iRexhEbu+M5VGq+itncS1YBwr2vqm6860j8Rk3McQDyIxPf
sXMl3+pwGXEXGzhmGVM/VEuGKA604WZBEWnuqnl0r+1+MI6OgDvcpUvVkAgGUwrUuzl9H7vptYuX
hiWmk+zttsgx/zX5nngkNv4sDTayXRKcDY43guRqe7UZHNZUQzV2OzwFyd2SldzQzH5PIf3rJQEc
ja+PBJEHXnT/avInfSUqG4IIiwoYhXP3A4cXpWCh9fQUF9pB7UC9oAOvIUUv8CyjIn2POnv8WXLn
P8tvsVbi3MIU5WmtO5LWG7E36eXzjakJlpNrJQ+ig7PJW+t762elDzid6eta/2vD68/+2hNka3eQ
r33CkI8CHm5keHddqq19XfndU7E2GO3PXgONPh9Qu7Yg8mc3MqyNCbM0fSl+divh2rjoNuaydrUI
iDbz15DGxthFMapL/2fL4/1sfyzVlvWxb9QEAsO1TlPrILG3a2Jm2owHFwdHCvPQUh9sGPCH4v3f
iHLsLzYixsPswWDjEKPfWprlsYYiss2N+sEQSXKsDX5gEs7pAwp5O6gSKmVj7lD6VJTCJzURqzTG
NGl2G2LOGtKB/FGPMgxISe+TemhaL/genGBAaXfxPa2eGz6DmYBmWsZsbR4Bs9JHogDIbuKsZ1JA
k2mXaRron52n+7ML9deGtEbIfmjWJnVY21Uk+7g56GDrtZUFX8fHvra3fJNro0vL267Nb762wSiN
2N6trbFjRN5baTdvE0uaL+7aQA9rK72sTXW5ttdEyNBpL2vTHa/tt7824vPPnjxf2/NibdQxlIjr
fm3ep7WN73929KBPQoCitPnL2vCnHNJFCN2nBzVWAIdcJwPZOiQY1nGBsw4ORD/42/98ov5kQv2q
KvztQKU2FOvURjnIF3/lrfotmxYbStsBucvj8ipfmw/jtXnQt909WLnyzshv/98OU/8nKlB/n3X+
RwPbKSaE9a+mpP/lYPPUJx8OB6vmP0tQPfmJGSUWLSn/qEAVsCQ9/Ny+b7MEhhTFnfgPLKT1icmp
QJyq4OQ4ML//zpRUIVj9owQV5AjUZTSy/HHYCFYO5q8Pi1mYkASMGai9ZTMwJCepKjeWbzFQJC5v
IFnSCd0Xnigz33atm/S7usuA7JNYEFlbVt1o18O6GR+1ie9po5ze2fe5Udx407BuluL+oWKLz0qi
wjqGsoS975wnx3ioymu+oYL8Wjb12kdgRr6ap6ezW5ntNcFlZXLnIB8hOcGV+KjzPFXIBZXqxC6N
q/wBOp0zI5aZZzY7apF4qBuz9A+VoljdVGjdUPLBeiVvKk29o+mXDpm7Y5g+jIPTHBsK0mxrTeUr
/ObJD4bQQkCGiTvIPEytLBvl8KQ6F7SDMEBKb3RhhQft1IrsYuD+1UaDqdzjyxjRL8pGVftk0Xa1
7aYwuU16aB4QQpiQbiNVL+aJO3LNiNMTDRibklAdU3hv5tFeqMR3YWsnKkC65U5BEpfGO6I/HxpT
PifnKmQh1dDXnWF42uamrSqVXE8CfdPWy2f4Z4VUOPCztiWBrBpDj/T3anjLRaYJiR/66ruAMfsj
thVkRYoWUgHwp99MGpjZpnf8rtkMHdSVjVNP2dEyhL4YizHeY6UqvsoiNlLmEHGU7+ZGG69dY89E
FWGVrw42KIwLPEl6XWGTErhZOiYpAeOk/KmS+chJDwGjJVrRrSuWmp71w61Nfx3iWvkb7DMZ7gcD
0h4xpgtUF1BKNG81I1nYTBm0pCEEOGIBdtlbNRJA0XarNMqoL/HI7ED2FTloqWfeNnjQjA2pBYXe
5o7j7TKnqD/Mrp8wc6dyAF44E6NSq+xk4MHbkblWI2+qkQMl1JObZS7nQ2831b5yrHlP7vT0ouZw
vjGjEoMls8/nqa6SF9tPmdvLBVyWZ66BOWG/PFrVNF0Ak3UMz1nfZ5av71LLy3Z55gDjqJvsZrAw
eg/8WSwiJrLTLJQkMDA9RhGluQrXxE4vrYCCkpA8wyhi1TaGJ1Igq6MoYn9fSrdkFRoXz62F8qry
5GdXMn5HYQyhjGzvZrweBa/BuiuYEQShV/FHQDQERNaBHkwPHkbSXeNaNLek6jLri0oAfMMwnWRf
rrqlZQwa02XX5pKDSKiKzc8/E5D/LdiL91KMSFxK5g486/JQi1TV25hr84en7f5+CGtBILRjPS6R
Xp6RNwLMUt5Me582CifnVJfPObXcCx79+jmr+uEH+8X0WVnOFaF4pBVl/NmpST0fdKQ2XvDDNW+N
KLr7srCtD+2HThU0QvmPImEGUMbAU4K0oLgk8nAmZm1KZbrTcmYox97nQy9pP29qo7M/C9HQrY2k
z7R6LDD5pOoOQb37nlJM7eLCCcGU4L58kJ5CHVgn1hXVR/5NdSGTgqoxBXmYhjPfpapE0UMaY/1D
JI31vD4IT3JRy49YaV1vPW3mnxe6uvu5mFaJkzFCBe2LNmCGrPl3su7c5pDz36SkkDsM9lQ6Wz/P
w1vw3cNp5ox4CBmYfy/iDMoiI6P5JfPLvN90HM1HCXEavJgM5Q/S71A0wIqFDtplwn3CIIvGdKD+
Doj7iR7aIio/XJAI3wVtBEZHj7wlM3FHwWC2JDDd8qYzHVOP2mpJlv1U9/7Whpi3sQHboaOkIGYX
wca4ndnb2oI1O4lS7Yk5WkMuUU6xSdLlsBxzdJ8NU7B4uHiWzPUKkUMM7Drk3Hu96B4ikTeHpJri
ajMmQ/dIImGyc13ZsDKDRijdPHyIctt+Y1qRnUpzCd8N3T2aNXjD/8veefXGraRp+K8czMVeDQ1m
srCYAaZzqxVaUsuSfEO0EnPO/PX7sCV5LNvH54x1FvACqzulIrtYrPrCGwK3hp2YyX1wjnhfGOM3
HfoTcMcqCDANymbYFZjcwEZV1wpA4WMztKuTKEedaUKhxzsLjU6cwgcn9g0GqWYiIn04b83SbVcq
ckiXgBeinde4xic1gLXZNK61ockln1PIaI98XZiIRdAR8MM6BgeDOeo8DDtxFid9v2pSRCQJXyVw
8jUeppNIbn0JEFdlolzi574xBbCdo3DXq1emV6bnbh64G7VqzCNAVfG+K3OxB86FjT14K9wONa14
UKoKMffUV3eN4tvzQU+sOSIVNsqzRXbvOm67R7Ge1A+rPzRkQ4k+wmRo2mJl9nhGUxUfhVmU5Alv
wiKkRmjZyCFXoFqIn/uZapTGmuZCehy0oYbO7TijvYaJr9Ua2OogFLH2vCY8xwNLApMt23G2wPiR
89bOBH0XcMaj05URKxOvbVo6aRGpmRerDraUPQJCDfrlZ0pYk8Ckth6i4xRbdDZ8PSAd9PvzAile
TvaiLM6T1IoFZpmiBCcWoCoUUp46BmqTc3g1Znhalp2LgmacHnlGiTuXTh3uwQJSVk4gvbby1NE0
f4PEaCsWqtrIV6YV+R85s5GYwe0N0QpLpA3RvWRsoshGHQRpgCvhQQkjdwLmZ6MmlSAKU0ubyHcG
ee03ZbLDTFZDwggPqs2QS7K+8ZJeu04zGcd34GhrvzTNbGKUCcQbVL82VWqpF51sq0e68MKFU8oY
mNouIpDp0G6HpGRCBJvuRLKq6toQefrk2c1wLbeFuYwAta/LwQZFMdjJhXBy/dgqcGWlT1ia15Va
eHi1tOj1An3WsXMEgU4dDufS08jJw+sUuhKSoczZ0iHXBaRWiuhY9LV9Kwbg/51v3shQIpe9GXYz
VdJZzq6OdHSR6TsJcY61ByIOVSza0rTCAJ9d0Xmok3mGCOGS2nB0m7hy+1Fl68wmgVpkmAMrGMdW
g4wS2qB2K7WLvCPTT+t130v2mEabS8eRFj6yT/kETjPuYX7bfOpVpG8waNDNKSjC8NbuR6UfADz2
qnBk+1QDR6nSoJSbR8cosW3tgmlBYDSXMx/HKa0cVfzsFcJgIRqZobFRKnuHhHmxbEVzqVhNdl3A
EF82egH13WpsdqygMeRlJ5UoSKWRG136LJPrvJMRdaXbtoIW0cRzRVN8LAJE0x0Blha4XtZZ5c7B
vOk3oqz6u8yi4os6gE9HoI0Eu3oQYzkAwj3Desv1CHRkN6LOxmMesIKtjZJtO4tu/dxsmUQBwK1X
OT6XzohxHbw63AYH4KsYMbBpL0lbE1gsIqDW1h2Rsv4BNIscmLau9RaJ3wOoNhvxtdmItIWkrq2C
EX0bICC6cGUPgJHfaLtWXzsjjXzAJCJDiuWkjGXSUbnV521cUKAWMulh4sXrWJEBuoIG25Z2lc0k
Uzm1cBw7RYzCmeSF3J47I1g4HGHDtIFBEFcKZ+ykPSCLrby1Zs0IN65H4LFC4fvYzWOqz1I5wpNj
6BonxUCwOClIZz4aByjzcIA1q30iId9MgAiwuDDtmTZioHP2Ok6w3rjILHoGs1FxCYP3PImaiSPZ
ArekEVFN702ctgD5t641Aq6BmOPN3fQdLlsjIrs0FfPKRvfh2IwsANt60pgfSzM1ztnsqJfHuezd
8gLLC61vE0LoA+x7BIBbIxQ8Cw0A+tynOhNDZh+pfPAnYTaoBnqta1FXJN5cJ20MxDw6wM3BK5QY
rI4odK0cAelxlGkJu2avSLO6pOc5cUFXA3OicA4Bx3VhFdel5c/p2hoquDFd2kuSXl4mWExhl0bM
PssAYp0NVlTfppbZZ7O86ZOT2rZoVdomYt+BRIjT6418ZpdmdFuGHRmaB0gtPisTT9bAB+aRMTM8
HQw7XsAOPIKmQ19ETjzq3V1Gh4k3QoAjb1Rx7eBW4kwaywEnEYJ4pNpBoRML6UjH2BGFZRnk+6Bc
lyV1xmVlyvZG9NTaKPa7/lUq2XGP5lGBtQW9Kv2pRHchXWbU9vqFI1cIToGEwBOKbk3pnVWaTsoR
RTjDUy5SBg497Kk5q/oL3hmM7jEZRvLQG4g12P03ldesijpONh3E82u2JePCTDkO/MARm6Tpq8sO
mXKqp9Fw3Q6uJUFv8DvElVHzmBaeHNHnzs3B/H8o2Z+S+EHGAAIWnToVpKOsqsSnXxSqZvtq/2Kh
erqPH//xt+P9A5CyL/Fk3x3gGVlmiQ/QD03D0EYZUwuE/GdkmfEBtyhKsggCoWOgfOGwqhkfDLhL
JqUMHT8mY/TZeKmaaKNjq0URht6MAB9ME+I/wJZRSHtTNYFCh/UVrHj9q2qJHlUpfJ7KW0WtFY8V
SMTjqBmjI2dncT7K1STDxpISe1lrRQm/xLCOUKPh6G7MClpGNvaSE7s3YlIlf1i1A+mA4gX5NO9D
NRojH1mat66JOEKQiHmjZ96mQU8fOVTY6WCf3eCThv76GYpY8YMxZNW5iow4UWkx2OT+YdB7sy5w
iPmUunU+5Vat4NWI5tpCNOyYk0ZnW1oI9pbrFml1CpKWYUVEFqZbLkpdBbbUS4l3mruZtrRQ2Maf
3ErEpUGV4xSxHQPFHiUweBlVhW6qXG3VhoR+13K2hpeuLhplUqGM381EeqL1OO1UUdF1M9kM0hrT
SP1MdUqEG/vBOLNTqzyqYXIuwIsTdYi80IJFPjThHWBkI50onuZmbHJusAkyovAEdAJiDkl0pEg+
Z2mM9eBZp8suINEy1S7ZDcMr7sNBj6ggCJqiT++AaPM8152pemnW0y6LvatESmTYo1IeLlWc/JKJ
22qFg/0c1iRnkdLoJ2iDpfOsFX48EQLo1FTuXDVZ0lWEkGEALbkO0F7rp4WIR1RhjflgVeTdjd4F
3gkNeuS4Qwuw+AQweoHZN3FNtRKYqhfHhPHtrex0cYGGoWWHp1oiDUsy9WHqEOtfeWWenBqq3xBW
2RkOCbHtZHfwhr1mGUVR1S7kFJ0hDWX/DNGBGgYVNFDtQpfUfpk2inuVQRr4GFLmiaaJG+u7WBUV
BuWpBzkuS6JuLuHtQaJBZxUn1rTgwVsyavWhLp0I9KMeYZ+r5e1g4Ekw6zKJU2oKssCsZr4Xo9Qv
R0lNIIPHePcxRMDX2Eiqmcu4H8Yuy4P25dKvJOmoCjPlU2nY/gntY7QJSYbYrlVk/etV6FNLXNJF
MAN+0sarRpeHm4Z0Bv2/Dl2muYC3sauzNEekzlPXmBqLbFU7QF9QaQoJ5OIwolE9YvezGXKG/ZHZ
RXTzeTCGdq7QjHqoSqfusC3WgSXTfMiBOIVlsiUvgEqvx1Q6/EI1nmwRJ2jlO6Up5sLlvJv2CDT1
Z3kiejyr2sBQVxzX6vVgpcV5bdNQL+i5HCsJ7uqLHohLMNM7rDOFZ9v0+uvQRtK0dPaizdULOWHm
57XiCWlaxMKI5l1mAgcAMSU9IVs8LMhBijXNCTheA4JIC8lJunlhaWjA6/BVIMN02NHkgZzuNZFn
6jZoqMU5DQASvuu2qRzBDEmytMXfPivws6yKQp1Cu/a2JEH6Wgtt9yyUYzq+ZBOWgsuYmmNgA06u
mVoM6V4Fvs49KQB6PmasynKWYy32lNLMuoDGjNoSHh80hpwcG+hAGrDUQrOyKDoQK9iVzU0HwBZ0
UgyEJ71LhclNqmoO3UJMcaQLjYnBS7r3IqnYhN1ACaNTAMRIFVyiXkckfonBKVIZSMVIOxRNGcX2
SFFd3g9wlmy0I4Smdo5QdS/u+0jUI+RIcS96uc0gCqu+2NhOmoC3ksMM9EWqLWWYhug04+4K6beb
u4Waz02VqgpyZ9aw1gOYvpi/1nORUqSp+7I+4ab1I2jB8o3lV/kc0DukUZxVpZlRRSm5sTMAxaWb
A9vaBaAVhDVG1jX9uFiLAO44KKTxxsv+OaXZaK5kwsMH2BbGRo5VY04V0ZmrpnPXmbZYyj5/ktYV
vU4h3E9qEVd3vQzQaSJhMjZzezX85Japde4OSkmeosfBUZtK0XKQ4hi3narb4U29hZqBIwrQrHMQ
CmLWqB3dK8c0uiM7b9qVnkXuhjA3ZN5NHwPaCNdouBbGMg1l9TovBuoEqZ+aEOkkytmeLNNFtp65
SW7Q3IvQl++MpsWPVypdXBC6oDxhC65ZRFjO1kWD7Z0q+UFF1W2I1ikcPH8CKibdYSBkL6IgNbem
2emX+kAWY5mltE1LGGMt5A8IDwGC37mUue0EuV51bbq2Pbe6xttliu/ceqaKBoDt1JTWhEtHtqwb
CLBRgigqnF4PkxvP3KIIZxaTnHcWEpkphyeGpNUrD5rKqa8OIIEdGopnRZS7tNVlPHzgiltrJ3Z7
KrF1UF3C7fGv8LlrtgBvjHveXWWreIV4zOEuLwoROPHEVHtY11Kr09KsUipMShisIbAGmLbKkMDk
RujTuLLBatS1inStHQdrdkpvVidxjOJcTkwtJAzDMzMD0aJ3Gyniw3IA5yaZTQKrvXJTc25QC7ou
cpn3WGrpl8syxFhfrqJLR43sXeXVuIz3NYAVDIlac5GHAV1XTe1O0lTC1SaMWrR4MDNOdgpn9cLU
m2Cb6uqTRUGh5PWExkdRJix2HSWhY3qFFgJzNWTvfrB0ekCd3n4EJ5Q+FqNvJzI41GRniPMF07pJ
q4eQ5uL/jh7Y/yHVEDS5BNIyiqrqo5SWgVDXj6Lj79uw/vav5OG339UD++4lXuJnPFrp/gJh1b+O
n0dpMMVARUQ7iGZ+ET+r6N7okDbwbyWc14nsP8fP/Io+JQZoCh9nHNL+T+JnRRu5F1+2qJ+1wVi3
CsxAAzTM265jjhtz4MJ4AqR9VffpidgpC3dBc32MEpwpKw3FL7m80K7wkEZOGTPqMvfxeLx2OqIQ
R5rajQ5bI/4kHHQhPOw6wNJLCxBfyybjfS/jtWff9R0sqMyF9+df1+0nir1zqQdlKA+XGqoSrdoj
1l0sNOkIy+YC6YsVdIJGPXUfkAGHB3/c06tL2pOUEM4xn3BinoYFRGzqq4qJyAdAVIFELzvgrEdY
I/L6ZWziamB2BJpUOg1pSdxbLALs1ikmRaed9ykR2J4n7R3tyKuyks/jfAC9wEFHvttn85Luop7c
V9GZaTdsIhA6AQnRcWKDjCijISXdWuoWKv2lG6HwoBULuVdXYz0P3fkIauWx1iFzWGbZWVmTBhB/
zmq008xA3gIkR6A74NzT0keDztM0yfVbGY4Ij2nepEjqCroLTrvQy3DR68S32K0HZjHDz+FE86tt
ZWrYZGn3oWVuu5R7pQJjTDJFRQixpwAwLNQY+XBUSelx6hSHTSQaofS66Ev4WzfOatizJX0y2z/N
8RENupMvXpvv4MmUb+AP43sns+VaCsJ4FjJ3b9dW2MglaiKSmHdDfFVUIAR1vdx2jbFis5wbKoKW
kWUSnCbLKDsDhbE0FH2DvEY9QzqYpKJsOEAdsTb9CClGmfpluygCiNa1o221JkV00bjUdAO4UECc
ROk5TzZyrS+LLNnQO1QofnI2wbgYzo3IW8HRQ2henFY8QlQdnvTCuDDCW4lppkI4xYFx4QYhcqPe
FLAtUL5RPrQ8toU1w2hj5hbSiv7xtjCKRaPp214Wx6YOeBruqOgAlnvVLkALmiWJ6uORrnwyDRTk
hvqIYsepnNIFl1I3J43rPGTIEcLvcc5tUFJLTqwcFC3+EEZs38VVv4oieeW2o8WThBRaWA/HQ1fN
bdvZ95mxSJManwAib8BhlN6VHnCxfq2qLr4aO7UoTgqImaXS7pLu0xAY3SZTe4DosBFvc0cDnudB
AA60uUeCYAYskdbUF+TQq5yOBwkW/P+4P3NxDUPgPKUtRsi3ydt8kpnDpx8vE3UEwbzZgVgliHdo
9GjRABMHVOL9/sJP3PIff1P+PqQyB2CbYEKeho+uVF87TJ9TKJ/ywsO6twDlVVzkTng61M2ZWxbr
oO1OffjrSljmC8BWsBhEMAvKDMMMceapMXtXdVHaAoOzirKu1zxlRvIHqxtkyFf3jdAjjDbMGAwO
GAUuxNvVXWYIljQKxri5VVjU4TEjQg9hoDPa1XQmC/x6HeQ0llA/sYMwVxIwbxo19R4DaDqwy9yL
+oklDQaWUmSuGcn9RnFVNHN95HqxD1BN3Cb95pKNdalF3dYP6stMUq4GaE+oAT64Bg7uOrGuZlez
1CuqCfhELmySMHe2zdbYqE9yTcnDrSrpGJkXlMyoUwA/bi+8ptnS6t1kpuNOfDPB29YhQDEFhYpB
mWhhszOV6KyhQQcsK3uC8+vNDS3btZX0JDwtmtq++QQm7LI0gxtU65dFUwIrVJ6yiC4FcsIi4Q7c
fF1QTxhQC0Ij4yPAjSUkDjGxirsWl4EeXkIat3M8TWlp4ATpTUlRrpMMhjw4VJ3mZ2xUJ6B+t2XF
6ZHJlNdtPBYUBA28ur4OiuqKnjD7uH4zhPmV63dnNVjxWTPmJVK10saKjiuvjDy5NLx2JdMOwB3m
3pGzywgN+lpF1AMwahEYCNbaWzeR1zhbbVsdyHpkX8aKSkoSm7NaJiWFzeeja+F68oJHfywrKBI2
7SiadA1+fdWQw1QWsguAFdLjyhnmeEAu0DKZRhYt0PImGC5HCUs8LGZevRFZuA4S57pgCpc9eQyM
bARpQCTb4TD3ALWQGOKe6ZEn0IXHgWGGcsFtHuPUirJBslLVSJ4OGpD9wLSq6yC2zlNXKyYSEpEJ
uAO68Q18ngC9aB02jfrk2zHNCHGtl8jHS+kDeosLNMOgs6XOccJrSE6Vbqs8XKELsQhSNHNb8yKk
6qOrfTsDbTrJocSBB1f4/4rKUr0AVTlz3DLhZLoJ1Haldd0qrjH3DhNqNk4VX2lecuOWxnFXaB+j
yk4nhnljDPmui+tqzqpe5471NKjaxkGHb96CfIZK5256xAhoK/X9DLXnaG7owzGYvQkSKGcAeAtq
YvJex7JijtbXRar1+zCngAS36EaOMC1T4LRPfdFvC726agb7qLHgzGiyP5fCdQh/iZpmQgelm6pe
sEOf4KZW643cdXdxR3lOSqB6RdpKaukxyvI2xjEQutTHGHENu8CBSBcXZi2duOEtaE2i+Hoq0Pgo
G/9cQ7WnZ7XrYBMGH60iZqzrBEVxDQymv0wr0MdKfuFId01oP4lB/tS5iImq3UKpxX2AFbcfWyC7
DOPCEY8xeaEl5rp0WtinmXJqaGdJfYG08bbAo6LWaARoF02PMFlgX8VdCeqFhhl0CcTJJw00MTV4
DH3MHVtSnPLGokRowLDvKLRETyijzxT1tnYvLRckvF1MbP0cyAj8d7zEa5XlIp0EMrR5P5t4w7EM
HsvqEQ/hjPLRPoZoZejxPDxIcZmcD2dKe4/vN7Ip2k2F5pvZ816H6o0ttnHXQqM/l0fNB/bK69xR
w2mNYrXr37UQXOP6qQvSaZyJu07TIuqk5Z2UmSu/cKlSKQ9NS/ugFh7ZWypw3g1J6UU7o4kJlTS1
14EHaRbEejmz3fij3+O82am9/iAVqjKxYWCkVKYXLaZv1CR3nptbsyFQdiKUbtO+v07DYTd0wXZw
KgsaH1ayWqLpa7cKo3kS2cncMpN61rTJfVoPS3uwVhX1BnRp6DVC6CGu6i4lHZONQs7mLV2eGEh5
RbutVgrwJg4WkxWwLNO6i5vmCE7mo93XOwTYsmkeqKsgwEswBQqBlXwczh0LHhdwt1nQVLtIGwjt
4jmB+jGmdE+hTOFDWbqVeaSDc1PS4gQBbXZfKE+5gVx8tYQxos50YBkLJEuABYPAnsEe9FGjK6Rp
qYsKTJTUT/7uDSSzmH+IeWaIbagG8oQIjH5nfAPzH23tFOSAWzoXmqccMTf+HCTO6PaB0mpqYeJj
JTX6GFiAYC1lXh6igxFn6j6mL1Hks87/fZr1hU9r9qtv//l9qct3QFVfrj42RuYHqv55/Vj0F4/I
4b9cnHsbf7tN/aTapT/3R69tje8P9NKRebbKY8Ek1XgHrp8mXzZmDjH1G3mAwy0d7vdHI0T7yq/q
B5o9Kv0WA4EofYy7sBd1X35OX4dmEbLQKpKn4xcNFC70xdT83of/8ed6nsUf/82bO98/xPjdoElf
+PfVm88uk7KjzPpFOPl5Kr+dgK+G+WIC7A8mwRtBJhWS8Yvs/8t5sD4gTaBbtqFgUsHXLzcPOtq4
zzf1/NL8zCQo4oNOPkX3+uVpfzUJJqqmtgA98TwHo0vHL7YYIKG/dxJU8QG9YIV+5NsVYH7QdFml
7W4/L5BfbgWM9SOyjz+zD/z+a2B+OMDKTYUka/yij/vla4D5JQ9fNglhD1+/3goYW83vnAQFy1AF
oRR2w+dJ+PY1QAhFMdguDl/Pk/4L7Yk03M3nJ/OOvQCtGMVUZPLtt0vARg/ZkrHkeZ7mX+hjc7tQ
I3gs733+1gfe8dFt6KuPLj5QeeAFMF42QH79a+1/GiXf55v6+Qevmh9AiEBt4tkfvt6uflSvIbGM
wcIvu/q59feufpWNbizEAz55s/pHbpAFm8Z82f/+kyPwT7wpn62skNWMHg4Bpf9Yfi/u/L0/eA2p
vv39Szi1fqBcRg32zR+O8eXztR8/i1L9880hcQj5vvjlawh4uM7Lv798wG8v/eZar5/q9Ycr/7HY
F/def/hF/3Kbzxgk2ilesf9tW+wfHkvvTdiH9/Lr98/R8Zvb/WIH+OH4gIX395iafe8SWHT+FZco
y338eqfj5I9YpNfvf/7OJz5cttdhxmE1oXJW//sJ/eNvPzMhq33R75P960CHxfIcU717ZD/+3ZlW
MAohgH/vJY72yMP/9l/7OPvv3zZ7hBT8NzPEgT2+ze+9ymZfJCR94dtJeg473j02r0L01cC6ICV7
78DH+7D09g/t42P2Otjh2VrY4L3+4OcX48n+weu//5oy/l+w2s8efG7/9UYPbxHV9L/gYW7rh/re
eyyK/s3gpjYa67x30rd1EuzvXsc53DX08r/gri/2wb6sILK+Gfs5/H/vTV/6Yei/2bBouYyx3nsH
3u1jP/rtdP9Qv441zshLqPrewa9GBcTvbeIvEdF7x79+LKvfJo+Ju4/e3P1zqPHe0U/2bOZsWFXx
Zo2/pPTvHX1ZB4z+pmhisQxV7S84L5bpmzsex0UI9HWKfn5H4eD/7Kp26t+ndzzddRkhcFm+Dj6u
HrIwRRmT3vfO0b9+FAgooOCUQ1/6vZc58UFnvg0HxsEtdawnvXfwHdQoPEteBxrn52Xwv+Dt/T7e
5ZtrgVF5/dnPP/zTPa8Zj/p1pJdPQplvZLu/d5pORrZR/TYyONQQRzj8uwf/A4vcz9H1z4Vns8fI
81/v8t/TMlY/33vnv4taYg2NBda/4Dz8Qwewd87On/F0euclDufMj5V233mFP9SoeOf4u0deLffr
GP/flZP3rqM/Sxt558f4/n70M/i7H97I91Laz+2PbxPd17bG9/7tbRY//sV99Lgv/vk/AAAA//8=
</cx:binary>
              </cx:geoCache>
            </cx:geography>
          </cx:layoutPr>
        </cx:series>
      </cx:plotAreaRegion>
    </cx:plotArea>
  </cx:chart>
  <cx:spPr>
    <a:gradFill rotWithShape="1">
      <a:gsLst>
        <a:gs pos="0">
          <a:schemeClr val="dk1">
            <a:shade val="51000"/>
            <a:satMod val="130000"/>
          </a:schemeClr>
        </a:gs>
        <a:gs pos="80000">
          <a:schemeClr val="dk1">
            <a:shade val="93000"/>
            <a:satMod val="130000"/>
          </a:schemeClr>
        </a:gs>
        <a:gs pos="100000">
          <a:schemeClr val="dk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Clean_Data!A1"/><Relationship Id="rId1" Type="http://schemas.openxmlformats.org/officeDocument/2006/relationships/hyperlink" Target="#Raw_Data!A1"/><Relationship Id="rId4" Type="http://schemas.openxmlformats.org/officeDocument/2006/relationships/hyperlink" Target="#Field_Guide!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7.xml"/><Relationship Id="rId16" Type="http://schemas.openxmlformats.org/officeDocument/2006/relationships/image" Target="../media/image10.svg"/><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5" Type="http://schemas.openxmlformats.org/officeDocument/2006/relationships/image" Target="../media/image9.png"/><Relationship Id="rId10" Type="http://schemas.openxmlformats.org/officeDocument/2006/relationships/image" Target="../media/image4.svg"/><Relationship Id="rId4" Type="http://schemas.microsoft.com/office/2014/relationships/chartEx" Target="../charts/chartEx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xdr:col>
      <xdr:colOff>257175</xdr:colOff>
      <xdr:row>0</xdr:row>
      <xdr:rowOff>171450</xdr:rowOff>
    </xdr:from>
    <xdr:to>
      <xdr:col>17</xdr:col>
      <xdr:colOff>209550</xdr:colOff>
      <xdr:row>4</xdr:row>
      <xdr:rowOff>152400</xdr:rowOff>
    </xdr:to>
    <xdr:sp macro="" textlink="">
      <xdr:nvSpPr>
        <xdr:cNvPr id="2" name="Rectangle: Rounded Corners 1">
          <a:extLst>
            <a:ext uri="{FF2B5EF4-FFF2-40B4-BE49-F238E27FC236}">
              <a16:creationId xmlns:a16="http://schemas.microsoft.com/office/drawing/2014/main" id="{60D5BC08-2B34-4E41-9053-83598481AAD5}"/>
            </a:ext>
          </a:extLst>
        </xdr:cNvPr>
        <xdr:cNvSpPr/>
      </xdr:nvSpPr>
      <xdr:spPr>
        <a:xfrm>
          <a:off x="2085975" y="171450"/>
          <a:ext cx="8486775" cy="742950"/>
        </a:xfrm>
        <a:prstGeom prst="roundRect">
          <a:avLst/>
        </a:prstGeom>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ctr"/>
          <a:r>
            <a:rPr lang="en-US" sz="2400" b="1" cap="none" spc="0">
              <a:ln/>
              <a:solidFill>
                <a:srgbClr val="860000"/>
              </a:solidFill>
              <a:effectLst/>
            </a:rPr>
            <a:t>ECOMMERCE</a:t>
          </a:r>
          <a:r>
            <a:rPr lang="en-US" sz="2400" b="1" cap="none" spc="0" baseline="0">
              <a:ln/>
              <a:solidFill>
                <a:srgbClr val="860000"/>
              </a:solidFill>
              <a:effectLst/>
            </a:rPr>
            <a:t> SALES &amp; PROFITABILITY DASHBOARD</a:t>
          </a:r>
          <a:endParaRPr lang="en-US" sz="1100" b="1" cap="none" spc="0">
            <a:ln/>
            <a:solidFill>
              <a:srgbClr val="860000"/>
            </a:solidFill>
            <a:effectLst/>
          </a:endParaRPr>
        </a:p>
      </xdr:txBody>
    </xdr:sp>
    <xdr:clientData/>
  </xdr:twoCellAnchor>
  <xdr:oneCellAnchor>
    <xdr:from>
      <xdr:col>8</xdr:col>
      <xdr:colOff>342900</xdr:colOff>
      <xdr:row>2</xdr:row>
      <xdr:rowOff>171450</xdr:rowOff>
    </xdr:from>
    <xdr:ext cx="2250231" cy="311496"/>
    <xdr:sp macro="" textlink="">
      <xdr:nvSpPr>
        <xdr:cNvPr id="3" name="TextBox 2">
          <a:extLst>
            <a:ext uri="{FF2B5EF4-FFF2-40B4-BE49-F238E27FC236}">
              <a16:creationId xmlns:a16="http://schemas.microsoft.com/office/drawing/2014/main" id="{C5914891-6EE0-46EC-B024-946C05098C5E}"/>
            </a:ext>
          </a:extLst>
        </xdr:cNvPr>
        <xdr:cNvSpPr txBox="1"/>
      </xdr:nvSpPr>
      <xdr:spPr>
        <a:xfrm>
          <a:off x="5219700" y="552450"/>
          <a:ext cx="22502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u="sng"/>
            <a:t>An End-to-End Excel Project</a:t>
          </a:r>
        </a:p>
      </xdr:txBody>
    </xdr:sp>
    <xdr:clientData/>
  </xdr:oneCellAnchor>
  <xdr:oneCellAnchor>
    <xdr:from>
      <xdr:col>4</xdr:col>
      <xdr:colOff>400050</xdr:colOff>
      <xdr:row>5</xdr:row>
      <xdr:rowOff>133350</xdr:rowOff>
    </xdr:from>
    <xdr:ext cx="2355773" cy="342786"/>
    <xdr:sp macro="" textlink="">
      <xdr:nvSpPr>
        <xdr:cNvPr id="4" name="TextBox 3">
          <a:extLst>
            <a:ext uri="{FF2B5EF4-FFF2-40B4-BE49-F238E27FC236}">
              <a16:creationId xmlns:a16="http://schemas.microsoft.com/office/drawing/2014/main" id="{C578AAC0-219A-4ECF-92EC-AB1B910CE2CF}"/>
            </a:ext>
          </a:extLst>
        </xdr:cNvPr>
        <xdr:cNvSpPr txBox="1"/>
      </xdr:nvSpPr>
      <xdr:spPr>
        <a:xfrm>
          <a:off x="2838450" y="1085850"/>
          <a:ext cx="23557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95000"/>
                  <a:lumOff val="5000"/>
                </a:schemeClr>
              </a:solidFill>
            </a:rPr>
            <a:t>Created By: </a:t>
          </a:r>
          <a:r>
            <a:rPr lang="en-US" sz="1600" b="1">
              <a:solidFill>
                <a:srgbClr val="580000"/>
              </a:solidFill>
            </a:rPr>
            <a:t>Ritu Jagarwal</a:t>
          </a:r>
        </a:p>
      </xdr:txBody>
    </xdr:sp>
    <xdr:clientData/>
  </xdr:oneCellAnchor>
  <xdr:oneCellAnchor>
    <xdr:from>
      <xdr:col>9</xdr:col>
      <xdr:colOff>523875</xdr:colOff>
      <xdr:row>5</xdr:row>
      <xdr:rowOff>152400</xdr:rowOff>
    </xdr:from>
    <xdr:ext cx="4020973" cy="342786"/>
    <xdr:sp macro="" textlink="">
      <xdr:nvSpPr>
        <xdr:cNvPr id="5" name="TextBox 4">
          <a:extLst>
            <a:ext uri="{FF2B5EF4-FFF2-40B4-BE49-F238E27FC236}">
              <a16:creationId xmlns:a16="http://schemas.microsoft.com/office/drawing/2014/main" id="{A91374BE-9E74-4E2B-BE37-D18312D1A4FE}"/>
            </a:ext>
          </a:extLst>
        </xdr:cNvPr>
        <xdr:cNvSpPr txBox="1"/>
      </xdr:nvSpPr>
      <xdr:spPr>
        <a:xfrm>
          <a:off x="6010275" y="1104900"/>
          <a:ext cx="402097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tx1">
                  <a:lumMod val="95000"/>
                  <a:lumOff val="5000"/>
                </a:schemeClr>
              </a:solidFill>
            </a:rPr>
            <a:t>Project Type: </a:t>
          </a:r>
          <a:r>
            <a:rPr lang="en-US" sz="1600" b="1">
              <a:solidFill>
                <a:srgbClr val="580000"/>
              </a:solidFill>
            </a:rPr>
            <a:t>Data Analytics Portfolio Project</a:t>
          </a:r>
        </a:p>
      </xdr:txBody>
    </xdr:sp>
    <xdr:clientData/>
  </xdr:oneCellAnchor>
  <xdr:oneCellAnchor>
    <xdr:from>
      <xdr:col>1</xdr:col>
      <xdr:colOff>228600</xdr:colOff>
      <xdr:row>9</xdr:row>
      <xdr:rowOff>57150</xdr:rowOff>
    </xdr:from>
    <xdr:ext cx="1863523" cy="342786"/>
    <xdr:sp macro="" textlink="">
      <xdr:nvSpPr>
        <xdr:cNvPr id="6" name="TextBox 5">
          <a:extLst>
            <a:ext uri="{FF2B5EF4-FFF2-40B4-BE49-F238E27FC236}">
              <a16:creationId xmlns:a16="http://schemas.microsoft.com/office/drawing/2014/main" id="{9D29D5B2-CF4E-404D-8D9B-5AF4FF433445}"/>
            </a:ext>
          </a:extLst>
        </xdr:cNvPr>
        <xdr:cNvSpPr txBox="1"/>
      </xdr:nvSpPr>
      <xdr:spPr>
        <a:xfrm>
          <a:off x="838200" y="1771650"/>
          <a:ext cx="1863523" cy="3427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600" b="1">
              <a:solidFill>
                <a:schemeClr val="bg1"/>
              </a:solidFill>
            </a:rPr>
            <a:t>Project Navigation: </a:t>
          </a:r>
        </a:p>
      </xdr:txBody>
    </xdr:sp>
    <xdr:clientData/>
  </xdr:oneCellAnchor>
  <xdr:twoCellAnchor>
    <xdr:from>
      <xdr:col>4</xdr:col>
      <xdr:colOff>523875</xdr:colOff>
      <xdr:row>9</xdr:row>
      <xdr:rowOff>47625</xdr:rowOff>
    </xdr:from>
    <xdr:to>
      <xdr:col>7</xdr:col>
      <xdr:colOff>476250</xdr:colOff>
      <xdr:row>11</xdr:row>
      <xdr:rowOff>47625</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0702F9FB-E66C-49B7-BD98-CD1C91C604BE}"/>
            </a:ext>
          </a:extLst>
        </xdr:cNvPr>
        <xdr:cNvSpPr/>
      </xdr:nvSpPr>
      <xdr:spPr>
        <a:xfrm>
          <a:off x="2962275" y="1762125"/>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a:t>
          </a:r>
          <a:r>
            <a:rPr lang="en-US" sz="1400" b="1" baseline="0">
              <a:solidFill>
                <a:srgbClr val="580000"/>
              </a:solidFill>
            </a:rPr>
            <a:t> Raw Data</a:t>
          </a:r>
          <a:endParaRPr lang="en-US" sz="1400" b="1">
            <a:solidFill>
              <a:srgbClr val="580000"/>
            </a:solidFill>
          </a:endParaRPr>
        </a:p>
      </xdr:txBody>
    </xdr:sp>
    <xdr:clientData/>
  </xdr:twoCellAnchor>
  <xdr:twoCellAnchor>
    <xdr:from>
      <xdr:col>8</xdr:col>
      <xdr:colOff>152400</xdr:colOff>
      <xdr:row>9</xdr:row>
      <xdr:rowOff>57150</xdr:rowOff>
    </xdr:from>
    <xdr:to>
      <xdr:col>11</xdr:col>
      <xdr:colOff>104775</xdr:colOff>
      <xdr:row>11</xdr:row>
      <xdr:rowOff>57150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477714B5-B5F2-45DF-AACC-B5A6C196E723}"/>
            </a:ext>
          </a:extLst>
        </xdr:cNvPr>
        <xdr:cNvSpPr/>
      </xdr:nvSpPr>
      <xdr:spPr>
        <a:xfrm>
          <a:off x="5029200" y="1771650"/>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 Cleaned Data</a:t>
          </a:r>
        </a:p>
      </xdr:txBody>
    </xdr:sp>
    <xdr:clientData/>
  </xdr:twoCellAnchor>
  <xdr:twoCellAnchor>
    <xdr:from>
      <xdr:col>11</xdr:col>
      <xdr:colOff>381000</xdr:colOff>
      <xdr:row>9</xdr:row>
      <xdr:rowOff>57150</xdr:rowOff>
    </xdr:from>
    <xdr:to>
      <xdr:col>14</xdr:col>
      <xdr:colOff>333375</xdr:colOff>
      <xdr:row>11</xdr:row>
      <xdr:rowOff>57150</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25025E4D-5891-4635-9756-DB56B908A8ED}"/>
            </a:ext>
          </a:extLst>
        </xdr:cNvPr>
        <xdr:cNvSpPr/>
      </xdr:nvSpPr>
      <xdr:spPr>
        <a:xfrm>
          <a:off x="7086600" y="1771650"/>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a:t>
          </a:r>
          <a:r>
            <a:rPr lang="en-US" sz="1400" b="1" baseline="0">
              <a:solidFill>
                <a:srgbClr val="580000"/>
              </a:solidFill>
            </a:rPr>
            <a:t> Dashboard</a:t>
          </a:r>
          <a:endParaRPr lang="en-US" sz="1400" b="1">
            <a:solidFill>
              <a:srgbClr val="580000"/>
            </a:solidFill>
          </a:endParaRPr>
        </a:p>
      </xdr:txBody>
    </xdr:sp>
    <xdr:clientData/>
  </xdr:twoCellAnchor>
  <xdr:twoCellAnchor>
    <xdr:from>
      <xdr:col>14</xdr:col>
      <xdr:colOff>581025</xdr:colOff>
      <xdr:row>9</xdr:row>
      <xdr:rowOff>57150</xdr:rowOff>
    </xdr:from>
    <xdr:to>
      <xdr:col>17</xdr:col>
      <xdr:colOff>533400</xdr:colOff>
      <xdr:row>11</xdr:row>
      <xdr:rowOff>57150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FAFFFF49-2C3A-406F-9B2C-1C5C9E5631DB}"/>
            </a:ext>
          </a:extLst>
        </xdr:cNvPr>
        <xdr:cNvSpPr/>
      </xdr:nvSpPr>
      <xdr:spPr>
        <a:xfrm>
          <a:off x="9115425" y="1771650"/>
          <a:ext cx="1781175"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400" b="1">
              <a:solidFill>
                <a:srgbClr val="580000"/>
              </a:solidFill>
            </a:rPr>
            <a:t>View</a:t>
          </a:r>
          <a:r>
            <a:rPr lang="en-US" sz="1400" b="1" baseline="0">
              <a:solidFill>
                <a:srgbClr val="580000"/>
              </a:solidFill>
            </a:rPr>
            <a:t> Field Guide</a:t>
          </a:r>
          <a:endParaRPr lang="en-US" sz="1400" b="1">
            <a:solidFill>
              <a:srgbClr val="580000"/>
            </a:solidFill>
          </a:endParaRPr>
        </a:p>
      </xdr:txBody>
    </xdr:sp>
    <xdr:clientData/>
  </xdr:twoCellAnchor>
  <xdr:oneCellAnchor>
    <xdr:from>
      <xdr:col>1</xdr:col>
      <xdr:colOff>247649</xdr:colOff>
      <xdr:row>13</xdr:row>
      <xdr:rowOff>38100</xdr:rowOff>
    </xdr:from>
    <xdr:ext cx="1838325" cy="342786"/>
    <xdr:sp macro="" textlink="">
      <xdr:nvSpPr>
        <xdr:cNvPr id="11" name="TextBox 10">
          <a:extLst>
            <a:ext uri="{FF2B5EF4-FFF2-40B4-BE49-F238E27FC236}">
              <a16:creationId xmlns:a16="http://schemas.microsoft.com/office/drawing/2014/main" id="{F77B3B7A-0B7E-446E-AB24-95111E44CC31}"/>
            </a:ext>
          </a:extLst>
        </xdr:cNvPr>
        <xdr:cNvSpPr txBox="1"/>
      </xdr:nvSpPr>
      <xdr:spPr>
        <a:xfrm>
          <a:off x="857249" y="2514600"/>
          <a:ext cx="1838325" cy="3427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chemeClr val="bg1"/>
              </a:solidFill>
            </a:rPr>
            <a:t>Objective: </a:t>
          </a:r>
        </a:p>
      </xdr:txBody>
    </xdr:sp>
    <xdr:clientData/>
  </xdr:oneCellAnchor>
  <xdr:oneCellAnchor>
    <xdr:from>
      <xdr:col>4</xdr:col>
      <xdr:colOff>466726</xdr:colOff>
      <xdr:row>12</xdr:row>
      <xdr:rowOff>85725</xdr:rowOff>
    </xdr:from>
    <xdr:ext cx="6191250" cy="749821"/>
    <xdr:sp macro="" textlink="">
      <xdr:nvSpPr>
        <xdr:cNvPr id="12" name="TextBox 11">
          <a:extLst>
            <a:ext uri="{FF2B5EF4-FFF2-40B4-BE49-F238E27FC236}">
              <a16:creationId xmlns:a16="http://schemas.microsoft.com/office/drawing/2014/main" id="{AA6598F8-F3D2-475C-9E6D-66BFA8C988FE}"/>
            </a:ext>
          </a:extLst>
        </xdr:cNvPr>
        <xdr:cNvSpPr txBox="1"/>
      </xdr:nvSpPr>
      <xdr:spPr>
        <a:xfrm>
          <a:off x="2905126" y="2371725"/>
          <a:ext cx="6191250" cy="749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t>To</a:t>
          </a:r>
          <a:r>
            <a:rPr lang="en-US" sz="1400" b="0" baseline="0"/>
            <a:t> help Ecommerce management track sales performance, order status, category-wise profit margin and regional trends through an interactive and dynamic Excel Dashboard.</a:t>
          </a:r>
          <a:endParaRPr lang="en-US" sz="1400" b="0"/>
        </a:p>
      </xdr:txBody>
    </xdr:sp>
    <xdr:clientData/>
  </xdr:oneCellAnchor>
  <xdr:oneCellAnchor>
    <xdr:from>
      <xdr:col>1</xdr:col>
      <xdr:colOff>247650</xdr:colOff>
      <xdr:row>17</xdr:row>
      <xdr:rowOff>9525</xdr:rowOff>
    </xdr:from>
    <xdr:ext cx="1838325" cy="342786"/>
    <xdr:sp macro="" textlink="">
      <xdr:nvSpPr>
        <xdr:cNvPr id="13" name="TextBox 12">
          <a:extLst>
            <a:ext uri="{FF2B5EF4-FFF2-40B4-BE49-F238E27FC236}">
              <a16:creationId xmlns:a16="http://schemas.microsoft.com/office/drawing/2014/main" id="{FD91F5C2-3B69-4807-AD47-FDCBBF71B794}"/>
            </a:ext>
          </a:extLst>
        </xdr:cNvPr>
        <xdr:cNvSpPr txBox="1"/>
      </xdr:nvSpPr>
      <xdr:spPr>
        <a:xfrm>
          <a:off x="857250" y="3248025"/>
          <a:ext cx="1838325" cy="342786"/>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chemeClr val="bg1"/>
              </a:solidFill>
            </a:rPr>
            <a:t>Tools Used: </a:t>
          </a:r>
        </a:p>
      </xdr:txBody>
    </xdr:sp>
    <xdr:clientData/>
  </xdr:oneCellAnchor>
  <xdr:oneCellAnchor>
    <xdr:from>
      <xdr:col>4</xdr:col>
      <xdr:colOff>466725</xdr:colOff>
      <xdr:row>16</xdr:row>
      <xdr:rowOff>104775</xdr:rowOff>
    </xdr:from>
    <xdr:ext cx="6191250" cy="530658"/>
    <xdr:sp macro="" textlink="">
      <xdr:nvSpPr>
        <xdr:cNvPr id="14" name="TextBox 13">
          <a:extLst>
            <a:ext uri="{FF2B5EF4-FFF2-40B4-BE49-F238E27FC236}">
              <a16:creationId xmlns:a16="http://schemas.microsoft.com/office/drawing/2014/main" id="{DCD13D0F-4D59-4B85-A3F1-E783BF55215D}"/>
            </a:ext>
          </a:extLst>
        </xdr:cNvPr>
        <xdr:cNvSpPr txBox="1"/>
      </xdr:nvSpPr>
      <xdr:spPr>
        <a:xfrm>
          <a:off x="2905125" y="3152775"/>
          <a:ext cx="619125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t>Excel</a:t>
          </a:r>
          <a:r>
            <a:rPr lang="en-US" sz="1400" b="0" baseline="0"/>
            <a:t> - Power Query, Pivot Table, Slicers, GETPIVOTDATA, Data Cleaning &amp; Visualization.</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28575</xdr:colOff>
      <xdr:row>5</xdr:row>
      <xdr:rowOff>180975</xdr:rowOff>
    </xdr:from>
    <xdr:to>
      <xdr:col>5</xdr:col>
      <xdr:colOff>800100</xdr:colOff>
      <xdr:row>18</xdr:row>
      <xdr:rowOff>124847</xdr:rowOff>
    </xdr:to>
    <xdr:graphicFrame macro="">
      <xdr:nvGraphicFramePr>
        <xdr:cNvPr id="4" name="Chart 3">
          <a:extLst>
            <a:ext uri="{FF2B5EF4-FFF2-40B4-BE49-F238E27FC236}">
              <a16:creationId xmlns:a16="http://schemas.microsoft.com/office/drawing/2014/main" id="{67CC04E0-8543-440B-8642-4AB406FF3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76200</xdr:colOff>
      <xdr:row>6</xdr:row>
      <xdr:rowOff>0</xdr:rowOff>
    </xdr:from>
    <xdr:to>
      <xdr:col>13</xdr:col>
      <xdr:colOff>142875</xdr:colOff>
      <xdr:row>18</xdr:row>
      <xdr:rowOff>171108</xdr:rowOff>
    </xdr:to>
    <xdr:graphicFrame macro="">
      <xdr:nvGraphicFramePr>
        <xdr:cNvPr id="7" name="Chart 6">
          <a:extLst>
            <a:ext uri="{FF2B5EF4-FFF2-40B4-BE49-F238E27FC236}">
              <a16:creationId xmlns:a16="http://schemas.microsoft.com/office/drawing/2014/main" id="{D6C62D5E-B342-479A-9A0B-6F6DEA792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123825</xdr:colOff>
      <xdr:row>21</xdr:row>
      <xdr:rowOff>9525</xdr:rowOff>
    </xdr:from>
    <xdr:to>
      <xdr:col>6</xdr:col>
      <xdr:colOff>1030741</xdr:colOff>
      <xdr:row>32</xdr:row>
      <xdr:rowOff>76198</xdr:rowOff>
    </xdr:to>
    <xdr:graphicFrame macro="">
      <xdr:nvGraphicFramePr>
        <xdr:cNvPr id="8" name="Chart 7">
          <a:extLst>
            <a:ext uri="{FF2B5EF4-FFF2-40B4-BE49-F238E27FC236}">
              <a16:creationId xmlns:a16="http://schemas.microsoft.com/office/drawing/2014/main" id="{2C2D0FAF-5AEA-4B24-855B-408C3BB90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104774</xdr:colOff>
      <xdr:row>33</xdr:row>
      <xdr:rowOff>9525</xdr:rowOff>
    </xdr:from>
    <xdr:to>
      <xdr:col>4</xdr:col>
      <xdr:colOff>178592</xdr:colOff>
      <xdr:row>49</xdr:row>
      <xdr:rowOff>99332</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C2AF3392-EA24-465C-AC5B-929CC7D4A8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14574" y="6296025"/>
              <a:ext cx="2997993" cy="31378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219075</xdr:colOff>
      <xdr:row>34</xdr:row>
      <xdr:rowOff>57150</xdr:rowOff>
    </xdr:from>
    <xdr:to>
      <xdr:col>10</xdr:col>
      <xdr:colOff>373402</xdr:colOff>
      <xdr:row>45</xdr:row>
      <xdr:rowOff>43959</xdr:rowOff>
    </xdr:to>
    <xdr:graphicFrame macro="">
      <xdr:nvGraphicFramePr>
        <xdr:cNvPr id="11" name="Chart 10">
          <a:extLst>
            <a:ext uri="{FF2B5EF4-FFF2-40B4-BE49-F238E27FC236}">
              <a16:creationId xmlns:a16="http://schemas.microsoft.com/office/drawing/2014/main" id="{CB8A3C79-E3DD-4082-BED6-EC5DE95CB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133350</xdr:colOff>
      <xdr:row>49</xdr:row>
      <xdr:rowOff>57150</xdr:rowOff>
    </xdr:from>
    <xdr:to>
      <xdr:col>10</xdr:col>
      <xdr:colOff>409577</xdr:colOff>
      <xdr:row>60</xdr:row>
      <xdr:rowOff>136413</xdr:rowOff>
    </xdr:to>
    <xdr:graphicFrame macro="">
      <xdr:nvGraphicFramePr>
        <xdr:cNvPr id="12" name="Chart 11">
          <a:extLst>
            <a:ext uri="{FF2B5EF4-FFF2-40B4-BE49-F238E27FC236}">
              <a16:creationId xmlns:a16="http://schemas.microsoft.com/office/drawing/2014/main" id="{EDDB33C9-55F0-40F7-BCE4-85131158A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1019175</xdr:colOff>
      <xdr:row>59</xdr:row>
      <xdr:rowOff>179272</xdr:rowOff>
    </xdr:from>
    <xdr:to>
      <xdr:col>3</xdr:col>
      <xdr:colOff>985837</xdr:colOff>
      <xdr:row>71</xdr:row>
      <xdr:rowOff>85725</xdr:rowOff>
    </xdr:to>
    <mc:AlternateContent xmlns:mc="http://schemas.openxmlformats.org/markup-compatibility/2006">
      <mc:Choice xmlns:a14="http://schemas.microsoft.com/office/drawing/2010/main" Requires="a14">
        <xdr:graphicFrame macro="">
          <xdr:nvGraphicFramePr>
            <xdr:cNvPr id="16" name="Category 2">
              <a:extLst>
                <a:ext uri="{FF2B5EF4-FFF2-40B4-BE49-F238E27FC236}">
                  <a16:creationId xmlns:a16="http://schemas.microsoft.com/office/drawing/2014/main" id="{995AD21B-FD5F-4EAE-940D-B71B2A91624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3228975" y="11418772"/>
              <a:ext cx="1547812" cy="2192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xdr:colOff>
      <xdr:row>59</xdr:row>
      <xdr:rowOff>190499</xdr:rowOff>
    </xdr:from>
    <xdr:to>
      <xdr:col>1</xdr:col>
      <xdr:colOff>397668</xdr:colOff>
      <xdr:row>74</xdr:row>
      <xdr:rowOff>152400</xdr:rowOff>
    </xdr:to>
    <mc:AlternateContent xmlns:mc="http://schemas.openxmlformats.org/markup-compatibility/2006">
      <mc:Choice xmlns:a14="http://schemas.microsoft.com/office/drawing/2010/main" Requires="a14">
        <xdr:graphicFrame macro="">
          <xdr:nvGraphicFramePr>
            <xdr:cNvPr id="19" name="State 2">
              <a:extLst>
                <a:ext uri="{FF2B5EF4-FFF2-40B4-BE49-F238E27FC236}">
                  <a16:creationId xmlns:a16="http://schemas.microsoft.com/office/drawing/2014/main" id="{38BCD8CD-C4DE-4A38-8C15-3144824F7DA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342" y="11429999"/>
              <a:ext cx="1559376" cy="2819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441551</xdr:colOff>
      <xdr:row>60</xdr:row>
      <xdr:rowOff>5102</xdr:rowOff>
    </xdr:from>
    <xdr:to>
      <xdr:col>2</xdr:col>
      <xdr:colOff>960324</xdr:colOff>
      <xdr:row>71</xdr:row>
      <xdr:rowOff>76200</xdr:rowOff>
    </xdr:to>
    <mc:AlternateContent xmlns:mc="http://schemas.openxmlformats.org/markup-compatibility/2006">
      <mc:Choice xmlns:a14="http://schemas.microsoft.com/office/drawing/2010/main" Requires="a14">
        <xdr:graphicFrame macro="">
          <xdr:nvGraphicFramePr>
            <xdr:cNvPr id="20" name="Order_Status 2">
              <a:extLst>
                <a:ext uri="{FF2B5EF4-FFF2-40B4-BE49-F238E27FC236}">
                  <a16:creationId xmlns:a16="http://schemas.microsoft.com/office/drawing/2014/main" id="{13C0431C-0444-460D-BD29-B4EBF6357C99}"/>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dr:sp macro="" textlink="">
          <xdr:nvSpPr>
            <xdr:cNvPr id="0" name=""/>
            <xdr:cNvSpPr>
              <a:spLocks noTextEdit="1"/>
            </xdr:cNvSpPr>
          </xdr:nvSpPr>
          <xdr:spPr>
            <a:xfrm>
              <a:off x="1603601" y="11435102"/>
              <a:ext cx="1566523" cy="21665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1084830</xdr:colOff>
      <xdr:row>59</xdr:row>
      <xdr:rowOff>186077</xdr:rowOff>
    </xdr:from>
    <xdr:to>
      <xdr:col>5</xdr:col>
      <xdr:colOff>508567</xdr:colOff>
      <xdr:row>70</xdr:row>
      <xdr:rowOff>165667</xdr:rowOff>
    </xdr:to>
    <mc:AlternateContent xmlns:mc="http://schemas.openxmlformats.org/markup-compatibility/2006">
      <mc:Choice xmlns:a14="http://schemas.microsoft.com/office/drawing/2010/main" Requires="a14">
        <xdr:graphicFrame macro="">
          <xdr:nvGraphicFramePr>
            <xdr:cNvPr id="21" name="Month 2">
              <a:extLst>
                <a:ext uri="{FF2B5EF4-FFF2-40B4-BE49-F238E27FC236}">
                  <a16:creationId xmlns:a16="http://schemas.microsoft.com/office/drawing/2014/main" id="{E7E50571-304E-4BB6-86EE-E4795FF29DD4}"/>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4875780" y="11425577"/>
              <a:ext cx="1547812" cy="2075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112259</xdr:colOff>
      <xdr:row>0</xdr:row>
      <xdr:rowOff>56131</xdr:rowOff>
    </xdr:from>
    <xdr:to>
      <xdr:col>2</xdr:col>
      <xdr:colOff>476250</xdr:colOff>
      <xdr:row>38</xdr:row>
      <xdr:rowOff>54429</xdr:rowOff>
    </xdr:to>
    <xdr:sp macro="" textlink="">
      <xdr:nvSpPr>
        <xdr:cNvPr id="8" name="Rectangle 7">
          <a:extLst>
            <a:ext uri="{FF2B5EF4-FFF2-40B4-BE49-F238E27FC236}">
              <a16:creationId xmlns:a16="http://schemas.microsoft.com/office/drawing/2014/main" id="{9AE8C838-7364-869F-1756-5B588D089D64}"/>
            </a:ext>
          </a:extLst>
        </xdr:cNvPr>
        <xdr:cNvSpPr/>
      </xdr:nvSpPr>
      <xdr:spPr>
        <a:xfrm>
          <a:off x="112259" y="56131"/>
          <a:ext cx="1588634" cy="723729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556191</xdr:colOff>
      <xdr:row>0</xdr:row>
      <xdr:rowOff>59530</xdr:rowOff>
    </xdr:from>
    <xdr:to>
      <xdr:col>19</xdr:col>
      <xdr:colOff>134372</xdr:colOff>
      <xdr:row>4</xdr:row>
      <xdr:rowOff>95248</xdr:rowOff>
    </xdr:to>
    <xdr:sp macro="" textlink="">
      <xdr:nvSpPr>
        <xdr:cNvPr id="3" name="Rectangle: Rounded Corners 2">
          <a:extLst>
            <a:ext uri="{FF2B5EF4-FFF2-40B4-BE49-F238E27FC236}">
              <a16:creationId xmlns:a16="http://schemas.microsoft.com/office/drawing/2014/main" id="{0C4B64E9-4C04-E50F-CFFD-E7C6E95A2D79}"/>
            </a:ext>
          </a:extLst>
        </xdr:cNvPr>
        <xdr:cNvSpPr/>
      </xdr:nvSpPr>
      <xdr:spPr>
        <a:xfrm>
          <a:off x="1780834" y="59530"/>
          <a:ext cx="10232574" cy="797718"/>
        </a:xfrm>
        <a:prstGeom prst="round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ctr"/>
        <a:lstStyle/>
        <a:p>
          <a:pPr algn="ctr"/>
          <a:r>
            <a:rPr lang="en-US" sz="3200" b="1" i="1" u="none" cap="none" spc="0">
              <a:ln>
                <a:noFill/>
              </a:ln>
              <a:solidFill>
                <a:schemeClr val="bg1"/>
              </a:solidFill>
              <a:effectLst/>
            </a:rPr>
            <a:t>Ecommerce</a:t>
          </a:r>
          <a:r>
            <a:rPr lang="en-US" sz="3200" b="1" i="1" u="none" cap="none" spc="0" baseline="0">
              <a:ln>
                <a:noFill/>
              </a:ln>
              <a:solidFill>
                <a:schemeClr val="bg1"/>
              </a:solidFill>
              <a:effectLst/>
            </a:rPr>
            <a:t> Sales Dashboard - Quick Review</a:t>
          </a:r>
          <a:endParaRPr lang="en-US" sz="3200" b="1" i="1" u="none" cap="none" spc="0">
            <a:ln>
              <a:noFill/>
            </a:ln>
            <a:solidFill>
              <a:schemeClr val="bg1"/>
            </a:solidFill>
            <a:effectLst/>
          </a:endParaRPr>
        </a:p>
      </xdr:txBody>
    </xdr:sp>
    <xdr:clientData/>
  </xdr:twoCellAnchor>
  <xdr:twoCellAnchor editAs="oneCell">
    <xdr:from>
      <xdr:col>0</xdr:col>
      <xdr:colOff>119063</xdr:colOff>
      <xdr:row>18</xdr:row>
      <xdr:rowOff>40820</xdr:rowOff>
    </xdr:from>
    <xdr:to>
      <xdr:col>2</xdr:col>
      <xdr:colOff>452437</xdr:colOff>
      <xdr:row>27</xdr:row>
      <xdr:rowOff>27213</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23AF5AD7-F644-4535-AB00-CAD0E05B2A3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9063" y="3469820"/>
              <a:ext cx="1539874" cy="1700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119405</xdr:colOff>
      <xdr:row>0</xdr:row>
      <xdr:rowOff>42523</xdr:rowOff>
    </xdr:from>
    <xdr:to>
      <xdr:col>2</xdr:col>
      <xdr:colOff>464343</xdr:colOff>
      <xdr:row>10</xdr:row>
      <xdr:rowOff>176892</xdr:rowOff>
    </xdr:to>
    <mc:AlternateContent xmlns:mc="http://schemas.openxmlformats.org/markup-compatibility/2006" xmlns:a14="http://schemas.microsoft.com/office/drawing/2010/main">
      <mc:Choice Requires="a14">
        <xdr:graphicFrame macro="">
          <xdr:nvGraphicFramePr>
            <xdr:cNvPr id="5" name="State 1">
              <a:extLst>
                <a:ext uri="{FF2B5EF4-FFF2-40B4-BE49-F238E27FC236}">
                  <a16:creationId xmlns:a16="http://schemas.microsoft.com/office/drawing/2014/main" id="{66F6CBC4-AE65-442C-91E2-AAF8B167ECF9}"/>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9405" y="42523"/>
              <a:ext cx="1551438" cy="2039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122464</xdr:colOff>
      <xdr:row>11</xdr:row>
      <xdr:rowOff>0</xdr:rowOff>
    </xdr:from>
    <xdr:to>
      <xdr:col>2</xdr:col>
      <xdr:colOff>474549</xdr:colOff>
      <xdr:row>18</xdr:row>
      <xdr:rowOff>40821</xdr:rowOff>
    </xdr:to>
    <mc:AlternateContent xmlns:mc="http://schemas.openxmlformats.org/markup-compatibility/2006" xmlns:a14="http://schemas.microsoft.com/office/drawing/2010/main">
      <mc:Choice Requires="a14">
        <xdr:graphicFrame macro="">
          <xdr:nvGraphicFramePr>
            <xdr:cNvPr id="6" name="Order_Status 1">
              <a:extLst>
                <a:ext uri="{FF2B5EF4-FFF2-40B4-BE49-F238E27FC236}">
                  <a16:creationId xmlns:a16="http://schemas.microsoft.com/office/drawing/2014/main" id="{DA78E30C-5066-402B-B67E-0BF08478014F}"/>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22464" y="2095500"/>
              <a:ext cx="1558585" cy="1374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127568</xdr:colOff>
      <xdr:row>27</xdr:row>
      <xdr:rowOff>47625</xdr:rowOff>
    </xdr:from>
    <xdr:to>
      <xdr:col>2</xdr:col>
      <xdr:colOff>460942</xdr:colOff>
      <xdr:row>38</xdr:row>
      <xdr:rowOff>27215</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2D001EA8-F03F-4C36-B0E9-513CA41A1A6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7568" y="5191125"/>
              <a:ext cx="1539874" cy="2075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5104</xdr:colOff>
      <xdr:row>8</xdr:row>
      <xdr:rowOff>187096</xdr:rowOff>
    </xdr:from>
    <xdr:to>
      <xdr:col>11</xdr:col>
      <xdr:colOff>226218</xdr:colOff>
      <xdr:row>24</xdr:row>
      <xdr:rowOff>178593</xdr:rowOff>
    </xdr:to>
    <xdr:graphicFrame macro="">
      <xdr:nvGraphicFramePr>
        <xdr:cNvPr id="9" name="Chart 8">
          <a:extLst>
            <a:ext uri="{FF2B5EF4-FFF2-40B4-BE49-F238E27FC236}">
              <a16:creationId xmlns:a16="http://schemas.microsoft.com/office/drawing/2014/main" id="{B7976F92-BDD5-4A89-8F2D-02F9067AF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299357</xdr:colOff>
      <xdr:row>9</xdr:row>
      <xdr:rowOff>0</xdr:rowOff>
    </xdr:from>
    <xdr:to>
      <xdr:col>19</xdr:col>
      <xdr:colOff>127567</xdr:colOff>
      <xdr:row>24</xdr:row>
      <xdr:rowOff>161584</xdr:rowOff>
    </xdr:to>
    <xdr:graphicFrame macro="">
      <xdr:nvGraphicFramePr>
        <xdr:cNvPr id="10" name="Chart 9">
          <a:extLst>
            <a:ext uri="{FF2B5EF4-FFF2-40B4-BE49-F238E27FC236}">
              <a16:creationId xmlns:a16="http://schemas.microsoft.com/office/drawing/2014/main" id="{52B7FBD7-0623-4D44-AA3F-B395F8B18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595314</xdr:colOff>
      <xdr:row>25</xdr:row>
      <xdr:rowOff>51026</xdr:rowOff>
    </xdr:from>
    <xdr:to>
      <xdr:col>10</xdr:col>
      <xdr:colOff>328274</xdr:colOff>
      <xdr:row>38</xdr:row>
      <xdr:rowOff>41499</xdr:rowOff>
    </xdr:to>
    <xdr:graphicFrame macro="">
      <xdr:nvGraphicFramePr>
        <xdr:cNvPr id="11" name="Chart 10">
          <a:extLst>
            <a:ext uri="{FF2B5EF4-FFF2-40B4-BE49-F238E27FC236}">
              <a16:creationId xmlns:a16="http://schemas.microsoft.com/office/drawing/2014/main" id="{C4D7B2F5-20C4-4C2A-9F84-82574353F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214312</xdr:colOff>
      <xdr:row>16</xdr:row>
      <xdr:rowOff>130629</xdr:rowOff>
    </xdr:from>
    <xdr:to>
      <xdr:col>25</xdr:col>
      <xdr:colOff>321468</xdr:colOff>
      <xdr:row>38</xdr:row>
      <xdr:rowOff>87086</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561E7507-0777-463A-98CD-156801F709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044362" y="3178629"/>
              <a:ext cx="3764756" cy="41474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416718</xdr:colOff>
      <xdr:row>25</xdr:row>
      <xdr:rowOff>35037</xdr:rowOff>
    </xdr:from>
    <xdr:to>
      <xdr:col>19</xdr:col>
      <xdr:colOff>152401</xdr:colOff>
      <xdr:row>38</xdr:row>
      <xdr:rowOff>57150</xdr:rowOff>
    </xdr:to>
    <xdr:graphicFrame macro="">
      <xdr:nvGraphicFramePr>
        <xdr:cNvPr id="13" name="Chart 12">
          <a:extLst>
            <a:ext uri="{FF2B5EF4-FFF2-40B4-BE49-F238E27FC236}">
              <a16:creationId xmlns:a16="http://schemas.microsoft.com/office/drawing/2014/main" id="{AAEAA012-097D-459D-8233-F8E9595D4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217146</xdr:colOff>
      <xdr:row>0</xdr:row>
      <xdr:rowOff>62177</xdr:rowOff>
    </xdr:from>
    <xdr:to>
      <xdr:col>25</xdr:col>
      <xdr:colOff>309561</xdr:colOff>
      <xdr:row>16</xdr:row>
      <xdr:rowOff>68036</xdr:rowOff>
    </xdr:to>
    <xdr:graphicFrame macro="">
      <xdr:nvGraphicFramePr>
        <xdr:cNvPr id="14" name="Chart 13">
          <a:extLst>
            <a:ext uri="{FF2B5EF4-FFF2-40B4-BE49-F238E27FC236}">
              <a16:creationId xmlns:a16="http://schemas.microsoft.com/office/drawing/2014/main" id="{FCF3BAC5-A287-44F6-93C5-10897BFF0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313795</xdr:colOff>
      <xdr:row>4</xdr:row>
      <xdr:rowOff>163287</xdr:rowOff>
    </xdr:from>
    <xdr:to>
      <xdr:col>6</xdr:col>
      <xdr:colOff>241631</xdr:colOff>
      <xdr:row>8</xdr:row>
      <xdr:rowOff>127000</xdr:rowOff>
    </xdr:to>
    <xdr:sp macro="" textlink="">
      <xdr:nvSpPr>
        <xdr:cNvPr id="15" name="Rectangle: Rounded Corners 14">
          <a:extLst>
            <a:ext uri="{FF2B5EF4-FFF2-40B4-BE49-F238E27FC236}">
              <a16:creationId xmlns:a16="http://schemas.microsoft.com/office/drawing/2014/main" id="{384495C7-32FE-C4D4-BF1B-E7CF467CBD99}"/>
            </a:ext>
          </a:extLst>
        </xdr:cNvPr>
        <xdr:cNvSpPr/>
      </xdr:nvSpPr>
      <xdr:spPr>
        <a:xfrm>
          <a:off x="2150759" y="925287"/>
          <a:ext cx="2009729" cy="725713"/>
        </a:xfrm>
        <a:prstGeom prst="round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oneCellAnchor>
    <xdr:from>
      <xdr:col>4</xdr:col>
      <xdr:colOff>495525</xdr:colOff>
      <xdr:row>4</xdr:row>
      <xdr:rowOff>167822</xdr:rowOff>
    </xdr:from>
    <xdr:ext cx="1053045" cy="374141"/>
    <xdr:sp macro="" textlink="">
      <xdr:nvSpPr>
        <xdr:cNvPr id="16" name="TextBox 15">
          <a:extLst>
            <a:ext uri="{FF2B5EF4-FFF2-40B4-BE49-F238E27FC236}">
              <a16:creationId xmlns:a16="http://schemas.microsoft.com/office/drawing/2014/main" id="{9A670A90-AFD2-F511-1A61-270922D5BD82}"/>
            </a:ext>
          </a:extLst>
        </xdr:cNvPr>
        <xdr:cNvSpPr txBox="1"/>
      </xdr:nvSpPr>
      <xdr:spPr>
        <a:xfrm>
          <a:off x="3091088" y="929822"/>
          <a:ext cx="105304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Total</a:t>
          </a:r>
          <a:r>
            <a:rPr lang="en-US" sz="1800" b="1"/>
            <a:t> </a:t>
          </a:r>
          <a:r>
            <a:rPr lang="en-US" sz="1400" b="1">
              <a:solidFill>
                <a:schemeClr val="bg1"/>
              </a:solidFill>
            </a:rPr>
            <a:t>Order</a:t>
          </a:r>
          <a:endParaRPr lang="en-US" sz="1800" b="1">
            <a:solidFill>
              <a:schemeClr val="bg1"/>
            </a:solidFill>
          </a:endParaRPr>
        </a:p>
      </xdr:txBody>
    </xdr:sp>
    <xdr:clientData/>
  </xdr:oneCellAnchor>
  <xdr:oneCellAnchor>
    <xdr:from>
      <xdr:col>3</xdr:col>
      <xdr:colOff>517072</xdr:colOff>
      <xdr:row>6</xdr:row>
      <xdr:rowOff>27214</xdr:rowOff>
    </xdr:from>
    <xdr:ext cx="184731" cy="342786"/>
    <xdr:sp macro="" textlink="">
      <xdr:nvSpPr>
        <xdr:cNvPr id="18" name="TextBox 17">
          <a:extLst>
            <a:ext uri="{FF2B5EF4-FFF2-40B4-BE49-F238E27FC236}">
              <a16:creationId xmlns:a16="http://schemas.microsoft.com/office/drawing/2014/main" id="{D49E2958-17FA-4616-9A92-88E210D47DC8}"/>
            </a:ext>
          </a:extLst>
        </xdr:cNvPr>
        <xdr:cNvSpPr txBox="1"/>
      </xdr:nvSpPr>
      <xdr:spPr>
        <a:xfrm>
          <a:off x="2354036" y="1170214"/>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600" b="0"/>
        </a:p>
      </xdr:txBody>
    </xdr:sp>
    <xdr:clientData/>
  </xdr:oneCellAnchor>
  <xdr:oneCellAnchor>
    <xdr:from>
      <xdr:col>12</xdr:col>
      <xdr:colOff>489857</xdr:colOff>
      <xdr:row>8</xdr:row>
      <xdr:rowOff>81643</xdr:rowOff>
    </xdr:from>
    <xdr:ext cx="184731" cy="264560"/>
    <xdr:sp macro="" textlink="">
      <xdr:nvSpPr>
        <xdr:cNvPr id="19" name="TextBox 18">
          <a:extLst>
            <a:ext uri="{FF2B5EF4-FFF2-40B4-BE49-F238E27FC236}">
              <a16:creationId xmlns:a16="http://schemas.microsoft.com/office/drawing/2014/main" id="{7A0935E9-7B50-7EA6-92C1-565829A491D0}"/>
            </a:ext>
          </a:extLst>
        </xdr:cNvPr>
        <xdr:cNvSpPr txBox="1"/>
      </xdr:nvSpPr>
      <xdr:spPr>
        <a:xfrm>
          <a:off x="7855857" y="16056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11</xdr:col>
      <xdr:colOff>539750</xdr:colOff>
      <xdr:row>8</xdr:row>
      <xdr:rowOff>52917</xdr:rowOff>
    </xdr:from>
    <xdr:ext cx="184731" cy="264560"/>
    <xdr:sp macro="" textlink="">
      <xdr:nvSpPr>
        <xdr:cNvPr id="20" name="TextBox 19">
          <a:extLst>
            <a:ext uri="{FF2B5EF4-FFF2-40B4-BE49-F238E27FC236}">
              <a16:creationId xmlns:a16="http://schemas.microsoft.com/office/drawing/2014/main" id="{D5CC5E4F-697A-7597-C813-09F93AB1AC73}"/>
            </a:ext>
          </a:extLst>
        </xdr:cNvPr>
        <xdr:cNvSpPr txBox="1"/>
      </xdr:nvSpPr>
      <xdr:spPr>
        <a:xfrm>
          <a:off x="7291917" y="15769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338667</xdr:colOff>
      <xdr:row>7</xdr:row>
      <xdr:rowOff>84667</xdr:rowOff>
    </xdr:from>
    <xdr:ext cx="184731" cy="264560"/>
    <xdr:sp macro="" textlink="">
      <xdr:nvSpPr>
        <xdr:cNvPr id="23" name="TextBox 22">
          <a:extLst>
            <a:ext uri="{FF2B5EF4-FFF2-40B4-BE49-F238E27FC236}">
              <a16:creationId xmlns:a16="http://schemas.microsoft.com/office/drawing/2014/main" id="{7CAADF48-DBAE-15E6-4F21-E100C6462ABB}"/>
            </a:ext>
          </a:extLst>
        </xdr:cNvPr>
        <xdr:cNvSpPr txBox="1"/>
      </xdr:nvSpPr>
      <xdr:spPr>
        <a:xfrm>
          <a:off x="4635500" y="14181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116417</xdr:colOff>
      <xdr:row>6</xdr:row>
      <xdr:rowOff>42332</xdr:rowOff>
    </xdr:from>
    <xdr:ext cx="756617" cy="436723"/>
    <xdr:sp macro="" textlink="L9">
      <xdr:nvSpPr>
        <xdr:cNvPr id="24" name="TextBox 23">
          <a:extLst>
            <a:ext uri="{FF2B5EF4-FFF2-40B4-BE49-F238E27FC236}">
              <a16:creationId xmlns:a16="http://schemas.microsoft.com/office/drawing/2014/main" id="{A7B4C102-BF7D-69AC-43D7-45A6E89B0236}"/>
            </a:ext>
          </a:extLst>
        </xdr:cNvPr>
        <xdr:cNvSpPr txBox="1"/>
      </xdr:nvSpPr>
      <xdr:spPr>
        <a:xfrm>
          <a:off x="3402542" y="1185332"/>
          <a:ext cx="756617" cy="43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926BEEF-1D65-4368-9AA8-B276D4F7EEDC}" type="TxLink">
            <a:rPr lang="en-US" sz="2200" b="1" i="0" u="none" strike="noStrike">
              <a:solidFill>
                <a:schemeClr val="bg1"/>
              </a:solidFill>
              <a:latin typeface="Calibri"/>
              <a:cs typeface="Calibri"/>
            </a:rPr>
            <a:pPr/>
            <a:t>1200</a:t>
          </a:fld>
          <a:endParaRPr lang="en-US" sz="2200" b="1">
            <a:solidFill>
              <a:schemeClr val="bg1"/>
            </a:solidFill>
          </a:endParaRPr>
        </a:p>
      </xdr:txBody>
    </xdr:sp>
    <xdr:clientData/>
  </xdr:oneCellAnchor>
  <xdr:twoCellAnchor>
    <xdr:from>
      <xdr:col>6</xdr:col>
      <xdr:colOff>596387</xdr:colOff>
      <xdr:row>4</xdr:row>
      <xdr:rowOff>166122</xdr:rowOff>
    </xdr:from>
    <xdr:to>
      <xdr:col>10</xdr:col>
      <xdr:colOff>225521</xdr:colOff>
      <xdr:row>8</xdr:row>
      <xdr:rowOff>129835</xdr:rowOff>
    </xdr:to>
    <xdr:sp macro="" textlink="">
      <xdr:nvSpPr>
        <xdr:cNvPr id="28" name="Rectangle: Rounded Corners 27">
          <a:extLst>
            <a:ext uri="{FF2B5EF4-FFF2-40B4-BE49-F238E27FC236}">
              <a16:creationId xmlns:a16="http://schemas.microsoft.com/office/drawing/2014/main" id="{1E7EB02F-5F0B-42D5-84EA-4BDFD7DE4126}"/>
            </a:ext>
          </a:extLst>
        </xdr:cNvPr>
        <xdr:cNvSpPr/>
      </xdr:nvSpPr>
      <xdr:spPr>
        <a:xfrm>
          <a:off x="4515244" y="928122"/>
          <a:ext cx="2078420" cy="725713"/>
        </a:xfrm>
        <a:prstGeom prst="round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oneCellAnchor>
    <xdr:from>
      <xdr:col>8</xdr:col>
      <xdr:colOff>195591</xdr:colOff>
      <xdr:row>4</xdr:row>
      <xdr:rowOff>158750</xdr:rowOff>
    </xdr:from>
    <xdr:ext cx="1236685" cy="374141"/>
    <xdr:sp macro="" textlink="">
      <xdr:nvSpPr>
        <xdr:cNvPr id="29" name="TextBox 28">
          <a:extLst>
            <a:ext uri="{FF2B5EF4-FFF2-40B4-BE49-F238E27FC236}">
              <a16:creationId xmlns:a16="http://schemas.microsoft.com/office/drawing/2014/main" id="{13C0BDFA-EE12-419F-B227-D41AD6CD26FF}"/>
            </a:ext>
          </a:extLst>
        </xdr:cNvPr>
        <xdr:cNvSpPr txBox="1"/>
      </xdr:nvSpPr>
      <xdr:spPr>
        <a:xfrm>
          <a:off x="5303372" y="920750"/>
          <a:ext cx="123668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lang="en-US" sz="1400" b="1">
              <a:solidFill>
                <a:schemeClr val="bg1"/>
              </a:solidFill>
            </a:rPr>
            <a:t>Total</a:t>
          </a:r>
          <a:r>
            <a:rPr lang="en-US" sz="1800" b="1">
              <a:solidFill>
                <a:schemeClr val="bg1"/>
              </a:solidFill>
            </a:rPr>
            <a:t> </a:t>
          </a:r>
          <a:r>
            <a:rPr lang="en-US" sz="1400" b="1">
              <a:solidFill>
                <a:schemeClr val="bg1"/>
              </a:solidFill>
            </a:rPr>
            <a:t>Net Sale</a:t>
          </a:r>
          <a:endParaRPr lang="en-US" sz="1800" b="1">
            <a:solidFill>
              <a:schemeClr val="bg1"/>
            </a:solidFill>
          </a:endParaRPr>
        </a:p>
      </xdr:txBody>
    </xdr:sp>
    <xdr:clientData/>
  </xdr:oneCellAnchor>
  <xdr:oneCellAnchor>
    <xdr:from>
      <xdr:col>8</xdr:col>
      <xdr:colOff>274211</xdr:colOff>
      <xdr:row>6</xdr:row>
      <xdr:rowOff>33262</xdr:rowOff>
    </xdr:from>
    <xdr:ext cx="1185581" cy="436723"/>
    <xdr:sp macro="" textlink="E15">
      <xdr:nvSpPr>
        <xdr:cNvPr id="30" name="TextBox 29">
          <a:extLst>
            <a:ext uri="{FF2B5EF4-FFF2-40B4-BE49-F238E27FC236}">
              <a16:creationId xmlns:a16="http://schemas.microsoft.com/office/drawing/2014/main" id="{89F99289-E2D0-4054-88C4-35AA50ACA21B}"/>
            </a:ext>
          </a:extLst>
        </xdr:cNvPr>
        <xdr:cNvSpPr txBox="1"/>
      </xdr:nvSpPr>
      <xdr:spPr>
        <a:xfrm>
          <a:off x="5417711" y="1176262"/>
          <a:ext cx="1185581" cy="43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DA5D847-DB05-4E6D-92AC-E19B5045C891}" type="TxLink">
            <a:rPr lang="en-US" sz="2200" b="1" i="0" u="none" strike="noStrike">
              <a:solidFill>
                <a:schemeClr val="bg1"/>
              </a:solidFill>
              <a:latin typeface="Calibri"/>
              <a:cs typeface="Calibri"/>
            </a:rPr>
            <a:pPr/>
            <a:t>4224640</a:t>
          </a:fld>
          <a:endParaRPr lang="en-US" sz="2200" b="1">
            <a:solidFill>
              <a:schemeClr val="bg1"/>
            </a:solidFill>
          </a:endParaRPr>
        </a:p>
      </xdr:txBody>
    </xdr:sp>
    <xdr:clientData/>
  </xdr:oneCellAnchor>
  <xdr:twoCellAnchor>
    <xdr:from>
      <xdr:col>10</xdr:col>
      <xdr:colOff>579685</xdr:colOff>
      <xdr:row>4</xdr:row>
      <xdr:rowOff>158449</xdr:rowOff>
    </xdr:from>
    <xdr:to>
      <xdr:col>14</xdr:col>
      <xdr:colOff>251368</xdr:colOff>
      <xdr:row>8</xdr:row>
      <xdr:rowOff>122162</xdr:rowOff>
    </xdr:to>
    <xdr:sp macro="" textlink="">
      <xdr:nvSpPr>
        <xdr:cNvPr id="31" name="Rectangle: Rounded Corners 30">
          <a:extLst>
            <a:ext uri="{FF2B5EF4-FFF2-40B4-BE49-F238E27FC236}">
              <a16:creationId xmlns:a16="http://schemas.microsoft.com/office/drawing/2014/main" id="{69BFC926-5C9C-453F-8F5D-BEFFEAAC69BF}"/>
            </a:ext>
          </a:extLst>
        </xdr:cNvPr>
        <xdr:cNvSpPr/>
      </xdr:nvSpPr>
      <xdr:spPr>
        <a:xfrm>
          <a:off x="6901904" y="920449"/>
          <a:ext cx="2100558" cy="725713"/>
        </a:xfrm>
        <a:prstGeom prst="round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oneCellAnchor>
    <xdr:from>
      <xdr:col>12</xdr:col>
      <xdr:colOff>394298</xdr:colOff>
      <xdr:row>4</xdr:row>
      <xdr:rowOff>162983</xdr:rowOff>
    </xdr:from>
    <xdr:ext cx="1036246" cy="374141"/>
    <xdr:sp macro="" textlink="">
      <xdr:nvSpPr>
        <xdr:cNvPr id="32" name="TextBox 31">
          <a:extLst>
            <a:ext uri="{FF2B5EF4-FFF2-40B4-BE49-F238E27FC236}">
              <a16:creationId xmlns:a16="http://schemas.microsoft.com/office/drawing/2014/main" id="{322B6448-F7FC-43B5-B89C-47410DF56F56}"/>
            </a:ext>
          </a:extLst>
        </xdr:cNvPr>
        <xdr:cNvSpPr txBox="1"/>
      </xdr:nvSpPr>
      <xdr:spPr>
        <a:xfrm>
          <a:off x="7930954" y="924983"/>
          <a:ext cx="103624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Total</a:t>
          </a:r>
          <a:r>
            <a:rPr lang="en-US" sz="1800" b="1">
              <a:solidFill>
                <a:schemeClr val="bg1"/>
              </a:solidFill>
            </a:rPr>
            <a:t> </a:t>
          </a:r>
          <a:r>
            <a:rPr lang="en-US" sz="1400" b="1">
              <a:solidFill>
                <a:schemeClr val="bg1"/>
              </a:solidFill>
            </a:rPr>
            <a:t>Profit</a:t>
          </a:r>
          <a:endParaRPr lang="en-US" sz="1800" b="1">
            <a:solidFill>
              <a:schemeClr val="bg1"/>
            </a:solidFill>
          </a:endParaRPr>
        </a:p>
      </xdr:txBody>
    </xdr:sp>
    <xdr:clientData/>
  </xdr:oneCellAnchor>
  <xdr:oneCellAnchor>
    <xdr:from>
      <xdr:col>12</xdr:col>
      <xdr:colOff>289033</xdr:colOff>
      <xdr:row>6</xdr:row>
      <xdr:rowOff>48078</xdr:rowOff>
    </xdr:from>
    <xdr:ext cx="1185581" cy="436723"/>
    <xdr:sp macro="" textlink="D10">
      <xdr:nvSpPr>
        <xdr:cNvPr id="33" name="TextBox 32">
          <a:extLst>
            <a:ext uri="{FF2B5EF4-FFF2-40B4-BE49-F238E27FC236}">
              <a16:creationId xmlns:a16="http://schemas.microsoft.com/office/drawing/2014/main" id="{217801FE-C4D9-4280-AA2A-51C965E43E17}"/>
            </a:ext>
          </a:extLst>
        </xdr:cNvPr>
        <xdr:cNvSpPr txBox="1"/>
      </xdr:nvSpPr>
      <xdr:spPr>
        <a:xfrm>
          <a:off x="7825689" y="1191078"/>
          <a:ext cx="1185581" cy="43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0A5991E-654C-406C-B6EA-57B5F0D7372E}" type="TxLink">
            <a:rPr lang="en-US" sz="2200" b="1" i="0" u="none" strike="noStrike">
              <a:solidFill>
                <a:schemeClr val="bg1"/>
              </a:solidFill>
              <a:latin typeface="Calibri"/>
              <a:cs typeface="Calibri"/>
            </a:rPr>
            <a:pPr/>
            <a:t>1049433</a:t>
          </a:fld>
          <a:endParaRPr lang="en-US" sz="2200" b="1">
            <a:solidFill>
              <a:schemeClr val="bg1"/>
            </a:solidFill>
          </a:endParaRPr>
        </a:p>
      </xdr:txBody>
    </xdr:sp>
    <xdr:clientData/>
  </xdr:oneCellAnchor>
  <xdr:twoCellAnchor>
    <xdr:from>
      <xdr:col>15</xdr:col>
      <xdr:colOff>4487</xdr:colOff>
      <xdr:row>4</xdr:row>
      <xdr:rowOff>162682</xdr:rowOff>
    </xdr:from>
    <xdr:to>
      <xdr:col>18</xdr:col>
      <xdr:colOff>440528</xdr:colOff>
      <xdr:row>8</xdr:row>
      <xdr:rowOff>126395</xdr:rowOff>
    </xdr:to>
    <xdr:sp macro="" textlink="">
      <xdr:nvSpPr>
        <xdr:cNvPr id="34" name="Rectangle: Rounded Corners 33">
          <a:extLst>
            <a:ext uri="{FF2B5EF4-FFF2-40B4-BE49-F238E27FC236}">
              <a16:creationId xmlns:a16="http://schemas.microsoft.com/office/drawing/2014/main" id="{D38A6AB1-83D0-4FD4-A1C3-6FE535D466E1}"/>
            </a:ext>
          </a:extLst>
        </xdr:cNvPr>
        <xdr:cNvSpPr/>
      </xdr:nvSpPr>
      <xdr:spPr>
        <a:xfrm>
          <a:off x="9434237" y="924682"/>
          <a:ext cx="2273005" cy="725713"/>
        </a:xfrm>
        <a:prstGeom prst="roundRect">
          <a:avLst/>
        </a:prstGeom>
        <a:ln/>
      </xdr:spPr>
      <xdr:style>
        <a:lnRef idx="0">
          <a:schemeClr val="dk1"/>
        </a:lnRef>
        <a:fillRef idx="3">
          <a:schemeClr val="dk1"/>
        </a:fillRef>
        <a:effectRef idx="3">
          <a:schemeClr val="dk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oneCellAnchor>
    <xdr:from>
      <xdr:col>16</xdr:col>
      <xdr:colOff>13553</xdr:colOff>
      <xdr:row>4</xdr:row>
      <xdr:rowOff>156633</xdr:rowOff>
    </xdr:from>
    <xdr:ext cx="1611788" cy="374141"/>
    <xdr:sp macro="" textlink="">
      <xdr:nvSpPr>
        <xdr:cNvPr id="35" name="TextBox 34">
          <a:extLst>
            <a:ext uri="{FF2B5EF4-FFF2-40B4-BE49-F238E27FC236}">
              <a16:creationId xmlns:a16="http://schemas.microsoft.com/office/drawing/2014/main" id="{85F373B2-9DBB-40AB-AA60-25B3A9BBF128}"/>
            </a:ext>
          </a:extLst>
        </xdr:cNvPr>
        <xdr:cNvSpPr txBox="1"/>
      </xdr:nvSpPr>
      <xdr:spPr>
        <a:xfrm>
          <a:off x="9979084" y="918633"/>
          <a:ext cx="161178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Total</a:t>
          </a:r>
          <a:r>
            <a:rPr lang="en-US" sz="1800" b="1">
              <a:solidFill>
                <a:schemeClr val="bg1"/>
              </a:solidFill>
            </a:rPr>
            <a:t> </a:t>
          </a:r>
          <a:r>
            <a:rPr lang="en-US" sz="1400" b="1">
              <a:solidFill>
                <a:schemeClr val="bg1"/>
              </a:solidFill>
            </a:rPr>
            <a:t>Profit Margin</a:t>
          </a:r>
          <a:endParaRPr lang="en-US" sz="1800" b="1">
            <a:solidFill>
              <a:schemeClr val="bg1"/>
            </a:solidFill>
          </a:endParaRPr>
        </a:p>
      </xdr:txBody>
    </xdr:sp>
    <xdr:clientData/>
  </xdr:oneCellAnchor>
  <xdr:oneCellAnchor>
    <xdr:from>
      <xdr:col>16</xdr:col>
      <xdr:colOff>328975</xdr:colOff>
      <xdr:row>6</xdr:row>
      <xdr:rowOff>41728</xdr:rowOff>
    </xdr:from>
    <xdr:ext cx="1323632" cy="436723"/>
    <xdr:sp macro="" textlink="D11">
      <xdr:nvSpPr>
        <xdr:cNvPr id="36" name="TextBox 35">
          <a:extLst>
            <a:ext uri="{FF2B5EF4-FFF2-40B4-BE49-F238E27FC236}">
              <a16:creationId xmlns:a16="http://schemas.microsoft.com/office/drawing/2014/main" id="{AAB584A1-4339-4F1D-B01A-335E83C0AC11}"/>
            </a:ext>
          </a:extLst>
        </xdr:cNvPr>
        <xdr:cNvSpPr txBox="1"/>
      </xdr:nvSpPr>
      <xdr:spPr>
        <a:xfrm>
          <a:off x="10294506" y="1184728"/>
          <a:ext cx="1323632" cy="43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DC3D991-B7D4-419C-AFAF-5ACAB360F2C5}" type="TxLink">
            <a:rPr lang="en-US" sz="2200" b="1" i="0" u="none" strike="noStrike">
              <a:solidFill>
                <a:schemeClr val="bg1"/>
              </a:solidFill>
              <a:latin typeface="Calibri"/>
              <a:cs typeface="Calibri"/>
            </a:rPr>
            <a:pPr/>
            <a:t>31458.3%</a:t>
          </a:fld>
          <a:endParaRPr lang="en-US" sz="2200" b="1">
            <a:solidFill>
              <a:schemeClr val="bg1"/>
            </a:solidFill>
          </a:endParaRPr>
        </a:p>
      </xdr:txBody>
    </xdr:sp>
    <xdr:clientData/>
  </xdr:oneCellAnchor>
  <xdr:twoCellAnchor editAs="oneCell">
    <xdr:from>
      <xdr:col>7</xdr:col>
      <xdr:colOff>68035</xdr:colOff>
      <xdr:row>5</xdr:row>
      <xdr:rowOff>54430</xdr:rowOff>
    </xdr:from>
    <xdr:to>
      <xdr:col>8</xdr:col>
      <xdr:colOff>111577</xdr:colOff>
      <xdr:row>8</xdr:row>
      <xdr:rowOff>138793</xdr:rowOff>
    </xdr:to>
    <xdr:pic>
      <xdr:nvPicPr>
        <xdr:cNvPr id="47" name="Graphic 46" descr="Money with solid fill">
          <a:extLst>
            <a:ext uri="{FF2B5EF4-FFF2-40B4-BE49-F238E27FC236}">
              <a16:creationId xmlns:a16="http://schemas.microsoft.com/office/drawing/2014/main" id="{2A978601-685D-05F7-CE23-1D09000F0B8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599214" y="1006930"/>
          <a:ext cx="655863" cy="655863"/>
        </a:xfrm>
        <a:prstGeom prst="rect">
          <a:avLst/>
        </a:prstGeom>
      </xdr:spPr>
    </xdr:pic>
    <xdr:clientData/>
  </xdr:twoCellAnchor>
  <xdr:twoCellAnchor editAs="oneCell">
    <xdr:from>
      <xdr:col>11</xdr:col>
      <xdr:colOff>40822</xdr:colOff>
      <xdr:row>5</xdr:row>
      <xdr:rowOff>95249</xdr:rowOff>
    </xdr:from>
    <xdr:to>
      <xdr:col>12</xdr:col>
      <xdr:colOff>3043</xdr:colOff>
      <xdr:row>8</xdr:row>
      <xdr:rowOff>98292</xdr:rowOff>
    </xdr:to>
    <xdr:pic>
      <xdr:nvPicPr>
        <xdr:cNvPr id="49" name="Graphic 48" descr="Bar graph with upward trend with solid fill">
          <a:extLst>
            <a:ext uri="{FF2B5EF4-FFF2-40B4-BE49-F238E27FC236}">
              <a16:creationId xmlns:a16="http://schemas.microsoft.com/office/drawing/2014/main" id="{46790B32-0A47-E1FB-C928-9B69D4095F9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21286" y="1047749"/>
          <a:ext cx="574543" cy="574543"/>
        </a:xfrm>
        <a:prstGeom prst="rect">
          <a:avLst/>
        </a:prstGeom>
      </xdr:spPr>
    </xdr:pic>
    <xdr:clientData/>
  </xdr:twoCellAnchor>
  <xdr:twoCellAnchor editAs="oneCell">
    <xdr:from>
      <xdr:col>15</xdr:col>
      <xdr:colOff>1</xdr:colOff>
      <xdr:row>5</xdr:row>
      <xdr:rowOff>136070</xdr:rowOff>
    </xdr:from>
    <xdr:to>
      <xdr:col>15</xdr:col>
      <xdr:colOff>547008</xdr:colOff>
      <xdr:row>8</xdr:row>
      <xdr:rowOff>111577</xdr:rowOff>
    </xdr:to>
    <xdr:pic>
      <xdr:nvPicPr>
        <xdr:cNvPr id="51" name="Graphic 50" descr="Rupee with solid fill">
          <a:extLst>
            <a:ext uri="{FF2B5EF4-FFF2-40B4-BE49-F238E27FC236}">
              <a16:creationId xmlns:a16="http://schemas.microsoft.com/office/drawing/2014/main" id="{9C3B65FA-3392-71EC-AFB0-D648C1E4D27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429751" y="1088570"/>
          <a:ext cx="547007" cy="547007"/>
        </a:xfrm>
        <a:prstGeom prst="rect">
          <a:avLst/>
        </a:prstGeom>
      </xdr:spPr>
    </xdr:pic>
    <xdr:clientData/>
  </xdr:twoCellAnchor>
  <xdr:twoCellAnchor editAs="oneCell">
    <xdr:from>
      <xdr:col>3</xdr:col>
      <xdr:colOff>353785</xdr:colOff>
      <xdr:row>5</xdr:row>
      <xdr:rowOff>68034</xdr:rowOff>
    </xdr:from>
    <xdr:to>
      <xdr:col>4</xdr:col>
      <xdr:colOff>193221</xdr:colOff>
      <xdr:row>8</xdr:row>
      <xdr:rowOff>111577</xdr:rowOff>
    </xdr:to>
    <xdr:pic>
      <xdr:nvPicPr>
        <xdr:cNvPr id="53" name="Graphic 52" descr="Shopping cart with solid fill">
          <a:extLst>
            <a:ext uri="{FF2B5EF4-FFF2-40B4-BE49-F238E27FC236}">
              <a16:creationId xmlns:a16="http://schemas.microsoft.com/office/drawing/2014/main" id="{98AA69CD-F2E7-E1B4-EDB8-F3CF261655C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190749" y="1020534"/>
          <a:ext cx="615043" cy="615043"/>
        </a:xfrm>
        <a:prstGeom prst="rect">
          <a:avLst/>
        </a:prstGeom>
      </xdr:spPr>
    </xdr:pic>
    <xdr:clientData/>
  </xdr:twoCellAnchor>
  <xdr:twoCellAnchor editAs="oneCell">
    <xdr:from>
      <xdr:col>3</xdr:col>
      <xdr:colOff>353785</xdr:colOff>
      <xdr:row>0</xdr:row>
      <xdr:rowOff>81643</xdr:rowOff>
    </xdr:from>
    <xdr:to>
      <xdr:col>4</xdr:col>
      <xdr:colOff>370113</xdr:colOff>
      <xdr:row>4</xdr:row>
      <xdr:rowOff>111578</xdr:rowOff>
    </xdr:to>
    <xdr:pic>
      <xdr:nvPicPr>
        <xdr:cNvPr id="55" name="Graphic 54" descr="Connections with solid fill">
          <a:extLst>
            <a:ext uri="{FF2B5EF4-FFF2-40B4-BE49-F238E27FC236}">
              <a16:creationId xmlns:a16="http://schemas.microsoft.com/office/drawing/2014/main" id="{8AF5CD5A-D67B-2ABA-C4AA-BE6D5A631C6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90749" y="81643"/>
          <a:ext cx="791935" cy="7919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2.793789814816" createdVersion="8" refreshedVersion="8" minRefreshableVersion="3" recordCount="1200" xr:uid="{FC8034F0-CF5F-4651-8D01-B4FD9D5367DF}">
  <cacheSource type="worksheet">
    <worksheetSource name="Table1_1"/>
  </cacheSource>
  <cacheFields count="23">
    <cacheField name="Order_ID" numFmtId="0">
      <sharedItems/>
    </cacheField>
    <cacheField name="Customer_ID" numFmtId="0">
      <sharedItems/>
    </cacheField>
    <cacheField name="Order_Date" numFmtId="14">
      <sharedItems containsSemiMixedTypes="0" containsNonDate="0" containsDate="1" containsString="0" minDate="2025-01-01T00:00:00" maxDate="2026-01-01T00:00:00"/>
    </cacheField>
    <cacheField name="Product_ID" numFmtId="0">
      <sharedItems/>
    </cacheField>
    <cacheField name="Product_Name" numFmtId="0">
      <sharedItems/>
    </cacheField>
    <cacheField name="Category" numFmtId="0">
      <sharedItems containsBlank="1" count="6">
        <s v="Stationery"/>
        <s v="Electronics"/>
        <s v="Home &amp; Kitchen"/>
        <s v="Furniture"/>
        <s v="Fashion"/>
        <m u="1"/>
      </sharedItems>
    </cacheField>
    <cacheField name="Sub_Category" numFmtId="0">
      <sharedItems containsBlank="1" count="10">
        <s v="Office"/>
        <s v="Accessories"/>
        <s v="Home Decor"/>
        <s v="Kitchen"/>
        <s v="Wearables"/>
        <s v="Bags"/>
        <s v="Audio"/>
        <s v="Footwear"/>
        <s v="Clothing"/>
        <m u="1"/>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249" maxValue="6499"/>
    </cacheField>
    <cacheField name="Discount_%" numFmtId="0">
      <sharedItems containsSemiMixedTypes="0" containsString="0" containsNumber="1" minValue="0" maxValue="0.2"/>
    </cacheField>
    <cacheField name="Shipping_Cost" numFmtId="0">
      <sharedItems containsSemiMixedTypes="0" containsString="0" containsNumber="1" containsInteger="1" minValue="0" maxValue="99"/>
    </cacheField>
    <cacheField name="City" numFmtId="0">
      <sharedItems/>
    </cacheField>
    <cacheField name="State" numFmtId="0">
      <sharedItems containsBlank="1" count="10">
        <s v="Haryana"/>
        <s v="Delhi"/>
        <s v="Maharashtra"/>
        <s v="Karnataka"/>
        <s v="Tamil Nadu"/>
        <s v="Uttar Pradesh"/>
        <s v="Rajasthan"/>
        <s v="Telangana"/>
        <s v="West Bengal"/>
        <m u="1"/>
      </sharedItems>
    </cacheField>
    <cacheField name="Sales_Channel" numFmtId="0">
      <sharedItems containsBlank="1" count="6">
        <s v="Website"/>
        <s v="Instagram"/>
        <s v="Amazon"/>
        <s v="Flipkart"/>
        <s v="Myntra"/>
        <m u="1"/>
      </sharedItems>
    </cacheField>
    <cacheField name="Payment_Method" numFmtId="0">
      <sharedItems containsBlank="1" count="6">
        <s v="Net Banking"/>
        <s v="Credit Card"/>
        <s v="Debit Card"/>
        <s v="Cash on Delivery"/>
        <s v="UPI"/>
        <m u="1"/>
      </sharedItems>
    </cacheField>
    <cacheField name="Order_Status" numFmtId="0">
      <sharedItems containsBlank="1" count="5">
        <s v="Delivered"/>
        <s v="Shipped"/>
        <s v="Returned"/>
        <s v="Cancelled"/>
        <m u="1"/>
      </sharedItems>
    </cacheField>
    <cacheField name="Customer_Rating" numFmtId="0">
      <sharedItems containsSemiMixedTypes="0" containsString="0" containsNumber="1" containsInteger="1" minValue="1" maxValue="5"/>
    </cacheField>
    <cacheField name="Gross_Sales" numFmtId="0">
      <sharedItems containsSemiMixedTypes="0" containsString="0" containsNumber="1" containsInteger="1" minValue="249" maxValue="32495"/>
    </cacheField>
    <cacheField name="Discount_amount" numFmtId="0">
      <sharedItems containsSemiMixedTypes="0" containsString="0" containsNumber="1" minValue="0" maxValue="5199.2000000000007"/>
    </cacheField>
    <cacheField name="Net_Sale" numFmtId="0">
      <sharedItems containsSemiMixedTypes="0" containsString="0" containsNumber="1" minValue="199.2" maxValue="30969.25"/>
    </cacheField>
    <cacheField name="Profit" numFmtId="0">
      <sharedItems containsSemiMixedTypes="0" containsString="0" containsNumber="1" minValue="24.900000000000006" maxValue="8222.75"/>
    </cacheField>
    <cacheField name="Profit_Margin" numFmtId="166">
      <sharedItems containsSemiMixedTypes="0" containsString="0" containsNumber="1" minValue="0.125" maxValue="0.49913793103448278"/>
    </cacheField>
    <cacheField name="Month" numFmtId="0">
      <sharedItems count="12">
        <s v="May"/>
        <s v="Apr"/>
        <s v="Jan"/>
        <s v="Jun"/>
        <s v="Nov"/>
        <s v="Aug"/>
        <s v="Mar"/>
        <s v="Sep"/>
        <s v="Oct"/>
        <s v="Feb"/>
        <s v="Jul"/>
        <s v="Dec"/>
      </sharedItems>
    </cacheField>
  </cacheFields>
  <extLst>
    <ext xmlns:x14="http://schemas.microsoft.com/office/spreadsheetml/2009/9/main" uri="{725AE2AE-9491-48be-B2B4-4EB974FC3084}">
      <x14:pivotCacheDefinition pivotCacheId="461427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10001"/>
    <s v="CUST1280"/>
    <d v="2025-05-21T00:00:00"/>
    <s v="P011"/>
    <s v="Notebook"/>
    <x v="0"/>
    <x v="0"/>
    <n v="1"/>
    <n v="249"/>
    <n v="0.2"/>
    <n v="0"/>
    <s v="Gurgaon"/>
    <x v="0"/>
    <x v="0"/>
    <x v="0"/>
    <x v="0"/>
    <n v="4"/>
    <n v="249"/>
    <n v="49.800000000000004"/>
    <n v="199.2"/>
    <n v="24.900000000000006"/>
    <n v="0.12500000000000003"/>
    <x v="0"/>
  </r>
  <r>
    <s v="ORD-10002"/>
    <s v="CUST1280"/>
    <d v="2025-04-30T00:00:00"/>
    <s v="P001"/>
    <s v="Wireless Mouse"/>
    <x v="1"/>
    <x v="1"/>
    <n v="1"/>
    <n v="599"/>
    <n v="0.15"/>
    <n v="49"/>
    <s v="Delhi"/>
    <x v="1"/>
    <x v="1"/>
    <x v="1"/>
    <x v="0"/>
    <n v="4"/>
    <n v="599"/>
    <n v="89.85"/>
    <n v="558.15"/>
    <n v="138.85000000000002"/>
    <n v="0.2487682522619368"/>
    <x v="1"/>
  </r>
  <r>
    <s v="ORD-10003"/>
    <s v="CUST1080"/>
    <d v="2025-01-04T00:00:00"/>
    <s v="P010"/>
    <s v="Desk Lamp"/>
    <x v="2"/>
    <x v="2"/>
    <n v="3"/>
    <n v="1199"/>
    <n v="0.05"/>
    <n v="59"/>
    <s v="Mumbai"/>
    <x v="2"/>
    <x v="2"/>
    <x v="2"/>
    <x v="1"/>
    <n v="1"/>
    <n v="3597"/>
    <n v="179.85000000000002"/>
    <n v="3476.15"/>
    <n v="958.25000000000045"/>
    <n v="0.27566416869237531"/>
    <x v="2"/>
  </r>
  <r>
    <s v="ORD-10004"/>
    <s v="CUST1275"/>
    <d v="2025-06-26T00:00:00"/>
    <s v="P002"/>
    <s v="Mechanical Keyboard"/>
    <x v="1"/>
    <x v="1"/>
    <n v="1"/>
    <n v="2499"/>
    <n v="0.2"/>
    <n v="79"/>
    <s v="Bengaluru"/>
    <x v="3"/>
    <x v="0"/>
    <x v="3"/>
    <x v="0"/>
    <n v="1"/>
    <n v="2499"/>
    <n v="499.8"/>
    <n v="2078.1999999999998"/>
    <n v="328.89999999999986"/>
    <n v="0.15826195746318925"/>
    <x v="3"/>
  </r>
  <r>
    <s v="ORD-10005"/>
    <s v="CUST1024"/>
    <d v="2025-11-13T00:00:00"/>
    <s v="P009"/>
    <s v="Water Bottle"/>
    <x v="2"/>
    <x v="3"/>
    <n v="3"/>
    <n v="699"/>
    <n v="0.2"/>
    <n v="0"/>
    <s v="Mumbai"/>
    <x v="2"/>
    <x v="2"/>
    <x v="2"/>
    <x v="0"/>
    <n v="1"/>
    <n v="2097"/>
    <n v="419.40000000000003"/>
    <n v="1677.6"/>
    <n v="209.70000000000005"/>
    <n v="0.12500000000000003"/>
    <x v="4"/>
  </r>
  <r>
    <s v="ORD-10006"/>
    <s v="CUST1182"/>
    <d v="2025-08-21T00:00:00"/>
    <s v="P004"/>
    <s v="USB-C Hub"/>
    <x v="1"/>
    <x v="1"/>
    <n v="1"/>
    <n v="2017"/>
    <n v="0"/>
    <n v="59"/>
    <s v="Gurgaon"/>
    <x v="0"/>
    <x v="2"/>
    <x v="2"/>
    <x v="0"/>
    <n v="3"/>
    <n v="2017"/>
    <n v="0"/>
    <n v="2076"/>
    <n v="664.10000000000014"/>
    <n v="0.31989402697495189"/>
    <x v="5"/>
  </r>
  <r>
    <s v="ORD-10007"/>
    <s v="CUST1195"/>
    <d v="2025-03-29T00:00:00"/>
    <s v="P011"/>
    <s v="Notebook"/>
    <x v="0"/>
    <x v="0"/>
    <n v="2"/>
    <n v="249"/>
    <n v="0"/>
    <n v="79"/>
    <s v="Gurgaon"/>
    <x v="0"/>
    <x v="3"/>
    <x v="0"/>
    <x v="0"/>
    <n v="2"/>
    <n v="498"/>
    <n v="0"/>
    <n v="577"/>
    <n v="228.40000000000003"/>
    <n v="0.39584055459272105"/>
    <x v="6"/>
  </r>
  <r>
    <s v="ORD-10008"/>
    <s v="CUST1138"/>
    <d v="2025-01-29T00:00:00"/>
    <s v="P011"/>
    <s v="Notebook"/>
    <x v="0"/>
    <x v="0"/>
    <n v="3"/>
    <n v="249"/>
    <n v="0.05"/>
    <n v="79"/>
    <s v="Pune"/>
    <x v="2"/>
    <x v="0"/>
    <x v="1"/>
    <x v="0"/>
    <n v="5"/>
    <n v="747"/>
    <n v="37.35"/>
    <n v="788.65"/>
    <n v="265.75"/>
    <n v="0.33696823686045774"/>
    <x v="2"/>
  </r>
  <r>
    <s v="ORD-10009"/>
    <s v="CUST1136"/>
    <d v="2025-09-13T00:00:00"/>
    <s v="P012"/>
    <s v="Office Chair"/>
    <x v="3"/>
    <x v="0"/>
    <n v="1"/>
    <n v="6499"/>
    <n v="0.1"/>
    <n v="49"/>
    <s v="Pune"/>
    <x v="2"/>
    <x v="2"/>
    <x v="1"/>
    <x v="2"/>
    <n v="3"/>
    <n v="6499"/>
    <n v="649.90000000000009"/>
    <n v="5898.1"/>
    <n v="1348.8000000000011"/>
    <n v="0.2286838134314442"/>
    <x v="7"/>
  </r>
  <r>
    <s v="ORD-10010"/>
    <s v="CUST1113"/>
    <d v="2025-10-27T00:00:00"/>
    <s v="P009"/>
    <s v="Water Bottle"/>
    <x v="2"/>
    <x v="3"/>
    <n v="1"/>
    <n v="699"/>
    <n v="0.1"/>
    <n v="59"/>
    <s v="Chennai"/>
    <x v="4"/>
    <x v="2"/>
    <x v="0"/>
    <x v="3"/>
    <n v="4"/>
    <n v="699"/>
    <n v="69.900000000000006"/>
    <n v="688.1"/>
    <n v="198.80000000000007"/>
    <n v="0.28891149542217709"/>
    <x v="8"/>
  </r>
  <r>
    <s v="ORD-10011"/>
    <s v="CUST1033"/>
    <d v="2025-03-20T00:00:00"/>
    <s v="P002"/>
    <s v="Mechanical Keyboard"/>
    <x v="1"/>
    <x v="1"/>
    <n v="3"/>
    <n v="2499"/>
    <n v="0.1"/>
    <n v="99"/>
    <s v="Delhi"/>
    <x v="1"/>
    <x v="1"/>
    <x v="3"/>
    <x v="2"/>
    <n v="5"/>
    <n v="7497"/>
    <n v="749.7"/>
    <n v="6846.3"/>
    <n v="1598.4000000000005"/>
    <n v="0.23346917313001189"/>
    <x v="6"/>
  </r>
  <r>
    <s v="ORD-10012"/>
    <s v="CUST1137"/>
    <d v="2025-10-11T00:00:00"/>
    <s v="P008"/>
    <s v="Smart Watch"/>
    <x v="1"/>
    <x v="4"/>
    <n v="1"/>
    <n v="3499"/>
    <n v="0"/>
    <n v="99"/>
    <s v="Chennai"/>
    <x v="4"/>
    <x v="3"/>
    <x v="4"/>
    <x v="2"/>
    <n v="3"/>
    <n v="3499"/>
    <n v="0"/>
    <n v="3598"/>
    <n v="1148.7000000000003"/>
    <n v="0.31926070038910515"/>
    <x v="8"/>
  </r>
  <r>
    <s v="ORD-10013"/>
    <s v="CUST1153"/>
    <d v="2025-05-15T00:00:00"/>
    <s v="P007"/>
    <s v="Backpack"/>
    <x v="4"/>
    <x v="5"/>
    <n v="2"/>
    <n v="1499"/>
    <n v="0.15"/>
    <n v="0"/>
    <s v="Noida"/>
    <x v="5"/>
    <x v="4"/>
    <x v="0"/>
    <x v="0"/>
    <n v="2"/>
    <n v="2998"/>
    <n v="449.7"/>
    <n v="2548.3000000000002"/>
    <n v="449.70000000000027"/>
    <n v="0.17647058823529421"/>
    <x v="0"/>
  </r>
  <r>
    <s v="ORD-10014"/>
    <s v="CUST1251"/>
    <d v="2025-10-04T00:00:00"/>
    <s v="P003"/>
    <s v="Bluetooth Speaker"/>
    <x v="1"/>
    <x v="6"/>
    <n v="3"/>
    <n v="1799"/>
    <n v="0.15"/>
    <n v="59"/>
    <s v="Pune"/>
    <x v="2"/>
    <x v="0"/>
    <x v="4"/>
    <x v="0"/>
    <n v="3"/>
    <n v="5397"/>
    <n v="809.55"/>
    <n v="4646.45"/>
    <n v="868.55000000000018"/>
    <n v="0.18692765444586731"/>
    <x v="8"/>
  </r>
  <r>
    <s v="ORD-10015"/>
    <s v="CUST1273"/>
    <d v="2025-10-18T00:00:00"/>
    <s v="P005"/>
    <s v="Running Shoes"/>
    <x v="4"/>
    <x v="7"/>
    <n v="1"/>
    <n v="2999"/>
    <n v="0.1"/>
    <n v="0"/>
    <s v="Jaipur"/>
    <x v="6"/>
    <x v="2"/>
    <x v="1"/>
    <x v="2"/>
    <n v="3"/>
    <n v="2999"/>
    <n v="299.90000000000003"/>
    <n v="2699.1"/>
    <n v="599.80000000000018"/>
    <n v="0.22222222222222229"/>
    <x v="8"/>
  </r>
  <r>
    <s v="ORD-10016"/>
    <s v="CUST1160"/>
    <d v="2025-09-28T00:00:00"/>
    <s v="P008"/>
    <s v="Smart Watch"/>
    <x v="1"/>
    <x v="4"/>
    <n v="1"/>
    <n v="3499"/>
    <n v="0.15"/>
    <n v="49"/>
    <s v="Chennai"/>
    <x v="4"/>
    <x v="1"/>
    <x v="2"/>
    <x v="0"/>
    <n v="4"/>
    <n v="3499"/>
    <n v="524.85"/>
    <n v="3023.15"/>
    <n v="573.85000000000036"/>
    <n v="0.18981856672675862"/>
    <x v="7"/>
  </r>
  <r>
    <s v="ORD-10017"/>
    <s v="CUST1118"/>
    <d v="2025-04-26T00:00:00"/>
    <s v="P009"/>
    <s v="Water Bottle"/>
    <x v="2"/>
    <x v="3"/>
    <n v="1"/>
    <n v="699"/>
    <n v="0.15"/>
    <n v="99"/>
    <s v="Hyderabad"/>
    <x v="7"/>
    <x v="4"/>
    <x v="1"/>
    <x v="0"/>
    <n v="1"/>
    <n v="699"/>
    <n v="104.85"/>
    <n v="693.15"/>
    <n v="203.85000000000002"/>
    <n v="0.29409218783813029"/>
    <x v="1"/>
  </r>
  <r>
    <s v="ORD-10018"/>
    <s v="CUST1249"/>
    <d v="2025-01-17T00:00:00"/>
    <s v="P002"/>
    <s v="Mechanical Keyboard"/>
    <x v="1"/>
    <x v="1"/>
    <n v="1"/>
    <n v="2499"/>
    <n v="0"/>
    <n v="59"/>
    <s v="Delhi"/>
    <x v="1"/>
    <x v="2"/>
    <x v="0"/>
    <x v="3"/>
    <n v="2"/>
    <n v="2499"/>
    <n v="0"/>
    <n v="2558"/>
    <n v="808.7"/>
    <n v="0.3161454261141517"/>
    <x v="2"/>
  </r>
  <r>
    <s v="ORD-10019"/>
    <s v="CUST1050"/>
    <d v="2025-05-05T00:00:00"/>
    <s v="P012"/>
    <s v="Office Chair"/>
    <x v="3"/>
    <x v="0"/>
    <n v="2"/>
    <n v="6499"/>
    <n v="0"/>
    <n v="0"/>
    <s v="Kolkata"/>
    <x v="8"/>
    <x v="1"/>
    <x v="2"/>
    <x v="1"/>
    <n v="4"/>
    <n v="12998"/>
    <n v="0"/>
    <n v="12998"/>
    <n v="3899.4000000000015"/>
    <n v="0.3000000000000001"/>
    <x v="0"/>
  </r>
  <r>
    <s v="ORD-10020"/>
    <s v="CUST1207"/>
    <d v="2025-01-28T00:00:00"/>
    <s v="P007"/>
    <s v="Backpack"/>
    <x v="4"/>
    <x v="5"/>
    <n v="3"/>
    <n v="1499"/>
    <n v="0"/>
    <n v="0"/>
    <s v="Hyderabad"/>
    <x v="7"/>
    <x v="3"/>
    <x v="4"/>
    <x v="2"/>
    <n v="2"/>
    <n v="4497"/>
    <n v="0"/>
    <n v="4497"/>
    <n v="1349.1000000000004"/>
    <n v="0.3000000000000001"/>
    <x v="2"/>
  </r>
  <r>
    <s v="ORD-10021"/>
    <s v="CUST1039"/>
    <d v="2025-03-13T00:00:00"/>
    <s v="P004"/>
    <s v="USB-C Hub"/>
    <x v="1"/>
    <x v="1"/>
    <n v="2"/>
    <n v="1299"/>
    <n v="0.1"/>
    <n v="49"/>
    <s v="Jaipur"/>
    <x v="6"/>
    <x v="1"/>
    <x v="0"/>
    <x v="0"/>
    <n v="1"/>
    <n v="2598"/>
    <n v="259.8"/>
    <n v="2387.1999999999998"/>
    <n v="568.59999999999991"/>
    <n v="0.23818699731903484"/>
    <x v="6"/>
  </r>
  <r>
    <s v="ORD-10022"/>
    <s v="CUST1110"/>
    <d v="2025-02-17T00:00:00"/>
    <s v="P001"/>
    <s v="Wireless Mouse"/>
    <x v="1"/>
    <x v="1"/>
    <n v="3"/>
    <n v="599"/>
    <n v="0.1"/>
    <n v="79"/>
    <s v="Chennai"/>
    <x v="4"/>
    <x v="1"/>
    <x v="4"/>
    <x v="1"/>
    <n v="2"/>
    <n v="1797"/>
    <n v="179.70000000000002"/>
    <n v="1696.3"/>
    <n v="438.40000000000009"/>
    <n v="0.25844485055709493"/>
    <x v="9"/>
  </r>
  <r>
    <s v="ORD-10023"/>
    <s v="CUST1250"/>
    <d v="2025-05-16T00:00:00"/>
    <s v="P007"/>
    <s v="Backpack"/>
    <x v="4"/>
    <x v="5"/>
    <n v="5"/>
    <n v="1499"/>
    <n v="0.2"/>
    <n v="99"/>
    <s v="Delhi"/>
    <x v="1"/>
    <x v="2"/>
    <x v="1"/>
    <x v="1"/>
    <n v="3"/>
    <n v="7495"/>
    <n v="1499"/>
    <n v="6095"/>
    <n v="848.5"/>
    <n v="0.13921246923707958"/>
    <x v="0"/>
  </r>
  <r>
    <s v="ORD-10024"/>
    <s v="CUST1300"/>
    <d v="2025-10-05T00:00:00"/>
    <s v="P004"/>
    <s v="USB-C Hub"/>
    <x v="1"/>
    <x v="1"/>
    <n v="2"/>
    <n v="1299"/>
    <n v="0"/>
    <n v="0"/>
    <s v="Delhi"/>
    <x v="1"/>
    <x v="1"/>
    <x v="0"/>
    <x v="0"/>
    <n v="3"/>
    <n v="2598"/>
    <n v="0"/>
    <n v="2598"/>
    <n v="779.40000000000009"/>
    <n v="0.30000000000000004"/>
    <x v="8"/>
  </r>
  <r>
    <s v="ORD-10025"/>
    <s v="CUST1035"/>
    <d v="2025-09-18T00:00:00"/>
    <s v="P009"/>
    <s v="Water Bottle"/>
    <x v="2"/>
    <x v="3"/>
    <n v="1"/>
    <n v="699"/>
    <n v="0"/>
    <n v="99"/>
    <s v="Noida"/>
    <x v="5"/>
    <x v="2"/>
    <x v="3"/>
    <x v="0"/>
    <n v="1"/>
    <n v="699"/>
    <n v="0"/>
    <n v="798"/>
    <n v="308.70000000000005"/>
    <n v="0.38684210526315793"/>
    <x v="7"/>
  </r>
  <r>
    <s v="ORD-10026"/>
    <s v="CUST1290"/>
    <d v="2025-01-21T00:00:00"/>
    <s v="P010"/>
    <s v="Desk Lamp"/>
    <x v="2"/>
    <x v="2"/>
    <n v="2"/>
    <n v="1199"/>
    <n v="0.2"/>
    <n v="99"/>
    <s v="Jaipur"/>
    <x v="6"/>
    <x v="4"/>
    <x v="2"/>
    <x v="1"/>
    <n v="3"/>
    <n v="2398"/>
    <n v="479.6"/>
    <n v="2017.4"/>
    <n v="338.80000000000018"/>
    <n v="0.16793893129771001"/>
    <x v="2"/>
  </r>
  <r>
    <s v="ORD-10027"/>
    <s v="CUST1162"/>
    <d v="2025-07-22T00:00:00"/>
    <s v="P004"/>
    <s v="USB-C Hub"/>
    <x v="1"/>
    <x v="1"/>
    <n v="1"/>
    <n v="1299"/>
    <n v="0.05"/>
    <n v="79"/>
    <s v="Pune"/>
    <x v="2"/>
    <x v="0"/>
    <x v="4"/>
    <x v="2"/>
    <n v="4"/>
    <n v="1299"/>
    <n v="64.95"/>
    <n v="1313.05"/>
    <n v="403.75"/>
    <n v="0.30749019458512622"/>
    <x v="10"/>
  </r>
  <r>
    <s v="ORD-10028"/>
    <s v="CUST1179"/>
    <d v="2025-02-07T00:00:00"/>
    <s v="P010"/>
    <s v="Desk Lamp"/>
    <x v="2"/>
    <x v="2"/>
    <n v="5"/>
    <n v="1199"/>
    <n v="0.05"/>
    <n v="49"/>
    <s v="Kolkata"/>
    <x v="8"/>
    <x v="0"/>
    <x v="1"/>
    <x v="3"/>
    <n v="3"/>
    <n v="5995"/>
    <n v="299.75"/>
    <n v="5744.25"/>
    <n v="1547.75"/>
    <n v="0.26944335639987815"/>
    <x v="9"/>
  </r>
  <r>
    <s v="ORD-10029"/>
    <s v="CUST1005"/>
    <d v="2025-10-06T00:00:00"/>
    <s v="P005"/>
    <s v="Running Shoes"/>
    <x v="4"/>
    <x v="7"/>
    <n v="1"/>
    <n v="2999"/>
    <n v="0.2"/>
    <n v="99"/>
    <s v="Noida"/>
    <x v="5"/>
    <x v="4"/>
    <x v="2"/>
    <x v="3"/>
    <n v="3"/>
    <n v="2999"/>
    <n v="599.80000000000007"/>
    <n v="2498.1999999999998"/>
    <n v="398.90000000000009"/>
    <n v="0.1596749659755024"/>
    <x v="8"/>
  </r>
  <r>
    <s v="ORD-10030"/>
    <s v="CUST1108"/>
    <d v="2025-02-24T00:00:00"/>
    <s v="P002"/>
    <s v="Mechanical Keyboard"/>
    <x v="1"/>
    <x v="1"/>
    <n v="1"/>
    <n v="2499"/>
    <n v="0.05"/>
    <n v="59"/>
    <s v="Noida"/>
    <x v="5"/>
    <x v="3"/>
    <x v="1"/>
    <x v="0"/>
    <n v="3"/>
    <n v="2499"/>
    <n v="124.95"/>
    <n v="2433.0500000000002"/>
    <n v="683.75000000000023"/>
    <n v="0.28102587287560887"/>
    <x v="9"/>
  </r>
  <r>
    <s v="ORD-10031"/>
    <s v="CUST1023"/>
    <d v="2025-05-09T00:00:00"/>
    <s v="P011"/>
    <s v="Notebook"/>
    <x v="0"/>
    <x v="0"/>
    <n v="2"/>
    <n v="249"/>
    <n v="0.1"/>
    <n v="59"/>
    <s v="Mumbai"/>
    <x v="2"/>
    <x v="0"/>
    <x v="2"/>
    <x v="2"/>
    <n v="3"/>
    <n v="498"/>
    <n v="49.800000000000004"/>
    <n v="507.2"/>
    <n v="158.60000000000002"/>
    <n v="0.31269716088328081"/>
    <x v="0"/>
  </r>
  <r>
    <s v="ORD-10032"/>
    <s v="CUST1058"/>
    <d v="2025-08-15T00:00:00"/>
    <s v="P003"/>
    <s v="Bluetooth Speaker"/>
    <x v="1"/>
    <x v="6"/>
    <n v="1"/>
    <n v="1799"/>
    <n v="0.15"/>
    <n v="0"/>
    <s v="Mumbai"/>
    <x v="2"/>
    <x v="0"/>
    <x v="1"/>
    <x v="1"/>
    <n v="5"/>
    <n v="1799"/>
    <n v="269.84999999999997"/>
    <n v="1529.15"/>
    <n v="269.85000000000014"/>
    <n v="0.17647058823529418"/>
    <x v="5"/>
  </r>
  <r>
    <s v="ORD-10033"/>
    <s v="CUST1021"/>
    <d v="2025-03-17T00:00:00"/>
    <s v="P001"/>
    <s v="Wireless Mouse"/>
    <x v="1"/>
    <x v="1"/>
    <n v="2"/>
    <n v="599"/>
    <n v="0.05"/>
    <n v="59"/>
    <s v="Pune"/>
    <x v="2"/>
    <x v="3"/>
    <x v="1"/>
    <x v="0"/>
    <n v="3"/>
    <n v="1198"/>
    <n v="59.900000000000006"/>
    <n v="1197.0999999999999"/>
    <n v="358.5"/>
    <n v="0.29947372817642637"/>
    <x v="6"/>
  </r>
  <r>
    <s v="ORD-10034"/>
    <s v="CUST1084"/>
    <d v="2025-10-14T00:00:00"/>
    <s v="P004"/>
    <s v="USB-C Hub"/>
    <x v="1"/>
    <x v="1"/>
    <n v="1"/>
    <n v="1299"/>
    <n v="0"/>
    <n v="49"/>
    <s v="Gurgaon"/>
    <x v="0"/>
    <x v="2"/>
    <x v="3"/>
    <x v="2"/>
    <n v="1"/>
    <n v="1299"/>
    <n v="0"/>
    <n v="1348"/>
    <n v="438.70000000000005"/>
    <n v="0.32544510385756681"/>
    <x v="8"/>
  </r>
  <r>
    <s v="ORD-10035"/>
    <s v="CUST1082"/>
    <d v="2025-07-30T00:00:00"/>
    <s v="P003"/>
    <s v="Bluetooth Speaker"/>
    <x v="1"/>
    <x v="6"/>
    <n v="3"/>
    <n v="1799"/>
    <n v="0"/>
    <n v="59"/>
    <s v="Pune"/>
    <x v="2"/>
    <x v="0"/>
    <x v="3"/>
    <x v="2"/>
    <n v="3"/>
    <n v="5397"/>
    <n v="0"/>
    <n v="5456"/>
    <n v="1678.1000000000004"/>
    <n v="0.30756964809384169"/>
    <x v="10"/>
  </r>
  <r>
    <s v="ORD-10036"/>
    <s v="CUST1099"/>
    <d v="2025-08-24T00:00:00"/>
    <s v="P001"/>
    <s v="Wireless Mouse"/>
    <x v="1"/>
    <x v="1"/>
    <n v="1"/>
    <n v="599"/>
    <n v="0"/>
    <n v="0"/>
    <s v="Hyderabad"/>
    <x v="7"/>
    <x v="1"/>
    <x v="2"/>
    <x v="0"/>
    <n v="3"/>
    <n v="599"/>
    <n v="0"/>
    <n v="599"/>
    <n v="179.70000000000005"/>
    <n v="0.3000000000000001"/>
    <x v="5"/>
  </r>
  <r>
    <s v="ORD-10037"/>
    <s v="CUST1060"/>
    <d v="2025-09-18T00:00:00"/>
    <s v="P002"/>
    <s v="Mechanical Keyboard"/>
    <x v="1"/>
    <x v="1"/>
    <n v="1"/>
    <n v="2499"/>
    <n v="0.05"/>
    <n v="0"/>
    <s v="Mumbai"/>
    <x v="2"/>
    <x v="3"/>
    <x v="1"/>
    <x v="3"/>
    <n v="5"/>
    <n v="2499"/>
    <n v="124.95"/>
    <n v="2374.0500000000002"/>
    <n v="624.75000000000023"/>
    <n v="0.2631578947368422"/>
    <x v="7"/>
  </r>
  <r>
    <s v="ORD-10038"/>
    <s v="CUST1262"/>
    <d v="2025-08-11T00:00:00"/>
    <s v="P005"/>
    <s v="Running Shoes"/>
    <x v="4"/>
    <x v="7"/>
    <n v="1"/>
    <n v="2999"/>
    <n v="0.1"/>
    <n v="99"/>
    <s v="Delhi"/>
    <x v="1"/>
    <x v="0"/>
    <x v="3"/>
    <x v="0"/>
    <n v="5"/>
    <n v="2999"/>
    <n v="299.90000000000003"/>
    <n v="2798.1"/>
    <n v="698.80000000000018"/>
    <n v="0.24974089560773388"/>
    <x v="5"/>
  </r>
  <r>
    <s v="ORD-10039"/>
    <s v="CUST1187"/>
    <d v="2025-08-12T00:00:00"/>
    <s v="P004"/>
    <s v="USB-C Hub"/>
    <x v="1"/>
    <x v="1"/>
    <n v="1"/>
    <n v="1299"/>
    <n v="0.2"/>
    <n v="49"/>
    <s v="Mumbai"/>
    <x v="2"/>
    <x v="1"/>
    <x v="4"/>
    <x v="3"/>
    <n v="3"/>
    <n v="1299"/>
    <n v="259.8"/>
    <n v="1088.2"/>
    <n v="178.90000000000009"/>
    <n v="0.16439992648410226"/>
    <x v="5"/>
  </r>
  <r>
    <s v="ORD-10040"/>
    <s v="CUST1210"/>
    <d v="2025-03-05T00:00:00"/>
    <s v="P006"/>
    <s v="Cotton T-Shirt"/>
    <x v="4"/>
    <x v="8"/>
    <n v="1"/>
    <n v="799"/>
    <n v="0.15"/>
    <n v="59"/>
    <s v="Kolkata"/>
    <x v="8"/>
    <x v="3"/>
    <x v="3"/>
    <x v="0"/>
    <n v="3"/>
    <n v="799"/>
    <n v="119.85"/>
    <n v="738.15"/>
    <n v="178.85000000000002"/>
    <n v="0.24229492650545287"/>
    <x v="6"/>
  </r>
  <r>
    <s v="ORD-10041"/>
    <s v="CUST1292"/>
    <d v="2025-08-04T00:00:00"/>
    <s v="P005"/>
    <s v="Running Shoes"/>
    <x v="4"/>
    <x v="7"/>
    <n v="1"/>
    <n v="2999"/>
    <n v="0.2"/>
    <n v="49"/>
    <s v="Chennai"/>
    <x v="4"/>
    <x v="3"/>
    <x v="3"/>
    <x v="2"/>
    <n v="5"/>
    <n v="2999"/>
    <n v="599.80000000000007"/>
    <n v="2448.1999999999998"/>
    <n v="348.90000000000009"/>
    <n v="0.1425128665958664"/>
    <x v="5"/>
  </r>
  <r>
    <s v="ORD-10042"/>
    <s v="CUST1227"/>
    <d v="2025-08-09T00:00:00"/>
    <s v="P001"/>
    <s v="Wireless Mouse"/>
    <x v="1"/>
    <x v="1"/>
    <n v="1"/>
    <n v="599"/>
    <n v="0.05"/>
    <n v="79"/>
    <s v="Mumbai"/>
    <x v="2"/>
    <x v="1"/>
    <x v="1"/>
    <x v="2"/>
    <n v="5"/>
    <n v="599"/>
    <n v="29.950000000000003"/>
    <n v="648.04999999999995"/>
    <n v="228.75"/>
    <n v="0.35298202299205311"/>
    <x v="5"/>
  </r>
  <r>
    <s v="ORD-10043"/>
    <s v="CUST1048"/>
    <d v="2025-05-26T00:00:00"/>
    <s v="P008"/>
    <s v="Smart Watch"/>
    <x v="1"/>
    <x v="4"/>
    <n v="2"/>
    <n v="3499"/>
    <n v="0.15"/>
    <n v="59"/>
    <s v="Noida"/>
    <x v="5"/>
    <x v="2"/>
    <x v="2"/>
    <x v="2"/>
    <n v="2"/>
    <n v="6998"/>
    <n v="1049.7"/>
    <n v="6007.3"/>
    <n v="1108.7000000000007"/>
    <n v="0.18455878680938204"/>
    <x v="0"/>
  </r>
  <r>
    <s v="ORD-10044"/>
    <s v="CUST1295"/>
    <d v="2025-05-06T00:00:00"/>
    <s v="P004"/>
    <s v="USB-C Hub"/>
    <x v="1"/>
    <x v="1"/>
    <n v="1"/>
    <n v="1299"/>
    <n v="0.1"/>
    <n v="79"/>
    <s v="Noida"/>
    <x v="5"/>
    <x v="2"/>
    <x v="3"/>
    <x v="0"/>
    <n v="4"/>
    <n v="1299"/>
    <n v="129.9"/>
    <n v="1248.0999999999999"/>
    <n v="338.79999999999995"/>
    <n v="0.27145260796410542"/>
    <x v="0"/>
  </r>
  <r>
    <s v="ORD-10045"/>
    <s v="CUST1091"/>
    <d v="2025-12-19T00:00:00"/>
    <s v="P007"/>
    <s v="Backpack"/>
    <x v="4"/>
    <x v="5"/>
    <n v="1"/>
    <n v="1499"/>
    <n v="0.1"/>
    <n v="49"/>
    <s v="Jaipur"/>
    <x v="6"/>
    <x v="4"/>
    <x v="3"/>
    <x v="0"/>
    <n v="1"/>
    <n v="1499"/>
    <n v="149.9"/>
    <n v="1398.1"/>
    <n v="348.79999999999995"/>
    <n v="0.24948143909591586"/>
    <x v="11"/>
  </r>
  <r>
    <s v="ORD-10046"/>
    <s v="CUST1287"/>
    <d v="2025-03-04T00:00:00"/>
    <s v="P009"/>
    <s v="Water Bottle"/>
    <x v="2"/>
    <x v="3"/>
    <n v="4"/>
    <n v="699"/>
    <n v="0.2"/>
    <n v="99"/>
    <s v="Jaipur"/>
    <x v="6"/>
    <x v="4"/>
    <x v="2"/>
    <x v="1"/>
    <n v="3"/>
    <n v="2796"/>
    <n v="559.20000000000005"/>
    <n v="2335.8000000000002"/>
    <n v="378.60000000000036"/>
    <n v="0.16208579501669679"/>
    <x v="6"/>
  </r>
  <r>
    <s v="ORD-10047"/>
    <s v="CUST1244"/>
    <d v="2025-09-16T00:00:00"/>
    <s v="P008"/>
    <s v="Smart Watch"/>
    <x v="1"/>
    <x v="4"/>
    <n v="3"/>
    <n v="3499"/>
    <n v="0.1"/>
    <n v="49"/>
    <s v="Kolkata"/>
    <x v="8"/>
    <x v="1"/>
    <x v="2"/>
    <x v="3"/>
    <n v="3"/>
    <n v="10497"/>
    <n v="1049.7"/>
    <n v="9496.2999999999993"/>
    <n v="2148.3999999999996"/>
    <n v="0.22623548118740983"/>
    <x v="7"/>
  </r>
  <r>
    <s v="ORD-10048"/>
    <s v="CUST1040"/>
    <d v="2025-09-24T00:00:00"/>
    <s v="P004"/>
    <s v="USB-C Hub"/>
    <x v="1"/>
    <x v="1"/>
    <n v="3"/>
    <n v="1299"/>
    <n v="0.05"/>
    <n v="79"/>
    <s v="Mumbai"/>
    <x v="2"/>
    <x v="3"/>
    <x v="1"/>
    <x v="0"/>
    <n v="3"/>
    <n v="3897"/>
    <n v="194.85000000000002"/>
    <n v="3781.15"/>
    <n v="1053.2500000000005"/>
    <n v="0.27855282123163599"/>
    <x v="7"/>
  </r>
  <r>
    <s v="ORD-10049"/>
    <s v="CUST1110"/>
    <d v="2025-02-11T00:00:00"/>
    <s v="P006"/>
    <s v="Cotton T-Shirt"/>
    <x v="4"/>
    <x v="8"/>
    <n v="3"/>
    <n v="799"/>
    <n v="0.1"/>
    <n v="49"/>
    <s v="Pune"/>
    <x v="2"/>
    <x v="0"/>
    <x v="3"/>
    <x v="0"/>
    <n v="4"/>
    <n v="2397"/>
    <n v="239.70000000000002"/>
    <n v="2206.3000000000002"/>
    <n v="528.40000000000032"/>
    <n v="0.23949598875946165"/>
    <x v="9"/>
  </r>
  <r>
    <s v="ORD-10050"/>
    <s v="CUST1011"/>
    <d v="2025-02-01T00:00:00"/>
    <s v="P006"/>
    <s v="Cotton T-Shirt"/>
    <x v="4"/>
    <x v="8"/>
    <n v="2"/>
    <n v="799"/>
    <n v="0.1"/>
    <n v="99"/>
    <s v="Chennai"/>
    <x v="4"/>
    <x v="4"/>
    <x v="3"/>
    <x v="1"/>
    <n v="4"/>
    <n v="1598"/>
    <n v="159.80000000000001"/>
    <n v="1537.2"/>
    <n v="418.60000000000014"/>
    <n v="0.2723132969034609"/>
    <x v="9"/>
  </r>
  <r>
    <s v="ORD-10051"/>
    <s v="CUST1113"/>
    <d v="2025-07-19T00:00:00"/>
    <s v="P001"/>
    <s v="Wireless Mouse"/>
    <x v="1"/>
    <x v="1"/>
    <n v="1"/>
    <n v="599"/>
    <n v="0.2"/>
    <n v="99"/>
    <s v="Pune"/>
    <x v="2"/>
    <x v="1"/>
    <x v="1"/>
    <x v="2"/>
    <n v="3"/>
    <n v="599"/>
    <n v="119.80000000000001"/>
    <n v="578.20000000000005"/>
    <n v="158.90000000000009"/>
    <n v="0.27481840193704615"/>
    <x v="10"/>
  </r>
  <r>
    <s v="ORD-10052"/>
    <s v="CUST1240"/>
    <d v="2025-06-22T00:00:00"/>
    <s v="P007"/>
    <s v="Backpack"/>
    <x v="4"/>
    <x v="5"/>
    <n v="1"/>
    <n v="1499"/>
    <n v="0.2"/>
    <n v="49"/>
    <s v="Hyderabad"/>
    <x v="7"/>
    <x v="2"/>
    <x v="0"/>
    <x v="1"/>
    <n v="5"/>
    <n v="1499"/>
    <n v="299.8"/>
    <n v="1248.2"/>
    <n v="198.90000000000009"/>
    <n v="0.15934946322704702"/>
    <x v="3"/>
  </r>
  <r>
    <s v="ORD-10053"/>
    <s v="CUST1237"/>
    <d v="2025-12-06T00:00:00"/>
    <s v="P001"/>
    <s v="Wireless Mouse"/>
    <x v="1"/>
    <x v="1"/>
    <n v="2"/>
    <n v="599"/>
    <n v="0.1"/>
    <n v="49"/>
    <s v="Bengaluru"/>
    <x v="3"/>
    <x v="2"/>
    <x v="4"/>
    <x v="2"/>
    <n v="3"/>
    <n v="1198"/>
    <n v="119.80000000000001"/>
    <n v="1127.2"/>
    <n v="288.60000000000014"/>
    <n v="0.25603264726756575"/>
    <x v="11"/>
  </r>
  <r>
    <s v="ORD-10054"/>
    <s v="CUST1130"/>
    <d v="2025-06-17T00:00:00"/>
    <s v="P007"/>
    <s v="Backpack"/>
    <x v="4"/>
    <x v="5"/>
    <n v="1"/>
    <n v="1499"/>
    <n v="0.05"/>
    <n v="79"/>
    <s v="Pune"/>
    <x v="2"/>
    <x v="0"/>
    <x v="3"/>
    <x v="1"/>
    <n v="1"/>
    <n v="1499"/>
    <n v="74.95"/>
    <n v="1503.05"/>
    <n v="453.75"/>
    <n v="0.30188616479824359"/>
    <x v="3"/>
  </r>
  <r>
    <s v="ORD-10055"/>
    <s v="CUST1016"/>
    <d v="2025-06-29T00:00:00"/>
    <s v="P012"/>
    <s v="Office Chair"/>
    <x v="3"/>
    <x v="0"/>
    <n v="1"/>
    <n v="6499"/>
    <n v="0.2"/>
    <n v="0"/>
    <s v="Chennai"/>
    <x v="4"/>
    <x v="2"/>
    <x v="1"/>
    <x v="0"/>
    <n v="3"/>
    <n v="6499"/>
    <n v="1299.8000000000002"/>
    <n v="5199.2"/>
    <n v="649.90000000000055"/>
    <n v="0.12500000000000011"/>
    <x v="3"/>
  </r>
  <r>
    <s v="ORD-10056"/>
    <s v="CUST1239"/>
    <d v="2025-03-06T00:00:00"/>
    <s v="P001"/>
    <s v="Wireless Mouse"/>
    <x v="1"/>
    <x v="1"/>
    <n v="1"/>
    <n v="599"/>
    <n v="0.15"/>
    <n v="49"/>
    <s v="Kolkata"/>
    <x v="8"/>
    <x v="3"/>
    <x v="2"/>
    <x v="0"/>
    <n v="2"/>
    <n v="599"/>
    <n v="89.85"/>
    <n v="558.15"/>
    <n v="138.85000000000002"/>
    <n v="0.2487682522619368"/>
    <x v="6"/>
  </r>
  <r>
    <s v="ORD-10057"/>
    <s v="CUST1160"/>
    <d v="2025-02-28T00:00:00"/>
    <s v="P010"/>
    <s v="Desk Lamp"/>
    <x v="2"/>
    <x v="2"/>
    <n v="4"/>
    <n v="1199"/>
    <n v="0.15"/>
    <n v="0"/>
    <s v="Kolkata"/>
    <x v="8"/>
    <x v="4"/>
    <x v="3"/>
    <x v="0"/>
    <n v="4"/>
    <n v="4796"/>
    <n v="719.4"/>
    <n v="4076.6"/>
    <n v="719.40000000000009"/>
    <n v="0.17647058823529416"/>
    <x v="9"/>
  </r>
  <r>
    <s v="ORD-10058"/>
    <s v="CUST1062"/>
    <d v="2025-12-20T00:00:00"/>
    <s v="P012"/>
    <s v="Office Chair"/>
    <x v="3"/>
    <x v="0"/>
    <n v="1"/>
    <n v="6499"/>
    <n v="0.2"/>
    <n v="59"/>
    <s v="Jaipur"/>
    <x v="6"/>
    <x v="4"/>
    <x v="4"/>
    <x v="0"/>
    <n v="3"/>
    <n v="6499"/>
    <n v="1299.8000000000002"/>
    <n v="5258.2"/>
    <n v="708.90000000000055"/>
    <n v="0.13481799855463858"/>
    <x v="11"/>
  </r>
  <r>
    <s v="ORD-10059"/>
    <s v="CUST1251"/>
    <d v="2025-02-05T00:00:00"/>
    <s v="P009"/>
    <s v="Water Bottle"/>
    <x v="2"/>
    <x v="3"/>
    <n v="2"/>
    <n v="699"/>
    <n v="0"/>
    <n v="79"/>
    <s v="Bengaluru"/>
    <x v="3"/>
    <x v="0"/>
    <x v="3"/>
    <x v="0"/>
    <n v="3"/>
    <n v="1398"/>
    <n v="0"/>
    <n v="1477"/>
    <n v="498.40000000000009"/>
    <n v="0.3374407582938389"/>
    <x v="9"/>
  </r>
  <r>
    <s v="ORD-10060"/>
    <s v="CUST1276"/>
    <d v="2025-08-11T00:00:00"/>
    <s v="P011"/>
    <s v="Notebook"/>
    <x v="0"/>
    <x v="0"/>
    <n v="2"/>
    <n v="249"/>
    <n v="0.2"/>
    <n v="59"/>
    <s v="Hyderabad"/>
    <x v="7"/>
    <x v="1"/>
    <x v="3"/>
    <x v="3"/>
    <n v="4"/>
    <n v="498"/>
    <n v="99.600000000000009"/>
    <n v="457.4"/>
    <n v="108.80000000000001"/>
    <n v="0.23786620026235247"/>
    <x v="5"/>
  </r>
  <r>
    <s v="ORD-10061"/>
    <s v="CUST1292"/>
    <d v="2025-05-06T00:00:00"/>
    <s v="P012"/>
    <s v="Office Chair"/>
    <x v="3"/>
    <x v="0"/>
    <n v="1"/>
    <n v="6499"/>
    <n v="0"/>
    <n v="79"/>
    <s v="Kolkata"/>
    <x v="8"/>
    <x v="4"/>
    <x v="3"/>
    <x v="1"/>
    <n v="3"/>
    <n v="6499"/>
    <n v="0"/>
    <n v="6578"/>
    <n v="2028.7000000000007"/>
    <n v="0.30840681058072372"/>
    <x v="0"/>
  </r>
  <r>
    <s v="ORD-10062"/>
    <s v="CUST1144"/>
    <d v="2025-04-04T00:00:00"/>
    <s v="P001"/>
    <s v="Wireless Mouse"/>
    <x v="1"/>
    <x v="1"/>
    <n v="3"/>
    <n v="599"/>
    <n v="0.05"/>
    <n v="59"/>
    <s v="Hyderabad"/>
    <x v="7"/>
    <x v="4"/>
    <x v="2"/>
    <x v="0"/>
    <n v="5"/>
    <n v="1797"/>
    <n v="89.850000000000009"/>
    <n v="1766.15"/>
    <n v="508.25000000000023"/>
    <n v="0.28777283922656638"/>
    <x v="1"/>
  </r>
  <r>
    <s v="ORD-10063"/>
    <s v="CUST1124"/>
    <d v="2025-02-13T00:00:00"/>
    <s v="P001"/>
    <s v="Wireless Mouse"/>
    <x v="1"/>
    <x v="1"/>
    <n v="4"/>
    <n v="599"/>
    <n v="0.1"/>
    <n v="99"/>
    <s v="Chennai"/>
    <x v="4"/>
    <x v="1"/>
    <x v="3"/>
    <x v="1"/>
    <n v="4"/>
    <n v="2396"/>
    <n v="239.60000000000002"/>
    <n v="2255.4"/>
    <n v="578.20000000000027"/>
    <n v="0.25636250775915592"/>
    <x v="9"/>
  </r>
  <r>
    <s v="ORD-10064"/>
    <s v="CUST1189"/>
    <d v="2025-07-27T00:00:00"/>
    <s v="P001"/>
    <s v="Wireless Mouse"/>
    <x v="1"/>
    <x v="1"/>
    <n v="1"/>
    <n v="599"/>
    <n v="0.2"/>
    <n v="99"/>
    <s v="Gurgaon"/>
    <x v="0"/>
    <x v="1"/>
    <x v="0"/>
    <x v="0"/>
    <n v="5"/>
    <n v="599"/>
    <n v="119.80000000000001"/>
    <n v="578.20000000000005"/>
    <n v="158.90000000000009"/>
    <n v="0.27481840193704615"/>
    <x v="10"/>
  </r>
  <r>
    <s v="ORD-10065"/>
    <s v="CUST1157"/>
    <d v="2025-10-09T00:00:00"/>
    <s v="P006"/>
    <s v="Cotton T-Shirt"/>
    <x v="4"/>
    <x v="8"/>
    <n v="5"/>
    <n v="799"/>
    <n v="0.1"/>
    <n v="59"/>
    <s v="Bengaluru"/>
    <x v="3"/>
    <x v="3"/>
    <x v="1"/>
    <x v="2"/>
    <n v="1"/>
    <n v="3995"/>
    <n v="399.5"/>
    <n v="3654.5"/>
    <n v="858"/>
    <n v="0.23477903954029278"/>
    <x v="8"/>
  </r>
  <r>
    <s v="ORD-10066"/>
    <s v="CUST1142"/>
    <d v="2025-10-02T00:00:00"/>
    <s v="P012"/>
    <s v="Office Chair"/>
    <x v="3"/>
    <x v="0"/>
    <n v="1"/>
    <n v="6499"/>
    <n v="0"/>
    <n v="79"/>
    <s v="Jaipur"/>
    <x v="6"/>
    <x v="4"/>
    <x v="0"/>
    <x v="0"/>
    <n v="5"/>
    <n v="6499"/>
    <n v="0"/>
    <n v="6578"/>
    <n v="2028.7000000000007"/>
    <n v="0.30840681058072372"/>
    <x v="8"/>
  </r>
  <r>
    <s v="ORD-10067"/>
    <s v="CUST1274"/>
    <d v="2025-06-01T00:00:00"/>
    <s v="P005"/>
    <s v="Running Shoes"/>
    <x v="4"/>
    <x v="7"/>
    <n v="3"/>
    <n v="2999"/>
    <n v="0.05"/>
    <n v="0"/>
    <s v="Gurgaon"/>
    <x v="0"/>
    <x v="2"/>
    <x v="2"/>
    <x v="0"/>
    <n v="1"/>
    <n v="8997"/>
    <n v="449.85"/>
    <n v="8547.15"/>
    <n v="2249.25"/>
    <n v="0.26315789473684209"/>
    <x v="3"/>
  </r>
  <r>
    <s v="ORD-10068"/>
    <s v="CUST1294"/>
    <d v="2025-03-06T00:00:00"/>
    <s v="P001"/>
    <s v="Wireless Mouse"/>
    <x v="1"/>
    <x v="1"/>
    <n v="1"/>
    <n v="599"/>
    <n v="0"/>
    <n v="0"/>
    <s v="Chennai"/>
    <x v="4"/>
    <x v="3"/>
    <x v="3"/>
    <x v="1"/>
    <n v="4"/>
    <n v="599"/>
    <n v="0"/>
    <n v="599"/>
    <n v="179.70000000000005"/>
    <n v="0.3000000000000001"/>
    <x v="6"/>
  </r>
  <r>
    <s v="ORD-10069"/>
    <s v="CUST1206"/>
    <d v="2025-01-27T00:00:00"/>
    <s v="P008"/>
    <s v="Smart Watch"/>
    <x v="1"/>
    <x v="4"/>
    <n v="1"/>
    <n v="3499"/>
    <n v="0"/>
    <n v="0"/>
    <s v="Pune"/>
    <x v="2"/>
    <x v="1"/>
    <x v="4"/>
    <x v="1"/>
    <n v="5"/>
    <n v="3499"/>
    <n v="0"/>
    <n v="3499"/>
    <n v="1049.7000000000003"/>
    <n v="0.3000000000000001"/>
    <x v="2"/>
  </r>
  <r>
    <s v="ORD-10070"/>
    <s v="CUST1214"/>
    <d v="2025-10-16T00:00:00"/>
    <s v="P011"/>
    <s v="Notebook"/>
    <x v="0"/>
    <x v="0"/>
    <n v="1"/>
    <n v="249"/>
    <n v="0"/>
    <n v="99"/>
    <s v="Delhi"/>
    <x v="1"/>
    <x v="4"/>
    <x v="0"/>
    <x v="0"/>
    <n v="3"/>
    <n v="249"/>
    <n v="0"/>
    <n v="348"/>
    <n v="173.70000000000002"/>
    <n v="0.49913793103448278"/>
    <x v="8"/>
  </r>
  <r>
    <s v="ORD-10071"/>
    <s v="CUST1220"/>
    <d v="2025-07-14T00:00:00"/>
    <s v="P010"/>
    <s v="Desk Lamp"/>
    <x v="2"/>
    <x v="2"/>
    <n v="3"/>
    <n v="1199"/>
    <n v="0.05"/>
    <n v="99"/>
    <s v="Jaipur"/>
    <x v="6"/>
    <x v="3"/>
    <x v="0"/>
    <x v="1"/>
    <n v="5"/>
    <n v="3597"/>
    <n v="179.85000000000002"/>
    <n v="3516.15"/>
    <n v="998.25000000000045"/>
    <n v="0.28390427029563597"/>
    <x v="10"/>
  </r>
  <r>
    <s v="ORD-10072"/>
    <s v="CUST1081"/>
    <d v="2025-02-20T00:00:00"/>
    <s v="P001"/>
    <s v="Wireless Mouse"/>
    <x v="1"/>
    <x v="1"/>
    <n v="4"/>
    <n v="599"/>
    <n v="0.05"/>
    <n v="0"/>
    <s v="Kolkata"/>
    <x v="8"/>
    <x v="2"/>
    <x v="1"/>
    <x v="0"/>
    <n v="5"/>
    <n v="2396"/>
    <n v="119.80000000000001"/>
    <n v="2276.1999999999998"/>
    <n v="599"/>
    <n v="0.26315789473684215"/>
    <x v="9"/>
  </r>
  <r>
    <s v="ORD-10073"/>
    <s v="CUST1119"/>
    <d v="2025-08-19T00:00:00"/>
    <s v="P002"/>
    <s v="Mechanical Keyboard"/>
    <x v="1"/>
    <x v="1"/>
    <n v="1"/>
    <n v="2499"/>
    <n v="0.05"/>
    <n v="0"/>
    <s v="Noida"/>
    <x v="5"/>
    <x v="3"/>
    <x v="2"/>
    <x v="1"/>
    <n v="3"/>
    <n v="2499"/>
    <n v="124.95"/>
    <n v="2374.0500000000002"/>
    <n v="624.75000000000023"/>
    <n v="0.2631578947368422"/>
    <x v="5"/>
  </r>
  <r>
    <s v="ORD-10074"/>
    <s v="CUST1059"/>
    <d v="2025-05-16T00:00:00"/>
    <s v="P008"/>
    <s v="Smart Watch"/>
    <x v="1"/>
    <x v="4"/>
    <n v="2"/>
    <n v="3499"/>
    <n v="0"/>
    <n v="79"/>
    <s v="Gurgaon"/>
    <x v="0"/>
    <x v="4"/>
    <x v="1"/>
    <x v="2"/>
    <n v="3"/>
    <n v="6998"/>
    <n v="0"/>
    <n v="7077"/>
    <n v="2178.4000000000005"/>
    <n v="0.30781404549950553"/>
    <x v="0"/>
  </r>
  <r>
    <s v="ORD-10075"/>
    <s v="CUST1148"/>
    <d v="2025-02-06T00:00:00"/>
    <s v="P003"/>
    <s v="Bluetooth Speaker"/>
    <x v="1"/>
    <x v="6"/>
    <n v="3"/>
    <n v="1799"/>
    <n v="0.15"/>
    <n v="99"/>
    <s v="Mumbai"/>
    <x v="2"/>
    <x v="1"/>
    <x v="4"/>
    <x v="0"/>
    <n v="4"/>
    <n v="5397"/>
    <n v="809.55"/>
    <n v="4686.45"/>
    <n v="908.55000000000018"/>
    <n v="0.19386742630349202"/>
    <x v="9"/>
  </r>
  <r>
    <s v="ORD-10076"/>
    <s v="CUST1021"/>
    <d v="2025-05-20T00:00:00"/>
    <s v="P012"/>
    <s v="Office Chair"/>
    <x v="3"/>
    <x v="0"/>
    <n v="2"/>
    <n v="6499"/>
    <n v="0.1"/>
    <n v="0"/>
    <s v="Mumbai"/>
    <x v="2"/>
    <x v="1"/>
    <x v="2"/>
    <x v="1"/>
    <n v="5"/>
    <n v="12998"/>
    <n v="1299.8000000000002"/>
    <n v="11698.2"/>
    <n v="2599.6000000000022"/>
    <n v="0.2222222222222224"/>
    <x v="0"/>
  </r>
  <r>
    <s v="ORD-10077"/>
    <s v="CUST1296"/>
    <d v="2025-12-12T00:00:00"/>
    <s v="P005"/>
    <s v="Running Shoes"/>
    <x v="4"/>
    <x v="7"/>
    <n v="1"/>
    <n v="2999"/>
    <n v="0.2"/>
    <n v="59"/>
    <s v="Delhi"/>
    <x v="1"/>
    <x v="0"/>
    <x v="1"/>
    <x v="0"/>
    <n v="4"/>
    <n v="2999"/>
    <n v="599.80000000000007"/>
    <n v="2458.1999999999998"/>
    <n v="358.90000000000009"/>
    <n v="0.14600113904482959"/>
    <x v="11"/>
  </r>
  <r>
    <s v="ORD-10078"/>
    <s v="CUST1241"/>
    <d v="2025-04-03T00:00:00"/>
    <s v="P009"/>
    <s v="Water Bottle"/>
    <x v="2"/>
    <x v="3"/>
    <n v="4"/>
    <n v="699"/>
    <n v="0.1"/>
    <n v="0"/>
    <s v="Hyderabad"/>
    <x v="7"/>
    <x v="3"/>
    <x v="3"/>
    <x v="2"/>
    <n v="3"/>
    <n v="2796"/>
    <n v="279.60000000000002"/>
    <n v="2516.4"/>
    <n v="559.20000000000027"/>
    <n v="0.22222222222222232"/>
    <x v="1"/>
  </r>
  <r>
    <s v="ORD-10079"/>
    <s v="CUST1282"/>
    <d v="2025-06-18T00:00:00"/>
    <s v="P006"/>
    <s v="Cotton T-Shirt"/>
    <x v="4"/>
    <x v="8"/>
    <n v="3"/>
    <n v="799"/>
    <n v="0.05"/>
    <n v="79"/>
    <s v="Gurgaon"/>
    <x v="0"/>
    <x v="0"/>
    <x v="3"/>
    <x v="1"/>
    <n v="1"/>
    <n v="2397"/>
    <n v="119.85000000000001"/>
    <n v="2356.15"/>
    <n v="678.25000000000023"/>
    <n v="0.28786367591197515"/>
    <x v="3"/>
  </r>
  <r>
    <s v="ORD-10080"/>
    <s v="CUST1237"/>
    <d v="2025-07-26T00:00:00"/>
    <s v="P006"/>
    <s v="Cotton T-Shirt"/>
    <x v="4"/>
    <x v="8"/>
    <n v="1"/>
    <n v="799"/>
    <n v="0.2"/>
    <n v="99"/>
    <s v="Mumbai"/>
    <x v="2"/>
    <x v="1"/>
    <x v="4"/>
    <x v="0"/>
    <n v="2"/>
    <n v="799"/>
    <n v="159.80000000000001"/>
    <n v="738.2"/>
    <n v="178.90000000000009"/>
    <n v="0.24234624762936885"/>
    <x v="10"/>
  </r>
  <r>
    <s v="ORD-10081"/>
    <s v="CUST1282"/>
    <d v="2025-09-13T00:00:00"/>
    <s v="P009"/>
    <s v="Water Bottle"/>
    <x v="2"/>
    <x v="3"/>
    <n v="2"/>
    <n v="699"/>
    <n v="0"/>
    <n v="59"/>
    <s v="Pune"/>
    <x v="2"/>
    <x v="2"/>
    <x v="2"/>
    <x v="0"/>
    <n v="4"/>
    <n v="1398"/>
    <n v="0"/>
    <n v="1457"/>
    <n v="478.40000000000009"/>
    <n v="0.32834591626630066"/>
    <x v="7"/>
  </r>
  <r>
    <s v="ORD-10082"/>
    <s v="CUST1160"/>
    <d v="2025-11-19T00:00:00"/>
    <s v="P012"/>
    <s v="Office Chair"/>
    <x v="3"/>
    <x v="0"/>
    <n v="1"/>
    <n v="6499"/>
    <n v="0.2"/>
    <n v="49"/>
    <s v="Hyderabad"/>
    <x v="7"/>
    <x v="4"/>
    <x v="4"/>
    <x v="0"/>
    <n v="5"/>
    <n v="6499"/>
    <n v="1299.8000000000002"/>
    <n v="5248.2"/>
    <n v="698.90000000000055"/>
    <n v="0.13316946762699602"/>
    <x v="4"/>
  </r>
  <r>
    <s v="ORD-10083"/>
    <s v="CUST1150"/>
    <d v="2025-02-28T00:00:00"/>
    <s v="P007"/>
    <s v="Backpack"/>
    <x v="4"/>
    <x v="5"/>
    <n v="1"/>
    <n v="1499"/>
    <n v="0"/>
    <n v="79"/>
    <s v="Gurgaon"/>
    <x v="0"/>
    <x v="4"/>
    <x v="2"/>
    <x v="2"/>
    <n v="4"/>
    <n v="1499"/>
    <n v="0"/>
    <n v="1578"/>
    <n v="528.70000000000005"/>
    <n v="0.33504435994930293"/>
    <x v="9"/>
  </r>
  <r>
    <s v="ORD-10084"/>
    <s v="CUST1070"/>
    <d v="2025-10-10T00:00:00"/>
    <s v="P008"/>
    <s v="Smart Watch"/>
    <x v="1"/>
    <x v="4"/>
    <n v="1"/>
    <n v="3499"/>
    <n v="0.15"/>
    <n v="99"/>
    <s v="Hyderabad"/>
    <x v="7"/>
    <x v="0"/>
    <x v="2"/>
    <x v="0"/>
    <n v="3"/>
    <n v="3499"/>
    <n v="524.85"/>
    <n v="3073.15"/>
    <n v="623.85000000000036"/>
    <n v="0.2030001789694614"/>
    <x v="8"/>
  </r>
  <r>
    <s v="ORD-10085"/>
    <s v="CUST1297"/>
    <d v="2025-09-17T00:00:00"/>
    <s v="P007"/>
    <s v="Backpack"/>
    <x v="4"/>
    <x v="5"/>
    <n v="1"/>
    <n v="1499"/>
    <n v="0.05"/>
    <n v="59"/>
    <s v="Pune"/>
    <x v="2"/>
    <x v="1"/>
    <x v="1"/>
    <x v="0"/>
    <n v="4"/>
    <n v="1499"/>
    <n v="74.95"/>
    <n v="1483.05"/>
    <n v="433.75"/>
    <n v="0.2924715956980547"/>
    <x v="7"/>
  </r>
  <r>
    <s v="ORD-10086"/>
    <s v="CUST1123"/>
    <d v="2025-10-10T00:00:00"/>
    <s v="P009"/>
    <s v="Water Bottle"/>
    <x v="2"/>
    <x v="3"/>
    <n v="1"/>
    <n v="699"/>
    <n v="0.05"/>
    <n v="49"/>
    <s v="Hyderabad"/>
    <x v="7"/>
    <x v="4"/>
    <x v="3"/>
    <x v="1"/>
    <n v="2"/>
    <n v="699"/>
    <n v="34.950000000000003"/>
    <n v="713.05"/>
    <n v="223.75"/>
    <n v="0.31379286165065567"/>
    <x v="8"/>
  </r>
  <r>
    <s v="ORD-10087"/>
    <s v="CUST1254"/>
    <d v="2025-08-31T00:00:00"/>
    <s v="P007"/>
    <s v="Backpack"/>
    <x v="4"/>
    <x v="5"/>
    <n v="1"/>
    <n v="1499"/>
    <n v="0.1"/>
    <n v="49"/>
    <s v="Delhi"/>
    <x v="1"/>
    <x v="0"/>
    <x v="1"/>
    <x v="1"/>
    <n v="5"/>
    <n v="1499"/>
    <n v="149.9"/>
    <n v="1398.1"/>
    <n v="348.79999999999995"/>
    <n v="0.24948143909591586"/>
    <x v="5"/>
  </r>
  <r>
    <s v="ORD-10088"/>
    <s v="CUST1210"/>
    <d v="2025-08-14T00:00:00"/>
    <s v="P010"/>
    <s v="Desk Lamp"/>
    <x v="2"/>
    <x v="2"/>
    <n v="3"/>
    <n v="1199"/>
    <n v="0"/>
    <n v="49"/>
    <s v="Pune"/>
    <x v="2"/>
    <x v="2"/>
    <x v="4"/>
    <x v="1"/>
    <n v="4"/>
    <n v="3597"/>
    <n v="0"/>
    <n v="3646"/>
    <n v="1128.1000000000004"/>
    <n v="0.30940756993966001"/>
    <x v="5"/>
  </r>
  <r>
    <s v="ORD-10089"/>
    <s v="CUST1195"/>
    <d v="2025-07-23T00:00:00"/>
    <s v="P005"/>
    <s v="Running Shoes"/>
    <x v="4"/>
    <x v="7"/>
    <n v="2"/>
    <n v="2999"/>
    <n v="0.2"/>
    <n v="99"/>
    <s v="Pune"/>
    <x v="2"/>
    <x v="3"/>
    <x v="3"/>
    <x v="0"/>
    <n v="3"/>
    <n v="5998"/>
    <n v="1199.6000000000001"/>
    <n v="4897.3999999999996"/>
    <n v="698.80000000000018"/>
    <n v="0.14268795687507663"/>
    <x v="10"/>
  </r>
  <r>
    <s v="ORD-10090"/>
    <s v="CUST1223"/>
    <d v="2025-05-01T00:00:00"/>
    <s v="P009"/>
    <s v="Water Bottle"/>
    <x v="2"/>
    <x v="3"/>
    <n v="2"/>
    <n v="699"/>
    <n v="0"/>
    <n v="0"/>
    <s v="Delhi"/>
    <x v="1"/>
    <x v="0"/>
    <x v="4"/>
    <x v="0"/>
    <n v="4"/>
    <n v="1398"/>
    <n v="0"/>
    <n v="1398"/>
    <n v="419.40000000000009"/>
    <n v="0.30000000000000004"/>
    <x v="0"/>
  </r>
  <r>
    <s v="ORD-10091"/>
    <s v="CUST1192"/>
    <d v="2025-01-24T00:00:00"/>
    <s v="P003"/>
    <s v="Bluetooth Speaker"/>
    <x v="1"/>
    <x v="6"/>
    <n v="4"/>
    <n v="1799"/>
    <n v="0.05"/>
    <n v="59"/>
    <s v="Mumbai"/>
    <x v="2"/>
    <x v="1"/>
    <x v="1"/>
    <x v="0"/>
    <n v="2"/>
    <n v="7196"/>
    <n v="359.8"/>
    <n v="6895.2"/>
    <n v="1858"/>
    <n v="0.26946281471168348"/>
    <x v="2"/>
  </r>
  <r>
    <s v="ORD-10092"/>
    <s v="CUST1124"/>
    <d v="2025-04-03T00:00:00"/>
    <s v="P009"/>
    <s v="Water Bottle"/>
    <x v="2"/>
    <x v="3"/>
    <n v="2"/>
    <n v="699"/>
    <n v="0.15"/>
    <n v="79"/>
    <s v="Bengaluru"/>
    <x v="3"/>
    <x v="1"/>
    <x v="0"/>
    <x v="0"/>
    <n v="2"/>
    <n v="1398"/>
    <n v="209.7"/>
    <n v="1267.3"/>
    <n v="288.70000000000005"/>
    <n v="0.22780714905705046"/>
    <x v="1"/>
  </r>
  <r>
    <s v="ORD-10093"/>
    <s v="CUST1280"/>
    <d v="2025-08-24T00:00:00"/>
    <s v="P004"/>
    <s v="USB-C Hub"/>
    <x v="1"/>
    <x v="1"/>
    <n v="2"/>
    <n v="1299"/>
    <n v="0.1"/>
    <n v="59"/>
    <s v="Hyderabad"/>
    <x v="7"/>
    <x v="2"/>
    <x v="4"/>
    <x v="0"/>
    <n v="4"/>
    <n v="2598"/>
    <n v="259.8"/>
    <n v="2397.1999999999998"/>
    <n v="578.59999999999991"/>
    <n v="0.24136492574670446"/>
    <x v="5"/>
  </r>
  <r>
    <s v="ORD-10094"/>
    <s v="CUST1197"/>
    <d v="2025-08-06T00:00:00"/>
    <s v="P006"/>
    <s v="Cotton T-Shirt"/>
    <x v="4"/>
    <x v="8"/>
    <n v="1"/>
    <n v="799"/>
    <n v="0.05"/>
    <n v="49"/>
    <s v="Kolkata"/>
    <x v="8"/>
    <x v="1"/>
    <x v="4"/>
    <x v="1"/>
    <n v="2"/>
    <n v="799"/>
    <n v="39.950000000000003"/>
    <n v="808.05"/>
    <n v="248.75"/>
    <n v="0.3078398613947157"/>
    <x v="5"/>
  </r>
  <r>
    <s v="ORD-10095"/>
    <s v="CUST1141"/>
    <d v="2025-06-01T00:00:00"/>
    <s v="P007"/>
    <s v="Backpack"/>
    <x v="4"/>
    <x v="5"/>
    <n v="1"/>
    <n v="1499"/>
    <n v="0.2"/>
    <n v="79"/>
    <s v="Kolkata"/>
    <x v="8"/>
    <x v="0"/>
    <x v="0"/>
    <x v="0"/>
    <n v="3"/>
    <n v="1499"/>
    <n v="299.8"/>
    <n v="1278.2"/>
    <n v="228.90000000000009"/>
    <n v="0.17907995618838998"/>
    <x v="3"/>
  </r>
  <r>
    <s v="ORD-10096"/>
    <s v="CUST1113"/>
    <d v="2025-09-12T00:00:00"/>
    <s v="P011"/>
    <s v="Notebook"/>
    <x v="0"/>
    <x v="0"/>
    <n v="4"/>
    <n v="249"/>
    <n v="0.15"/>
    <n v="59"/>
    <s v="Delhi"/>
    <x v="1"/>
    <x v="2"/>
    <x v="0"/>
    <x v="0"/>
    <n v="3"/>
    <n v="996"/>
    <n v="149.4"/>
    <n v="905.6"/>
    <n v="208.40000000000009"/>
    <n v="0.23012367491166086"/>
    <x v="7"/>
  </r>
  <r>
    <s v="ORD-10097"/>
    <s v="CUST1297"/>
    <d v="2025-11-18T00:00:00"/>
    <s v="P011"/>
    <s v="Notebook"/>
    <x v="0"/>
    <x v="0"/>
    <n v="2"/>
    <n v="249"/>
    <n v="0.1"/>
    <n v="0"/>
    <s v="Noida"/>
    <x v="5"/>
    <x v="3"/>
    <x v="1"/>
    <x v="0"/>
    <n v="1"/>
    <n v="498"/>
    <n v="49.800000000000004"/>
    <n v="448.2"/>
    <n v="99.600000000000023"/>
    <n v="0.22222222222222227"/>
    <x v="4"/>
  </r>
  <r>
    <s v="ORD-10098"/>
    <s v="CUST1257"/>
    <d v="2025-03-31T00:00:00"/>
    <s v="P005"/>
    <s v="Running Shoes"/>
    <x v="4"/>
    <x v="7"/>
    <n v="2"/>
    <n v="2999"/>
    <n v="0.05"/>
    <n v="99"/>
    <s v="Pune"/>
    <x v="2"/>
    <x v="3"/>
    <x v="1"/>
    <x v="3"/>
    <n v="3"/>
    <n v="5998"/>
    <n v="299.90000000000003"/>
    <n v="5797.1"/>
    <n v="1598.5000000000009"/>
    <n v="0.27574131893532988"/>
    <x v="6"/>
  </r>
  <r>
    <s v="ORD-10099"/>
    <s v="CUST1204"/>
    <d v="2025-06-23T00:00:00"/>
    <s v="P008"/>
    <s v="Smart Watch"/>
    <x v="1"/>
    <x v="4"/>
    <n v="2"/>
    <n v="3499"/>
    <n v="0"/>
    <n v="49"/>
    <s v="Mumbai"/>
    <x v="2"/>
    <x v="4"/>
    <x v="2"/>
    <x v="0"/>
    <n v="1"/>
    <n v="6998"/>
    <n v="0"/>
    <n v="7047"/>
    <n v="2148.4000000000005"/>
    <n v="0.30486731942670647"/>
    <x v="3"/>
  </r>
  <r>
    <s v="ORD-10100"/>
    <s v="CUST1300"/>
    <d v="2025-03-05T00:00:00"/>
    <s v="P007"/>
    <s v="Backpack"/>
    <x v="4"/>
    <x v="5"/>
    <n v="1"/>
    <n v="1499"/>
    <n v="0.2"/>
    <n v="59"/>
    <s v="Delhi"/>
    <x v="1"/>
    <x v="1"/>
    <x v="2"/>
    <x v="2"/>
    <n v="1"/>
    <n v="1499"/>
    <n v="299.8"/>
    <n v="1258.2"/>
    <n v="208.90000000000009"/>
    <n v="0.16603083770465751"/>
    <x v="6"/>
  </r>
  <r>
    <s v="ORD-10101"/>
    <s v="CUST1238"/>
    <d v="2025-11-14T00:00:00"/>
    <s v="P011"/>
    <s v="Notebook"/>
    <x v="0"/>
    <x v="0"/>
    <n v="2"/>
    <n v="249"/>
    <n v="0"/>
    <n v="0"/>
    <s v="Jaipur"/>
    <x v="6"/>
    <x v="3"/>
    <x v="3"/>
    <x v="3"/>
    <n v="1"/>
    <n v="498"/>
    <n v="0"/>
    <n v="498"/>
    <n v="149.40000000000003"/>
    <n v="0.30000000000000004"/>
    <x v="4"/>
  </r>
  <r>
    <s v="ORD-10102"/>
    <s v="CUST1070"/>
    <d v="2025-06-05T00:00:00"/>
    <s v="P003"/>
    <s v="Bluetooth Speaker"/>
    <x v="1"/>
    <x v="6"/>
    <n v="4"/>
    <n v="1799"/>
    <n v="0"/>
    <n v="99"/>
    <s v="Delhi"/>
    <x v="1"/>
    <x v="1"/>
    <x v="3"/>
    <x v="0"/>
    <n v="3"/>
    <n v="7196"/>
    <n v="0"/>
    <n v="7295"/>
    <n v="2257.8000000000002"/>
    <n v="0.30949965729952023"/>
    <x v="3"/>
  </r>
  <r>
    <s v="ORD-10103"/>
    <s v="CUST1209"/>
    <d v="2025-03-21T00:00:00"/>
    <s v="P011"/>
    <s v="Notebook"/>
    <x v="0"/>
    <x v="0"/>
    <n v="1"/>
    <n v="249"/>
    <n v="0.1"/>
    <n v="99"/>
    <s v="Chennai"/>
    <x v="4"/>
    <x v="3"/>
    <x v="4"/>
    <x v="0"/>
    <n v="3"/>
    <n v="249"/>
    <n v="24.900000000000002"/>
    <n v="323.10000000000002"/>
    <n v="148.80000000000004"/>
    <n v="0.46053853296193137"/>
    <x v="6"/>
  </r>
  <r>
    <s v="ORD-10104"/>
    <s v="CUST1184"/>
    <d v="2025-05-01T00:00:00"/>
    <s v="P006"/>
    <s v="Cotton T-Shirt"/>
    <x v="4"/>
    <x v="8"/>
    <n v="1"/>
    <n v="799"/>
    <n v="0.05"/>
    <n v="99"/>
    <s v="Jaipur"/>
    <x v="6"/>
    <x v="0"/>
    <x v="3"/>
    <x v="2"/>
    <n v="3"/>
    <n v="799"/>
    <n v="39.950000000000003"/>
    <n v="858.05"/>
    <n v="298.75"/>
    <n v="0.3481731833809219"/>
    <x v="0"/>
  </r>
  <r>
    <s v="ORD-10105"/>
    <s v="CUST1011"/>
    <d v="2025-08-21T00:00:00"/>
    <s v="P004"/>
    <s v="USB-C Hub"/>
    <x v="1"/>
    <x v="1"/>
    <n v="4"/>
    <n v="1299"/>
    <n v="0.2"/>
    <n v="99"/>
    <s v="Gurgaon"/>
    <x v="0"/>
    <x v="0"/>
    <x v="2"/>
    <x v="0"/>
    <n v="2"/>
    <n v="5196"/>
    <n v="1039.2"/>
    <n v="4255.8"/>
    <n v="618.60000000000036"/>
    <n v="0.14535457493303264"/>
    <x v="5"/>
  </r>
  <r>
    <s v="ORD-10106"/>
    <s v="CUST1076"/>
    <d v="2025-10-11T00:00:00"/>
    <s v="P003"/>
    <s v="Bluetooth Speaker"/>
    <x v="1"/>
    <x v="6"/>
    <n v="1"/>
    <n v="1799"/>
    <n v="0"/>
    <n v="59"/>
    <s v="Kolkata"/>
    <x v="8"/>
    <x v="4"/>
    <x v="4"/>
    <x v="0"/>
    <n v="3"/>
    <n v="1799"/>
    <n v="0"/>
    <n v="1858"/>
    <n v="598.70000000000005"/>
    <n v="0.32222820236813782"/>
    <x v="8"/>
  </r>
  <r>
    <s v="ORD-10107"/>
    <s v="CUST1184"/>
    <d v="2025-03-31T00:00:00"/>
    <s v="P003"/>
    <s v="Bluetooth Speaker"/>
    <x v="1"/>
    <x v="6"/>
    <n v="2"/>
    <n v="1799"/>
    <n v="0"/>
    <n v="0"/>
    <s v="Noida"/>
    <x v="5"/>
    <x v="2"/>
    <x v="0"/>
    <x v="0"/>
    <n v="3"/>
    <n v="3598"/>
    <n v="0"/>
    <n v="3598"/>
    <n v="1079.4000000000001"/>
    <n v="0.30000000000000004"/>
    <x v="6"/>
  </r>
  <r>
    <s v="ORD-10108"/>
    <s v="CUST1244"/>
    <d v="2025-03-06T00:00:00"/>
    <s v="P001"/>
    <s v="Wireless Mouse"/>
    <x v="1"/>
    <x v="1"/>
    <n v="1"/>
    <n v="599"/>
    <n v="0"/>
    <n v="0"/>
    <s v="Noida"/>
    <x v="5"/>
    <x v="1"/>
    <x v="2"/>
    <x v="3"/>
    <n v="5"/>
    <n v="599"/>
    <n v="0"/>
    <n v="599"/>
    <n v="179.70000000000005"/>
    <n v="0.3000000000000001"/>
    <x v="6"/>
  </r>
  <r>
    <s v="ORD-10109"/>
    <s v="CUST1155"/>
    <d v="2025-04-24T00:00:00"/>
    <s v="P010"/>
    <s v="Desk Lamp"/>
    <x v="2"/>
    <x v="2"/>
    <n v="2"/>
    <n v="1199"/>
    <n v="0.2"/>
    <n v="99"/>
    <s v="Gurgaon"/>
    <x v="0"/>
    <x v="1"/>
    <x v="4"/>
    <x v="2"/>
    <n v="1"/>
    <n v="2398"/>
    <n v="479.6"/>
    <n v="2017.4"/>
    <n v="338.80000000000018"/>
    <n v="0.16793893129771001"/>
    <x v="1"/>
  </r>
  <r>
    <s v="ORD-10110"/>
    <s v="CUST1165"/>
    <d v="2025-02-25T00:00:00"/>
    <s v="P008"/>
    <s v="Smart Watch"/>
    <x v="1"/>
    <x v="4"/>
    <n v="1"/>
    <n v="3499"/>
    <n v="0"/>
    <n v="0"/>
    <s v="Bengaluru"/>
    <x v="3"/>
    <x v="4"/>
    <x v="1"/>
    <x v="1"/>
    <n v="1"/>
    <n v="3499"/>
    <n v="0"/>
    <n v="3499"/>
    <n v="1049.7000000000003"/>
    <n v="0.3000000000000001"/>
    <x v="9"/>
  </r>
  <r>
    <s v="ORD-10111"/>
    <s v="CUST1272"/>
    <d v="2025-10-27T00:00:00"/>
    <s v="P003"/>
    <s v="Bluetooth Speaker"/>
    <x v="1"/>
    <x v="6"/>
    <n v="2"/>
    <n v="1799"/>
    <n v="0.1"/>
    <n v="99"/>
    <s v="Mumbai"/>
    <x v="2"/>
    <x v="3"/>
    <x v="3"/>
    <x v="0"/>
    <n v="5"/>
    <n v="3598"/>
    <n v="359.8"/>
    <n v="3337.2"/>
    <n v="818.59999999999991"/>
    <n v="0.24529545726956728"/>
    <x v="8"/>
  </r>
  <r>
    <s v="ORD-10112"/>
    <s v="CUST1111"/>
    <d v="2025-12-26T00:00:00"/>
    <s v="P010"/>
    <s v="Desk Lamp"/>
    <x v="2"/>
    <x v="2"/>
    <n v="1"/>
    <n v="1199"/>
    <n v="0.2"/>
    <n v="99"/>
    <s v="Bengaluru"/>
    <x v="3"/>
    <x v="1"/>
    <x v="3"/>
    <x v="2"/>
    <n v="2"/>
    <n v="1199"/>
    <n v="239.8"/>
    <n v="1058.2"/>
    <n v="218.90000000000009"/>
    <n v="0.20686070686070693"/>
    <x v="11"/>
  </r>
  <r>
    <s v="ORD-10113"/>
    <s v="CUST1161"/>
    <d v="2025-07-24T00:00:00"/>
    <s v="P007"/>
    <s v="Backpack"/>
    <x v="4"/>
    <x v="5"/>
    <n v="3"/>
    <n v="1499"/>
    <n v="0"/>
    <n v="79"/>
    <s v="Pune"/>
    <x v="2"/>
    <x v="3"/>
    <x v="2"/>
    <x v="0"/>
    <n v="2"/>
    <n v="4497"/>
    <n v="0"/>
    <n v="4576"/>
    <n v="1428.1000000000004"/>
    <n v="0.3120847902097903"/>
    <x v="10"/>
  </r>
  <r>
    <s v="ORD-10114"/>
    <s v="CUST1067"/>
    <d v="2025-02-13T00:00:00"/>
    <s v="P011"/>
    <s v="Notebook"/>
    <x v="0"/>
    <x v="0"/>
    <n v="1"/>
    <n v="249"/>
    <n v="0.2"/>
    <n v="59"/>
    <s v="Hyderabad"/>
    <x v="7"/>
    <x v="4"/>
    <x v="4"/>
    <x v="0"/>
    <n v="5"/>
    <n v="249"/>
    <n v="49.800000000000004"/>
    <n v="258.2"/>
    <n v="83.9"/>
    <n v="0.32494190549961272"/>
    <x v="9"/>
  </r>
  <r>
    <s v="ORD-10115"/>
    <s v="CUST1148"/>
    <d v="2025-03-04T00:00:00"/>
    <s v="P009"/>
    <s v="Water Bottle"/>
    <x v="2"/>
    <x v="3"/>
    <n v="1"/>
    <n v="699"/>
    <n v="0.1"/>
    <n v="0"/>
    <s v="Chennai"/>
    <x v="4"/>
    <x v="4"/>
    <x v="2"/>
    <x v="2"/>
    <n v="3"/>
    <n v="699"/>
    <n v="69.900000000000006"/>
    <n v="629.1"/>
    <n v="139.80000000000007"/>
    <n v="0.22222222222222232"/>
    <x v="6"/>
  </r>
  <r>
    <s v="ORD-10116"/>
    <s v="CUST1285"/>
    <d v="2025-03-21T00:00:00"/>
    <s v="P002"/>
    <s v="Mechanical Keyboard"/>
    <x v="1"/>
    <x v="1"/>
    <n v="2"/>
    <n v="2499"/>
    <n v="0"/>
    <n v="59"/>
    <s v="Kolkata"/>
    <x v="8"/>
    <x v="3"/>
    <x v="4"/>
    <x v="0"/>
    <n v="3"/>
    <n v="4998"/>
    <n v="0"/>
    <n v="5057"/>
    <n v="1558.4"/>
    <n v="0.30816689736998221"/>
    <x v="6"/>
  </r>
  <r>
    <s v="ORD-10117"/>
    <s v="CUST1014"/>
    <d v="2025-08-08T00:00:00"/>
    <s v="P005"/>
    <s v="Running Shoes"/>
    <x v="4"/>
    <x v="7"/>
    <n v="1"/>
    <n v="2999"/>
    <n v="0.15"/>
    <n v="99"/>
    <s v="Kolkata"/>
    <x v="8"/>
    <x v="4"/>
    <x v="2"/>
    <x v="3"/>
    <n v="1"/>
    <n v="2999"/>
    <n v="449.84999999999997"/>
    <n v="2648.15"/>
    <n v="548.85000000000036"/>
    <n v="0.20725789702244976"/>
    <x v="5"/>
  </r>
  <r>
    <s v="ORD-10118"/>
    <s v="CUST1290"/>
    <d v="2025-06-08T00:00:00"/>
    <s v="P003"/>
    <s v="Bluetooth Speaker"/>
    <x v="1"/>
    <x v="6"/>
    <n v="2"/>
    <n v="1799"/>
    <n v="0"/>
    <n v="49"/>
    <s v="Mumbai"/>
    <x v="2"/>
    <x v="1"/>
    <x v="4"/>
    <x v="0"/>
    <n v="2"/>
    <n v="3598"/>
    <n v="0"/>
    <n v="3647"/>
    <n v="1128.4000000000001"/>
    <n v="0.30940499040307107"/>
    <x v="3"/>
  </r>
  <r>
    <s v="ORD-10119"/>
    <s v="CUST1081"/>
    <d v="2025-09-29T00:00:00"/>
    <s v="P012"/>
    <s v="Office Chair"/>
    <x v="3"/>
    <x v="0"/>
    <n v="1"/>
    <n v="6499"/>
    <n v="0.1"/>
    <n v="59"/>
    <s v="Delhi"/>
    <x v="1"/>
    <x v="3"/>
    <x v="2"/>
    <x v="1"/>
    <n v="3"/>
    <n v="6499"/>
    <n v="649.90000000000009"/>
    <n v="5908.1"/>
    <n v="1358.8000000000011"/>
    <n v="0.22998933667338078"/>
    <x v="7"/>
  </r>
  <r>
    <s v="ORD-10120"/>
    <s v="CUST1140"/>
    <d v="2025-01-27T00:00:00"/>
    <s v="P006"/>
    <s v="Cotton T-Shirt"/>
    <x v="4"/>
    <x v="8"/>
    <n v="2"/>
    <n v="799"/>
    <n v="0"/>
    <n v="0"/>
    <s v="Kolkata"/>
    <x v="8"/>
    <x v="1"/>
    <x v="3"/>
    <x v="3"/>
    <n v="4"/>
    <n v="1598"/>
    <n v="0"/>
    <n v="1598"/>
    <n v="479.40000000000009"/>
    <n v="0.30000000000000004"/>
    <x v="2"/>
  </r>
  <r>
    <s v="ORD-10121"/>
    <s v="CUST1146"/>
    <d v="2025-04-21T00:00:00"/>
    <s v="P010"/>
    <s v="Desk Lamp"/>
    <x v="2"/>
    <x v="2"/>
    <n v="1"/>
    <n v="1199"/>
    <n v="0.1"/>
    <n v="0"/>
    <s v="Hyderabad"/>
    <x v="7"/>
    <x v="4"/>
    <x v="3"/>
    <x v="0"/>
    <n v="5"/>
    <n v="1199"/>
    <n v="119.9"/>
    <n v="1079.0999999999999"/>
    <n v="239.79999999999995"/>
    <n v="0.22222222222222221"/>
    <x v="1"/>
  </r>
  <r>
    <s v="ORD-10122"/>
    <s v="CUST1109"/>
    <d v="2025-07-22T00:00:00"/>
    <s v="P011"/>
    <s v="Notebook"/>
    <x v="0"/>
    <x v="0"/>
    <n v="1"/>
    <n v="249"/>
    <n v="0"/>
    <n v="59"/>
    <s v="Mumbai"/>
    <x v="2"/>
    <x v="2"/>
    <x v="2"/>
    <x v="0"/>
    <n v="3"/>
    <n v="249"/>
    <n v="0"/>
    <n v="308"/>
    <n v="133.70000000000002"/>
    <n v="0.43409090909090914"/>
    <x v="10"/>
  </r>
  <r>
    <s v="ORD-10123"/>
    <s v="CUST1257"/>
    <d v="2025-08-09T00:00:00"/>
    <s v="P006"/>
    <s v="Cotton T-Shirt"/>
    <x v="4"/>
    <x v="8"/>
    <n v="1"/>
    <n v="799"/>
    <n v="0.15"/>
    <n v="49"/>
    <s v="Gurgaon"/>
    <x v="0"/>
    <x v="4"/>
    <x v="2"/>
    <x v="1"/>
    <n v="1"/>
    <n v="799"/>
    <n v="119.85"/>
    <n v="728.15"/>
    <n v="168.85000000000002"/>
    <n v="0.23188903385291496"/>
    <x v="5"/>
  </r>
  <r>
    <s v="ORD-10124"/>
    <s v="CUST1294"/>
    <d v="2025-08-24T00:00:00"/>
    <s v="P007"/>
    <s v="Backpack"/>
    <x v="4"/>
    <x v="5"/>
    <n v="1"/>
    <n v="1499"/>
    <n v="0.15"/>
    <n v="79"/>
    <s v="Delhi"/>
    <x v="1"/>
    <x v="1"/>
    <x v="3"/>
    <x v="0"/>
    <n v="3"/>
    <n v="1499"/>
    <n v="224.85"/>
    <n v="1353.15"/>
    <n v="303.85000000000014"/>
    <n v="0.22455012378524192"/>
    <x v="5"/>
  </r>
  <r>
    <s v="ORD-10125"/>
    <s v="CUST1046"/>
    <d v="2025-06-16T00:00:00"/>
    <s v="P002"/>
    <s v="Mechanical Keyboard"/>
    <x v="1"/>
    <x v="1"/>
    <n v="1"/>
    <n v="2499"/>
    <n v="0.1"/>
    <n v="59"/>
    <s v="Bengaluru"/>
    <x v="3"/>
    <x v="1"/>
    <x v="4"/>
    <x v="3"/>
    <n v="2"/>
    <n v="2499"/>
    <n v="249.9"/>
    <n v="2308.1"/>
    <n v="558.79999999999995"/>
    <n v="0.24210389497855378"/>
    <x v="3"/>
  </r>
  <r>
    <s v="ORD-10126"/>
    <s v="CUST1114"/>
    <d v="2025-02-10T00:00:00"/>
    <s v="P007"/>
    <s v="Backpack"/>
    <x v="4"/>
    <x v="5"/>
    <n v="1"/>
    <n v="1499"/>
    <n v="0.2"/>
    <n v="59"/>
    <s v="Kolkata"/>
    <x v="8"/>
    <x v="3"/>
    <x v="1"/>
    <x v="0"/>
    <n v="1"/>
    <n v="1499"/>
    <n v="299.8"/>
    <n v="1258.2"/>
    <n v="208.90000000000009"/>
    <n v="0.16603083770465751"/>
    <x v="9"/>
  </r>
  <r>
    <s v="ORD-10127"/>
    <s v="CUST1121"/>
    <d v="2025-04-10T00:00:00"/>
    <s v="P009"/>
    <s v="Water Bottle"/>
    <x v="2"/>
    <x v="3"/>
    <n v="2"/>
    <n v="699"/>
    <n v="0.2"/>
    <n v="49"/>
    <s v="Gurgaon"/>
    <x v="0"/>
    <x v="0"/>
    <x v="1"/>
    <x v="2"/>
    <n v="3"/>
    <n v="1398"/>
    <n v="279.60000000000002"/>
    <n v="1167.4000000000001"/>
    <n v="188.80000000000018"/>
    <n v="0.16172691451087903"/>
    <x v="1"/>
  </r>
  <r>
    <s v="ORD-10128"/>
    <s v="CUST1289"/>
    <d v="2025-12-02T00:00:00"/>
    <s v="P004"/>
    <s v="USB-C Hub"/>
    <x v="1"/>
    <x v="1"/>
    <n v="2"/>
    <n v="1299"/>
    <n v="0.1"/>
    <n v="79"/>
    <s v="Noida"/>
    <x v="5"/>
    <x v="4"/>
    <x v="3"/>
    <x v="2"/>
    <n v="3"/>
    <n v="2598"/>
    <n v="259.8"/>
    <n v="2417.1999999999998"/>
    <n v="598.59999999999991"/>
    <n v="0.24764189971868275"/>
    <x v="11"/>
  </r>
  <r>
    <s v="ORD-10129"/>
    <s v="CUST1227"/>
    <d v="2025-11-18T00:00:00"/>
    <s v="P010"/>
    <s v="Desk Lamp"/>
    <x v="2"/>
    <x v="2"/>
    <n v="1"/>
    <n v="1199"/>
    <n v="0"/>
    <n v="79"/>
    <s v="Kolkata"/>
    <x v="8"/>
    <x v="3"/>
    <x v="2"/>
    <x v="1"/>
    <n v="5"/>
    <n v="1199"/>
    <n v="0"/>
    <n v="1278"/>
    <n v="438.70000000000005"/>
    <n v="0.34327073552425669"/>
    <x v="4"/>
  </r>
  <r>
    <s v="ORD-10130"/>
    <s v="CUST1147"/>
    <d v="2025-06-08T00:00:00"/>
    <s v="P001"/>
    <s v="Wireless Mouse"/>
    <x v="1"/>
    <x v="1"/>
    <n v="2"/>
    <n v="599"/>
    <n v="0"/>
    <n v="59"/>
    <s v="Pune"/>
    <x v="2"/>
    <x v="0"/>
    <x v="4"/>
    <x v="0"/>
    <n v="5"/>
    <n v="1198"/>
    <n v="0"/>
    <n v="1257"/>
    <n v="418.40000000000009"/>
    <n v="0.33285600636435964"/>
    <x v="3"/>
  </r>
  <r>
    <s v="ORD-10131"/>
    <s v="CUST1293"/>
    <d v="2025-10-25T00:00:00"/>
    <s v="P010"/>
    <s v="Desk Lamp"/>
    <x v="2"/>
    <x v="2"/>
    <n v="1"/>
    <n v="1199"/>
    <n v="0"/>
    <n v="79"/>
    <s v="Chennai"/>
    <x v="4"/>
    <x v="2"/>
    <x v="2"/>
    <x v="2"/>
    <n v="5"/>
    <n v="1199"/>
    <n v="0"/>
    <n v="1278"/>
    <n v="438.70000000000005"/>
    <n v="0.34327073552425669"/>
    <x v="8"/>
  </r>
  <r>
    <s v="ORD-10132"/>
    <s v="CUST1259"/>
    <d v="2025-02-01T00:00:00"/>
    <s v="P008"/>
    <s v="Smart Watch"/>
    <x v="1"/>
    <x v="4"/>
    <n v="1"/>
    <n v="3499"/>
    <n v="0.2"/>
    <n v="0"/>
    <s v="Chennai"/>
    <x v="4"/>
    <x v="2"/>
    <x v="4"/>
    <x v="0"/>
    <n v="2"/>
    <n v="3499"/>
    <n v="699.80000000000007"/>
    <n v="2799.2"/>
    <n v="349.90000000000009"/>
    <n v="0.12500000000000003"/>
    <x v="9"/>
  </r>
  <r>
    <s v="ORD-10133"/>
    <s v="CUST1145"/>
    <d v="2025-09-26T00:00:00"/>
    <s v="P012"/>
    <s v="Office Chair"/>
    <x v="3"/>
    <x v="0"/>
    <n v="5"/>
    <n v="6499"/>
    <n v="0.05"/>
    <n v="59"/>
    <s v="Hyderabad"/>
    <x v="7"/>
    <x v="1"/>
    <x v="3"/>
    <x v="0"/>
    <n v="3"/>
    <n v="32495"/>
    <n v="1624.75"/>
    <n v="30929.25"/>
    <n v="8182.75"/>
    <n v="0.26456347955414372"/>
    <x v="7"/>
  </r>
  <r>
    <s v="ORD-10134"/>
    <s v="CUST1286"/>
    <d v="2025-11-20T00:00:00"/>
    <s v="P006"/>
    <s v="Cotton T-Shirt"/>
    <x v="4"/>
    <x v="8"/>
    <n v="1"/>
    <n v="799"/>
    <n v="0.05"/>
    <n v="0"/>
    <s v="Kolkata"/>
    <x v="8"/>
    <x v="1"/>
    <x v="2"/>
    <x v="0"/>
    <n v="3"/>
    <n v="799"/>
    <n v="39.950000000000003"/>
    <n v="759.05"/>
    <n v="199.75"/>
    <n v="0.26315789473684215"/>
    <x v="4"/>
  </r>
  <r>
    <s v="ORD-10135"/>
    <s v="CUST1159"/>
    <d v="2025-06-20T00:00:00"/>
    <s v="P012"/>
    <s v="Office Chair"/>
    <x v="3"/>
    <x v="0"/>
    <n v="3"/>
    <n v="6499"/>
    <n v="0"/>
    <n v="59"/>
    <s v="Kolkata"/>
    <x v="8"/>
    <x v="1"/>
    <x v="1"/>
    <x v="2"/>
    <n v="5"/>
    <n v="19497"/>
    <n v="0"/>
    <n v="19556"/>
    <n v="5908.1"/>
    <n v="0.30211188382082227"/>
    <x v="3"/>
  </r>
  <r>
    <s v="ORD-10136"/>
    <s v="CUST1048"/>
    <d v="2025-07-12T00:00:00"/>
    <s v="P012"/>
    <s v="Office Chair"/>
    <x v="3"/>
    <x v="0"/>
    <n v="1"/>
    <n v="6499"/>
    <n v="0"/>
    <n v="99"/>
    <s v="Gurgaon"/>
    <x v="0"/>
    <x v="1"/>
    <x v="0"/>
    <x v="0"/>
    <n v="3"/>
    <n v="6499"/>
    <n v="0"/>
    <n v="6598"/>
    <n v="2048.7000000000007"/>
    <n v="0.31050318278266154"/>
    <x v="10"/>
  </r>
  <r>
    <s v="ORD-10137"/>
    <s v="CUST1071"/>
    <d v="2025-04-20T00:00:00"/>
    <s v="P001"/>
    <s v="Wireless Mouse"/>
    <x v="1"/>
    <x v="1"/>
    <n v="1"/>
    <n v="599"/>
    <n v="0"/>
    <n v="49"/>
    <s v="Pune"/>
    <x v="2"/>
    <x v="2"/>
    <x v="4"/>
    <x v="1"/>
    <n v="3"/>
    <n v="599"/>
    <n v="0"/>
    <n v="648"/>
    <n v="228.70000000000005"/>
    <n v="0.35293209876543219"/>
    <x v="1"/>
  </r>
  <r>
    <s v="ORD-10138"/>
    <s v="CUST1193"/>
    <d v="2025-09-27T00:00:00"/>
    <s v="P002"/>
    <s v="Mechanical Keyboard"/>
    <x v="1"/>
    <x v="1"/>
    <n v="3"/>
    <n v="2499"/>
    <n v="0.15"/>
    <n v="49"/>
    <s v="Chennai"/>
    <x v="4"/>
    <x v="2"/>
    <x v="1"/>
    <x v="0"/>
    <n v="2"/>
    <n v="7497"/>
    <n v="1124.55"/>
    <n v="6421.45"/>
    <n v="1173.5500000000002"/>
    <n v="0.18275467378863033"/>
    <x v="7"/>
  </r>
  <r>
    <s v="ORD-10139"/>
    <s v="CUST1122"/>
    <d v="2025-03-26T00:00:00"/>
    <s v="P012"/>
    <s v="Office Chair"/>
    <x v="3"/>
    <x v="0"/>
    <n v="3"/>
    <n v="6499"/>
    <n v="0.1"/>
    <n v="59"/>
    <s v="Kolkata"/>
    <x v="8"/>
    <x v="1"/>
    <x v="0"/>
    <x v="0"/>
    <n v="3"/>
    <n v="19497"/>
    <n v="1949.7"/>
    <n v="17606.3"/>
    <n v="3958.3999999999996"/>
    <n v="0.22482861248530356"/>
    <x v="6"/>
  </r>
  <r>
    <s v="ORD-10140"/>
    <s v="CUST1293"/>
    <d v="2025-05-03T00:00:00"/>
    <s v="P012"/>
    <s v="Office Chair"/>
    <x v="3"/>
    <x v="0"/>
    <n v="1"/>
    <n v="6499"/>
    <n v="0"/>
    <n v="59"/>
    <s v="Hyderabad"/>
    <x v="7"/>
    <x v="1"/>
    <x v="3"/>
    <x v="1"/>
    <n v="3"/>
    <n v="6499"/>
    <n v="0"/>
    <n v="6558"/>
    <n v="2008.7000000000007"/>
    <n v="0.30629765172308643"/>
    <x v="0"/>
  </r>
  <r>
    <s v="ORD-10141"/>
    <s v="CUST1129"/>
    <d v="2025-08-03T00:00:00"/>
    <s v="P005"/>
    <s v="Running Shoes"/>
    <x v="4"/>
    <x v="7"/>
    <n v="2"/>
    <n v="2999"/>
    <n v="0.15"/>
    <n v="49"/>
    <s v="Bengaluru"/>
    <x v="3"/>
    <x v="0"/>
    <x v="3"/>
    <x v="0"/>
    <n v="3"/>
    <n v="5998"/>
    <n v="899.69999999999993"/>
    <n v="5147.3"/>
    <n v="948.70000000000073"/>
    <n v="0.1843102208925069"/>
    <x v="5"/>
  </r>
  <r>
    <s v="ORD-10142"/>
    <s v="CUST1083"/>
    <d v="2025-12-31T00:00:00"/>
    <s v="P006"/>
    <s v="Cotton T-Shirt"/>
    <x v="4"/>
    <x v="8"/>
    <n v="4"/>
    <n v="799"/>
    <n v="0.05"/>
    <n v="0"/>
    <s v="Chennai"/>
    <x v="4"/>
    <x v="3"/>
    <x v="3"/>
    <x v="0"/>
    <n v="5"/>
    <n v="3196"/>
    <n v="159.80000000000001"/>
    <n v="3036.2"/>
    <n v="799"/>
    <n v="0.26315789473684215"/>
    <x v="11"/>
  </r>
  <r>
    <s v="ORD-10143"/>
    <s v="CUST1028"/>
    <d v="2025-04-24T00:00:00"/>
    <s v="P003"/>
    <s v="Bluetooth Speaker"/>
    <x v="1"/>
    <x v="6"/>
    <n v="1"/>
    <n v="1799"/>
    <n v="0"/>
    <n v="79"/>
    <s v="Bengaluru"/>
    <x v="3"/>
    <x v="1"/>
    <x v="0"/>
    <x v="0"/>
    <n v="3"/>
    <n v="1799"/>
    <n v="0"/>
    <n v="1878"/>
    <n v="618.70000000000005"/>
    <n v="0.32944621938232166"/>
    <x v="1"/>
  </r>
  <r>
    <s v="ORD-10144"/>
    <s v="CUST1075"/>
    <d v="2025-07-11T00:00:00"/>
    <s v="P004"/>
    <s v="USB-C Hub"/>
    <x v="1"/>
    <x v="1"/>
    <n v="5"/>
    <n v="1299"/>
    <n v="0"/>
    <n v="59"/>
    <s v="Bengaluru"/>
    <x v="3"/>
    <x v="2"/>
    <x v="4"/>
    <x v="0"/>
    <n v="3"/>
    <n v="6495"/>
    <n v="0"/>
    <n v="6554"/>
    <n v="2007.5"/>
    <n v="0.30630149527006406"/>
    <x v="10"/>
  </r>
  <r>
    <s v="ORD-10145"/>
    <s v="CUST1132"/>
    <d v="2025-08-29T00:00:00"/>
    <s v="P008"/>
    <s v="Smart Watch"/>
    <x v="1"/>
    <x v="4"/>
    <n v="3"/>
    <n v="3499"/>
    <n v="0"/>
    <n v="0"/>
    <s v="Noida"/>
    <x v="5"/>
    <x v="2"/>
    <x v="1"/>
    <x v="0"/>
    <n v="5"/>
    <n v="10497"/>
    <n v="0"/>
    <n v="10497"/>
    <n v="3149.1000000000004"/>
    <n v="0.30000000000000004"/>
    <x v="5"/>
  </r>
  <r>
    <s v="ORD-10146"/>
    <s v="CUST1123"/>
    <d v="2025-02-26T00:00:00"/>
    <s v="P012"/>
    <s v="Office Chair"/>
    <x v="3"/>
    <x v="0"/>
    <n v="2"/>
    <n v="6499"/>
    <n v="0"/>
    <n v="0"/>
    <s v="Kolkata"/>
    <x v="8"/>
    <x v="1"/>
    <x v="0"/>
    <x v="0"/>
    <n v="4"/>
    <n v="12998"/>
    <n v="0"/>
    <n v="12998"/>
    <n v="3899.4000000000015"/>
    <n v="0.3000000000000001"/>
    <x v="9"/>
  </r>
  <r>
    <s v="ORD-10147"/>
    <s v="CUST1295"/>
    <d v="2025-09-13T00:00:00"/>
    <s v="P002"/>
    <s v="Mechanical Keyboard"/>
    <x v="1"/>
    <x v="1"/>
    <n v="3"/>
    <n v="2499"/>
    <n v="0.2"/>
    <n v="99"/>
    <s v="Gurgaon"/>
    <x v="0"/>
    <x v="2"/>
    <x v="1"/>
    <x v="0"/>
    <n v="3"/>
    <n v="7497"/>
    <n v="1499.4"/>
    <n v="6096.6"/>
    <n v="848.70000000000073"/>
    <n v="0.13920873929731337"/>
    <x v="7"/>
  </r>
  <r>
    <s v="ORD-10148"/>
    <s v="CUST1269"/>
    <d v="2025-05-04T00:00:00"/>
    <s v="P007"/>
    <s v="Backpack"/>
    <x v="4"/>
    <x v="5"/>
    <n v="2"/>
    <n v="1499"/>
    <n v="0.2"/>
    <n v="0"/>
    <s v="Delhi"/>
    <x v="1"/>
    <x v="3"/>
    <x v="4"/>
    <x v="0"/>
    <n v="5"/>
    <n v="2998"/>
    <n v="599.6"/>
    <n v="2398.4"/>
    <n v="299.80000000000018"/>
    <n v="0.12500000000000008"/>
    <x v="0"/>
  </r>
  <r>
    <s v="ORD-10149"/>
    <s v="CUST1199"/>
    <d v="2025-09-17T00:00:00"/>
    <s v="P009"/>
    <s v="Water Bottle"/>
    <x v="2"/>
    <x v="3"/>
    <n v="3"/>
    <n v="699"/>
    <n v="0.1"/>
    <n v="0"/>
    <s v="Chennai"/>
    <x v="4"/>
    <x v="3"/>
    <x v="2"/>
    <x v="1"/>
    <n v="3"/>
    <n v="2097"/>
    <n v="209.70000000000002"/>
    <n v="1887.3"/>
    <n v="419.40000000000009"/>
    <n v="0.22222222222222227"/>
    <x v="7"/>
  </r>
  <r>
    <s v="ORD-10150"/>
    <s v="CUST1298"/>
    <d v="2025-06-26T00:00:00"/>
    <s v="P001"/>
    <s v="Wireless Mouse"/>
    <x v="1"/>
    <x v="1"/>
    <n v="3"/>
    <n v="599"/>
    <n v="0.2"/>
    <n v="0"/>
    <s v="Pune"/>
    <x v="2"/>
    <x v="3"/>
    <x v="1"/>
    <x v="2"/>
    <n v="1"/>
    <n v="1797"/>
    <n v="359.40000000000003"/>
    <n v="1437.6"/>
    <n v="179.70000000000005"/>
    <n v="0.12500000000000003"/>
    <x v="3"/>
  </r>
  <r>
    <s v="ORD-10151"/>
    <s v="CUST1094"/>
    <d v="2025-11-26T00:00:00"/>
    <s v="P006"/>
    <s v="Cotton T-Shirt"/>
    <x v="4"/>
    <x v="8"/>
    <n v="1"/>
    <n v="799"/>
    <n v="0.1"/>
    <n v="79"/>
    <s v="Chennai"/>
    <x v="4"/>
    <x v="2"/>
    <x v="4"/>
    <x v="2"/>
    <n v="3"/>
    <n v="799"/>
    <n v="79.900000000000006"/>
    <n v="798.1"/>
    <n v="238.80000000000007"/>
    <n v="0.29921062523493303"/>
    <x v="4"/>
  </r>
  <r>
    <s v="ORD-10152"/>
    <s v="CUST1264"/>
    <d v="2025-01-23T00:00:00"/>
    <s v="P008"/>
    <s v="Smart Watch"/>
    <x v="1"/>
    <x v="4"/>
    <n v="1"/>
    <n v="3499"/>
    <n v="0.05"/>
    <n v="59"/>
    <s v="Delhi"/>
    <x v="1"/>
    <x v="1"/>
    <x v="0"/>
    <x v="0"/>
    <n v="4"/>
    <n v="3499"/>
    <n v="174.95000000000002"/>
    <n v="3383.05"/>
    <n v="933.75000000000045"/>
    <n v="0.27600833567343092"/>
    <x v="2"/>
  </r>
  <r>
    <s v="ORD-10153"/>
    <s v="CUST1140"/>
    <d v="2025-04-08T00:00:00"/>
    <s v="P005"/>
    <s v="Running Shoes"/>
    <x v="4"/>
    <x v="7"/>
    <n v="3"/>
    <n v="2999"/>
    <n v="0.2"/>
    <n v="59"/>
    <s v="Delhi"/>
    <x v="1"/>
    <x v="0"/>
    <x v="2"/>
    <x v="0"/>
    <n v="4"/>
    <n v="8997"/>
    <n v="1799.4"/>
    <n v="7256.6"/>
    <n v="958.70000000000073"/>
    <n v="0.13211421326792172"/>
    <x v="1"/>
  </r>
  <r>
    <s v="ORD-10154"/>
    <s v="CUST1189"/>
    <d v="2025-07-17T00:00:00"/>
    <s v="P007"/>
    <s v="Backpack"/>
    <x v="4"/>
    <x v="5"/>
    <n v="3"/>
    <n v="1499"/>
    <n v="0.2"/>
    <n v="79"/>
    <s v="Hyderabad"/>
    <x v="7"/>
    <x v="4"/>
    <x v="2"/>
    <x v="1"/>
    <n v="3"/>
    <n v="4497"/>
    <n v="899.40000000000009"/>
    <n v="3676.6"/>
    <n v="528.70000000000027"/>
    <n v="0.1438013381928957"/>
    <x v="10"/>
  </r>
  <r>
    <s v="ORD-10155"/>
    <s v="CUST1041"/>
    <d v="2025-11-05T00:00:00"/>
    <s v="P002"/>
    <s v="Mechanical Keyboard"/>
    <x v="1"/>
    <x v="1"/>
    <n v="1"/>
    <n v="2499"/>
    <n v="0.05"/>
    <n v="0"/>
    <s v="Bengaluru"/>
    <x v="3"/>
    <x v="3"/>
    <x v="2"/>
    <x v="0"/>
    <n v="3"/>
    <n v="2499"/>
    <n v="124.95"/>
    <n v="2374.0500000000002"/>
    <n v="624.75000000000023"/>
    <n v="0.2631578947368422"/>
    <x v="4"/>
  </r>
  <r>
    <s v="ORD-10156"/>
    <s v="CUST1181"/>
    <d v="2025-03-27T00:00:00"/>
    <s v="P008"/>
    <s v="Smart Watch"/>
    <x v="1"/>
    <x v="4"/>
    <n v="2"/>
    <n v="3499"/>
    <n v="0.1"/>
    <n v="0"/>
    <s v="Kolkata"/>
    <x v="8"/>
    <x v="4"/>
    <x v="3"/>
    <x v="0"/>
    <n v="3"/>
    <n v="6998"/>
    <n v="699.80000000000007"/>
    <n v="6298.2"/>
    <n v="1399.6000000000004"/>
    <n v="0.22222222222222229"/>
    <x v="6"/>
  </r>
  <r>
    <s v="ORD-10157"/>
    <s v="CUST1016"/>
    <d v="2025-11-23T00:00:00"/>
    <s v="P011"/>
    <s v="Notebook"/>
    <x v="0"/>
    <x v="0"/>
    <n v="1"/>
    <n v="249"/>
    <n v="0.2"/>
    <n v="49"/>
    <s v="Delhi"/>
    <x v="1"/>
    <x v="2"/>
    <x v="0"/>
    <x v="3"/>
    <n v="3"/>
    <n v="249"/>
    <n v="49.800000000000004"/>
    <n v="248.2"/>
    <n v="73.900000000000006"/>
    <n v="0.2977437550362611"/>
    <x v="4"/>
  </r>
  <r>
    <s v="ORD-10158"/>
    <s v="CUST1017"/>
    <d v="2025-05-01T00:00:00"/>
    <s v="P008"/>
    <s v="Smart Watch"/>
    <x v="1"/>
    <x v="4"/>
    <n v="1"/>
    <n v="3499"/>
    <n v="0.1"/>
    <n v="99"/>
    <s v="Delhi"/>
    <x v="1"/>
    <x v="4"/>
    <x v="1"/>
    <x v="0"/>
    <n v="3"/>
    <n v="3499"/>
    <n v="349.90000000000003"/>
    <n v="3248.1"/>
    <n v="798.80000000000018"/>
    <n v="0.24592838890428256"/>
    <x v="0"/>
  </r>
  <r>
    <s v="ORD-10159"/>
    <s v="CUST1161"/>
    <d v="2025-02-09T00:00:00"/>
    <s v="P008"/>
    <s v="Smart Watch"/>
    <x v="1"/>
    <x v="4"/>
    <n v="1"/>
    <n v="3499"/>
    <n v="0.05"/>
    <n v="79"/>
    <s v="Pune"/>
    <x v="2"/>
    <x v="3"/>
    <x v="1"/>
    <x v="3"/>
    <n v="1"/>
    <n v="3499"/>
    <n v="174.95000000000002"/>
    <n v="3403.05"/>
    <n v="953.75000000000045"/>
    <n v="0.28026329322225663"/>
    <x v="9"/>
  </r>
  <r>
    <s v="ORD-10160"/>
    <s v="CUST1110"/>
    <d v="2025-07-18T00:00:00"/>
    <s v="P001"/>
    <s v="Wireless Mouse"/>
    <x v="1"/>
    <x v="1"/>
    <n v="2"/>
    <n v="599"/>
    <n v="0.05"/>
    <n v="79"/>
    <s v="Noida"/>
    <x v="5"/>
    <x v="4"/>
    <x v="2"/>
    <x v="0"/>
    <n v="3"/>
    <n v="1198"/>
    <n v="59.900000000000006"/>
    <n v="1217.0999999999999"/>
    <n v="378.5"/>
    <n v="0.31098512858433985"/>
    <x v="10"/>
  </r>
  <r>
    <s v="ORD-10161"/>
    <s v="CUST1164"/>
    <d v="2025-02-07T00:00:00"/>
    <s v="P008"/>
    <s v="Smart Watch"/>
    <x v="1"/>
    <x v="4"/>
    <n v="1"/>
    <n v="3499"/>
    <n v="0.1"/>
    <n v="0"/>
    <s v="Jaipur"/>
    <x v="6"/>
    <x v="3"/>
    <x v="4"/>
    <x v="2"/>
    <n v="5"/>
    <n v="3499"/>
    <n v="349.90000000000003"/>
    <n v="3149.1"/>
    <n v="699.80000000000018"/>
    <n v="0.22222222222222229"/>
    <x v="9"/>
  </r>
  <r>
    <s v="ORD-10162"/>
    <s v="CUST1186"/>
    <d v="2025-03-22T00:00:00"/>
    <s v="P009"/>
    <s v="Water Bottle"/>
    <x v="2"/>
    <x v="3"/>
    <n v="3"/>
    <n v="699"/>
    <n v="0.2"/>
    <n v="49"/>
    <s v="Mumbai"/>
    <x v="2"/>
    <x v="4"/>
    <x v="1"/>
    <x v="2"/>
    <n v="1"/>
    <n v="2097"/>
    <n v="419.40000000000003"/>
    <n v="1726.6"/>
    <n v="258.70000000000005"/>
    <n v="0.14983203984709839"/>
    <x v="6"/>
  </r>
  <r>
    <s v="ORD-10163"/>
    <s v="CUST1240"/>
    <d v="2025-09-10T00:00:00"/>
    <s v="P004"/>
    <s v="USB-C Hub"/>
    <x v="1"/>
    <x v="1"/>
    <n v="1"/>
    <n v="1299"/>
    <n v="0.15"/>
    <n v="59"/>
    <s v="Noida"/>
    <x v="5"/>
    <x v="4"/>
    <x v="1"/>
    <x v="3"/>
    <n v="5"/>
    <n v="1299"/>
    <n v="194.85"/>
    <n v="1163.1500000000001"/>
    <n v="253.85000000000014"/>
    <n v="0.21824356273911372"/>
    <x v="7"/>
  </r>
  <r>
    <s v="ORD-10164"/>
    <s v="CUST1065"/>
    <d v="2025-09-03T00:00:00"/>
    <s v="P002"/>
    <s v="Mechanical Keyboard"/>
    <x v="1"/>
    <x v="1"/>
    <n v="1"/>
    <n v="2499"/>
    <n v="0.15"/>
    <n v="0"/>
    <s v="Gurgaon"/>
    <x v="0"/>
    <x v="3"/>
    <x v="4"/>
    <x v="1"/>
    <n v="4"/>
    <n v="2499"/>
    <n v="374.84999999999997"/>
    <n v="2124.15"/>
    <n v="374.85000000000014"/>
    <n v="0.17647058823529418"/>
    <x v="7"/>
  </r>
  <r>
    <s v="ORD-10165"/>
    <s v="CUST1258"/>
    <d v="2025-10-10T00:00:00"/>
    <s v="P008"/>
    <s v="Smart Watch"/>
    <x v="1"/>
    <x v="4"/>
    <n v="1"/>
    <n v="3499"/>
    <n v="0"/>
    <n v="79"/>
    <s v="Chennai"/>
    <x v="4"/>
    <x v="0"/>
    <x v="4"/>
    <x v="0"/>
    <n v="5"/>
    <n v="3499"/>
    <n v="0"/>
    <n v="3578"/>
    <n v="1128.7000000000003"/>
    <n v="0.31545556176634998"/>
    <x v="8"/>
  </r>
  <r>
    <s v="ORD-10166"/>
    <s v="CUST1041"/>
    <d v="2025-06-15T00:00:00"/>
    <s v="P003"/>
    <s v="Bluetooth Speaker"/>
    <x v="1"/>
    <x v="6"/>
    <n v="1"/>
    <n v="1799"/>
    <n v="0.15"/>
    <n v="59"/>
    <s v="Mumbai"/>
    <x v="2"/>
    <x v="3"/>
    <x v="1"/>
    <x v="0"/>
    <n v="3"/>
    <n v="1799"/>
    <n v="269.84999999999997"/>
    <n v="1588.15"/>
    <n v="328.85000000000014"/>
    <n v="0.20706482385165137"/>
    <x v="3"/>
  </r>
  <r>
    <s v="ORD-10167"/>
    <s v="CUST1298"/>
    <d v="2025-06-05T00:00:00"/>
    <s v="P009"/>
    <s v="Water Bottle"/>
    <x v="2"/>
    <x v="3"/>
    <n v="1"/>
    <n v="699"/>
    <n v="0.15"/>
    <n v="49"/>
    <s v="Mumbai"/>
    <x v="2"/>
    <x v="2"/>
    <x v="1"/>
    <x v="0"/>
    <n v="3"/>
    <n v="699"/>
    <n v="104.85"/>
    <n v="643.15"/>
    <n v="153.85000000000002"/>
    <n v="0.23921324729845297"/>
    <x v="3"/>
  </r>
  <r>
    <s v="ORD-10168"/>
    <s v="CUST1296"/>
    <d v="2025-10-16T00:00:00"/>
    <s v="P010"/>
    <s v="Desk Lamp"/>
    <x v="2"/>
    <x v="2"/>
    <n v="1"/>
    <n v="1199"/>
    <n v="0"/>
    <n v="0"/>
    <s v="Kolkata"/>
    <x v="8"/>
    <x v="3"/>
    <x v="1"/>
    <x v="0"/>
    <n v="3"/>
    <n v="1199"/>
    <n v="0"/>
    <n v="1199"/>
    <n v="359.70000000000005"/>
    <n v="0.30000000000000004"/>
    <x v="8"/>
  </r>
  <r>
    <s v="ORD-10169"/>
    <s v="CUST1155"/>
    <d v="2025-01-16T00:00:00"/>
    <s v="P010"/>
    <s v="Desk Lamp"/>
    <x v="2"/>
    <x v="2"/>
    <n v="2"/>
    <n v="1199"/>
    <n v="0.15"/>
    <n v="59"/>
    <s v="Bengaluru"/>
    <x v="3"/>
    <x v="1"/>
    <x v="1"/>
    <x v="2"/>
    <n v="3"/>
    <n v="2398"/>
    <n v="359.7"/>
    <n v="2097.3000000000002"/>
    <n v="418.70000000000027"/>
    <n v="0.19963762933295201"/>
    <x v="2"/>
  </r>
  <r>
    <s v="ORD-10170"/>
    <s v="CUST1248"/>
    <d v="2025-02-07T00:00:00"/>
    <s v="P011"/>
    <s v="Notebook"/>
    <x v="0"/>
    <x v="0"/>
    <n v="1"/>
    <n v="249"/>
    <n v="0.1"/>
    <n v="79"/>
    <s v="Bengaluru"/>
    <x v="3"/>
    <x v="1"/>
    <x v="1"/>
    <x v="0"/>
    <n v="3"/>
    <n v="249"/>
    <n v="24.900000000000002"/>
    <n v="303.10000000000002"/>
    <n v="128.80000000000004"/>
    <n v="0.42494226327944584"/>
    <x v="9"/>
  </r>
  <r>
    <s v="ORD-10171"/>
    <s v="CUST1190"/>
    <d v="2025-06-13T00:00:00"/>
    <s v="P010"/>
    <s v="Desk Lamp"/>
    <x v="2"/>
    <x v="2"/>
    <n v="1"/>
    <n v="1199"/>
    <n v="0.1"/>
    <n v="49"/>
    <s v="Noida"/>
    <x v="5"/>
    <x v="4"/>
    <x v="0"/>
    <x v="0"/>
    <n v="1"/>
    <n v="1199"/>
    <n v="119.9"/>
    <n v="1128.0999999999999"/>
    <n v="288.79999999999995"/>
    <n v="0.256005673255917"/>
    <x v="3"/>
  </r>
  <r>
    <s v="ORD-10172"/>
    <s v="CUST1149"/>
    <d v="2025-05-17T00:00:00"/>
    <s v="P006"/>
    <s v="Cotton T-Shirt"/>
    <x v="4"/>
    <x v="8"/>
    <n v="2"/>
    <n v="799"/>
    <n v="0"/>
    <n v="0"/>
    <s v="Jaipur"/>
    <x v="6"/>
    <x v="1"/>
    <x v="0"/>
    <x v="0"/>
    <n v="4"/>
    <n v="1598"/>
    <n v="0"/>
    <n v="1598"/>
    <n v="479.40000000000009"/>
    <n v="0.30000000000000004"/>
    <x v="0"/>
  </r>
  <r>
    <s v="ORD-10173"/>
    <s v="CUST1264"/>
    <d v="2025-10-23T00:00:00"/>
    <s v="P004"/>
    <s v="USB-C Hub"/>
    <x v="1"/>
    <x v="1"/>
    <n v="3"/>
    <n v="1299"/>
    <n v="0"/>
    <n v="79"/>
    <s v="Noida"/>
    <x v="5"/>
    <x v="1"/>
    <x v="3"/>
    <x v="0"/>
    <n v="3"/>
    <n v="3897"/>
    <n v="0"/>
    <n v="3976"/>
    <n v="1248.1000000000004"/>
    <n v="0.31390845070422546"/>
    <x v="8"/>
  </r>
  <r>
    <s v="ORD-10174"/>
    <s v="Not Assigned"/>
    <d v="2025-07-21T00:00:00"/>
    <s v="P008"/>
    <s v="Smart Watch"/>
    <x v="1"/>
    <x v="4"/>
    <n v="1"/>
    <n v="3499"/>
    <n v="0"/>
    <n v="99"/>
    <s v="Delhi"/>
    <x v="1"/>
    <x v="0"/>
    <x v="4"/>
    <x v="0"/>
    <n v="3"/>
    <n v="3499"/>
    <n v="0"/>
    <n v="3598"/>
    <n v="1148.7000000000003"/>
    <n v="0.31926070038910515"/>
    <x v="10"/>
  </r>
  <r>
    <s v="ORD-10175"/>
    <s v="CUST1056"/>
    <d v="2025-12-01T00:00:00"/>
    <s v="P008"/>
    <s v="Smart Watch"/>
    <x v="1"/>
    <x v="4"/>
    <n v="3"/>
    <n v="3499"/>
    <n v="0.15"/>
    <n v="0"/>
    <s v="Kolkata"/>
    <x v="8"/>
    <x v="1"/>
    <x v="1"/>
    <x v="0"/>
    <n v="3"/>
    <n v="10497"/>
    <n v="1574.55"/>
    <n v="8922.4500000000007"/>
    <n v="1574.5500000000011"/>
    <n v="0.17647058823529421"/>
    <x v="11"/>
  </r>
  <r>
    <s v="ORD-10176"/>
    <s v="CUST1100"/>
    <d v="2025-07-07T00:00:00"/>
    <s v="P012"/>
    <s v="Office Chair"/>
    <x v="3"/>
    <x v="0"/>
    <n v="3"/>
    <n v="6499"/>
    <n v="0.15"/>
    <n v="99"/>
    <s v="Pune"/>
    <x v="2"/>
    <x v="3"/>
    <x v="0"/>
    <x v="0"/>
    <n v="3"/>
    <n v="19497"/>
    <n v="2924.5499999999997"/>
    <n v="16671.45"/>
    <n v="3023.5500000000011"/>
    <n v="0.18136094940752009"/>
    <x v="10"/>
  </r>
  <r>
    <s v="ORD-10177"/>
    <s v="CUST1061"/>
    <d v="2025-10-09T00:00:00"/>
    <s v="P002"/>
    <s v="Mechanical Keyboard"/>
    <x v="1"/>
    <x v="1"/>
    <n v="2"/>
    <n v="2499"/>
    <n v="0.2"/>
    <n v="99"/>
    <s v="Bengaluru"/>
    <x v="3"/>
    <x v="2"/>
    <x v="4"/>
    <x v="3"/>
    <n v="4"/>
    <n v="4998"/>
    <n v="999.6"/>
    <n v="4097.3999999999996"/>
    <n v="598.79999999999973"/>
    <n v="0.14614145555718255"/>
    <x v="8"/>
  </r>
  <r>
    <s v="ORD-10178"/>
    <s v="CUST1257"/>
    <d v="2025-07-07T00:00:00"/>
    <s v="P006"/>
    <s v="Cotton T-Shirt"/>
    <x v="4"/>
    <x v="8"/>
    <n v="2"/>
    <n v="799"/>
    <n v="0.15"/>
    <n v="79"/>
    <s v="Pune"/>
    <x v="2"/>
    <x v="0"/>
    <x v="4"/>
    <x v="3"/>
    <n v="1"/>
    <n v="1598"/>
    <n v="239.7"/>
    <n v="1437.3"/>
    <n v="318.70000000000005"/>
    <n v="0.22173519794058308"/>
    <x v="10"/>
  </r>
  <r>
    <s v="ORD-10179"/>
    <s v="CUST1168"/>
    <d v="2025-09-23T00:00:00"/>
    <s v="P003"/>
    <s v="Bluetooth Speaker"/>
    <x v="1"/>
    <x v="6"/>
    <n v="3"/>
    <n v="1799"/>
    <n v="0.15"/>
    <n v="49"/>
    <s v="Pune"/>
    <x v="2"/>
    <x v="4"/>
    <x v="2"/>
    <x v="3"/>
    <n v="2"/>
    <n v="5397"/>
    <n v="809.55"/>
    <n v="4636.45"/>
    <n v="858.55000000000018"/>
    <n v="0.18517400166075343"/>
    <x v="7"/>
  </r>
  <r>
    <s v="ORD-10180"/>
    <s v="CUST1251"/>
    <d v="2025-06-03T00:00:00"/>
    <s v="P007"/>
    <s v="Backpack"/>
    <x v="4"/>
    <x v="5"/>
    <n v="2"/>
    <n v="1499"/>
    <n v="0.15"/>
    <n v="99"/>
    <s v="Kolkata"/>
    <x v="8"/>
    <x v="4"/>
    <x v="2"/>
    <x v="3"/>
    <n v="4"/>
    <n v="2998"/>
    <n v="449.7"/>
    <n v="2647.3"/>
    <n v="548.70000000000027"/>
    <n v="0.20726778226872672"/>
    <x v="3"/>
  </r>
  <r>
    <s v="ORD-10181"/>
    <s v="CUST1243"/>
    <d v="2025-02-26T00:00:00"/>
    <s v="P001"/>
    <s v="Wireless Mouse"/>
    <x v="1"/>
    <x v="1"/>
    <n v="1"/>
    <n v="599"/>
    <n v="0.2"/>
    <n v="0"/>
    <s v="Pune"/>
    <x v="2"/>
    <x v="3"/>
    <x v="0"/>
    <x v="0"/>
    <n v="5"/>
    <n v="599"/>
    <n v="119.80000000000001"/>
    <n v="479.2"/>
    <n v="59.900000000000034"/>
    <n v="0.12500000000000008"/>
    <x v="9"/>
  </r>
  <r>
    <s v="ORD-10182"/>
    <s v="CUST1076"/>
    <d v="2025-03-29T00:00:00"/>
    <s v="P004"/>
    <s v="USB-C Hub"/>
    <x v="1"/>
    <x v="1"/>
    <n v="2"/>
    <n v="1299"/>
    <n v="0.15"/>
    <n v="79"/>
    <s v="Delhi"/>
    <x v="1"/>
    <x v="2"/>
    <x v="4"/>
    <x v="2"/>
    <n v="5"/>
    <n v="2598"/>
    <n v="389.7"/>
    <n v="2287.3000000000002"/>
    <n v="468.70000000000027"/>
    <n v="0.20491409084947329"/>
    <x v="6"/>
  </r>
  <r>
    <s v="ORD-10183"/>
    <s v="CUST1211"/>
    <d v="2025-08-14T00:00:00"/>
    <s v="P012"/>
    <s v="Office Chair"/>
    <x v="3"/>
    <x v="0"/>
    <n v="1"/>
    <n v="6499"/>
    <n v="0.1"/>
    <n v="49"/>
    <s v="Gurgaon"/>
    <x v="0"/>
    <x v="4"/>
    <x v="0"/>
    <x v="0"/>
    <n v="4"/>
    <n v="6499"/>
    <n v="649.90000000000009"/>
    <n v="5898.1"/>
    <n v="1348.8000000000011"/>
    <n v="0.2286838134314442"/>
    <x v="5"/>
  </r>
  <r>
    <s v="ORD-10184"/>
    <s v="CUST1270"/>
    <d v="2025-09-23T00:00:00"/>
    <s v="P012"/>
    <s v="Office Chair"/>
    <x v="3"/>
    <x v="0"/>
    <n v="2"/>
    <n v="6499"/>
    <n v="0.2"/>
    <n v="79"/>
    <s v="Delhi"/>
    <x v="1"/>
    <x v="1"/>
    <x v="2"/>
    <x v="0"/>
    <n v="2"/>
    <n v="12998"/>
    <n v="2599.6000000000004"/>
    <n v="10477.4"/>
    <n v="1378.8000000000011"/>
    <n v="0.13159753373928657"/>
    <x v="7"/>
  </r>
  <r>
    <s v="ORD-10185"/>
    <s v="CUST1248"/>
    <d v="2025-07-01T00:00:00"/>
    <s v="P008"/>
    <s v="Smart Watch"/>
    <x v="1"/>
    <x v="4"/>
    <n v="1"/>
    <n v="3499"/>
    <n v="0.2"/>
    <n v="59"/>
    <s v="Chennai"/>
    <x v="4"/>
    <x v="2"/>
    <x v="1"/>
    <x v="2"/>
    <n v="3"/>
    <n v="3499"/>
    <n v="699.80000000000007"/>
    <n v="2858.2"/>
    <n v="408.90000000000009"/>
    <n v="0.14306206703519703"/>
    <x v="10"/>
  </r>
  <r>
    <s v="ORD-10186"/>
    <s v="CUST1163"/>
    <d v="2025-06-02T00:00:00"/>
    <s v="P009"/>
    <s v="Water Bottle"/>
    <x v="2"/>
    <x v="3"/>
    <n v="1"/>
    <n v="699"/>
    <n v="0.2"/>
    <n v="79"/>
    <s v="Mumbai"/>
    <x v="2"/>
    <x v="1"/>
    <x v="2"/>
    <x v="0"/>
    <n v="5"/>
    <n v="699"/>
    <n v="139.80000000000001"/>
    <n v="638.20000000000005"/>
    <n v="148.90000000000009"/>
    <n v="0.2333124412409904"/>
    <x v="3"/>
  </r>
  <r>
    <s v="ORD-10187"/>
    <s v="CUST1075"/>
    <d v="2025-10-21T00:00:00"/>
    <s v="P012"/>
    <s v="Office Chair"/>
    <x v="3"/>
    <x v="0"/>
    <n v="1"/>
    <n v="6499"/>
    <n v="0.1"/>
    <n v="59"/>
    <s v="Mumbai"/>
    <x v="2"/>
    <x v="3"/>
    <x v="4"/>
    <x v="1"/>
    <n v="3"/>
    <n v="6499"/>
    <n v="649.90000000000009"/>
    <n v="5908.1"/>
    <n v="1358.8000000000011"/>
    <n v="0.22998933667338078"/>
    <x v="8"/>
  </r>
  <r>
    <s v="ORD-10188"/>
    <s v="CUST1104"/>
    <d v="2025-08-15T00:00:00"/>
    <s v="P012"/>
    <s v="Office Chair"/>
    <x v="3"/>
    <x v="0"/>
    <n v="1"/>
    <n v="6499"/>
    <n v="0.1"/>
    <n v="49"/>
    <s v="Gurgaon"/>
    <x v="0"/>
    <x v="4"/>
    <x v="2"/>
    <x v="2"/>
    <n v="5"/>
    <n v="6499"/>
    <n v="649.90000000000009"/>
    <n v="5898.1"/>
    <n v="1348.8000000000011"/>
    <n v="0.2286838134314442"/>
    <x v="5"/>
  </r>
  <r>
    <s v="ORD-10189"/>
    <s v="CUST1272"/>
    <d v="2025-11-12T00:00:00"/>
    <s v="P012"/>
    <s v="Office Chair"/>
    <x v="3"/>
    <x v="0"/>
    <n v="1"/>
    <n v="6499"/>
    <n v="0"/>
    <n v="0"/>
    <s v="Mumbai"/>
    <x v="2"/>
    <x v="2"/>
    <x v="1"/>
    <x v="0"/>
    <n v="1"/>
    <n v="6499"/>
    <n v="0"/>
    <n v="6499"/>
    <n v="1949.7000000000007"/>
    <n v="0.3000000000000001"/>
    <x v="4"/>
  </r>
  <r>
    <s v="ORD-10190"/>
    <s v="Not Assigned"/>
    <d v="2025-08-30T00:00:00"/>
    <s v="P002"/>
    <s v="Mechanical Keyboard"/>
    <x v="1"/>
    <x v="1"/>
    <n v="1"/>
    <n v="2499"/>
    <n v="0"/>
    <n v="99"/>
    <s v="Bengaluru"/>
    <x v="3"/>
    <x v="1"/>
    <x v="3"/>
    <x v="0"/>
    <n v="4"/>
    <n v="2499"/>
    <n v="0"/>
    <n v="2598"/>
    <n v="848.7"/>
    <n v="0.32667436489607393"/>
    <x v="5"/>
  </r>
  <r>
    <s v="ORD-10191"/>
    <s v="CUST1294"/>
    <d v="2025-05-28T00:00:00"/>
    <s v="P011"/>
    <s v="Notebook"/>
    <x v="0"/>
    <x v="0"/>
    <n v="3"/>
    <n v="249"/>
    <n v="0"/>
    <n v="0"/>
    <s v="Jaipur"/>
    <x v="6"/>
    <x v="2"/>
    <x v="0"/>
    <x v="2"/>
    <n v="3"/>
    <n v="747"/>
    <n v="0"/>
    <n v="747"/>
    <n v="224.10000000000002"/>
    <n v="0.30000000000000004"/>
    <x v="0"/>
  </r>
  <r>
    <s v="ORD-10192"/>
    <s v="CUST1254"/>
    <d v="2025-03-31T00:00:00"/>
    <s v="P012"/>
    <s v="Office Chair"/>
    <x v="3"/>
    <x v="0"/>
    <n v="4"/>
    <n v="6499"/>
    <n v="0"/>
    <n v="79"/>
    <s v="Delhi"/>
    <x v="1"/>
    <x v="2"/>
    <x v="2"/>
    <x v="0"/>
    <n v="1"/>
    <n v="25996"/>
    <n v="0"/>
    <n v="26075"/>
    <n v="7877.8000000000029"/>
    <n v="0.30212080536912761"/>
    <x v="6"/>
  </r>
  <r>
    <s v="ORD-10193"/>
    <s v="CUST1269"/>
    <d v="2025-02-24T00:00:00"/>
    <s v="P001"/>
    <s v="Wireless Mouse"/>
    <x v="1"/>
    <x v="1"/>
    <n v="2"/>
    <n v="599"/>
    <n v="0.2"/>
    <n v="99"/>
    <s v="Mumbai"/>
    <x v="2"/>
    <x v="1"/>
    <x v="1"/>
    <x v="1"/>
    <n v="3"/>
    <n v="1198"/>
    <n v="239.60000000000002"/>
    <n v="1057.4000000000001"/>
    <n v="218.80000000000018"/>
    <n v="0.20692264043881234"/>
    <x v="9"/>
  </r>
  <r>
    <s v="ORD-10194"/>
    <s v="CUST1096"/>
    <d v="2025-02-27T00:00:00"/>
    <s v="P009"/>
    <s v="Water Bottle"/>
    <x v="2"/>
    <x v="3"/>
    <n v="1"/>
    <n v="699"/>
    <n v="0.1"/>
    <n v="59"/>
    <s v="Hyderabad"/>
    <x v="7"/>
    <x v="0"/>
    <x v="2"/>
    <x v="2"/>
    <n v="3"/>
    <n v="699"/>
    <n v="69.900000000000006"/>
    <n v="688.1"/>
    <n v="198.80000000000007"/>
    <n v="0.28891149542217709"/>
    <x v="9"/>
  </r>
  <r>
    <s v="ORD-10195"/>
    <s v="CUST1264"/>
    <d v="2025-04-09T00:00:00"/>
    <s v="P005"/>
    <s v="Running Shoes"/>
    <x v="4"/>
    <x v="7"/>
    <n v="2"/>
    <n v="2999"/>
    <n v="0.1"/>
    <n v="79"/>
    <s v="Kolkata"/>
    <x v="8"/>
    <x v="3"/>
    <x v="4"/>
    <x v="2"/>
    <n v="4"/>
    <n v="5998"/>
    <n v="599.80000000000007"/>
    <n v="5477.2"/>
    <n v="1278.6000000000004"/>
    <n v="0.23344044402249331"/>
    <x v="1"/>
  </r>
  <r>
    <s v="ORD-10196"/>
    <s v="CUST1197"/>
    <d v="2025-03-13T00:00:00"/>
    <s v="P011"/>
    <s v="Notebook"/>
    <x v="0"/>
    <x v="0"/>
    <n v="1"/>
    <n v="249"/>
    <n v="0"/>
    <n v="59"/>
    <s v="Gurgaon"/>
    <x v="0"/>
    <x v="2"/>
    <x v="3"/>
    <x v="0"/>
    <n v="3"/>
    <n v="249"/>
    <n v="0"/>
    <n v="308"/>
    <n v="133.70000000000002"/>
    <n v="0.43409090909090914"/>
    <x v="6"/>
  </r>
  <r>
    <s v="ORD-10197"/>
    <s v="CUST1032"/>
    <d v="2025-10-21T00:00:00"/>
    <s v="P005"/>
    <s v="Running Shoes"/>
    <x v="4"/>
    <x v="7"/>
    <n v="1"/>
    <n v="2999"/>
    <n v="0.05"/>
    <n v="49"/>
    <s v="Pune"/>
    <x v="2"/>
    <x v="0"/>
    <x v="3"/>
    <x v="2"/>
    <n v="3"/>
    <n v="2999"/>
    <n v="149.95000000000002"/>
    <n v="2898.05"/>
    <n v="798.75000000000045"/>
    <n v="0.27561636272666118"/>
    <x v="8"/>
  </r>
  <r>
    <s v="ORD-10198"/>
    <s v="CUST1189"/>
    <d v="2025-12-27T00:00:00"/>
    <s v="P003"/>
    <s v="Bluetooth Speaker"/>
    <x v="1"/>
    <x v="6"/>
    <n v="2"/>
    <n v="1799"/>
    <n v="0.2"/>
    <n v="59"/>
    <s v="Bengaluru"/>
    <x v="3"/>
    <x v="4"/>
    <x v="1"/>
    <x v="0"/>
    <n v="2"/>
    <n v="3598"/>
    <n v="719.6"/>
    <n v="2937.4"/>
    <n v="418.80000000000018"/>
    <n v="0.1425750663852387"/>
    <x v="11"/>
  </r>
  <r>
    <s v="ORD-10199"/>
    <s v="CUST1276"/>
    <d v="2025-11-07T00:00:00"/>
    <s v="P003"/>
    <s v="Bluetooth Speaker"/>
    <x v="1"/>
    <x v="6"/>
    <n v="1"/>
    <n v="1799"/>
    <n v="0.15"/>
    <n v="79"/>
    <s v="Hyderabad"/>
    <x v="7"/>
    <x v="2"/>
    <x v="1"/>
    <x v="2"/>
    <n v="3"/>
    <n v="1799"/>
    <n v="269.84999999999997"/>
    <n v="1608.15"/>
    <n v="348.85000000000014"/>
    <n v="0.21692628175232417"/>
    <x v="4"/>
  </r>
  <r>
    <s v="ORD-10200"/>
    <s v="CUST1032"/>
    <d v="2025-09-28T00:00:00"/>
    <s v="P010"/>
    <s v="Desk Lamp"/>
    <x v="2"/>
    <x v="2"/>
    <n v="2"/>
    <n v="1199"/>
    <n v="0.15"/>
    <n v="0"/>
    <s v="Gurgaon"/>
    <x v="0"/>
    <x v="4"/>
    <x v="0"/>
    <x v="0"/>
    <n v="2"/>
    <n v="2398"/>
    <n v="359.7"/>
    <n v="2038.3"/>
    <n v="359.70000000000005"/>
    <n v="0.17647058823529416"/>
    <x v="7"/>
  </r>
  <r>
    <s v="ORD-10201"/>
    <s v="CUST1299"/>
    <d v="2025-06-17T00:00:00"/>
    <s v="P010"/>
    <s v="Desk Lamp"/>
    <x v="2"/>
    <x v="2"/>
    <n v="1"/>
    <n v="1199"/>
    <n v="0.2"/>
    <n v="49"/>
    <s v="Chennai"/>
    <x v="4"/>
    <x v="1"/>
    <x v="4"/>
    <x v="0"/>
    <n v="5"/>
    <n v="1199"/>
    <n v="239.8"/>
    <n v="1008.2"/>
    <n v="168.90000000000009"/>
    <n v="0.16752628446736767"/>
    <x v="3"/>
  </r>
  <r>
    <s v="ORD-10202"/>
    <s v="CUST1237"/>
    <d v="2025-09-20T00:00:00"/>
    <s v="P008"/>
    <s v="Smart Watch"/>
    <x v="1"/>
    <x v="4"/>
    <n v="2"/>
    <n v="3499"/>
    <n v="0"/>
    <n v="99"/>
    <s v="Delhi"/>
    <x v="1"/>
    <x v="3"/>
    <x v="4"/>
    <x v="3"/>
    <n v="4"/>
    <n v="6998"/>
    <n v="0"/>
    <n v="7097"/>
    <n v="2198.4000000000005"/>
    <n v="0.30976468930534035"/>
    <x v="7"/>
  </r>
  <r>
    <s v="ORD-10203"/>
    <s v="CUST1278"/>
    <d v="2025-10-24T00:00:00"/>
    <s v="P005"/>
    <s v="Running Shoes"/>
    <x v="4"/>
    <x v="7"/>
    <n v="2"/>
    <n v="2999"/>
    <n v="0.05"/>
    <n v="0"/>
    <s v="Delhi"/>
    <x v="1"/>
    <x v="0"/>
    <x v="4"/>
    <x v="1"/>
    <n v="4"/>
    <n v="5998"/>
    <n v="299.90000000000003"/>
    <n v="5698.1"/>
    <n v="1499.5000000000009"/>
    <n v="0.26315789473684226"/>
    <x v="8"/>
  </r>
  <r>
    <s v="ORD-10204"/>
    <s v="CUST1196"/>
    <d v="2025-03-11T00:00:00"/>
    <s v="P001"/>
    <s v="Wireless Mouse"/>
    <x v="1"/>
    <x v="1"/>
    <n v="1"/>
    <n v="599"/>
    <n v="0.1"/>
    <n v="59"/>
    <s v="Mumbai"/>
    <x v="2"/>
    <x v="1"/>
    <x v="3"/>
    <x v="2"/>
    <n v="4"/>
    <n v="599"/>
    <n v="59.900000000000006"/>
    <n v="598.1"/>
    <n v="178.80000000000007"/>
    <n v="0.29894666443738516"/>
    <x v="6"/>
  </r>
  <r>
    <s v="ORD-10205"/>
    <s v="CUST1066"/>
    <d v="2025-06-28T00:00:00"/>
    <s v="P002"/>
    <s v="Mechanical Keyboard"/>
    <x v="1"/>
    <x v="1"/>
    <n v="1"/>
    <n v="2499"/>
    <n v="0.1"/>
    <n v="99"/>
    <s v="Chennai"/>
    <x v="4"/>
    <x v="2"/>
    <x v="4"/>
    <x v="3"/>
    <n v="3"/>
    <n v="2499"/>
    <n v="249.9"/>
    <n v="2348.1"/>
    <n v="598.79999999999995"/>
    <n v="0.25501469273029259"/>
    <x v="3"/>
  </r>
  <r>
    <s v="ORD-10206"/>
    <s v="CUST1236"/>
    <d v="2025-10-06T00:00:00"/>
    <s v="P001"/>
    <s v="Wireless Mouse"/>
    <x v="1"/>
    <x v="1"/>
    <n v="2"/>
    <n v="599"/>
    <n v="0"/>
    <n v="49"/>
    <s v="Mumbai"/>
    <x v="2"/>
    <x v="3"/>
    <x v="1"/>
    <x v="1"/>
    <n v="3"/>
    <n v="1198"/>
    <n v="0"/>
    <n v="1247"/>
    <n v="408.40000000000009"/>
    <n v="0.32750601443464322"/>
    <x v="8"/>
  </r>
  <r>
    <s v="ORD-10207"/>
    <s v="CUST1035"/>
    <d v="2025-12-05T00:00:00"/>
    <s v="P004"/>
    <s v="USB-C Hub"/>
    <x v="1"/>
    <x v="1"/>
    <n v="1"/>
    <n v="1299"/>
    <n v="0"/>
    <n v="49"/>
    <s v="Gurgaon"/>
    <x v="0"/>
    <x v="0"/>
    <x v="0"/>
    <x v="0"/>
    <n v="1"/>
    <n v="1299"/>
    <n v="0"/>
    <n v="1348"/>
    <n v="438.70000000000005"/>
    <n v="0.32544510385756681"/>
    <x v="11"/>
  </r>
  <r>
    <s v="ORD-10208"/>
    <s v="CUST1120"/>
    <d v="2025-01-25T00:00:00"/>
    <s v="P008"/>
    <s v="Smart Watch"/>
    <x v="1"/>
    <x v="4"/>
    <n v="2"/>
    <n v="3499"/>
    <n v="0.1"/>
    <n v="79"/>
    <s v="Kolkata"/>
    <x v="8"/>
    <x v="4"/>
    <x v="1"/>
    <x v="0"/>
    <n v="3"/>
    <n v="6998"/>
    <n v="699.80000000000007"/>
    <n v="6377.2"/>
    <n v="1478.6000000000004"/>
    <n v="0.23185724142256797"/>
    <x v="2"/>
  </r>
  <r>
    <s v="ORD-10209"/>
    <s v="CUST1296"/>
    <d v="2025-05-29T00:00:00"/>
    <s v="P001"/>
    <s v="Wireless Mouse"/>
    <x v="1"/>
    <x v="1"/>
    <n v="2"/>
    <n v="599"/>
    <n v="0.15"/>
    <n v="59"/>
    <s v="Noida"/>
    <x v="5"/>
    <x v="4"/>
    <x v="2"/>
    <x v="2"/>
    <n v="2"/>
    <n v="1198"/>
    <n v="179.7"/>
    <n v="1077.3"/>
    <n v="238.70000000000005"/>
    <n v="0.22157244964262512"/>
    <x v="0"/>
  </r>
  <r>
    <s v="ORD-10210"/>
    <s v="CUST1286"/>
    <d v="2025-09-24T00:00:00"/>
    <s v="P005"/>
    <s v="Running Shoes"/>
    <x v="4"/>
    <x v="7"/>
    <n v="5"/>
    <n v="2999"/>
    <n v="0.05"/>
    <n v="0"/>
    <s v="Noida"/>
    <x v="5"/>
    <x v="4"/>
    <x v="1"/>
    <x v="0"/>
    <n v="3"/>
    <n v="14995"/>
    <n v="749.75"/>
    <n v="14245.25"/>
    <n v="3748.75"/>
    <n v="0.26315789473684209"/>
    <x v="7"/>
  </r>
  <r>
    <s v="ORD-10211"/>
    <s v="CUST1164"/>
    <d v="2025-01-25T00:00:00"/>
    <s v="P011"/>
    <s v="Notebook"/>
    <x v="0"/>
    <x v="0"/>
    <n v="2"/>
    <n v="249"/>
    <n v="0.1"/>
    <n v="99"/>
    <s v="Bengaluru"/>
    <x v="3"/>
    <x v="1"/>
    <x v="3"/>
    <x v="2"/>
    <n v="2"/>
    <n v="498"/>
    <n v="49.800000000000004"/>
    <n v="547.20000000000005"/>
    <n v="198.60000000000008"/>
    <n v="0.36293859649122817"/>
    <x v="2"/>
  </r>
  <r>
    <s v="ORD-10212"/>
    <s v="CUST1238"/>
    <d v="2025-10-03T00:00:00"/>
    <s v="P005"/>
    <s v="Running Shoes"/>
    <x v="4"/>
    <x v="7"/>
    <n v="1"/>
    <n v="2999"/>
    <n v="0.05"/>
    <n v="49"/>
    <s v="Bengaluru"/>
    <x v="3"/>
    <x v="0"/>
    <x v="0"/>
    <x v="0"/>
    <n v="4"/>
    <n v="2999"/>
    <n v="149.95000000000002"/>
    <n v="2898.05"/>
    <n v="798.75000000000045"/>
    <n v="0.27561636272666118"/>
    <x v="8"/>
  </r>
  <r>
    <s v="ORD-10213"/>
    <s v="CUST1231"/>
    <d v="2025-07-18T00:00:00"/>
    <s v="P007"/>
    <s v="Backpack"/>
    <x v="4"/>
    <x v="5"/>
    <n v="2"/>
    <n v="1499"/>
    <n v="0.05"/>
    <n v="0"/>
    <s v="Chennai"/>
    <x v="4"/>
    <x v="3"/>
    <x v="4"/>
    <x v="0"/>
    <n v="5"/>
    <n v="2998"/>
    <n v="149.9"/>
    <n v="2848.1"/>
    <n v="749.5"/>
    <n v="0.26315789473684209"/>
    <x v="10"/>
  </r>
  <r>
    <s v="ORD-10214"/>
    <s v="CUST1097"/>
    <d v="2025-07-13T00:00:00"/>
    <s v="P012"/>
    <s v="Office Chair"/>
    <x v="3"/>
    <x v="0"/>
    <n v="1"/>
    <n v="6499"/>
    <n v="0"/>
    <n v="0"/>
    <s v="Jaipur"/>
    <x v="6"/>
    <x v="4"/>
    <x v="0"/>
    <x v="3"/>
    <n v="2"/>
    <n v="6499"/>
    <n v="0"/>
    <n v="6499"/>
    <n v="1949.7000000000007"/>
    <n v="0.3000000000000001"/>
    <x v="10"/>
  </r>
  <r>
    <s v="ORD-10215"/>
    <s v="CUST1061"/>
    <d v="2025-06-20T00:00:00"/>
    <s v="P008"/>
    <s v="Smart Watch"/>
    <x v="1"/>
    <x v="4"/>
    <n v="3"/>
    <n v="3499"/>
    <n v="0"/>
    <n v="49"/>
    <s v="Jaipur"/>
    <x v="6"/>
    <x v="1"/>
    <x v="1"/>
    <x v="0"/>
    <n v="3"/>
    <n v="10497"/>
    <n v="0"/>
    <n v="10546"/>
    <n v="3198.1000000000004"/>
    <n v="0.30325241797838048"/>
    <x v="3"/>
  </r>
  <r>
    <s v="ORD-10216"/>
    <s v="CUST1274"/>
    <d v="2025-05-03T00:00:00"/>
    <s v="P010"/>
    <s v="Desk Lamp"/>
    <x v="2"/>
    <x v="2"/>
    <n v="1"/>
    <n v="1199"/>
    <n v="0.1"/>
    <n v="79"/>
    <s v="Jaipur"/>
    <x v="6"/>
    <x v="3"/>
    <x v="2"/>
    <x v="0"/>
    <n v="3"/>
    <n v="1199"/>
    <n v="119.9"/>
    <n v="1158.0999999999999"/>
    <n v="318.79999999999995"/>
    <n v="0.27527847336154043"/>
    <x v="0"/>
  </r>
  <r>
    <s v="ORD-10217"/>
    <s v="CUST1105"/>
    <d v="2025-08-27T00:00:00"/>
    <s v="P006"/>
    <s v="Cotton T-Shirt"/>
    <x v="4"/>
    <x v="8"/>
    <n v="3"/>
    <n v="799"/>
    <n v="0.1"/>
    <n v="59"/>
    <s v="Chennai"/>
    <x v="4"/>
    <x v="3"/>
    <x v="2"/>
    <x v="2"/>
    <n v="4"/>
    <n v="2397"/>
    <n v="239.70000000000002"/>
    <n v="2216.3000000000002"/>
    <n v="538.40000000000032"/>
    <n v="0.24292740152506442"/>
    <x v="5"/>
  </r>
  <r>
    <s v="ORD-10218"/>
    <s v="CUST1214"/>
    <d v="2025-03-16T00:00:00"/>
    <s v="P001"/>
    <s v="Wireless Mouse"/>
    <x v="1"/>
    <x v="1"/>
    <n v="3"/>
    <n v="599"/>
    <n v="0.15"/>
    <n v="99"/>
    <s v="Kolkata"/>
    <x v="8"/>
    <x v="3"/>
    <x v="1"/>
    <x v="3"/>
    <n v="2"/>
    <n v="1797"/>
    <n v="269.55"/>
    <n v="1626.45"/>
    <n v="368.55000000000018"/>
    <n v="0.22659780503550689"/>
    <x v="6"/>
  </r>
  <r>
    <s v="ORD-10219"/>
    <s v="CUST1132"/>
    <d v="2025-05-06T00:00:00"/>
    <s v="P006"/>
    <s v="Cotton T-Shirt"/>
    <x v="4"/>
    <x v="8"/>
    <n v="1"/>
    <n v="799"/>
    <n v="0.2"/>
    <n v="59"/>
    <s v="Jaipur"/>
    <x v="6"/>
    <x v="1"/>
    <x v="3"/>
    <x v="2"/>
    <n v="4"/>
    <n v="799"/>
    <n v="159.80000000000001"/>
    <n v="698.2"/>
    <n v="138.90000000000009"/>
    <n v="0.198940131767402"/>
    <x v="0"/>
  </r>
  <r>
    <s v="ORD-10220"/>
    <s v="CUST1269"/>
    <d v="2025-10-07T00:00:00"/>
    <s v="P003"/>
    <s v="Bluetooth Speaker"/>
    <x v="1"/>
    <x v="6"/>
    <n v="1"/>
    <n v="1799"/>
    <n v="0.2"/>
    <n v="0"/>
    <s v="Pune"/>
    <x v="2"/>
    <x v="0"/>
    <x v="4"/>
    <x v="3"/>
    <n v="3"/>
    <n v="1799"/>
    <n v="359.8"/>
    <n v="1439.2"/>
    <n v="179.90000000000009"/>
    <n v="0.12500000000000006"/>
    <x v="8"/>
  </r>
  <r>
    <s v="ORD-10221"/>
    <s v="CUST1078"/>
    <d v="2025-07-31T00:00:00"/>
    <s v="P011"/>
    <s v="Notebook"/>
    <x v="0"/>
    <x v="0"/>
    <n v="3"/>
    <n v="249"/>
    <n v="0"/>
    <n v="0"/>
    <s v="Delhi"/>
    <x v="1"/>
    <x v="0"/>
    <x v="1"/>
    <x v="2"/>
    <n v="5"/>
    <n v="747"/>
    <n v="0"/>
    <n v="747"/>
    <n v="224.10000000000002"/>
    <n v="0.30000000000000004"/>
    <x v="10"/>
  </r>
  <r>
    <s v="ORD-10222"/>
    <s v="CUST1009"/>
    <d v="2025-11-23T00:00:00"/>
    <s v="P008"/>
    <s v="Smart Watch"/>
    <x v="1"/>
    <x v="4"/>
    <n v="1"/>
    <n v="3499"/>
    <n v="0.1"/>
    <n v="79"/>
    <s v="Pune"/>
    <x v="2"/>
    <x v="0"/>
    <x v="0"/>
    <x v="3"/>
    <n v="5"/>
    <n v="3499"/>
    <n v="349.90000000000003"/>
    <n v="3228.1"/>
    <n v="778.80000000000018"/>
    <n v="0.24125646665221034"/>
    <x v="4"/>
  </r>
  <r>
    <s v="ORD-10223"/>
    <s v="CUST1092"/>
    <d v="2025-05-21T00:00:00"/>
    <s v="P007"/>
    <s v="Backpack"/>
    <x v="4"/>
    <x v="5"/>
    <n v="1"/>
    <n v="1499"/>
    <n v="0.15"/>
    <n v="79"/>
    <s v="Delhi"/>
    <x v="1"/>
    <x v="0"/>
    <x v="4"/>
    <x v="0"/>
    <n v="5"/>
    <n v="1499"/>
    <n v="224.85"/>
    <n v="1353.15"/>
    <n v="303.85000000000014"/>
    <n v="0.22455012378524192"/>
    <x v="0"/>
  </r>
  <r>
    <s v="ORD-10224"/>
    <s v="CUST1041"/>
    <d v="2025-09-27T00:00:00"/>
    <s v="P003"/>
    <s v="Bluetooth Speaker"/>
    <x v="1"/>
    <x v="6"/>
    <n v="1"/>
    <n v="1799"/>
    <n v="0.05"/>
    <n v="79"/>
    <s v="Jaipur"/>
    <x v="6"/>
    <x v="3"/>
    <x v="3"/>
    <x v="0"/>
    <n v="4"/>
    <n v="1799"/>
    <n v="89.95"/>
    <n v="1788.05"/>
    <n v="528.75"/>
    <n v="0.29571320712508042"/>
    <x v="7"/>
  </r>
  <r>
    <s v="ORD-10225"/>
    <s v="CUST1048"/>
    <d v="2025-04-26T00:00:00"/>
    <s v="P010"/>
    <s v="Desk Lamp"/>
    <x v="2"/>
    <x v="2"/>
    <n v="5"/>
    <n v="1199"/>
    <n v="0.2"/>
    <n v="0"/>
    <s v="Jaipur"/>
    <x v="6"/>
    <x v="1"/>
    <x v="3"/>
    <x v="0"/>
    <n v="4"/>
    <n v="5995"/>
    <n v="1199"/>
    <n v="4796"/>
    <n v="599.5"/>
    <n v="0.125"/>
    <x v="1"/>
  </r>
  <r>
    <s v="ORD-10226"/>
    <s v="CUST1170"/>
    <d v="2025-01-05T00:00:00"/>
    <s v="P009"/>
    <s v="Water Bottle"/>
    <x v="2"/>
    <x v="3"/>
    <n v="1"/>
    <n v="699"/>
    <n v="0.1"/>
    <n v="79"/>
    <s v="Hyderabad"/>
    <x v="7"/>
    <x v="4"/>
    <x v="4"/>
    <x v="0"/>
    <n v="5"/>
    <n v="699"/>
    <n v="69.900000000000006"/>
    <n v="708.1"/>
    <n v="218.80000000000007"/>
    <n v="0.30899590453325809"/>
    <x v="2"/>
  </r>
  <r>
    <s v="ORD-10227"/>
    <s v="CUST1144"/>
    <d v="2025-12-21T00:00:00"/>
    <s v="P001"/>
    <s v="Wireless Mouse"/>
    <x v="1"/>
    <x v="1"/>
    <n v="1"/>
    <n v="599"/>
    <n v="0"/>
    <n v="0"/>
    <s v="Jaipur"/>
    <x v="6"/>
    <x v="4"/>
    <x v="0"/>
    <x v="0"/>
    <n v="3"/>
    <n v="599"/>
    <n v="0"/>
    <n v="599"/>
    <n v="179.70000000000005"/>
    <n v="0.3000000000000001"/>
    <x v="11"/>
  </r>
  <r>
    <s v="ORD-10228"/>
    <s v="CUST1040"/>
    <d v="2025-06-11T00:00:00"/>
    <s v="P001"/>
    <s v="Wireless Mouse"/>
    <x v="1"/>
    <x v="1"/>
    <n v="4"/>
    <n v="599"/>
    <n v="0"/>
    <n v="79"/>
    <s v="Noida"/>
    <x v="5"/>
    <x v="3"/>
    <x v="1"/>
    <x v="3"/>
    <n v="5"/>
    <n v="2396"/>
    <n v="0"/>
    <n v="2475"/>
    <n v="797.80000000000018"/>
    <n v="0.32234343434343443"/>
    <x v="3"/>
  </r>
  <r>
    <s v="ORD-10229"/>
    <s v="CUST1072"/>
    <d v="2025-07-19T00:00:00"/>
    <s v="P004"/>
    <s v="USB-C Hub"/>
    <x v="1"/>
    <x v="1"/>
    <n v="3"/>
    <n v="1299"/>
    <n v="0.05"/>
    <n v="79"/>
    <s v="Kolkata"/>
    <x v="8"/>
    <x v="0"/>
    <x v="0"/>
    <x v="3"/>
    <n v="3"/>
    <n v="3897"/>
    <n v="194.85000000000002"/>
    <n v="3781.15"/>
    <n v="1053.2500000000005"/>
    <n v="0.27855282123163599"/>
    <x v="10"/>
  </r>
  <r>
    <s v="ORD-10230"/>
    <s v="CUST1204"/>
    <d v="2025-04-29T00:00:00"/>
    <s v="P006"/>
    <s v="Cotton T-Shirt"/>
    <x v="4"/>
    <x v="8"/>
    <n v="1"/>
    <n v="799"/>
    <n v="0.15"/>
    <n v="99"/>
    <s v="Delhi"/>
    <x v="1"/>
    <x v="3"/>
    <x v="4"/>
    <x v="3"/>
    <n v="3"/>
    <n v="799"/>
    <n v="119.85"/>
    <n v="778.15"/>
    <n v="218.85000000000002"/>
    <n v="0.28124397609715357"/>
    <x v="1"/>
  </r>
  <r>
    <s v="ORD-10231"/>
    <s v="CUST1195"/>
    <d v="2025-07-02T00:00:00"/>
    <s v="P005"/>
    <s v="Running Shoes"/>
    <x v="4"/>
    <x v="7"/>
    <n v="2"/>
    <n v="2017"/>
    <n v="0"/>
    <n v="99"/>
    <s v="Hyderabad"/>
    <x v="7"/>
    <x v="0"/>
    <x v="0"/>
    <x v="1"/>
    <n v="3"/>
    <n v="4034"/>
    <n v="0"/>
    <n v="4133"/>
    <n v="1309.2000000000003"/>
    <n v="0.31676748124848786"/>
    <x v="10"/>
  </r>
  <r>
    <s v="ORD-10232"/>
    <s v="CUST1163"/>
    <d v="2025-03-20T00:00:00"/>
    <s v="P004"/>
    <s v="USB-C Hub"/>
    <x v="1"/>
    <x v="1"/>
    <n v="1"/>
    <n v="1299"/>
    <n v="0"/>
    <n v="79"/>
    <s v="Gurgaon"/>
    <x v="0"/>
    <x v="3"/>
    <x v="4"/>
    <x v="2"/>
    <n v="1"/>
    <n v="1299"/>
    <n v="0"/>
    <n v="1378"/>
    <n v="468.70000000000005"/>
    <n v="0.3401306240928883"/>
    <x v="6"/>
  </r>
  <r>
    <s v="ORD-10233"/>
    <s v="CUST1230"/>
    <d v="2025-05-19T00:00:00"/>
    <s v="P001"/>
    <s v="Wireless Mouse"/>
    <x v="1"/>
    <x v="1"/>
    <n v="1"/>
    <n v="599"/>
    <n v="0"/>
    <n v="79"/>
    <s v="Mumbai"/>
    <x v="2"/>
    <x v="4"/>
    <x v="0"/>
    <x v="0"/>
    <n v="5"/>
    <n v="599"/>
    <n v="0"/>
    <n v="678"/>
    <n v="258.70000000000005"/>
    <n v="0.38156342182890862"/>
    <x v="0"/>
  </r>
  <r>
    <s v="ORD-10234"/>
    <s v="CUST1198"/>
    <d v="2025-07-01T00:00:00"/>
    <s v="P007"/>
    <s v="Backpack"/>
    <x v="4"/>
    <x v="5"/>
    <n v="1"/>
    <n v="1499"/>
    <n v="0.15"/>
    <n v="59"/>
    <s v="Gurgaon"/>
    <x v="0"/>
    <x v="0"/>
    <x v="2"/>
    <x v="3"/>
    <n v="4"/>
    <n v="1499"/>
    <n v="224.85"/>
    <n v="1333.15"/>
    <n v="283.85000000000014"/>
    <n v="0.21291677605670789"/>
    <x v="10"/>
  </r>
  <r>
    <s v="ORD-10235"/>
    <s v="CUST1087"/>
    <d v="2025-10-14T00:00:00"/>
    <s v="P007"/>
    <s v="Backpack"/>
    <x v="4"/>
    <x v="5"/>
    <n v="2"/>
    <n v="1499"/>
    <n v="0"/>
    <n v="79"/>
    <s v="Gurgaon"/>
    <x v="0"/>
    <x v="2"/>
    <x v="2"/>
    <x v="3"/>
    <n v="3"/>
    <n v="2998"/>
    <n v="0"/>
    <n v="3077"/>
    <n v="978.40000000000009"/>
    <n v="0.31797205069873258"/>
    <x v="8"/>
  </r>
  <r>
    <s v="ORD-10236"/>
    <s v="CUST1040"/>
    <d v="2025-03-27T00:00:00"/>
    <s v="P005"/>
    <s v="Running Shoes"/>
    <x v="4"/>
    <x v="7"/>
    <n v="1"/>
    <n v="2999"/>
    <n v="0.05"/>
    <n v="79"/>
    <s v="Hyderabad"/>
    <x v="7"/>
    <x v="3"/>
    <x v="2"/>
    <x v="1"/>
    <n v="2"/>
    <n v="2999"/>
    <n v="149.95000000000002"/>
    <n v="2928.05"/>
    <n v="828.75000000000045"/>
    <n v="0.28303819948429854"/>
    <x v="6"/>
  </r>
  <r>
    <s v="ORD-10237"/>
    <s v="CUST1203"/>
    <d v="2025-04-11T00:00:00"/>
    <s v="P012"/>
    <s v="Office Chair"/>
    <x v="3"/>
    <x v="0"/>
    <n v="2"/>
    <n v="6499"/>
    <n v="0.05"/>
    <n v="0"/>
    <s v="Hyderabad"/>
    <x v="7"/>
    <x v="3"/>
    <x v="0"/>
    <x v="0"/>
    <n v="4"/>
    <n v="12998"/>
    <n v="649.90000000000009"/>
    <n v="12348.1"/>
    <n v="3249.5000000000018"/>
    <n v="0.26315789473684226"/>
    <x v="1"/>
  </r>
  <r>
    <s v="ORD-10238"/>
    <s v="CUST1103"/>
    <d v="2025-11-30T00:00:00"/>
    <s v="P006"/>
    <s v="Cotton T-Shirt"/>
    <x v="4"/>
    <x v="8"/>
    <n v="1"/>
    <n v="799"/>
    <n v="0.05"/>
    <n v="99"/>
    <s v="Hyderabad"/>
    <x v="7"/>
    <x v="1"/>
    <x v="2"/>
    <x v="0"/>
    <n v="2"/>
    <n v="799"/>
    <n v="39.950000000000003"/>
    <n v="858.05"/>
    <n v="298.75"/>
    <n v="0.3481731833809219"/>
    <x v="4"/>
  </r>
  <r>
    <s v="ORD-10239"/>
    <s v="CUST1193"/>
    <d v="2025-12-22T00:00:00"/>
    <s v="P007"/>
    <s v="Backpack"/>
    <x v="4"/>
    <x v="5"/>
    <n v="1"/>
    <n v="1499"/>
    <n v="0"/>
    <n v="59"/>
    <s v="Pune"/>
    <x v="2"/>
    <x v="3"/>
    <x v="3"/>
    <x v="3"/>
    <n v="3"/>
    <n v="1499"/>
    <n v="0"/>
    <n v="1558"/>
    <n v="508.70000000000005"/>
    <n v="0.32650834403080875"/>
    <x v="11"/>
  </r>
  <r>
    <s v="ORD-10240"/>
    <s v="CUST1108"/>
    <d v="2025-10-07T00:00:00"/>
    <s v="P002"/>
    <s v="Mechanical Keyboard"/>
    <x v="1"/>
    <x v="1"/>
    <n v="1"/>
    <n v="2499"/>
    <n v="0"/>
    <n v="79"/>
    <s v="Kolkata"/>
    <x v="8"/>
    <x v="1"/>
    <x v="2"/>
    <x v="3"/>
    <n v="3"/>
    <n v="2499"/>
    <n v="0"/>
    <n v="2578"/>
    <n v="828.7"/>
    <n v="0.32145073700543059"/>
    <x v="8"/>
  </r>
  <r>
    <s v="ORD-10241"/>
    <s v="CUST1124"/>
    <d v="2025-07-29T00:00:00"/>
    <s v="P012"/>
    <s v="Office Chair"/>
    <x v="3"/>
    <x v="0"/>
    <n v="3"/>
    <n v="6499"/>
    <n v="0.2"/>
    <n v="59"/>
    <s v="Gurgaon"/>
    <x v="0"/>
    <x v="3"/>
    <x v="1"/>
    <x v="0"/>
    <n v="3"/>
    <n v="19497"/>
    <n v="3899.4"/>
    <n v="15656.6"/>
    <n v="2008.7000000000007"/>
    <n v="0.12829733147682132"/>
    <x v="10"/>
  </r>
  <r>
    <s v="ORD-10242"/>
    <s v="CUST1215"/>
    <d v="2025-11-03T00:00:00"/>
    <s v="P007"/>
    <s v="Backpack"/>
    <x v="4"/>
    <x v="5"/>
    <n v="1"/>
    <n v="1499"/>
    <n v="0.15"/>
    <n v="99"/>
    <s v="Bengaluru"/>
    <x v="3"/>
    <x v="4"/>
    <x v="4"/>
    <x v="1"/>
    <n v="3"/>
    <n v="1499"/>
    <n v="224.85"/>
    <n v="1373.15"/>
    <n v="323.85000000000014"/>
    <n v="0.23584459090412563"/>
    <x v="4"/>
  </r>
  <r>
    <s v="ORD-10243"/>
    <s v="CUST1086"/>
    <d v="2025-02-13T00:00:00"/>
    <s v="P006"/>
    <s v="Cotton T-Shirt"/>
    <x v="4"/>
    <x v="8"/>
    <n v="2"/>
    <n v="799"/>
    <n v="0.2"/>
    <n v="59"/>
    <s v="Chennai"/>
    <x v="4"/>
    <x v="4"/>
    <x v="4"/>
    <x v="0"/>
    <n v="5"/>
    <n v="1598"/>
    <n v="319.60000000000002"/>
    <n v="1337.4"/>
    <n v="218.80000000000018"/>
    <n v="0.16360101689845982"/>
    <x v="9"/>
  </r>
  <r>
    <s v="ORD-10244"/>
    <s v="CUST1114"/>
    <d v="2025-06-19T00:00:00"/>
    <s v="P011"/>
    <s v="Notebook"/>
    <x v="0"/>
    <x v="0"/>
    <n v="4"/>
    <n v="249"/>
    <n v="0"/>
    <n v="59"/>
    <s v="Bengaluru"/>
    <x v="3"/>
    <x v="4"/>
    <x v="0"/>
    <x v="0"/>
    <n v="5"/>
    <n v="996"/>
    <n v="0"/>
    <n v="1055"/>
    <n v="357.80000000000007"/>
    <n v="0.33914691943127967"/>
    <x v="3"/>
  </r>
  <r>
    <s v="ORD-10245"/>
    <s v="CUST1078"/>
    <d v="2025-07-11T00:00:00"/>
    <s v="P010"/>
    <s v="Desk Lamp"/>
    <x v="2"/>
    <x v="2"/>
    <n v="1"/>
    <n v="1199"/>
    <n v="0"/>
    <n v="99"/>
    <s v="Kolkata"/>
    <x v="8"/>
    <x v="3"/>
    <x v="4"/>
    <x v="2"/>
    <n v="4"/>
    <n v="1199"/>
    <n v="0"/>
    <n v="1298"/>
    <n v="458.70000000000005"/>
    <n v="0.35338983050847461"/>
    <x v="10"/>
  </r>
  <r>
    <s v="ORD-10246"/>
    <s v="CUST1160"/>
    <d v="2025-02-13T00:00:00"/>
    <s v="P002"/>
    <s v="Mechanical Keyboard"/>
    <x v="1"/>
    <x v="1"/>
    <n v="1"/>
    <n v="2499"/>
    <n v="0"/>
    <n v="59"/>
    <s v="Mumbai"/>
    <x v="2"/>
    <x v="3"/>
    <x v="3"/>
    <x v="2"/>
    <n v="3"/>
    <n v="2499"/>
    <n v="0"/>
    <n v="2558"/>
    <n v="808.7"/>
    <n v="0.3161454261141517"/>
    <x v="9"/>
  </r>
  <r>
    <s v="ORD-10247"/>
    <s v="CUST1164"/>
    <d v="2025-09-01T00:00:00"/>
    <s v="P004"/>
    <s v="USB-C Hub"/>
    <x v="1"/>
    <x v="1"/>
    <n v="2"/>
    <n v="1299"/>
    <n v="0.2"/>
    <n v="79"/>
    <s v="Chennai"/>
    <x v="4"/>
    <x v="0"/>
    <x v="2"/>
    <x v="2"/>
    <n v="1"/>
    <n v="2598"/>
    <n v="519.6"/>
    <n v="2157.4"/>
    <n v="338.80000000000018"/>
    <n v="0.1570408825438028"/>
    <x v="7"/>
  </r>
  <r>
    <s v="ORD-10248"/>
    <s v="CUST1265"/>
    <d v="2025-06-25T00:00:00"/>
    <s v="P012"/>
    <s v="Office Chair"/>
    <x v="3"/>
    <x v="0"/>
    <n v="1"/>
    <n v="6499"/>
    <n v="0"/>
    <n v="49"/>
    <s v="Gurgaon"/>
    <x v="0"/>
    <x v="2"/>
    <x v="0"/>
    <x v="2"/>
    <n v="2"/>
    <n v="6499"/>
    <n v="0"/>
    <n v="6548"/>
    <n v="1998.7000000000007"/>
    <n v="0.30523824068417849"/>
    <x v="3"/>
  </r>
  <r>
    <s v="ORD-10249"/>
    <s v="CUST1096"/>
    <d v="2025-08-25T00:00:00"/>
    <s v="P006"/>
    <s v="Cotton T-Shirt"/>
    <x v="4"/>
    <x v="8"/>
    <n v="1"/>
    <n v="799"/>
    <n v="0.2"/>
    <n v="49"/>
    <s v="Chennai"/>
    <x v="4"/>
    <x v="1"/>
    <x v="3"/>
    <x v="1"/>
    <n v="1"/>
    <n v="799"/>
    <n v="159.80000000000001"/>
    <n v="688.2"/>
    <n v="128.90000000000009"/>
    <n v="0.18730020342923581"/>
    <x v="5"/>
  </r>
  <r>
    <s v="ORD-10250"/>
    <s v="CUST1106"/>
    <d v="2025-08-19T00:00:00"/>
    <s v="P012"/>
    <s v="Office Chair"/>
    <x v="3"/>
    <x v="0"/>
    <n v="3"/>
    <n v="6499"/>
    <n v="0"/>
    <n v="49"/>
    <s v="Kolkata"/>
    <x v="8"/>
    <x v="3"/>
    <x v="4"/>
    <x v="1"/>
    <n v="5"/>
    <n v="19497"/>
    <n v="0"/>
    <n v="19546"/>
    <n v="5898.1"/>
    <n v="0.30175483474879772"/>
    <x v="5"/>
  </r>
  <r>
    <s v="ORD-10251"/>
    <s v="CUST1271"/>
    <d v="2025-06-16T00:00:00"/>
    <s v="P002"/>
    <s v="Mechanical Keyboard"/>
    <x v="1"/>
    <x v="1"/>
    <n v="1"/>
    <n v="2499"/>
    <n v="0.05"/>
    <n v="79"/>
    <s v="Chennai"/>
    <x v="4"/>
    <x v="3"/>
    <x v="0"/>
    <x v="0"/>
    <n v="4"/>
    <n v="2499"/>
    <n v="124.95"/>
    <n v="2453.0500000000002"/>
    <n v="703.75000000000023"/>
    <n v="0.28688775198222627"/>
    <x v="3"/>
  </r>
  <r>
    <s v="ORD-10252"/>
    <s v="CUST1153"/>
    <d v="2025-06-28T00:00:00"/>
    <s v="P010"/>
    <s v="Desk Lamp"/>
    <x v="2"/>
    <x v="2"/>
    <n v="2"/>
    <n v="1199"/>
    <n v="0.15"/>
    <n v="49"/>
    <s v="Bengaluru"/>
    <x v="3"/>
    <x v="4"/>
    <x v="0"/>
    <x v="1"/>
    <n v="1"/>
    <n v="2398"/>
    <n v="359.7"/>
    <n v="2087.3000000000002"/>
    <n v="408.70000000000027"/>
    <n v="0.19580319072485999"/>
    <x v="3"/>
  </r>
  <r>
    <s v="ORD-10253"/>
    <s v="CUST1262"/>
    <d v="2025-05-03T00:00:00"/>
    <s v="P011"/>
    <s v="Notebook"/>
    <x v="0"/>
    <x v="0"/>
    <n v="1"/>
    <n v="249"/>
    <n v="0.05"/>
    <n v="49"/>
    <s v="Noida"/>
    <x v="5"/>
    <x v="1"/>
    <x v="3"/>
    <x v="0"/>
    <n v="5"/>
    <n v="249"/>
    <n v="12.450000000000001"/>
    <n v="285.55"/>
    <n v="111.25000000000003"/>
    <n v="0.38959901943617586"/>
    <x v="0"/>
  </r>
  <r>
    <s v="ORD-10254"/>
    <s v="CUST1285"/>
    <d v="2025-04-06T00:00:00"/>
    <s v="P003"/>
    <s v="Bluetooth Speaker"/>
    <x v="1"/>
    <x v="6"/>
    <n v="1"/>
    <n v="1799"/>
    <n v="0.2"/>
    <n v="49"/>
    <s v="Kolkata"/>
    <x v="8"/>
    <x v="2"/>
    <x v="3"/>
    <x v="3"/>
    <n v="3"/>
    <n v="1799"/>
    <n v="359.8"/>
    <n v="1488.2"/>
    <n v="228.90000000000009"/>
    <n v="0.15380997177798689"/>
    <x v="1"/>
  </r>
  <r>
    <s v="ORD-10255"/>
    <s v="CUST1070"/>
    <d v="2025-08-19T00:00:00"/>
    <s v="P003"/>
    <s v="Bluetooth Speaker"/>
    <x v="1"/>
    <x v="6"/>
    <n v="1"/>
    <n v="1799"/>
    <n v="0"/>
    <n v="79"/>
    <s v="Noida"/>
    <x v="5"/>
    <x v="2"/>
    <x v="3"/>
    <x v="0"/>
    <n v="5"/>
    <n v="1799"/>
    <n v="0"/>
    <n v="1878"/>
    <n v="618.70000000000005"/>
    <n v="0.32944621938232166"/>
    <x v="5"/>
  </r>
  <r>
    <s v="ORD-10256"/>
    <s v="CUST1043"/>
    <d v="2025-09-09T00:00:00"/>
    <s v="P009"/>
    <s v="Water Bottle"/>
    <x v="2"/>
    <x v="3"/>
    <n v="1"/>
    <n v="699"/>
    <n v="0.1"/>
    <n v="49"/>
    <s v="Hyderabad"/>
    <x v="7"/>
    <x v="4"/>
    <x v="4"/>
    <x v="1"/>
    <n v="3"/>
    <n v="699"/>
    <n v="69.900000000000006"/>
    <n v="678.1"/>
    <n v="188.80000000000007"/>
    <n v="0.2784250110603157"/>
    <x v="7"/>
  </r>
  <r>
    <s v="ORD-10257"/>
    <s v="CUST1254"/>
    <d v="2025-04-26T00:00:00"/>
    <s v="P004"/>
    <s v="USB-C Hub"/>
    <x v="1"/>
    <x v="1"/>
    <n v="1"/>
    <n v="1299"/>
    <n v="0.1"/>
    <n v="99"/>
    <s v="Mumbai"/>
    <x v="2"/>
    <x v="4"/>
    <x v="0"/>
    <x v="0"/>
    <n v="1"/>
    <n v="1299"/>
    <n v="129.9"/>
    <n v="1268.0999999999999"/>
    <n v="358.79999999999995"/>
    <n v="0.28294298556896141"/>
    <x v="1"/>
  </r>
  <r>
    <s v="ORD-10258"/>
    <s v="CUST1280"/>
    <d v="2025-10-06T00:00:00"/>
    <s v="P010"/>
    <s v="Desk Lamp"/>
    <x v="2"/>
    <x v="2"/>
    <n v="1"/>
    <n v="1199"/>
    <n v="0.2"/>
    <n v="79"/>
    <s v="Gurgaon"/>
    <x v="0"/>
    <x v="2"/>
    <x v="3"/>
    <x v="0"/>
    <n v="1"/>
    <n v="1199"/>
    <n v="239.8"/>
    <n v="1038.2"/>
    <n v="198.90000000000009"/>
    <n v="0.19158158350992111"/>
    <x v="8"/>
  </r>
  <r>
    <s v="ORD-10259"/>
    <s v="CUST1061"/>
    <d v="2025-01-17T00:00:00"/>
    <s v="P012"/>
    <s v="Office Chair"/>
    <x v="3"/>
    <x v="0"/>
    <n v="1"/>
    <n v="6499"/>
    <n v="0"/>
    <n v="79"/>
    <s v="Jaipur"/>
    <x v="6"/>
    <x v="2"/>
    <x v="1"/>
    <x v="0"/>
    <n v="3"/>
    <n v="6499"/>
    <n v="0"/>
    <n v="6578"/>
    <n v="2028.7000000000007"/>
    <n v="0.30840681058072372"/>
    <x v="2"/>
  </r>
  <r>
    <s v="ORD-10260"/>
    <s v="CUST1072"/>
    <d v="2025-12-30T00:00:00"/>
    <s v="P012"/>
    <s v="Office Chair"/>
    <x v="3"/>
    <x v="0"/>
    <n v="2"/>
    <n v="6499"/>
    <n v="0"/>
    <n v="99"/>
    <s v="Kolkata"/>
    <x v="8"/>
    <x v="2"/>
    <x v="1"/>
    <x v="1"/>
    <n v="3"/>
    <n v="12998"/>
    <n v="0"/>
    <n v="13097"/>
    <n v="3998.4000000000015"/>
    <n v="0.30529128808124006"/>
    <x v="11"/>
  </r>
  <r>
    <s v="ORD-10261"/>
    <s v="CUST1149"/>
    <d v="2025-05-24T00:00:00"/>
    <s v="P001"/>
    <s v="Wireless Mouse"/>
    <x v="1"/>
    <x v="1"/>
    <n v="1"/>
    <n v="599"/>
    <n v="0.05"/>
    <n v="59"/>
    <s v="Kolkata"/>
    <x v="8"/>
    <x v="4"/>
    <x v="2"/>
    <x v="0"/>
    <n v="3"/>
    <n v="599"/>
    <n v="29.950000000000003"/>
    <n v="628.04999999999995"/>
    <n v="208.75"/>
    <n v="0.33237799538253326"/>
    <x v="0"/>
  </r>
  <r>
    <s v="ORD-10262"/>
    <s v="CUST1128"/>
    <d v="2025-07-30T00:00:00"/>
    <s v="P009"/>
    <s v="Water Bottle"/>
    <x v="2"/>
    <x v="3"/>
    <n v="1"/>
    <n v="699"/>
    <n v="0"/>
    <n v="49"/>
    <s v="Gurgaon"/>
    <x v="0"/>
    <x v="2"/>
    <x v="2"/>
    <x v="2"/>
    <n v="3"/>
    <n v="699"/>
    <n v="0"/>
    <n v="748"/>
    <n v="258.70000000000005"/>
    <n v="0.34585561497326212"/>
    <x v="10"/>
  </r>
  <r>
    <s v="ORD-10263"/>
    <s v="CUST1232"/>
    <d v="2025-10-23T00:00:00"/>
    <s v="P004"/>
    <s v="USB-C Hub"/>
    <x v="1"/>
    <x v="1"/>
    <n v="2"/>
    <n v="1299"/>
    <n v="0.1"/>
    <n v="79"/>
    <s v="Bengaluru"/>
    <x v="3"/>
    <x v="0"/>
    <x v="4"/>
    <x v="2"/>
    <n v="4"/>
    <n v="2598"/>
    <n v="259.8"/>
    <n v="2417.1999999999998"/>
    <n v="598.59999999999991"/>
    <n v="0.24764189971868275"/>
    <x v="8"/>
  </r>
  <r>
    <s v="ORD-10264"/>
    <s v="CUST1048"/>
    <d v="2025-07-08T00:00:00"/>
    <s v="P009"/>
    <s v="Water Bottle"/>
    <x v="2"/>
    <x v="3"/>
    <n v="2"/>
    <n v="699"/>
    <n v="0.15"/>
    <n v="0"/>
    <s v="Mumbai"/>
    <x v="2"/>
    <x v="1"/>
    <x v="2"/>
    <x v="0"/>
    <n v="3"/>
    <n v="1398"/>
    <n v="209.7"/>
    <n v="1188.3"/>
    <n v="209.70000000000005"/>
    <n v="0.17647058823529416"/>
    <x v="10"/>
  </r>
  <r>
    <s v="ORD-10265"/>
    <s v="CUST1173"/>
    <d v="2025-08-08T00:00:00"/>
    <s v="P002"/>
    <s v="Mechanical Keyboard"/>
    <x v="1"/>
    <x v="1"/>
    <n v="1"/>
    <n v="2499"/>
    <n v="0.05"/>
    <n v="59"/>
    <s v="Chennai"/>
    <x v="4"/>
    <x v="4"/>
    <x v="0"/>
    <x v="0"/>
    <n v="2"/>
    <n v="2499"/>
    <n v="124.95"/>
    <n v="2433.0500000000002"/>
    <n v="683.75000000000023"/>
    <n v="0.28102587287560887"/>
    <x v="5"/>
  </r>
  <r>
    <s v="ORD-10266"/>
    <s v="CUST1009"/>
    <d v="2025-12-16T00:00:00"/>
    <s v="P010"/>
    <s v="Desk Lamp"/>
    <x v="2"/>
    <x v="2"/>
    <n v="3"/>
    <n v="1199"/>
    <n v="0"/>
    <n v="79"/>
    <s v="Hyderabad"/>
    <x v="7"/>
    <x v="0"/>
    <x v="1"/>
    <x v="0"/>
    <n v="4"/>
    <n v="3597"/>
    <n v="0"/>
    <n v="3676"/>
    <n v="1158.1000000000004"/>
    <n v="0.31504352557127324"/>
    <x v="11"/>
  </r>
  <r>
    <s v="ORD-10267"/>
    <s v="CUST1082"/>
    <d v="2025-08-08T00:00:00"/>
    <s v="P008"/>
    <s v="Smart Watch"/>
    <x v="1"/>
    <x v="4"/>
    <n v="5"/>
    <n v="3499"/>
    <n v="0.2"/>
    <n v="59"/>
    <s v="Delhi"/>
    <x v="1"/>
    <x v="3"/>
    <x v="4"/>
    <x v="0"/>
    <n v="3"/>
    <n v="17495"/>
    <n v="3499"/>
    <n v="14055"/>
    <n v="1808.5"/>
    <n v="0.12867307008182141"/>
    <x v="5"/>
  </r>
  <r>
    <s v="ORD-10268"/>
    <s v="CUST1120"/>
    <d v="2025-12-07T00:00:00"/>
    <s v="P006"/>
    <s v="Cotton T-Shirt"/>
    <x v="4"/>
    <x v="8"/>
    <n v="1"/>
    <n v="799"/>
    <n v="0.1"/>
    <n v="59"/>
    <s v="Mumbai"/>
    <x v="2"/>
    <x v="1"/>
    <x v="4"/>
    <x v="0"/>
    <n v="3"/>
    <n v="799"/>
    <n v="79.900000000000006"/>
    <n v="778.1"/>
    <n v="218.80000000000007"/>
    <n v="0.28119778948721252"/>
    <x v="11"/>
  </r>
  <r>
    <s v="ORD-10269"/>
    <s v="CUST1005"/>
    <d v="2025-02-09T00:00:00"/>
    <s v="P002"/>
    <s v="Mechanical Keyboard"/>
    <x v="1"/>
    <x v="1"/>
    <n v="1"/>
    <n v="2499"/>
    <n v="0.15"/>
    <n v="79"/>
    <s v="Delhi"/>
    <x v="1"/>
    <x v="0"/>
    <x v="2"/>
    <x v="0"/>
    <n v="3"/>
    <n v="2499"/>
    <n v="374.84999999999997"/>
    <n v="2203.15"/>
    <n v="453.85000000000014"/>
    <n v="0.20600049928511455"/>
    <x v="9"/>
  </r>
  <r>
    <s v="ORD-10270"/>
    <s v="CUST1053"/>
    <d v="2025-09-02T00:00:00"/>
    <s v="P002"/>
    <s v="Mechanical Keyboard"/>
    <x v="1"/>
    <x v="1"/>
    <n v="2"/>
    <n v="2499"/>
    <n v="0"/>
    <n v="0"/>
    <s v="Bengaluru"/>
    <x v="3"/>
    <x v="3"/>
    <x v="2"/>
    <x v="1"/>
    <n v="3"/>
    <n v="4998"/>
    <n v="0"/>
    <n v="4998"/>
    <n v="1499.4"/>
    <n v="0.30000000000000004"/>
    <x v="7"/>
  </r>
  <r>
    <s v="ORD-10271"/>
    <s v="CUST1289"/>
    <d v="2025-03-10T00:00:00"/>
    <s v="P003"/>
    <s v="Bluetooth Speaker"/>
    <x v="1"/>
    <x v="6"/>
    <n v="3"/>
    <n v="1799"/>
    <n v="0"/>
    <n v="99"/>
    <s v="Bengaluru"/>
    <x v="3"/>
    <x v="0"/>
    <x v="0"/>
    <x v="0"/>
    <n v="3"/>
    <n v="5397"/>
    <n v="0"/>
    <n v="5496"/>
    <n v="1718.1000000000004"/>
    <n v="0.31260917030567692"/>
    <x v="6"/>
  </r>
  <r>
    <s v="ORD-10272"/>
    <s v="CUST1227"/>
    <d v="2025-04-20T00:00:00"/>
    <s v="P003"/>
    <s v="Bluetooth Speaker"/>
    <x v="1"/>
    <x v="6"/>
    <n v="1"/>
    <n v="1799"/>
    <n v="0.1"/>
    <n v="99"/>
    <s v="Hyderabad"/>
    <x v="7"/>
    <x v="2"/>
    <x v="4"/>
    <x v="0"/>
    <n v="1"/>
    <n v="1799"/>
    <n v="179.9"/>
    <n v="1718.1"/>
    <n v="458.79999999999995"/>
    <n v="0.26703917117746345"/>
    <x v="1"/>
  </r>
  <r>
    <s v="ORD-10273"/>
    <s v="CUST1142"/>
    <d v="2025-07-16T00:00:00"/>
    <s v="P003"/>
    <s v="Bluetooth Speaker"/>
    <x v="1"/>
    <x v="6"/>
    <n v="2"/>
    <n v="1799"/>
    <n v="0"/>
    <n v="49"/>
    <s v="Gurgaon"/>
    <x v="0"/>
    <x v="0"/>
    <x v="1"/>
    <x v="0"/>
    <n v="5"/>
    <n v="3598"/>
    <n v="0"/>
    <n v="3647"/>
    <n v="1128.4000000000001"/>
    <n v="0.30940499040307107"/>
    <x v="10"/>
  </r>
  <r>
    <s v="ORD-10274"/>
    <s v="CUST1266"/>
    <d v="2025-05-26T00:00:00"/>
    <s v="P010"/>
    <s v="Desk Lamp"/>
    <x v="2"/>
    <x v="2"/>
    <n v="2"/>
    <n v="1199"/>
    <n v="0.05"/>
    <n v="49"/>
    <s v="Kolkata"/>
    <x v="8"/>
    <x v="4"/>
    <x v="0"/>
    <x v="2"/>
    <n v="2"/>
    <n v="2398"/>
    <n v="119.9"/>
    <n v="2327.1"/>
    <n v="648.5"/>
    <n v="0.27867302651368658"/>
    <x v="0"/>
  </r>
  <r>
    <s v="ORD-10275"/>
    <s v="CUST1256"/>
    <d v="2025-01-28T00:00:00"/>
    <s v="P012"/>
    <s v="Office Chair"/>
    <x v="3"/>
    <x v="0"/>
    <n v="1"/>
    <n v="6499"/>
    <n v="0"/>
    <n v="49"/>
    <s v="Bengaluru"/>
    <x v="3"/>
    <x v="4"/>
    <x v="4"/>
    <x v="1"/>
    <n v="5"/>
    <n v="6499"/>
    <n v="0"/>
    <n v="6548"/>
    <n v="1998.7000000000007"/>
    <n v="0.30523824068417849"/>
    <x v="2"/>
  </r>
  <r>
    <s v="ORD-10276"/>
    <s v="Not Assigned"/>
    <d v="2025-03-09T00:00:00"/>
    <s v="P001"/>
    <s v="Wireless Mouse"/>
    <x v="1"/>
    <x v="1"/>
    <n v="4"/>
    <n v="599"/>
    <n v="0.1"/>
    <n v="59"/>
    <s v="Pune"/>
    <x v="2"/>
    <x v="2"/>
    <x v="3"/>
    <x v="3"/>
    <n v="3"/>
    <n v="2396"/>
    <n v="239.60000000000002"/>
    <n v="2215.4"/>
    <n v="538.20000000000027"/>
    <n v="0.24293581294574354"/>
    <x v="6"/>
  </r>
  <r>
    <s v="ORD-10277"/>
    <s v="CUST1260"/>
    <d v="2025-01-08T00:00:00"/>
    <s v="P002"/>
    <s v="Mechanical Keyboard"/>
    <x v="1"/>
    <x v="1"/>
    <n v="2"/>
    <n v="2499"/>
    <n v="0"/>
    <n v="79"/>
    <s v="Delhi"/>
    <x v="1"/>
    <x v="3"/>
    <x v="0"/>
    <x v="0"/>
    <n v="3"/>
    <n v="4998"/>
    <n v="0"/>
    <n v="5077"/>
    <n v="1578.4"/>
    <n v="0.31089225920819386"/>
    <x v="2"/>
  </r>
  <r>
    <s v="ORD-10278"/>
    <s v="CUST1143"/>
    <d v="2025-02-12T00:00:00"/>
    <s v="P007"/>
    <s v="Backpack"/>
    <x v="4"/>
    <x v="5"/>
    <n v="2"/>
    <n v="1499"/>
    <n v="0.15"/>
    <n v="49"/>
    <s v="Bengaluru"/>
    <x v="3"/>
    <x v="0"/>
    <x v="2"/>
    <x v="3"/>
    <n v="1"/>
    <n v="2998"/>
    <n v="449.7"/>
    <n v="2597.3000000000002"/>
    <n v="498.70000000000027"/>
    <n v="0.19200708427982915"/>
    <x v="9"/>
  </r>
  <r>
    <s v="ORD-10279"/>
    <s v="CUST1159"/>
    <d v="2025-03-21T00:00:00"/>
    <s v="P009"/>
    <s v="Water Bottle"/>
    <x v="2"/>
    <x v="3"/>
    <n v="5"/>
    <n v="699"/>
    <n v="0.15"/>
    <n v="0"/>
    <s v="Jaipur"/>
    <x v="6"/>
    <x v="1"/>
    <x v="1"/>
    <x v="1"/>
    <n v="1"/>
    <n v="3495"/>
    <n v="524.25"/>
    <n v="2970.75"/>
    <n v="524.25"/>
    <n v="0.17647058823529413"/>
    <x v="6"/>
  </r>
  <r>
    <s v="ORD-10280"/>
    <s v="CUST1090"/>
    <d v="2025-03-01T00:00:00"/>
    <s v="P004"/>
    <s v="USB-C Hub"/>
    <x v="1"/>
    <x v="1"/>
    <n v="4"/>
    <n v="1299"/>
    <n v="0"/>
    <n v="59"/>
    <s v="Gurgaon"/>
    <x v="0"/>
    <x v="0"/>
    <x v="4"/>
    <x v="3"/>
    <n v="3"/>
    <n v="5196"/>
    <n v="0"/>
    <n v="5255"/>
    <n v="1617.8000000000002"/>
    <n v="0.30785918173168414"/>
    <x v="6"/>
  </r>
  <r>
    <s v="ORD-10281"/>
    <s v="CUST1191"/>
    <d v="2025-06-27T00:00:00"/>
    <s v="P003"/>
    <s v="Bluetooth Speaker"/>
    <x v="1"/>
    <x v="6"/>
    <n v="1"/>
    <n v="1799"/>
    <n v="0.05"/>
    <n v="49"/>
    <s v="Delhi"/>
    <x v="1"/>
    <x v="2"/>
    <x v="2"/>
    <x v="2"/>
    <n v="3"/>
    <n v="1799"/>
    <n v="89.95"/>
    <n v="1758.05"/>
    <n v="498.75"/>
    <n v="0.28369500298626321"/>
    <x v="3"/>
  </r>
  <r>
    <s v="ORD-10282"/>
    <s v="CUST1040"/>
    <d v="2025-08-08T00:00:00"/>
    <s v="P002"/>
    <s v="Mechanical Keyboard"/>
    <x v="1"/>
    <x v="1"/>
    <n v="1"/>
    <n v="2499"/>
    <n v="0.05"/>
    <n v="99"/>
    <s v="Delhi"/>
    <x v="1"/>
    <x v="1"/>
    <x v="3"/>
    <x v="0"/>
    <n v="5"/>
    <n v="2499"/>
    <n v="124.95"/>
    <n v="2473.0500000000002"/>
    <n v="723.75000000000023"/>
    <n v="0.29265481894826234"/>
    <x v="5"/>
  </r>
  <r>
    <s v="ORD-10283"/>
    <s v="CUST1294"/>
    <d v="2025-10-18T00:00:00"/>
    <s v="P006"/>
    <s v="Cotton T-Shirt"/>
    <x v="4"/>
    <x v="8"/>
    <n v="2"/>
    <n v="799"/>
    <n v="0.05"/>
    <n v="0"/>
    <s v="Delhi"/>
    <x v="1"/>
    <x v="0"/>
    <x v="1"/>
    <x v="0"/>
    <n v="3"/>
    <n v="1598"/>
    <n v="79.900000000000006"/>
    <n v="1518.1"/>
    <n v="399.5"/>
    <n v="0.26315789473684215"/>
    <x v="8"/>
  </r>
  <r>
    <s v="ORD-10284"/>
    <s v="CUST1077"/>
    <d v="2025-01-07T00:00:00"/>
    <s v="P009"/>
    <s v="Water Bottle"/>
    <x v="2"/>
    <x v="3"/>
    <n v="1"/>
    <n v="699"/>
    <n v="0.05"/>
    <n v="79"/>
    <s v="Delhi"/>
    <x v="1"/>
    <x v="2"/>
    <x v="4"/>
    <x v="1"/>
    <n v="5"/>
    <n v="699"/>
    <n v="34.950000000000003"/>
    <n v="743.05"/>
    <n v="253.75"/>
    <n v="0.34149788035798401"/>
    <x v="2"/>
  </r>
  <r>
    <s v="ORD-10285"/>
    <s v="CUST1040"/>
    <d v="2025-05-08T00:00:00"/>
    <s v="P012"/>
    <s v="Office Chair"/>
    <x v="3"/>
    <x v="0"/>
    <n v="1"/>
    <n v="6499"/>
    <n v="0.05"/>
    <n v="59"/>
    <s v="Bengaluru"/>
    <x v="3"/>
    <x v="4"/>
    <x v="2"/>
    <x v="2"/>
    <n v="1"/>
    <n v="6499"/>
    <n v="324.95000000000005"/>
    <n v="6233.05"/>
    <n v="1683.7500000000009"/>
    <n v="0.27013259961014285"/>
    <x v="0"/>
  </r>
  <r>
    <s v="ORD-10286"/>
    <s v="CUST1160"/>
    <d v="2025-09-22T00:00:00"/>
    <s v="P009"/>
    <s v="Water Bottle"/>
    <x v="2"/>
    <x v="3"/>
    <n v="1"/>
    <n v="699"/>
    <n v="0.1"/>
    <n v="59"/>
    <s v="Delhi"/>
    <x v="1"/>
    <x v="3"/>
    <x v="4"/>
    <x v="0"/>
    <n v="5"/>
    <n v="699"/>
    <n v="69.900000000000006"/>
    <n v="688.1"/>
    <n v="198.80000000000007"/>
    <n v="0.28891149542217709"/>
    <x v="7"/>
  </r>
  <r>
    <s v="ORD-10287"/>
    <s v="CUST1125"/>
    <d v="2025-05-30T00:00:00"/>
    <s v="P008"/>
    <s v="Smart Watch"/>
    <x v="1"/>
    <x v="4"/>
    <n v="1"/>
    <n v="3499"/>
    <n v="0.2"/>
    <n v="99"/>
    <s v="Delhi"/>
    <x v="1"/>
    <x v="1"/>
    <x v="2"/>
    <x v="0"/>
    <n v="5"/>
    <n v="3499"/>
    <n v="699.80000000000007"/>
    <n v="2898.2"/>
    <n v="448.90000000000009"/>
    <n v="0.15488924159823342"/>
    <x v="0"/>
  </r>
  <r>
    <s v="ORD-10288"/>
    <s v="CUST1120"/>
    <d v="2025-10-07T00:00:00"/>
    <s v="P008"/>
    <s v="Smart Watch"/>
    <x v="1"/>
    <x v="4"/>
    <n v="2"/>
    <n v="3499"/>
    <n v="0.1"/>
    <n v="0"/>
    <s v="Jaipur"/>
    <x v="6"/>
    <x v="4"/>
    <x v="2"/>
    <x v="0"/>
    <n v="3"/>
    <n v="6998"/>
    <n v="699.80000000000007"/>
    <n v="6298.2"/>
    <n v="1399.6000000000004"/>
    <n v="0.22222222222222229"/>
    <x v="8"/>
  </r>
  <r>
    <s v="ORD-10289"/>
    <s v="CUST1054"/>
    <d v="2025-01-01T00:00:00"/>
    <s v="P012"/>
    <s v="Office Chair"/>
    <x v="3"/>
    <x v="0"/>
    <n v="4"/>
    <n v="6499"/>
    <n v="0.2"/>
    <n v="59"/>
    <s v="Delhi"/>
    <x v="1"/>
    <x v="2"/>
    <x v="0"/>
    <x v="2"/>
    <n v="2"/>
    <n v="25996"/>
    <n v="5199.2000000000007"/>
    <n v="20855.8"/>
    <n v="2658.6000000000022"/>
    <n v="0.12747533060347732"/>
    <x v="2"/>
  </r>
  <r>
    <s v="ORD-10290"/>
    <s v="CUST1267"/>
    <d v="2025-03-14T00:00:00"/>
    <s v="P007"/>
    <s v="Backpack"/>
    <x v="4"/>
    <x v="5"/>
    <n v="4"/>
    <n v="1499"/>
    <n v="0"/>
    <n v="49"/>
    <s v="Hyderabad"/>
    <x v="7"/>
    <x v="1"/>
    <x v="2"/>
    <x v="0"/>
    <n v="4"/>
    <n v="5996"/>
    <n v="0"/>
    <n v="6045"/>
    <n v="1847.8000000000002"/>
    <n v="0.30567411083540119"/>
    <x v="6"/>
  </r>
  <r>
    <s v="ORD-10291"/>
    <s v="CUST1291"/>
    <d v="2025-09-16T00:00:00"/>
    <s v="P012"/>
    <s v="Office Chair"/>
    <x v="3"/>
    <x v="0"/>
    <n v="2"/>
    <n v="6499"/>
    <n v="0"/>
    <n v="99"/>
    <s v="Gurgaon"/>
    <x v="0"/>
    <x v="0"/>
    <x v="3"/>
    <x v="1"/>
    <n v="3"/>
    <n v="12998"/>
    <n v="0"/>
    <n v="13097"/>
    <n v="3998.4000000000015"/>
    <n v="0.30529128808124006"/>
    <x v="7"/>
  </r>
  <r>
    <s v="ORD-10292"/>
    <s v="CUST1232"/>
    <d v="2025-06-11T00:00:00"/>
    <s v="P003"/>
    <s v="Bluetooth Speaker"/>
    <x v="1"/>
    <x v="6"/>
    <n v="1"/>
    <n v="1799"/>
    <n v="0.05"/>
    <n v="59"/>
    <s v="Jaipur"/>
    <x v="6"/>
    <x v="3"/>
    <x v="1"/>
    <x v="2"/>
    <n v="1"/>
    <n v="1799"/>
    <n v="89.95"/>
    <n v="1768.05"/>
    <n v="508.75"/>
    <n v="0.28774638726280366"/>
    <x v="3"/>
  </r>
  <r>
    <s v="ORD-10293"/>
    <s v="CUST1239"/>
    <d v="2025-10-27T00:00:00"/>
    <s v="P004"/>
    <s v="USB-C Hub"/>
    <x v="1"/>
    <x v="1"/>
    <n v="3"/>
    <n v="1299"/>
    <n v="0"/>
    <n v="79"/>
    <s v="Noida"/>
    <x v="5"/>
    <x v="3"/>
    <x v="3"/>
    <x v="0"/>
    <n v="1"/>
    <n v="3897"/>
    <n v="0"/>
    <n v="3976"/>
    <n v="1248.1000000000004"/>
    <n v="0.31390845070422546"/>
    <x v="8"/>
  </r>
  <r>
    <s v="ORD-10294"/>
    <s v="CUST1047"/>
    <d v="2025-04-17T00:00:00"/>
    <s v="P009"/>
    <s v="Water Bottle"/>
    <x v="2"/>
    <x v="3"/>
    <n v="4"/>
    <n v="699"/>
    <n v="0.05"/>
    <n v="0"/>
    <s v="Pune"/>
    <x v="2"/>
    <x v="2"/>
    <x v="2"/>
    <x v="1"/>
    <n v="3"/>
    <n v="2796"/>
    <n v="139.80000000000001"/>
    <n v="2656.2"/>
    <n v="699"/>
    <n v="0.26315789473684215"/>
    <x v="1"/>
  </r>
  <r>
    <s v="ORD-10295"/>
    <s v="CUST1203"/>
    <d v="2025-06-17T00:00:00"/>
    <s v="P012"/>
    <s v="Office Chair"/>
    <x v="3"/>
    <x v="0"/>
    <n v="1"/>
    <n v="6499"/>
    <n v="0"/>
    <n v="59"/>
    <s v="Kolkata"/>
    <x v="8"/>
    <x v="4"/>
    <x v="4"/>
    <x v="2"/>
    <n v="3"/>
    <n v="6499"/>
    <n v="0"/>
    <n v="6558"/>
    <n v="2008.7000000000007"/>
    <n v="0.30629765172308643"/>
    <x v="3"/>
  </r>
  <r>
    <s v="ORD-10296"/>
    <s v="CUST1128"/>
    <d v="2025-03-31T00:00:00"/>
    <s v="P005"/>
    <s v="Running Shoes"/>
    <x v="4"/>
    <x v="7"/>
    <n v="3"/>
    <n v="2999"/>
    <n v="0.15"/>
    <n v="99"/>
    <s v="Mumbai"/>
    <x v="2"/>
    <x v="0"/>
    <x v="3"/>
    <x v="1"/>
    <n v="1"/>
    <n v="8997"/>
    <n v="1349.55"/>
    <n v="7746.45"/>
    <n v="1448.5500000000002"/>
    <n v="0.18699533334624249"/>
    <x v="6"/>
  </r>
  <r>
    <s v="ORD-10297"/>
    <s v="CUST1299"/>
    <d v="2025-04-24T00:00:00"/>
    <s v="P003"/>
    <s v="Bluetooth Speaker"/>
    <x v="1"/>
    <x v="6"/>
    <n v="1"/>
    <n v="1799"/>
    <n v="0.05"/>
    <n v="0"/>
    <s v="Gurgaon"/>
    <x v="0"/>
    <x v="4"/>
    <x v="2"/>
    <x v="1"/>
    <n v="3"/>
    <n v="1799"/>
    <n v="89.95"/>
    <n v="1709.05"/>
    <n v="449.75"/>
    <n v="0.26315789473684209"/>
    <x v="1"/>
  </r>
  <r>
    <s v="ORD-10298"/>
    <s v="CUST1063"/>
    <d v="2025-04-12T00:00:00"/>
    <s v="P002"/>
    <s v="Mechanical Keyboard"/>
    <x v="1"/>
    <x v="1"/>
    <n v="5"/>
    <n v="2499"/>
    <n v="0"/>
    <n v="59"/>
    <s v="Delhi"/>
    <x v="1"/>
    <x v="0"/>
    <x v="3"/>
    <x v="0"/>
    <n v="1"/>
    <n v="12495"/>
    <n v="0"/>
    <n v="12554"/>
    <n v="3807.5"/>
    <n v="0.30328978811534174"/>
    <x v="1"/>
  </r>
  <r>
    <s v="ORD-10299"/>
    <s v="CUST1089"/>
    <d v="2025-07-22T00:00:00"/>
    <s v="P003"/>
    <s v="Bluetooth Speaker"/>
    <x v="1"/>
    <x v="6"/>
    <n v="1"/>
    <n v="1799"/>
    <n v="0.2"/>
    <n v="79"/>
    <s v="Kolkata"/>
    <x v="8"/>
    <x v="3"/>
    <x v="1"/>
    <x v="1"/>
    <n v="2"/>
    <n v="1799"/>
    <n v="359.8"/>
    <n v="1518.2"/>
    <n v="258.90000000000009"/>
    <n v="0.17053089184560669"/>
    <x v="10"/>
  </r>
  <r>
    <s v="ORD-10300"/>
    <s v="CUST1152"/>
    <d v="2025-03-18T00:00:00"/>
    <s v="P005"/>
    <s v="Running Shoes"/>
    <x v="4"/>
    <x v="7"/>
    <n v="1"/>
    <n v="2999"/>
    <n v="0.15"/>
    <n v="49"/>
    <s v="Mumbai"/>
    <x v="2"/>
    <x v="1"/>
    <x v="3"/>
    <x v="3"/>
    <n v="5"/>
    <n v="2999"/>
    <n v="449.84999999999997"/>
    <n v="2598.15"/>
    <n v="498.85000000000036"/>
    <n v="0.19200200142409035"/>
    <x v="6"/>
  </r>
  <r>
    <s v="ORD-10301"/>
    <s v="CUST1128"/>
    <d v="2025-07-16T00:00:00"/>
    <s v="P008"/>
    <s v="Smart Watch"/>
    <x v="1"/>
    <x v="4"/>
    <n v="1"/>
    <n v="3499"/>
    <n v="0.2"/>
    <n v="99"/>
    <s v="Delhi"/>
    <x v="1"/>
    <x v="4"/>
    <x v="4"/>
    <x v="0"/>
    <n v="4"/>
    <n v="3499"/>
    <n v="699.80000000000007"/>
    <n v="2898.2"/>
    <n v="448.90000000000009"/>
    <n v="0.15488924159823342"/>
    <x v="10"/>
  </r>
  <r>
    <s v="ORD-10302"/>
    <s v="CUST1199"/>
    <d v="2025-09-06T00:00:00"/>
    <s v="P012"/>
    <s v="Office Chair"/>
    <x v="3"/>
    <x v="0"/>
    <n v="2"/>
    <n v="6499"/>
    <n v="0.15"/>
    <n v="59"/>
    <s v="Pune"/>
    <x v="2"/>
    <x v="3"/>
    <x v="1"/>
    <x v="3"/>
    <n v="1"/>
    <n v="12998"/>
    <n v="1949.6999999999998"/>
    <n v="11107.3"/>
    <n v="2008.7000000000007"/>
    <n v="0.18084502984523698"/>
    <x v="7"/>
  </r>
  <r>
    <s v="ORD-10303"/>
    <s v="CUST1300"/>
    <d v="2025-05-24T00:00:00"/>
    <s v="P006"/>
    <s v="Cotton T-Shirt"/>
    <x v="4"/>
    <x v="8"/>
    <n v="1"/>
    <n v="799"/>
    <n v="0.15"/>
    <n v="59"/>
    <s v="Kolkata"/>
    <x v="8"/>
    <x v="2"/>
    <x v="1"/>
    <x v="1"/>
    <n v="1"/>
    <n v="799"/>
    <n v="119.85"/>
    <n v="738.15"/>
    <n v="178.85000000000002"/>
    <n v="0.24229492650545287"/>
    <x v="0"/>
  </r>
  <r>
    <s v="ORD-10304"/>
    <s v="CUST1091"/>
    <d v="2025-01-29T00:00:00"/>
    <s v="P004"/>
    <s v="USB-C Hub"/>
    <x v="1"/>
    <x v="1"/>
    <n v="1"/>
    <n v="1299"/>
    <n v="0.05"/>
    <n v="49"/>
    <s v="Jaipur"/>
    <x v="6"/>
    <x v="2"/>
    <x v="0"/>
    <x v="1"/>
    <n v="3"/>
    <n v="1299"/>
    <n v="64.95"/>
    <n v="1283.05"/>
    <n v="373.75"/>
    <n v="0.29129807879661745"/>
    <x v="2"/>
  </r>
  <r>
    <s v="ORD-10305"/>
    <s v="CUST1073"/>
    <d v="2025-01-15T00:00:00"/>
    <s v="P012"/>
    <s v="Office Chair"/>
    <x v="3"/>
    <x v="0"/>
    <n v="4"/>
    <n v="6499"/>
    <n v="0.15"/>
    <n v="99"/>
    <s v="Pune"/>
    <x v="2"/>
    <x v="4"/>
    <x v="1"/>
    <x v="0"/>
    <n v="3"/>
    <n v="25996"/>
    <n v="3899.3999999999996"/>
    <n v="22195.599999999999"/>
    <n v="3998.4000000000015"/>
    <n v="0.18014381228712004"/>
    <x v="2"/>
  </r>
  <r>
    <s v="ORD-10306"/>
    <s v="CUST1113"/>
    <d v="2025-09-09T00:00:00"/>
    <s v="P008"/>
    <s v="Smart Watch"/>
    <x v="1"/>
    <x v="4"/>
    <n v="1"/>
    <n v="3499"/>
    <n v="0"/>
    <n v="99"/>
    <s v="Chennai"/>
    <x v="4"/>
    <x v="0"/>
    <x v="0"/>
    <x v="0"/>
    <n v="4"/>
    <n v="3499"/>
    <n v="0"/>
    <n v="3598"/>
    <n v="1148.7000000000003"/>
    <n v="0.31926070038910515"/>
    <x v="7"/>
  </r>
  <r>
    <s v="ORD-10307"/>
    <s v="CUST1031"/>
    <d v="2025-04-14T00:00:00"/>
    <s v="P001"/>
    <s v="Wireless Mouse"/>
    <x v="1"/>
    <x v="1"/>
    <n v="4"/>
    <n v="599"/>
    <n v="0"/>
    <n v="59"/>
    <s v="Pune"/>
    <x v="2"/>
    <x v="0"/>
    <x v="1"/>
    <x v="2"/>
    <n v="5"/>
    <n v="2396"/>
    <n v="0"/>
    <n v="2455"/>
    <n v="777.80000000000018"/>
    <n v="0.31682281059063144"/>
    <x v="1"/>
  </r>
  <r>
    <s v="ORD-10308"/>
    <s v="CUST1052"/>
    <d v="2025-09-27T00:00:00"/>
    <s v="P012"/>
    <s v="Office Chair"/>
    <x v="3"/>
    <x v="0"/>
    <n v="3"/>
    <n v="6499"/>
    <n v="0.2"/>
    <n v="79"/>
    <s v="Noida"/>
    <x v="5"/>
    <x v="3"/>
    <x v="2"/>
    <x v="0"/>
    <n v="3"/>
    <n v="19497"/>
    <n v="3899.4"/>
    <n v="15676.6"/>
    <n v="2028.7000000000007"/>
    <n v="0.12940943827105372"/>
    <x v="7"/>
  </r>
  <r>
    <s v="ORD-10309"/>
    <s v="CUST1288"/>
    <d v="2025-08-12T00:00:00"/>
    <s v="P003"/>
    <s v="Bluetooth Speaker"/>
    <x v="1"/>
    <x v="6"/>
    <n v="2"/>
    <n v="1799"/>
    <n v="0.05"/>
    <n v="49"/>
    <s v="Noida"/>
    <x v="5"/>
    <x v="4"/>
    <x v="2"/>
    <x v="2"/>
    <n v="2"/>
    <n v="3598"/>
    <n v="179.9"/>
    <n v="3467.1"/>
    <n v="948.5"/>
    <n v="0.27357157278417121"/>
    <x v="5"/>
  </r>
  <r>
    <s v="ORD-10310"/>
    <s v="CUST1091"/>
    <d v="2025-07-13T00:00:00"/>
    <s v="P011"/>
    <s v="Notebook"/>
    <x v="0"/>
    <x v="0"/>
    <n v="3"/>
    <n v="249"/>
    <n v="0.05"/>
    <n v="49"/>
    <s v="Kolkata"/>
    <x v="8"/>
    <x v="0"/>
    <x v="0"/>
    <x v="2"/>
    <n v="4"/>
    <n v="747"/>
    <n v="37.35"/>
    <n v="758.65"/>
    <n v="235.75"/>
    <n v="0.31074935741119092"/>
    <x v="10"/>
  </r>
  <r>
    <s v="ORD-10311"/>
    <s v="CUST1255"/>
    <d v="2025-06-12T00:00:00"/>
    <s v="P010"/>
    <s v="Desk Lamp"/>
    <x v="2"/>
    <x v="2"/>
    <n v="1"/>
    <n v="1199"/>
    <n v="0.15"/>
    <n v="0"/>
    <s v="Delhi"/>
    <x v="1"/>
    <x v="2"/>
    <x v="2"/>
    <x v="2"/>
    <n v="3"/>
    <n v="1199"/>
    <n v="179.85"/>
    <n v="1019.15"/>
    <n v="179.85000000000002"/>
    <n v="0.17647058823529416"/>
    <x v="3"/>
  </r>
  <r>
    <s v="ORD-10312"/>
    <s v="CUST1229"/>
    <d v="2025-06-13T00:00:00"/>
    <s v="P002"/>
    <s v="Mechanical Keyboard"/>
    <x v="1"/>
    <x v="1"/>
    <n v="1"/>
    <n v="2499"/>
    <n v="0.2"/>
    <n v="59"/>
    <s v="Jaipur"/>
    <x v="6"/>
    <x v="0"/>
    <x v="2"/>
    <x v="0"/>
    <n v="2"/>
    <n v="2499"/>
    <n v="499.8"/>
    <n v="2058.1999999999998"/>
    <n v="308.89999999999986"/>
    <n v="0.15008259644349425"/>
    <x v="3"/>
  </r>
  <r>
    <s v="ORD-10313"/>
    <s v="CUST1215"/>
    <d v="2025-02-25T00:00:00"/>
    <s v="P004"/>
    <s v="USB-C Hub"/>
    <x v="1"/>
    <x v="1"/>
    <n v="1"/>
    <n v="1299"/>
    <n v="0.1"/>
    <n v="79"/>
    <s v="Gurgaon"/>
    <x v="0"/>
    <x v="2"/>
    <x v="3"/>
    <x v="0"/>
    <n v="4"/>
    <n v="1299"/>
    <n v="129.9"/>
    <n v="1248.0999999999999"/>
    <n v="338.79999999999995"/>
    <n v="0.27145260796410542"/>
    <x v="9"/>
  </r>
  <r>
    <s v="ORD-10314"/>
    <s v="CUST1084"/>
    <d v="2025-02-21T00:00:00"/>
    <s v="P007"/>
    <s v="Backpack"/>
    <x v="4"/>
    <x v="5"/>
    <n v="2"/>
    <n v="1499"/>
    <n v="0.2"/>
    <n v="49"/>
    <s v="Pune"/>
    <x v="2"/>
    <x v="1"/>
    <x v="4"/>
    <x v="3"/>
    <n v="3"/>
    <n v="2998"/>
    <n v="599.6"/>
    <n v="2447.4"/>
    <n v="348.80000000000018"/>
    <n v="0.14251859115796361"/>
    <x v="9"/>
  </r>
  <r>
    <s v="ORD-10315"/>
    <s v="CUST1083"/>
    <d v="2025-05-14T00:00:00"/>
    <s v="P001"/>
    <s v="Wireless Mouse"/>
    <x v="1"/>
    <x v="1"/>
    <n v="1"/>
    <n v="599"/>
    <n v="0"/>
    <n v="79"/>
    <s v="Mumbai"/>
    <x v="2"/>
    <x v="0"/>
    <x v="0"/>
    <x v="0"/>
    <n v="1"/>
    <n v="599"/>
    <n v="0"/>
    <n v="678"/>
    <n v="258.70000000000005"/>
    <n v="0.38156342182890862"/>
    <x v="0"/>
  </r>
  <r>
    <s v="ORD-10316"/>
    <s v="CUST1223"/>
    <d v="2025-09-05T00:00:00"/>
    <s v="P006"/>
    <s v="Cotton T-Shirt"/>
    <x v="4"/>
    <x v="8"/>
    <n v="5"/>
    <n v="799"/>
    <n v="0.2"/>
    <n v="49"/>
    <s v="Kolkata"/>
    <x v="8"/>
    <x v="2"/>
    <x v="4"/>
    <x v="1"/>
    <n v="1"/>
    <n v="3995"/>
    <n v="799"/>
    <n v="3245"/>
    <n v="448.5"/>
    <n v="0.13821263482280433"/>
    <x v="7"/>
  </r>
  <r>
    <s v="ORD-10317"/>
    <s v="CUST1136"/>
    <d v="2025-07-29T00:00:00"/>
    <s v="P006"/>
    <s v="Cotton T-Shirt"/>
    <x v="4"/>
    <x v="8"/>
    <n v="5"/>
    <n v="799"/>
    <n v="0.2"/>
    <n v="99"/>
    <s v="Jaipur"/>
    <x v="6"/>
    <x v="3"/>
    <x v="2"/>
    <x v="2"/>
    <n v="2"/>
    <n v="3995"/>
    <n v="799"/>
    <n v="3295"/>
    <n v="498.5"/>
    <n v="0.15128983308042487"/>
    <x v="10"/>
  </r>
  <r>
    <s v="ORD-10318"/>
    <s v="CUST1219"/>
    <d v="2025-10-09T00:00:00"/>
    <s v="P002"/>
    <s v="Mechanical Keyboard"/>
    <x v="1"/>
    <x v="1"/>
    <n v="1"/>
    <n v="2499"/>
    <n v="0.05"/>
    <n v="0"/>
    <s v="Delhi"/>
    <x v="1"/>
    <x v="0"/>
    <x v="2"/>
    <x v="0"/>
    <n v="3"/>
    <n v="2499"/>
    <n v="124.95"/>
    <n v="2374.0500000000002"/>
    <n v="624.75000000000023"/>
    <n v="0.2631578947368422"/>
    <x v="8"/>
  </r>
  <r>
    <s v="ORD-10319"/>
    <s v="CUST1042"/>
    <d v="2025-02-19T00:00:00"/>
    <s v="P011"/>
    <s v="Notebook"/>
    <x v="0"/>
    <x v="0"/>
    <n v="2"/>
    <n v="249"/>
    <n v="0.2"/>
    <n v="59"/>
    <s v="Kolkata"/>
    <x v="8"/>
    <x v="1"/>
    <x v="4"/>
    <x v="0"/>
    <n v="3"/>
    <n v="498"/>
    <n v="99.600000000000009"/>
    <n v="457.4"/>
    <n v="108.80000000000001"/>
    <n v="0.23786620026235247"/>
    <x v="9"/>
  </r>
  <r>
    <s v="ORD-10320"/>
    <s v="CUST1095"/>
    <d v="2025-12-05T00:00:00"/>
    <s v="P007"/>
    <s v="Backpack"/>
    <x v="4"/>
    <x v="5"/>
    <n v="2"/>
    <n v="1499"/>
    <n v="0.15"/>
    <n v="79"/>
    <s v="Hyderabad"/>
    <x v="7"/>
    <x v="3"/>
    <x v="3"/>
    <x v="2"/>
    <n v="3"/>
    <n v="2998"/>
    <n v="449.7"/>
    <n v="2627.3"/>
    <n v="528.70000000000027"/>
    <n v="0.2012332051916417"/>
    <x v="11"/>
  </r>
  <r>
    <s v="ORD-10321"/>
    <s v="CUST1032"/>
    <d v="2025-08-14T00:00:00"/>
    <s v="P003"/>
    <s v="Bluetooth Speaker"/>
    <x v="1"/>
    <x v="6"/>
    <n v="1"/>
    <n v="1799"/>
    <n v="0.05"/>
    <n v="99"/>
    <s v="Hyderabad"/>
    <x v="7"/>
    <x v="2"/>
    <x v="4"/>
    <x v="0"/>
    <n v="1"/>
    <n v="1799"/>
    <n v="89.95"/>
    <n v="1808.05"/>
    <n v="548.75"/>
    <n v="0.30350377478498936"/>
    <x v="5"/>
  </r>
  <r>
    <s v="ORD-10322"/>
    <s v="CUST1268"/>
    <d v="2025-07-31T00:00:00"/>
    <s v="P011"/>
    <s v="Notebook"/>
    <x v="0"/>
    <x v="0"/>
    <n v="3"/>
    <n v="249"/>
    <n v="0"/>
    <n v="79"/>
    <s v="Pune"/>
    <x v="2"/>
    <x v="1"/>
    <x v="0"/>
    <x v="3"/>
    <n v="3"/>
    <n v="747"/>
    <n v="0"/>
    <n v="826"/>
    <n v="303.10000000000002"/>
    <n v="0.36694915254237293"/>
    <x v="10"/>
  </r>
  <r>
    <s v="ORD-10323"/>
    <s v="CUST1258"/>
    <d v="2025-09-01T00:00:00"/>
    <s v="P008"/>
    <s v="Smart Watch"/>
    <x v="1"/>
    <x v="4"/>
    <n v="3"/>
    <n v="3499"/>
    <n v="0.2"/>
    <n v="0"/>
    <s v="Kolkata"/>
    <x v="8"/>
    <x v="4"/>
    <x v="0"/>
    <x v="1"/>
    <n v="3"/>
    <n v="10497"/>
    <n v="2099.4"/>
    <n v="8397.6"/>
    <n v="1049.7000000000007"/>
    <n v="0.12500000000000008"/>
    <x v="7"/>
  </r>
  <r>
    <s v="ORD-10324"/>
    <s v="CUST1022"/>
    <d v="2025-08-18T00:00:00"/>
    <s v="P010"/>
    <s v="Desk Lamp"/>
    <x v="2"/>
    <x v="2"/>
    <n v="1"/>
    <n v="1199"/>
    <n v="0"/>
    <n v="49"/>
    <s v="Kolkata"/>
    <x v="8"/>
    <x v="1"/>
    <x v="4"/>
    <x v="0"/>
    <n v="3"/>
    <n v="1199"/>
    <n v="0"/>
    <n v="1248"/>
    <n v="408.70000000000005"/>
    <n v="0.32748397435897442"/>
    <x v="5"/>
  </r>
  <r>
    <s v="ORD-10325"/>
    <s v="CUST1035"/>
    <d v="2025-11-18T00:00:00"/>
    <s v="P007"/>
    <s v="Backpack"/>
    <x v="4"/>
    <x v="5"/>
    <n v="5"/>
    <n v="1499"/>
    <n v="0.05"/>
    <n v="59"/>
    <s v="Jaipur"/>
    <x v="6"/>
    <x v="0"/>
    <x v="3"/>
    <x v="3"/>
    <n v="5"/>
    <n v="7495"/>
    <n v="374.75"/>
    <n v="7179.25"/>
    <n v="1932.75"/>
    <n v="0.26921335794128914"/>
    <x v="4"/>
  </r>
  <r>
    <s v="ORD-10326"/>
    <s v="CUST1268"/>
    <d v="2025-05-22T00:00:00"/>
    <s v="P007"/>
    <s v="Backpack"/>
    <x v="4"/>
    <x v="5"/>
    <n v="1"/>
    <n v="1499"/>
    <n v="0.2"/>
    <n v="99"/>
    <s v="Chennai"/>
    <x v="4"/>
    <x v="1"/>
    <x v="4"/>
    <x v="0"/>
    <n v="4"/>
    <n v="1499"/>
    <n v="299.8"/>
    <n v="1298.2"/>
    <n v="248.90000000000009"/>
    <n v="0.19172700662455713"/>
    <x v="0"/>
  </r>
  <r>
    <s v="ORD-10327"/>
    <s v="CUST1147"/>
    <d v="2025-10-26T00:00:00"/>
    <s v="P003"/>
    <s v="Bluetooth Speaker"/>
    <x v="1"/>
    <x v="6"/>
    <n v="2"/>
    <n v="1799"/>
    <n v="0.15"/>
    <n v="0"/>
    <s v="Noida"/>
    <x v="5"/>
    <x v="4"/>
    <x v="2"/>
    <x v="0"/>
    <n v="4"/>
    <n v="3598"/>
    <n v="539.69999999999993"/>
    <n v="3058.3"/>
    <n v="539.70000000000027"/>
    <n v="0.17647058823529418"/>
    <x v="8"/>
  </r>
  <r>
    <s v="ORD-10328"/>
    <s v="CUST1207"/>
    <d v="2025-10-20T00:00:00"/>
    <s v="P005"/>
    <s v="Running Shoes"/>
    <x v="4"/>
    <x v="7"/>
    <n v="2"/>
    <n v="2999"/>
    <n v="0"/>
    <n v="59"/>
    <s v="Bengaluru"/>
    <x v="3"/>
    <x v="2"/>
    <x v="0"/>
    <x v="0"/>
    <n v="5"/>
    <n v="5998"/>
    <n v="0"/>
    <n v="6057"/>
    <n v="1858.4000000000005"/>
    <n v="0.30681855704143973"/>
    <x v="8"/>
  </r>
  <r>
    <s v="ORD-10329"/>
    <s v="CUST1138"/>
    <d v="2025-06-19T00:00:00"/>
    <s v="P011"/>
    <s v="Notebook"/>
    <x v="0"/>
    <x v="0"/>
    <n v="1"/>
    <n v="249"/>
    <n v="0.2"/>
    <n v="79"/>
    <s v="Bengaluru"/>
    <x v="3"/>
    <x v="3"/>
    <x v="4"/>
    <x v="0"/>
    <n v="3"/>
    <n v="249"/>
    <n v="49.800000000000004"/>
    <n v="278.2"/>
    <n v="103.9"/>
    <n v="0.37347232207045294"/>
    <x v="3"/>
  </r>
  <r>
    <s v="ORD-10330"/>
    <s v="CUST1154"/>
    <d v="2025-09-09T00:00:00"/>
    <s v="P005"/>
    <s v="Running Shoes"/>
    <x v="4"/>
    <x v="7"/>
    <n v="1"/>
    <n v="2999"/>
    <n v="0"/>
    <n v="49"/>
    <s v="Mumbai"/>
    <x v="2"/>
    <x v="1"/>
    <x v="2"/>
    <x v="0"/>
    <n v="3"/>
    <n v="2999"/>
    <n v="0"/>
    <n v="3048"/>
    <n v="948.70000000000027"/>
    <n v="0.31125328083989512"/>
    <x v="7"/>
  </r>
  <r>
    <s v="ORD-10331"/>
    <s v="CUST1265"/>
    <d v="2025-02-15T00:00:00"/>
    <s v="P012"/>
    <s v="Office Chair"/>
    <x v="3"/>
    <x v="0"/>
    <n v="2"/>
    <n v="6499"/>
    <n v="0.1"/>
    <n v="79"/>
    <s v="Bengaluru"/>
    <x v="3"/>
    <x v="3"/>
    <x v="4"/>
    <x v="0"/>
    <n v="5"/>
    <n v="12998"/>
    <n v="1299.8000000000002"/>
    <n v="11777.2"/>
    <n v="2678.6000000000022"/>
    <n v="0.22743945929422971"/>
    <x v="9"/>
  </r>
  <r>
    <s v="ORD-10332"/>
    <s v="CUST1089"/>
    <d v="2025-09-17T00:00:00"/>
    <s v="P003"/>
    <s v="Bluetooth Speaker"/>
    <x v="1"/>
    <x v="6"/>
    <n v="1"/>
    <n v="1799"/>
    <n v="0.15"/>
    <n v="0"/>
    <s v="Gurgaon"/>
    <x v="0"/>
    <x v="2"/>
    <x v="1"/>
    <x v="3"/>
    <n v="3"/>
    <n v="1799"/>
    <n v="269.84999999999997"/>
    <n v="1529.15"/>
    <n v="269.85000000000014"/>
    <n v="0.17647058823529418"/>
    <x v="7"/>
  </r>
  <r>
    <s v="ORD-10333"/>
    <s v="CUST1238"/>
    <d v="2025-01-26T00:00:00"/>
    <s v="P001"/>
    <s v="Wireless Mouse"/>
    <x v="1"/>
    <x v="1"/>
    <n v="1"/>
    <n v="599"/>
    <n v="0.05"/>
    <n v="59"/>
    <s v="Jaipur"/>
    <x v="6"/>
    <x v="4"/>
    <x v="3"/>
    <x v="0"/>
    <n v="3"/>
    <n v="599"/>
    <n v="29.950000000000003"/>
    <n v="628.04999999999995"/>
    <n v="208.75"/>
    <n v="0.33237799538253326"/>
    <x v="2"/>
  </r>
  <r>
    <s v="ORD-10334"/>
    <s v="CUST1283"/>
    <d v="2025-09-08T00:00:00"/>
    <s v="P002"/>
    <s v="Mechanical Keyboard"/>
    <x v="1"/>
    <x v="1"/>
    <n v="1"/>
    <n v="2499"/>
    <n v="0.1"/>
    <n v="99"/>
    <s v="Delhi"/>
    <x v="1"/>
    <x v="3"/>
    <x v="2"/>
    <x v="0"/>
    <n v="2"/>
    <n v="2499"/>
    <n v="249.9"/>
    <n v="2348.1"/>
    <n v="598.79999999999995"/>
    <n v="0.25501469273029259"/>
    <x v="7"/>
  </r>
  <r>
    <s v="ORD-10335"/>
    <s v="CUST1116"/>
    <d v="2025-07-17T00:00:00"/>
    <s v="P005"/>
    <s v="Running Shoes"/>
    <x v="4"/>
    <x v="7"/>
    <n v="1"/>
    <n v="2999"/>
    <n v="0"/>
    <n v="49"/>
    <s v="Gurgaon"/>
    <x v="0"/>
    <x v="2"/>
    <x v="2"/>
    <x v="3"/>
    <n v="3"/>
    <n v="2999"/>
    <n v="0"/>
    <n v="3048"/>
    <n v="948.70000000000027"/>
    <n v="0.31125328083989512"/>
    <x v="10"/>
  </r>
  <r>
    <s v="ORD-10336"/>
    <s v="CUST1005"/>
    <d v="2025-12-16T00:00:00"/>
    <s v="P007"/>
    <s v="Backpack"/>
    <x v="4"/>
    <x v="5"/>
    <n v="1"/>
    <n v="1499"/>
    <n v="0.2"/>
    <n v="49"/>
    <s v="Chennai"/>
    <x v="4"/>
    <x v="2"/>
    <x v="2"/>
    <x v="0"/>
    <n v="5"/>
    <n v="1499"/>
    <n v="299.8"/>
    <n v="1248.2"/>
    <n v="198.90000000000009"/>
    <n v="0.15934946322704702"/>
    <x v="11"/>
  </r>
  <r>
    <s v="ORD-10337"/>
    <s v="CUST1155"/>
    <d v="2025-07-12T00:00:00"/>
    <s v="P005"/>
    <s v="Running Shoes"/>
    <x v="4"/>
    <x v="7"/>
    <n v="1"/>
    <n v="2999"/>
    <n v="0"/>
    <n v="79"/>
    <s v="Mumbai"/>
    <x v="2"/>
    <x v="4"/>
    <x v="0"/>
    <x v="0"/>
    <n v="4"/>
    <n v="2999"/>
    <n v="0"/>
    <n v="3078"/>
    <n v="978.70000000000027"/>
    <n v="0.31796621182586104"/>
    <x v="10"/>
  </r>
  <r>
    <s v="ORD-10338"/>
    <s v="CUST1145"/>
    <d v="2025-12-06T00:00:00"/>
    <s v="P010"/>
    <s v="Desk Lamp"/>
    <x v="2"/>
    <x v="2"/>
    <n v="1"/>
    <n v="1199"/>
    <n v="0.15"/>
    <n v="99"/>
    <s v="Gurgaon"/>
    <x v="0"/>
    <x v="3"/>
    <x v="4"/>
    <x v="2"/>
    <n v="4"/>
    <n v="1199"/>
    <n v="179.85"/>
    <n v="1118.1500000000001"/>
    <n v="278.85000000000014"/>
    <n v="0.24938514510575516"/>
    <x v="11"/>
  </r>
  <r>
    <s v="ORD-10339"/>
    <s v="CUST1097"/>
    <d v="2025-11-24T00:00:00"/>
    <s v="P002"/>
    <s v="Mechanical Keyboard"/>
    <x v="1"/>
    <x v="1"/>
    <n v="5"/>
    <n v="2499"/>
    <n v="0.05"/>
    <n v="59"/>
    <s v="Pune"/>
    <x v="2"/>
    <x v="2"/>
    <x v="0"/>
    <x v="0"/>
    <n v="3"/>
    <n v="12495"/>
    <n v="624.75"/>
    <n v="11929.25"/>
    <n v="3182.75"/>
    <n v="0.26680218789949073"/>
    <x v="4"/>
  </r>
  <r>
    <s v="ORD-10340"/>
    <s v="CUST1014"/>
    <d v="2025-11-04T00:00:00"/>
    <s v="P004"/>
    <s v="USB-C Hub"/>
    <x v="1"/>
    <x v="1"/>
    <n v="3"/>
    <n v="1299"/>
    <n v="0.2"/>
    <n v="49"/>
    <s v="Delhi"/>
    <x v="1"/>
    <x v="1"/>
    <x v="2"/>
    <x v="0"/>
    <n v="3"/>
    <n v="3897"/>
    <n v="779.40000000000009"/>
    <n v="3166.6"/>
    <n v="438.70000000000027"/>
    <n v="0.13853975873176286"/>
    <x v="4"/>
  </r>
  <r>
    <s v="ORD-10341"/>
    <s v="CUST1114"/>
    <d v="2025-01-19T00:00:00"/>
    <s v="P007"/>
    <s v="Backpack"/>
    <x v="4"/>
    <x v="5"/>
    <n v="1"/>
    <n v="1499"/>
    <n v="0"/>
    <n v="59"/>
    <s v="Bengaluru"/>
    <x v="3"/>
    <x v="4"/>
    <x v="3"/>
    <x v="3"/>
    <n v="3"/>
    <n v="1499"/>
    <n v="0"/>
    <n v="1558"/>
    <n v="508.70000000000005"/>
    <n v="0.32650834403080875"/>
    <x v="2"/>
  </r>
  <r>
    <s v="ORD-10342"/>
    <s v="CUST1050"/>
    <d v="2025-03-29T00:00:00"/>
    <s v="P006"/>
    <s v="Cotton T-Shirt"/>
    <x v="4"/>
    <x v="8"/>
    <n v="1"/>
    <n v="799"/>
    <n v="0"/>
    <n v="59"/>
    <s v="Chennai"/>
    <x v="4"/>
    <x v="1"/>
    <x v="1"/>
    <x v="3"/>
    <n v="3"/>
    <n v="799"/>
    <n v="0"/>
    <n v="858"/>
    <n v="298.70000000000005"/>
    <n v="0.34813519813519817"/>
    <x v="6"/>
  </r>
  <r>
    <s v="ORD-10343"/>
    <s v="CUST1114"/>
    <d v="2025-04-04T00:00:00"/>
    <s v="P005"/>
    <s v="Running Shoes"/>
    <x v="4"/>
    <x v="7"/>
    <n v="3"/>
    <n v="2999"/>
    <n v="0.2"/>
    <n v="0"/>
    <s v="Chennai"/>
    <x v="4"/>
    <x v="3"/>
    <x v="1"/>
    <x v="0"/>
    <n v="3"/>
    <n v="8997"/>
    <n v="1799.4"/>
    <n v="7197.6"/>
    <n v="899.70000000000073"/>
    <n v="0.12500000000000008"/>
    <x v="1"/>
  </r>
  <r>
    <s v="ORD-10344"/>
    <s v="CUST1061"/>
    <d v="2025-06-19T00:00:00"/>
    <s v="P005"/>
    <s v="Running Shoes"/>
    <x v="4"/>
    <x v="7"/>
    <n v="3"/>
    <n v="2999"/>
    <n v="0.05"/>
    <n v="79"/>
    <s v="Bengaluru"/>
    <x v="3"/>
    <x v="1"/>
    <x v="4"/>
    <x v="3"/>
    <n v="3"/>
    <n v="8997"/>
    <n v="449.85"/>
    <n v="8626.15"/>
    <n v="2328.25"/>
    <n v="0.26990604151330549"/>
    <x v="3"/>
  </r>
  <r>
    <s v="ORD-10345"/>
    <s v="CUST1196"/>
    <d v="2025-11-14T00:00:00"/>
    <s v="P011"/>
    <s v="Notebook"/>
    <x v="0"/>
    <x v="0"/>
    <n v="2"/>
    <n v="249"/>
    <n v="0.15"/>
    <n v="0"/>
    <s v="Kolkata"/>
    <x v="8"/>
    <x v="4"/>
    <x v="2"/>
    <x v="0"/>
    <n v="4"/>
    <n v="498"/>
    <n v="74.7"/>
    <n v="423.3"/>
    <n v="74.700000000000045"/>
    <n v="0.17647058823529421"/>
    <x v="4"/>
  </r>
  <r>
    <s v="ORD-10346"/>
    <s v="CUST1162"/>
    <d v="2025-04-13T00:00:00"/>
    <s v="P001"/>
    <s v="Wireless Mouse"/>
    <x v="1"/>
    <x v="1"/>
    <n v="1"/>
    <n v="599"/>
    <n v="0.1"/>
    <n v="49"/>
    <s v="Noida"/>
    <x v="5"/>
    <x v="2"/>
    <x v="4"/>
    <x v="3"/>
    <n v="4"/>
    <n v="599"/>
    <n v="59.900000000000006"/>
    <n v="588.1"/>
    <n v="168.80000000000007"/>
    <n v="0.28702601598367633"/>
    <x v="1"/>
  </r>
  <r>
    <s v="ORD-10347"/>
    <s v="CUST1296"/>
    <d v="2025-01-30T00:00:00"/>
    <s v="P006"/>
    <s v="Cotton T-Shirt"/>
    <x v="4"/>
    <x v="8"/>
    <n v="1"/>
    <n v="799"/>
    <n v="0"/>
    <n v="49"/>
    <s v="Noida"/>
    <x v="5"/>
    <x v="2"/>
    <x v="3"/>
    <x v="0"/>
    <n v="3"/>
    <n v="799"/>
    <n v="0"/>
    <n v="848"/>
    <n v="288.70000000000005"/>
    <n v="0.3404481132075472"/>
    <x v="2"/>
  </r>
  <r>
    <s v="ORD-10348"/>
    <s v="CUST1003"/>
    <d v="2025-11-21T00:00:00"/>
    <s v="P002"/>
    <s v="Mechanical Keyboard"/>
    <x v="1"/>
    <x v="1"/>
    <n v="2"/>
    <n v="2499"/>
    <n v="0.1"/>
    <n v="79"/>
    <s v="Noida"/>
    <x v="5"/>
    <x v="0"/>
    <x v="0"/>
    <x v="1"/>
    <n v="2"/>
    <n v="4998"/>
    <n v="499.8"/>
    <n v="4577.2"/>
    <n v="1078.5999999999999"/>
    <n v="0.23564624661365025"/>
    <x v="4"/>
  </r>
  <r>
    <s v="ORD-10349"/>
    <s v="CUST1128"/>
    <d v="2025-06-14T00:00:00"/>
    <s v="P012"/>
    <s v="Office Chair"/>
    <x v="3"/>
    <x v="0"/>
    <n v="4"/>
    <n v="6499"/>
    <n v="0.2"/>
    <n v="0"/>
    <s v="Pune"/>
    <x v="2"/>
    <x v="2"/>
    <x v="2"/>
    <x v="0"/>
    <n v="3"/>
    <n v="25996"/>
    <n v="5199.2000000000007"/>
    <n v="20796.8"/>
    <n v="2599.6000000000022"/>
    <n v="0.12500000000000011"/>
    <x v="3"/>
  </r>
  <r>
    <s v="ORD-10350"/>
    <s v="CUST1149"/>
    <d v="2025-10-29T00:00:00"/>
    <s v="P003"/>
    <s v="Bluetooth Speaker"/>
    <x v="1"/>
    <x v="6"/>
    <n v="1"/>
    <n v="1799"/>
    <n v="0"/>
    <n v="59"/>
    <s v="Gurgaon"/>
    <x v="0"/>
    <x v="1"/>
    <x v="0"/>
    <x v="0"/>
    <n v="5"/>
    <n v="1799"/>
    <n v="0"/>
    <n v="1858"/>
    <n v="598.70000000000005"/>
    <n v="0.32222820236813782"/>
    <x v="8"/>
  </r>
  <r>
    <s v="ORD-10351"/>
    <s v="CUST1085"/>
    <d v="2025-12-18T00:00:00"/>
    <s v="P009"/>
    <s v="Water Bottle"/>
    <x v="2"/>
    <x v="3"/>
    <n v="1"/>
    <n v="699"/>
    <n v="0.05"/>
    <n v="49"/>
    <s v="Pune"/>
    <x v="2"/>
    <x v="1"/>
    <x v="4"/>
    <x v="1"/>
    <n v="2"/>
    <n v="699"/>
    <n v="34.950000000000003"/>
    <n v="713.05"/>
    <n v="223.75"/>
    <n v="0.31379286165065567"/>
    <x v="11"/>
  </r>
  <r>
    <s v="ORD-10352"/>
    <s v="CUST1020"/>
    <d v="2025-01-12T00:00:00"/>
    <s v="P004"/>
    <s v="USB-C Hub"/>
    <x v="1"/>
    <x v="1"/>
    <n v="1"/>
    <n v="1299"/>
    <n v="0"/>
    <n v="59"/>
    <s v="Noida"/>
    <x v="5"/>
    <x v="1"/>
    <x v="2"/>
    <x v="0"/>
    <n v="3"/>
    <n v="1299"/>
    <n v="0"/>
    <n v="1358"/>
    <n v="448.70000000000005"/>
    <n v="0.33041237113402067"/>
    <x v="2"/>
  </r>
  <r>
    <s v="ORD-10353"/>
    <s v="CUST1060"/>
    <d v="2025-01-25T00:00:00"/>
    <s v="P009"/>
    <s v="Water Bottle"/>
    <x v="2"/>
    <x v="3"/>
    <n v="1"/>
    <n v="699"/>
    <n v="0"/>
    <n v="0"/>
    <s v="Kolkata"/>
    <x v="8"/>
    <x v="1"/>
    <x v="3"/>
    <x v="2"/>
    <n v="4"/>
    <n v="699"/>
    <n v="0"/>
    <n v="699"/>
    <n v="209.70000000000005"/>
    <n v="0.30000000000000004"/>
    <x v="2"/>
  </r>
  <r>
    <s v="ORD-10354"/>
    <s v="CUST1155"/>
    <d v="2025-12-26T00:00:00"/>
    <s v="P002"/>
    <s v="Mechanical Keyboard"/>
    <x v="1"/>
    <x v="1"/>
    <n v="1"/>
    <n v="2499"/>
    <n v="0.2"/>
    <n v="0"/>
    <s v="Chennai"/>
    <x v="4"/>
    <x v="1"/>
    <x v="4"/>
    <x v="2"/>
    <n v="3"/>
    <n v="2499"/>
    <n v="499.8"/>
    <n v="1999.2"/>
    <n v="249.90000000000009"/>
    <n v="0.12500000000000006"/>
    <x v="11"/>
  </r>
  <r>
    <s v="ORD-10355"/>
    <s v="CUST1061"/>
    <d v="2025-12-25T00:00:00"/>
    <s v="P009"/>
    <s v="Water Bottle"/>
    <x v="2"/>
    <x v="3"/>
    <n v="2"/>
    <n v="699"/>
    <n v="0.15"/>
    <n v="99"/>
    <s v="Mumbai"/>
    <x v="2"/>
    <x v="3"/>
    <x v="4"/>
    <x v="0"/>
    <n v="3"/>
    <n v="1398"/>
    <n v="209.7"/>
    <n v="1287.3"/>
    <n v="308.70000000000005"/>
    <n v="0.23980424143556284"/>
    <x v="11"/>
  </r>
  <r>
    <s v="ORD-10356"/>
    <s v="CUST1210"/>
    <d v="2025-04-13T00:00:00"/>
    <s v="P002"/>
    <s v="Mechanical Keyboard"/>
    <x v="1"/>
    <x v="1"/>
    <n v="1"/>
    <n v="2499"/>
    <n v="0"/>
    <n v="59"/>
    <s v="Hyderabad"/>
    <x v="7"/>
    <x v="3"/>
    <x v="1"/>
    <x v="3"/>
    <n v="1"/>
    <n v="2499"/>
    <n v="0"/>
    <n v="2558"/>
    <n v="808.7"/>
    <n v="0.3161454261141517"/>
    <x v="1"/>
  </r>
  <r>
    <s v="ORD-10357"/>
    <s v="CUST1046"/>
    <d v="2025-12-19T00:00:00"/>
    <s v="P009"/>
    <s v="Water Bottle"/>
    <x v="2"/>
    <x v="3"/>
    <n v="4"/>
    <n v="699"/>
    <n v="0"/>
    <n v="0"/>
    <s v="Hyderabad"/>
    <x v="7"/>
    <x v="0"/>
    <x v="0"/>
    <x v="0"/>
    <n v="3"/>
    <n v="2796"/>
    <n v="0"/>
    <n v="2796"/>
    <n v="838.80000000000018"/>
    <n v="0.30000000000000004"/>
    <x v="11"/>
  </r>
  <r>
    <s v="ORD-10358"/>
    <s v="CUST1119"/>
    <d v="2025-09-19T00:00:00"/>
    <s v="P008"/>
    <s v="Smart Watch"/>
    <x v="1"/>
    <x v="4"/>
    <n v="4"/>
    <n v="3499"/>
    <n v="0"/>
    <n v="59"/>
    <s v="Noida"/>
    <x v="5"/>
    <x v="1"/>
    <x v="2"/>
    <x v="2"/>
    <n v="3"/>
    <n v="13996"/>
    <n v="0"/>
    <n v="14055"/>
    <n v="4257.8000000000011"/>
    <n v="0.30293845606545722"/>
    <x v="7"/>
  </r>
  <r>
    <s v="ORD-10359"/>
    <s v="CUST1219"/>
    <d v="2025-03-31T00:00:00"/>
    <s v="P008"/>
    <s v="Smart Watch"/>
    <x v="1"/>
    <x v="4"/>
    <n v="1"/>
    <n v="3499"/>
    <n v="0.05"/>
    <n v="59"/>
    <s v="Delhi"/>
    <x v="1"/>
    <x v="0"/>
    <x v="4"/>
    <x v="0"/>
    <n v="3"/>
    <n v="3499"/>
    <n v="174.95000000000002"/>
    <n v="3383.05"/>
    <n v="933.75000000000045"/>
    <n v="0.27600833567343092"/>
    <x v="6"/>
  </r>
  <r>
    <s v="ORD-10360"/>
    <s v="CUST1138"/>
    <d v="2025-12-06T00:00:00"/>
    <s v="P001"/>
    <s v="Wireless Mouse"/>
    <x v="1"/>
    <x v="1"/>
    <n v="3"/>
    <n v="599"/>
    <n v="0.05"/>
    <n v="79"/>
    <s v="Delhi"/>
    <x v="1"/>
    <x v="0"/>
    <x v="2"/>
    <x v="0"/>
    <n v="3"/>
    <n v="1797"/>
    <n v="89.850000000000009"/>
    <n v="1786.15"/>
    <n v="528.25000000000023"/>
    <n v="0.29574783752764339"/>
    <x v="11"/>
  </r>
  <r>
    <s v="ORD-10361"/>
    <s v="CUST1216"/>
    <d v="2025-07-24T00:00:00"/>
    <s v="P006"/>
    <s v="Cotton T-Shirt"/>
    <x v="4"/>
    <x v="8"/>
    <n v="1"/>
    <n v="799"/>
    <n v="0.2"/>
    <n v="79"/>
    <s v="Noida"/>
    <x v="5"/>
    <x v="2"/>
    <x v="4"/>
    <x v="1"/>
    <n v="2"/>
    <n v="799"/>
    <n v="159.80000000000001"/>
    <n v="718.2"/>
    <n v="158.90000000000009"/>
    <n v="0.22124756335282664"/>
    <x v="10"/>
  </r>
  <r>
    <s v="ORD-10362"/>
    <s v="CUST1225"/>
    <d v="2025-03-23T00:00:00"/>
    <s v="P012"/>
    <s v="Office Chair"/>
    <x v="3"/>
    <x v="0"/>
    <n v="5"/>
    <n v="6499"/>
    <n v="0.1"/>
    <n v="99"/>
    <s v="Delhi"/>
    <x v="1"/>
    <x v="2"/>
    <x v="0"/>
    <x v="3"/>
    <n v="4"/>
    <n v="32495"/>
    <n v="3249.5"/>
    <n v="29344.5"/>
    <n v="6598"/>
    <n v="0.22484622331271617"/>
    <x v="6"/>
  </r>
  <r>
    <s v="ORD-10363"/>
    <s v="CUST1058"/>
    <d v="2025-12-17T00:00:00"/>
    <s v="P006"/>
    <s v="Cotton T-Shirt"/>
    <x v="4"/>
    <x v="8"/>
    <n v="1"/>
    <n v="799"/>
    <n v="0.1"/>
    <n v="79"/>
    <s v="Kolkata"/>
    <x v="8"/>
    <x v="1"/>
    <x v="3"/>
    <x v="0"/>
    <n v="1"/>
    <n v="799"/>
    <n v="79.900000000000006"/>
    <n v="798.1"/>
    <n v="238.80000000000007"/>
    <n v="0.29921062523493303"/>
    <x v="11"/>
  </r>
  <r>
    <s v="ORD-10364"/>
    <s v="Not Assigned"/>
    <d v="2025-01-07T00:00:00"/>
    <s v="P002"/>
    <s v="Mechanical Keyboard"/>
    <x v="1"/>
    <x v="1"/>
    <n v="2"/>
    <n v="2499"/>
    <n v="0.15"/>
    <n v="99"/>
    <s v="Mumbai"/>
    <x v="2"/>
    <x v="2"/>
    <x v="2"/>
    <x v="2"/>
    <n v="5"/>
    <n v="4998"/>
    <n v="749.69999999999993"/>
    <n v="4347.3"/>
    <n v="848.70000000000027"/>
    <n v="0.19522462217928374"/>
    <x v="2"/>
  </r>
  <r>
    <s v="ORD-10365"/>
    <s v="CUST1077"/>
    <d v="2025-12-05T00:00:00"/>
    <s v="P009"/>
    <s v="Water Bottle"/>
    <x v="2"/>
    <x v="3"/>
    <n v="1"/>
    <n v="699"/>
    <n v="0.05"/>
    <n v="79"/>
    <s v="Kolkata"/>
    <x v="8"/>
    <x v="4"/>
    <x v="0"/>
    <x v="1"/>
    <n v="1"/>
    <n v="699"/>
    <n v="34.950000000000003"/>
    <n v="743.05"/>
    <n v="253.75"/>
    <n v="0.34149788035798401"/>
    <x v="11"/>
  </r>
  <r>
    <s v="ORD-10366"/>
    <s v="CUST1165"/>
    <d v="2025-08-29T00:00:00"/>
    <s v="P001"/>
    <s v="Wireless Mouse"/>
    <x v="1"/>
    <x v="1"/>
    <n v="2"/>
    <n v="599"/>
    <n v="0"/>
    <n v="79"/>
    <s v="Noida"/>
    <x v="5"/>
    <x v="2"/>
    <x v="2"/>
    <x v="0"/>
    <n v="3"/>
    <n v="1198"/>
    <n v="0"/>
    <n v="1277"/>
    <n v="438.40000000000009"/>
    <n v="0.34330462020360225"/>
    <x v="5"/>
  </r>
  <r>
    <s v="ORD-10367"/>
    <s v="CUST1228"/>
    <d v="2025-11-26T00:00:00"/>
    <s v="P001"/>
    <s v="Wireless Mouse"/>
    <x v="1"/>
    <x v="1"/>
    <n v="1"/>
    <n v="599"/>
    <n v="0"/>
    <n v="79"/>
    <s v="Chennai"/>
    <x v="4"/>
    <x v="4"/>
    <x v="3"/>
    <x v="0"/>
    <n v="1"/>
    <n v="599"/>
    <n v="0"/>
    <n v="678"/>
    <n v="258.70000000000005"/>
    <n v="0.38156342182890862"/>
    <x v="4"/>
  </r>
  <r>
    <s v="ORD-10368"/>
    <s v="CUST1212"/>
    <d v="2025-09-12T00:00:00"/>
    <s v="P008"/>
    <s v="Smart Watch"/>
    <x v="1"/>
    <x v="4"/>
    <n v="1"/>
    <n v="3499"/>
    <n v="0"/>
    <n v="79"/>
    <s v="Hyderabad"/>
    <x v="7"/>
    <x v="0"/>
    <x v="0"/>
    <x v="0"/>
    <n v="5"/>
    <n v="3499"/>
    <n v="0"/>
    <n v="3578"/>
    <n v="1128.7000000000003"/>
    <n v="0.31545556176634998"/>
    <x v="7"/>
  </r>
  <r>
    <s v="ORD-10369"/>
    <s v="CUST1234"/>
    <d v="2025-11-13T00:00:00"/>
    <s v="P001"/>
    <s v="Wireless Mouse"/>
    <x v="1"/>
    <x v="1"/>
    <n v="3"/>
    <n v="599"/>
    <n v="0.15"/>
    <n v="49"/>
    <s v="Gurgaon"/>
    <x v="0"/>
    <x v="3"/>
    <x v="2"/>
    <x v="3"/>
    <n v="3"/>
    <n v="1797"/>
    <n v="269.55"/>
    <n v="1576.45"/>
    <n v="318.55000000000018"/>
    <n v="0.20206793745440715"/>
    <x v="4"/>
  </r>
  <r>
    <s v="ORD-10370"/>
    <s v="CUST1187"/>
    <d v="2025-06-19T00:00:00"/>
    <s v="P001"/>
    <s v="Wireless Mouse"/>
    <x v="1"/>
    <x v="1"/>
    <n v="3"/>
    <n v="599"/>
    <n v="0.15"/>
    <n v="79"/>
    <s v="Jaipur"/>
    <x v="6"/>
    <x v="1"/>
    <x v="4"/>
    <x v="3"/>
    <n v="1"/>
    <n v="1797"/>
    <n v="269.55"/>
    <n v="1606.45"/>
    <n v="348.55000000000018"/>
    <n v="0.21696909334246331"/>
    <x v="3"/>
  </r>
  <r>
    <s v="ORD-10371"/>
    <s v="CUST1192"/>
    <d v="2025-07-01T00:00:00"/>
    <s v="P011"/>
    <s v="Notebook"/>
    <x v="0"/>
    <x v="0"/>
    <n v="1"/>
    <n v="249"/>
    <n v="0.15"/>
    <n v="99"/>
    <s v="Jaipur"/>
    <x v="6"/>
    <x v="0"/>
    <x v="4"/>
    <x v="0"/>
    <n v="2"/>
    <n v="249"/>
    <n v="37.35"/>
    <n v="310.64999999999998"/>
    <n v="136.35"/>
    <n v="0.43891839690970547"/>
    <x v="10"/>
  </r>
  <r>
    <s v="ORD-10372"/>
    <s v="CUST1062"/>
    <d v="2025-07-29T00:00:00"/>
    <s v="P008"/>
    <s v="Smart Watch"/>
    <x v="1"/>
    <x v="4"/>
    <n v="3"/>
    <n v="3499"/>
    <n v="0"/>
    <n v="49"/>
    <s v="Noida"/>
    <x v="5"/>
    <x v="1"/>
    <x v="1"/>
    <x v="3"/>
    <n v="4"/>
    <n v="10497"/>
    <n v="0"/>
    <n v="10546"/>
    <n v="3198.1000000000004"/>
    <n v="0.30325241797838048"/>
    <x v="10"/>
  </r>
  <r>
    <s v="ORD-10373"/>
    <s v="CUST1064"/>
    <d v="2025-08-01T00:00:00"/>
    <s v="P004"/>
    <s v="USB-C Hub"/>
    <x v="1"/>
    <x v="1"/>
    <n v="1"/>
    <n v="1299"/>
    <n v="0.2"/>
    <n v="99"/>
    <s v="Pune"/>
    <x v="2"/>
    <x v="1"/>
    <x v="3"/>
    <x v="2"/>
    <n v="3"/>
    <n v="1299"/>
    <n v="259.8"/>
    <n v="1138.2"/>
    <n v="228.90000000000009"/>
    <n v="0.20110701107011078"/>
    <x v="5"/>
  </r>
  <r>
    <s v="ORD-10374"/>
    <s v="CUST1222"/>
    <d v="2025-09-13T00:00:00"/>
    <s v="P010"/>
    <s v="Desk Lamp"/>
    <x v="2"/>
    <x v="2"/>
    <n v="1"/>
    <n v="1199"/>
    <n v="0"/>
    <n v="99"/>
    <s v="Chennai"/>
    <x v="4"/>
    <x v="4"/>
    <x v="3"/>
    <x v="2"/>
    <n v="5"/>
    <n v="1199"/>
    <n v="0"/>
    <n v="1298"/>
    <n v="458.70000000000005"/>
    <n v="0.35338983050847461"/>
    <x v="7"/>
  </r>
  <r>
    <s v="ORD-10375"/>
    <s v="CUST1165"/>
    <d v="2025-03-07T00:00:00"/>
    <s v="P003"/>
    <s v="Bluetooth Speaker"/>
    <x v="1"/>
    <x v="6"/>
    <n v="1"/>
    <n v="1799"/>
    <n v="0.15"/>
    <n v="99"/>
    <s v="Kolkata"/>
    <x v="8"/>
    <x v="4"/>
    <x v="3"/>
    <x v="2"/>
    <n v="4"/>
    <n v="1799"/>
    <n v="269.84999999999997"/>
    <n v="1628.15"/>
    <n v="368.85000000000014"/>
    <n v="0.22654546571261869"/>
    <x v="6"/>
  </r>
  <r>
    <s v="ORD-10376"/>
    <s v="CUST1263"/>
    <d v="2025-06-25T00:00:00"/>
    <s v="P010"/>
    <s v="Desk Lamp"/>
    <x v="2"/>
    <x v="2"/>
    <n v="1"/>
    <n v="1199"/>
    <n v="0"/>
    <n v="79"/>
    <s v="Jaipur"/>
    <x v="6"/>
    <x v="3"/>
    <x v="0"/>
    <x v="0"/>
    <n v="3"/>
    <n v="1199"/>
    <n v="0"/>
    <n v="1278"/>
    <n v="438.70000000000005"/>
    <n v="0.34327073552425669"/>
    <x v="3"/>
  </r>
  <r>
    <s v="ORD-10377"/>
    <s v="CUST1068"/>
    <d v="2025-04-13T00:00:00"/>
    <s v="P006"/>
    <s v="Cotton T-Shirt"/>
    <x v="4"/>
    <x v="8"/>
    <n v="2"/>
    <n v="799"/>
    <n v="0.05"/>
    <n v="59"/>
    <s v="Chennai"/>
    <x v="4"/>
    <x v="2"/>
    <x v="0"/>
    <x v="2"/>
    <n v="5"/>
    <n v="1598"/>
    <n v="79.900000000000006"/>
    <n v="1577.1"/>
    <n v="458.5"/>
    <n v="0.29072347980470487"/>
    <x v="1"/>
  </r>
  <r>
    <s v="ORD-10378"/>
    <s v="CUST1274"/>
    <d v="2025-06-30T00:00:00"/>
    <s v="P012"/>
    <s v="Office Chair"/>
    <x v="3"/>
    <x v="0"/>
    <n v="2"/>
    <n v="6499"/>
    <n v="0.15"/>
    <n v="79"/>
    <s v="Pune"/>
    <x v="2"/>
    <x v="3"/>
    <x v="3"/>
    <x v="3"/>
    <n v="3"/>
    <n v="12998"/>
    <n v="1949.6999999999998"/>
    <n v="11127.3"/>
    <n v="2028.7000000000007"/>
    <n v="0.18231736360123307"/>
    <x v="3"/>
  </r>
  <r>
    <s v="ORD-10379"/>
    <s v="CUST1137"/>
    <d v="2025-07-15T00:00:00"/>
    <s v="P001"/>
    <s v="Wireless Mouse"/>
    <x v="1"/>
    <x v="1"/>
    <n v="1"/>
    <n v="599"/>
    <n v="0"/>
    <n v="49"/>
    <s v="Chennai"/>
    <x v="4"/>
    <x v="2"/>
    <x v="2"/>
    <x v="2"/>
    <n v="3"/>
    <n v="599"/>
    <n v="0"/>
    <n v="648"/>
    <n v="228.70000000000005"/>
    <n v="0.35293209876543219"/>
    <x v="10"/>
  </r>
  <r>
    <s v="ORD-10380"/>
    <s v="CUST1232"/>
    <d v="2025-12-20T00:00:00"/>
    <s v="P005"/>
    <s v="Running Shoes"/>
    <x v="4"/>
    <x v="7"/>
    <n v="3"/>
    <n v="2999"/>
    <n v="0"/>
    <n v="59"/>
    <s v="Noida"/>
    <x v="5"/>
    <x v="0"/>
    <x v="0"/>
    <x v="3"/>
    <n v="3"/>
    <n v="8997"/>
    <n v="0"/>
    <n v="9056"/>
    <n v="2758.1000000000004"/>
    <n v="0.30456051236749121"/>
    <x v="11"/>
  </r>
  <r>
    <s v="ORD-10381"/>
    <s v="CUST1025"/>
    <d v="2025-11-28T00:00:00"/>
    <s v="P011"/>
    <s v="Notebook"/>
    <x v="0"/>
    <x v="0"/>
    <n v="3"/>
    <n v="249"/>
    <n v="0.15"/>
    <n v="59"/>
    <s v="Chennai"/>
    <x v="4"/>
    <x v="1"/>
    <x v="3"/>
    <x v="0"/>
    <n v="4"/>
    <n v="747"/>
    <n v="112.05"/>
    <n v="693.95"/>
    <n v="171.05000000000007"/>
    <n v="0.24648749909935883"/>
    <x v="4"/>
  </r>
  <r>
    <s v="ORD-10382"/>
    <s v="CUST1227"/>
    <d v="2025-01-28T00:00:00"/>
    <s v="P011"/>
    <s v="Notebook"/>
    <x v="0"/>
    <x v="0"/>
    <n v="4"/>
    <n v="249"/>
    <n v="0"/>
    <n v="99"/>
    <s v="Pune"/>
    <x v="2"/>
    <x v="2"/>
    <x v="2"/>
    <x v="0"/>
    <n v="3"/>
    <n v="996"/>
    <n v="0"/>
    <n v="1095"/>
    <n v="397.80000000000007"/>
    <n v="0.36328767123287675"/>
    <x v="2"/>
  </r>
  <r>
    <s v="ORD-10383"/>
    <s v="CUST1039"/>
    <d v="2025-04-11T00:00:00"/>
    <s v="P010"/>
    <s v="Desk Lamp"/>
    <x v="2"/>
    <x v="2"/>
    <n v="2"/>
    <n v="1199"/>
    <n v="0.1"/>
    <n v="49"/>
    <s v="Chennai"/>
    <x v="4"/>
    <x v="2"/>
    <x v="1"/>
    <x v="0"/>
    <n v="3"/>
    <n v="2398"/>
    <n v="239.8"/>
    <n v="2207.1999999999998"/>
    <n v="528.59999999999991"/>
    <n v="0.23948894527002534"/>
    <x v="1"/>
  </r>
  <r>
    <s v="ORD-10384"/>
    <s v="CUST1300"/>
    <d v="2025-08-08T00:00:00"/>
    <s v="P009"/>
    <s v="Water Bottle"/>
    <x v="2"/>
    <x v="3"/>
    <n v="1"/>
    <n v="699"/>
    <n v="0"/>
    <n v="49"/>
    <s v="Gurgaon"/>
    <x v="0"/>
    <x v="3"/>
    <x v="4"/>
    <x v="0"/>
    <n v="3"/>
    <n v="699"/>
    <n v="0"/>
    <n v="748"/>
    <n v="258.70000000000005"/>
    <n v="0.34585561497326212"/>
    <x v="5"/>
  </r>
  <r>
    <s v="ORD-10385"/>
    <s v="CUST1252"/>
    <d v="2025-06-15T00:00:00"/>
    <s v="P008"/>
    <s v="Smart Watch"/>
    <x v="1"/>
    <x v="4"/>
    <n v="1"/>
    <n v="3499"/>
    <n v="0.15"/>
    <n v="59"/>
    <s v="Noida"/>
    <x v="5"/>
    <x v="4"/>
    <x v="0"/>
    <x v="2"/>
    <n v="3"/>
    <n v="3499"/>
    <n v="524.85"/>
    <n v="3033.15"/>
    <n v="583.85000000000036"/>
    <n v="0.19248965596821796"/>
    <x v="3"/>
  </r>
  <r>
    <s v="ORD-10386"/>
    <s v="CUST1279"/>
    <d v="2025-04-05T00:00:00"/>
    <s v="P002"/>
    <s v="Mechanical Keyboard"/>
    <x v="1"/>
    <x v="1"/>
    <n v="2"/>
    <n v="2499"/>
    <n v="0"/>
    <n v="79"/>
    <s v="Pune"/>
    <x v="2"/>
    <x v="4"/>
    <x v="3"/>
    <x v="3"/>
    <n v="1"/>
    <n v="4998"/>
    <n v="0"/>
    <n v="5077"/>
    <n v="1578.4"/>
    <n v="0.31089225920819386"/>
    <x v="1"/>
  </r>
  <r>
    <s v="ORD-10387"/>
    <s v="CUST1272"/>
    <d v="2025-12-06T00:00:00"/>
    <s v="P006"/>
    <s v="Cotton T-Shirt"/>
    <x v="4"/>
    <x v="8"/>
    <n v="3"/>
    <n v="799"/>
    <n v="0.05"/>
    <n v="49"/>
    <s v="Jaipur"/>
    <x v="6"/>
    <x v="1"/>
    <x v="0"/>
    <x v="0"/>
    <n v="3"/>
    <n v="2397"/>
    <n v="119.85000000000001"/>
    <n v="2326.15"/>
    <n v="648.25000000000023"/>
    <n v="0.27867936289577205"/>
    <x v="11"/>
  </r>
  <r>
    <s v="ORD-10388"/>
    <s v="CUST1125"/>
    <d v="2025-06-27T00:00:00"/>
    <s v="P011"/>
    <s v="Notebook"/>
    <x v="0"/>
    <x v="0"/>
    <n v="1"/>
    <n v="249"/>
    <n v="0.15"/>
    <n v="99"/>
    <s v="Delhi"/>
    <x v="1"/>
    <x v="0"/>
    <x v="2"/>
    <x v="2"/>
    <n v="4"/>
    <n v="249"/>
    <n v="37.35"/>
    <n v="310.64999999999998"/>
    <n v="136.35"/>
    <n v="0.43891839690970547"/>
    <x v="3"/>
  </r>
  <r>
    <s v="ORD-10389"/>
    <s v="CUST1261"/>
    <d v="2025-05-25T00:00:00"/>
    <s v="P002"/>
    <s v="Mechanical Keyboard"/>
    <x v="1"/>
    <x v="1"/>
    <n v="1"/>
    <n v="2499"/>
    <n v="0.05"/>
    <n v="99"/>
    <s v="Bengaluru"/>
    <x v="3"/>
    <x v="1"/>
    <x v="3"/>
    <x v="3"/>
    <n v="1"/>
    <n v="2499"/>
    <n v="124.95"/>
    <n v="2473.0500000000002"/>
    <n v="723.75000000000023"/>
    <n v="0.29265481894826234"/>
    <x v="0"/>
  </r>
  <r>
    <s v="ORD-10390"/>
    <s v="CUST1034"/>
    <d v="2025-02-12T00:00:00"/>
    <s v="P005"/>
    <s v="Running Shoes"/>
    <x v="4"/>
    <x v="7"/>
    <n v="1"/>
    <n v="2999"/>
    <n v="0.15"/>
    <n v="0"/>
    <s v="Jaipur"/>
    <x v="6"/>
    <x v="2"/>
    <x v="1"/>
    <x v="3"/>
    <n v="3"/>
    <n v="2999"/>
    <n v="449.84999999999997"/>
    <n v="2549.15"/>
    <n v="449.85000000000036"/>
    <n v="0.17647058823529427"/>
    <x v="9"/>
  </r>
  <r>
    <s v="ORD-10391"/>
    <s v="CUST1037"/>
    <d v="2025-04-16T00:00:00"/>
    <s v="P011"/>
    <s v="Notebook"/>
    <x v="0"/>
    <x v="0"/>
    <n v="3"/>
    <n v="249"/>
    <n v="0.2"/>
    <n v="79"/>
    <s v="Bengaluru"/>
    <x v="3"/>
    <x v="2"/>
    <x v="4"/>
    <x v="2"/>
    <n v="4"/>
    <n v="747"/>
    <n v="149.4"/>
    <n v="676.6"/>
    <n v="153.70000000000005"/>
    <n v="0.22716523795447832"/>
    <x v="1"/>
  </r>
  <r>
    <s v="ORD-10392"/>
    <s v="CUST1295"/>
    <d v="2025-02-07T00:00:00"/>
    <s v="P012"/>
    <s v="Office Chair"/>
    <x v="3"/>
    <x v="0"/>
    <n v="1"/>
    <n v="6499"/>
    <n v="0.15"/>
    <n v="0"/>
    <s v="Pune"/>
    <x v="2"/>
    <x v="2"/>
    <x v="2"/>
    <x v="0"/>
    <n v="4"/>
    <n v="6499"/>
    <n v="974.84999999999991"/>
    <n v="5524.15"/>
    <n v="974.85000000000036"/>
    <n v="0.17647058823529418"/>
    <x v="9"/>
  </r>
  <r>
    <s v="ORD-10393"/>
    <s v="CUST1274"/>
    <d v="2025-08-10T00:00:00"/>
    <s v="P007"/>
    <s v="Backpack"/>
    <x v="4"/>
    <x v="5"/>
    <n v="2"/>
    <n v="1499"/>
    <n v="0.2"/>
    <n v="0"/>
    <s v="Hyderabad"/>
    <x v="7"/>
    <x v="0"/>
    <x v="0"/>
    <x v="1"/>
    <n v="1"/>
    <n v="2998"/>
    <n v="599.6"/>
    <n v="2398.4"/>
    <n v="299.80000000000018"/>
    <n v="0.12500000000000008"/>
    <x v="5"/>
  </r>
  <r>
    <s v="ORD-10394"/>
    <s v="CUST1155"/>
    <d v="2025-02-07T00:00:00"/>
    <s v="P012"/>
    <s v="Office Chair"/>
    <x v="3"/>
    <x v="0"/>
    <n v="1"/>
    <n v="6499"/>
    <n v="0"/>
    <n v="59"/>
    <s v="Kolkata"/>
    <x v="8"/>
    <x v="4"/>
    <x v="4"/>
    <x v="3"/>
    <n v="3"/>
    <n v="6499"/>
    <n v="0"/>
    <n v="6558"/>
    <n v="2008.7000000000007"/>
    <n v="0.30629765172308643"/>
    <x v="9"/>
  </r>
  <r>
    <s v="ORD-10395"/>
    <s v="CUST1070"/>
    <d v="2025-12-05T00:00:00"/>
    <s v="P008"/>
    <s v="Smart Watch"/>
    <x v="1"/>
    <x v="4"/>
    <n v="1"/>
    <n v="3499"/>
    <n v="0.15"/>
    <n v="49"/>
    <s v="Bengaluru"/>
    <x v="3"/>
    <x v="1"/>
    <x v="0"/>
    <x v="0"/>
    <n v="3"/>
    <n v="3499"/>
    <n v="524.85"/>
    <n v="3023.15"/>
    <n v="573.85000000000036"/>
    <n v="0.18981856672675862"/>
    <x v="11"/>
  </r>
  <r>
    <s v="ORD-10396"/>
    <s v="CUST1064"/>
    <d v="2025-11-28T00:00:00"/>
    <s v="P011"/>
    <s v="Notebook"/>
    <x v="0"/>
    <x v="0"/>
    <n v="1"/>
    <n v="249"/>
    <n v="0.15"/>
    <n v="49"/>
    <s v="Noida"/>
    <x v="5"/>
    <x v="0"/>
    <x v="4"/>
    <x v="3"/>
    <n v="5"/>
    <n v="249"/>
    <n v="37.35"/>
    <n v="260.64999999999998"/>
    <n v="86.35"/>
    <n v="0.331287166698638"/>
    <x v="4"/>
  </r>
  <r>
    <s v="ORD-10397"/>
    <s v="CUST1109"/>
    <d v="2025-02-13T00:00:00"/>
    <s v="P010"/>
    <s v="Desk Lamp"/>
    <x v="2"/>
    <x v="2"/>
    <n v="2"/>
    <n v="2017"/>
    <n v="0.2"/>
    <n v="59"/>
    <s v="Bengaluru"/>
    <x v="3"/>
    <x v="1"/>
    <x v="0"/>
    <x v="2"/>
    <n v="2"/>
    <n v="4034"/>
    <n v="806.80000000000007"/>
    <n v="3286.2"/>
    <n v="462.40000000000009"/>
    <n v="0.14070963422798372"/>
    <x v="9"/>
  </r>
  <r>
    <s v="ORD-10398"/>
    <s v="CUST1028"/>
    <d v="2025-05-10T00:00:00"/>
    <s v="P003"/>
    <s v="Bluetooth Speaker"/>
    <x v="1"/>
    <x v="6"/>
    <n v="1"/>
    <n v="1799"/>
    <n v="0.2"/>
    <n v="99"/>
    <s v="Noida"/>
    <x v="5"/>
    <x v="4"/>
    <x v="3"/>
    <x v="0"/>
    <n v="3"/>
    <n v="1799"/>
    <n v="359.8"/>
    <n v="1538.2"/>
    <n v="278.90000000000009"/>
    <n v="0.18131582369002736"/>
    <x v="0"/>
  </r>
  <r>
    <s v="ORD-10399"/>
    <s v="CUST1250"/>
    <d v="2025-02-04T00:00:00"/>
    <s v="P009"/>
    <s v="Water Bottle"/>
    <x v="2"/>
    <x v="3"/>
    <n v="1"/>
    <n v="699"/>
    <n v="0.2"/>
    <n v="99"/>
    <s v="Gurgaon"/>
    <x v="0"/>
    <x v="3"/>
    <x v="2"/>
    <x v="0"/>
    <n v="2"/>
    <n v="699"/>
    <n v="139.80000000000001"/>
    <n v="658.2"/>
    <n v="168.90000000000009"/>
    <n v="0.25660893345487706"/>
    <x v="9"/>
  </r>
  <r>
    <s v="ORD-10400"/>
    <s v="Not Assigned"/>
    <d v="2025-11-14T00:00:00"/>
    <s v="P011"/>
    <s v="Notebook"/>
    <x v="0"/>
    <x v="0"/>
    <n v="1"/>
    <n v="249"/>
    <n v="0.05"/>
    <n v="79"/>
    <s v="Jaipur"/>
    <x v="6"/>
    <x v="3"/>
    <x v="0"/>
    <x v="0"/>
    <n v="3"/>
    <n v="249"/>
    <n v="12.450000000000001"/>
    <n v="315.55"/>
    <n v="141.25000000000003"/>
    <n v="0.44763112026620194"/>
    <x v="4"/>
  </r>
  <r>
    <s v="ORD-10401"/>
    <s v="CUST1003"/>
    <d v="2025-10-18T00:00:00"/>
    <s v="P005"/>
    <s v="Running Shoes"/>
    <x v="4"/>
    <x v="7"/>
    <n v="1"/>
    <n v="2999"/>
    <n v="0.1"/>
    <n v="49"/>
    <s v="Kolkata"/>
    <x v="8"/>
    <x v="3"/>
    <x v="1"/>
    <x v="0"/>
    <n v="3"/>
    <n v="2999"/>
    <n v="299.90000000000003"/>
    <n v="2748.1"/>
    <n v="648.80000000000018"/>
    <n v="0.23609038972380925"/>
    <x v="8"/>
  </r>
  <r>
    <s v="ORD-10402"/>
    <s v="CUST1237"/>
    <d v="2025-07-04T00:00:00"/>
    <s v="P004"/>
    <s v="USB-C Hub"/>
    <x v="1"/>
    <x v="1"/>
    <n v="1"/>
    <n v="1299"/>
    <n v="0.05"/>
    <n v="79"/>
    <s v="Bengaluru"/>
    <x v="3"/>
    <x v="1"/>
    <x v="2"/>
    <x v="2"/>
    <n v="3"/>
    <n v="1299"/>
    <n v="64.95"/>
    <n v="1313.05"/>
    <n v="403.75"/>
    <n v="0.30749019458512622"/>
    <x v="10"/>
  </r>
  <r>
    <s v="ORD-10403"/>
    <s v="CUST1276"/>
    <d v="2025-03-31T00:00:00"/>
    <s v="P005"/>
    <s v="Running Shoes"/>
    <x v="4"/>
    <x v="7"/>
    <n v="2"/>
    <n v="2999"/>
    <n v="0.05"/>
    <n v="49"/>
    <s v="Hyderabad"/>
    <x v="7"/>
    <x v="2"/>
    <x v="2"/>
    <x v="0"/>
    <n v="3"/>
    <n v="5998"/>
    <n v="299.90000000000003"/>
    <n v="5747.1"/>
    <n v="1548.5000000000009"/>
    <n v="0.26944023942510148"/>
    <x v="6"/>
  </r>
  <r>
    <s v="ORD-10404"/>
    <s v="CUST1208"/>
    <d v="2025-01-10T00:00:00"/>
    <s v="P011"/>
    <s v="Notebook"/>
    <x v="0"/>
    <x v="0"/>
    <n v="2"/>
    <n v="249"/>
    <n v="0.15"/>
    <n v="99"/>
    <s v="Gurgaon"/>
    <x v="0"/>
    <x v="4"/>
    <x v="1"/>
    <x v="0"/>
    <n v="1"/>
    <n v="498"/>
    <n v="74.7"/>
    <n v="522.29999999999995"/>
    <n v="173.7"/>
    <n v="0.33256748994830559"/>
    <x v="2"/>
  </r>
  <r>
    <s v="ORD-10405"/>
    <s v="CUST1115"/>
    <d v="2025-10-04T00:00:00"/>
    <s v="P009"/>
    <s v="Water Bottle"/>
    <x v="2"/>
    <x v="3"/>
    <n v="2"/>
    <n v="699"/>
    <n v="0.05"/>
    <n v="79"/>
    <s v="Mumbai"/>
    <x v="2"/>
    <x v="4"/>
    <x v="2"/>
    <x v="0"/>
    <n v="2"/>
    <n v="1398"/>
    <n v="69.900000000000006"/>
    <n v="1407.1"/>
    <n v="428.5"/>
    <n v="0.30452704143273401"/>
    <x v="8"/>
  </r>
  <r>
    <s v="ORD-10406"/>
    <s v="CUST1085"/>
    <d v="2025-07-23T00:00:00"/>
    <s v="P008"/>
    <s v="Smart Watch"/>
    <x v="1"/>
    <x v="4"/>
    <n v="2"/>
    <n v="3499"/>
    <n v="0.2"/>
    <n v="49"/>
    <s v="Chennai"/>
    <x v="4"/>
    <x v="4"/>
    <x v="1"/>
    <x v="0"/>
    <n v="4"/>
    <n v="6998"/>
    <n v="1399.6000000000001"/>
    <n v="5647.4"/>
    <n v="748.80000000000018"/>
    <n v="0.13259198923398383"/>
    <x v="10"/>
  </r>
  <r>
    <s v="ORD-10407"/>
    <s v="CUST1184"/>
    <d v="2025-10-17T00:00:00"/>
    <s v="P003"/>
    <s v="Bluetooth Speaker"/>
    <x v="1"/>
    <x v="6"/>
    <n v="2"/>
    <n v="1799"/>
    <n v="0.2"/>
    <n v="79"/>
    <s v="Noida"/>
    <x v="5"/>
    <x v="0"/>
    <x v="1"/>
    <x v="0"/>
    <n v="3"/>
    <n v="3598"/>
    <n v="719.6"/>
    <n v="2957.4"/>
    <n v="438.80000000000018"/>
    <n v="0.14837357138026649"/>
    <x v="8"/>
  </r>
  <r>
    <s v="ORD-10408"/>
    <s v="CUST1185"/>
    <d v="2025-07-09T00:00:00"/>
    <s v="P008"/>
    <s v="Smart Watch"/>
    <x v="1"/>
    <x v="4"/>
    <n v="1"/>
    <n v="3499"/>
    <n v="0"/>
    <n v="99"/>
    <s v="Jaipur"/>
    <x v="6"/>
    <x v="1"/>
    <x v="3"/>
    <x v="2"/>
    <n v="4"/>
    <n v="3499"/>
    <n v="0"/>
    <n v="3598"/>
    <n v="1148.7000000000003"/>
    <n v="0.31926070038910515"/>
    <x v="10"/>
  </r>
  <r>
    <s v="ORD-10409"/>
    <s v="CUST1135"/>
    <d v="2025-06-15T00:00:00"/>
    <s v="P001"/>
    <s v="Wireless Mouse"/>
    <x v="1"/>
    <x v="1"/>
    <n v="5"/>
    <n v="599"/>
    <n v="0.2"/>
    <n v="59"/>
    <s v="Delhi"/>
    <x v="1"/>
    <x v="4"/>
    <x v="0"/>
    <x v="3"/>
    <n v="5"/>
    <n v="2995"/>
    <n v="599"/>
    <n v="2455"/>
    <n v="358.5"/>
    <n v="0.14602851323828919"/>
    <x v="3"/>
  </r>
  <r>
    <s v="ORD-10410"/>
    <s v="CUST1193"/>
    <d v="2025-07-07T00:00:00"/>
    <s v="P003"/>
    <s v="Bluetooth Speaker"/>
    <x v="1"/>
    <x v="6"/>
    <n v="2"/>
    <n v="1799"/>
    <n v="0.15"/>
    <n v="59"/>
    <s v="Bengaluru"/>
    <x v="3"/>
    <x v="2"/>
    <x v="0"/>
    <x v="0"/>
    <n v="4"/>
    <n v="3598"/>
    <n v="539.69999999999993"/>
    <n v="3117.3"/>
    <n v="598.70000000000027"/>
    <n v="0.19205722901228636"/>
    <x v="10"/>
  </r>
  <r>
    <s v="ORD-10411"/>
    <s v="CUST1085"/>
    <d v="2025-09-04T00:00:00"/>
    <s v="P006"/>
    <s v="Cotton T-Shirt"/>
    <x v="4"/>
    <x v="8"/>
    <n v="2"/>
    <n v="799"/>
    <n v="0"/>
    <n v="79"/>
    <s v="Pune"/>
    <x v="2"/>
    <x v="2"/>
    <x v="4"/>
    <x v="3"/>
    <n v="5"/>
    <n v="1598"/>
    <n v="0"/>
    <n v="1677"/>
    <n v="558.40000000000009"/>
    <n v="0.33297555158020281"/>
    <x v="7"/>
  </r>
  <r>
    <s v="ORD-10412"/>
    <s v="CUST1118"/>
    <d v="2025-04-06T00:00:00"/>
    <s v="P011"/>
    <s v="Notebook"/>
    <x v="0"/>
    <x v="0"/>
    <n v="1"/>
    <n v="249"/>
    <n v="0.2"/>
    <n v="0"/>
    <s v="Mumbai"/>
    <x v="2"/>
    <x v="1"/>
    <x v="2"/>
    <x v="3"/>
    <n v="3"/>
    <n v="249"/>
    <n v="49.800000000000004"/>
    <n v="199.2"/>
    <n v="24.900000000000006"/>
    <n v="0.12500000000000003"/>
    <x v="1"/>
  </r>
  <r>
    <s v="ORD-10413"/>
    <s v="CUST1012"/>
    <d v="2025-09-03T00:00:00"/>
    <s v="P002"/>
    <s v="Mechanical Keyboard"/>
    <x v="1"/>
    <x v="1"/>
    <n v="2"/>
    <n v="2499"/>
    <n v="0.2"/>
    <n v="79"/>
    <s v="Hyderabad"/>
    <x v="7"/>
    <x v="2"/>
    <x v="4"/>
    <x v="0"/>
    <n v="2"/>
    <n v="4998"/>
    <n v="999.6"/>
    <n v="4077.4"/>
    <n v="578.80000000000018"/>
    <n v="0.14195320547407667"/>
    <x v="7"/>
  </r>
  <r>
    <s v="ORD-10414"/>
    <s v="CUST1086"/>
    <d v="2025-11-19T00:00:00"/>
    <s v="P010"/>
    <s v="Desk Lamp"/>
    <x v="2"/>
    <x v="2"/>
    <n v="1"/>
    <n v="1199"/>
    <n v="0"/>
    <n v="0"/>
    <s v="Kolkata"/>
    <x v="8"/>
    <x v="3"/>
    <x v="1"/>
    <x v="3"/>
    <n v="5"/>
    <n v="1199"/>
    <n v="0"/>
    <n v="1199"/>
    <n v="359.70000000000005"/>
    <n v="0.30000000000000004"/>
    <x v="4"/>
  </r>
  <r>
    <s v="ORD-10415"/>
    <s v="CUST1044"/>
    <d v="2025-11-23T00:00:00"/>
    <s v="P007"/>
    <s v="Backpack"/>
    <x v="4"/>
    <x v="5"/>
    <n v="4"/>
    <n v="1499"/>
    <n v="0.2"/>
    <n v="59"/>
    <s v="Kolkata"/>
    <x v="8"/>
    <x v="2"/>
    <x v="3"/>
    <x v="2"/>
    <n v="5"/>
    <n v="5996"/>
    <n v="1199.2"/>
    <n v="4855.8"/>
    <n v="658.60000000000036"/>
    <n v="0.13563161579966232"/>
    <x v="4"/>
  </r>
  <r>
    <s v="ORD-10416"/>
    <s v="CUST1262"/>
    <d v="2025-07-30T00:00:00"/>
    <s v="P008"/>
    <s v="Smart Watch"/>
    <x v="1"/>
    <x v="4"/>
    <n v="1"/>
    <n v="3499"/>
    <n v="0"/>
    <n v="99"/>
    <s v="Hyderabad"/>
    <x v="7"/>
    <x v="3"/>
    <x v="1"/>
    <x v="3"/>
    <n v="3"/>
    <n v="3499"/>
    <n v="0"/>
    <n v="3598"/>
    <n v="1148.7000000000003"/>
    <n v="0.31926070038910515"/>
    <x v="10"/>
  </r>
  <r>
    <s v="ORD-10417"/>
    <s v="CUST1068"/>
    <d v="2025-11-02T00:00:00"/>
    <s v="P011"/>
    <s v="Notebook"/>
    <x v="0"/>
    <x v="0"/>
    <n v="4"/>
    <n v="249"/>
    <n v="0.1"/>
    <n v="79"/>
    <s v="Pune"/>
    <x v="2"/>
    <x v="0"/>
    <x v="4"/>
    <x v="0"/>
    <n v="2"/>
    <n v="996"/>
    <n v="99.600000000000009"/>
    <n v="975.4"/>
    <n v="278.20000000000005"/>
    <n v="0.28521632150912452"/>
    <x v="4"/>
  </r>
  <r>
    <s v="ORD-10418"/>
    <s v="CUST1020"/>
    <d v="2025-03-18T00:00:00"/>
    <s v="P009"/>
    <s v="Water Bottle"/>
    <x v="2"/>
    <x v="3"/>
    <n v="2"/>
    <n v="699"/>
    <n v="0.1"/>
    <n v="99"/>
    <s v="Chennai"/>
    <x v="4"/>
    <x v="4"/>
    <x v="0"/>
    <x v="0"/>
    <n v="3"/>
    <n v="1398"/>
    <n v="139.80000000000001"/>
    <n v="1357.2"/>
    <n v="378.60000000000014"/>
    <n v="0.27895667550839975"/>
    <x v="6"/>
  </r>
  <r>
    <s v="ORD-10419"/>
    <s v="CUST1268"/>
    <d v="2025-03-08T00:00:00"/>
    <s v="P002"/>
    <s v="Mechanical Keyboard"/>
    <x v="1"/>
    <x v="1"/>
    <n v="2"/>
    <n v="2499"/>
    <n v="0.2"/>
    <n v="79"/>
    <s v="Gurgaon"/>
    <x v="0"/>
    <x v="1"/>
    <x v="2"/>
    <x v="0"/>
    <n v="3"/>
    <n v="4998"/>
    <n v="999.6"/>
    <n v="4077.4"/>
    <n v="578.80000000000018"/>
    <n v="0.14195320547407667"/>
    <x v="6"/>
  </r>
  <r>
    <s v="ORD-10420"/>
    <s v="CUST1051"/>
    <d v="2025-09-04T00:00:00"/>
    <s v="P001"/>
    <s v="Wireless Mouse"/>
    <x v="1"/>
    <x v="1"/>
    <n v="1"/>
    <n v="599"/>
    <n v="0.2"/>
    <n v="99"/>
    <s v="Chennai"/>
    <x v="4"/>
    <x v="1"/>
    <x v="1"/>
    <x v="3"/>
    <n v="3"/>
    <n v="599"/>
    <n v="119.80000000000001"/>
    <n v="578.20000000000005"/>
    <n v="158.90000000000009"/>
    <n v="0.27481840193704615"/>
    <x v="7"/>
  </r>
  <r>
    <s v="ORD-10421"/>
    <s v="CUST1097"/>
    <d v="2025-02-12T00:00:00"/>
    <s v="P008"/>
    <s v="Smart Watch"/>
    <x v="1"/>
    <x v="4"/>
    <n v="4"/>
    <n v="3499"/>
    <n v="0.1"/>
    <n v="59"/>
    <s v="Jaipur"/>
    <x v="6"/>
    <x v="0"/>
    <x v="4"/>
    <x v="3"/>
    <n v="5"/>
    <n v="13996"/>
    <n v="1399.6000000000001"/>
    <n v="12655.4"/>
    <n v="2858.2000000000007"/>
    <n v="0.22584825450005538"/>
    <x v="9"/>
  </r>
  <r>
    <s v="ORD-10422"/>
    <s v="CUST1186"/>
    <d v="2025-07-12T00:00:00"/>
    <s v="P009"/>
    <s v="Water Bottle"/>
    <x v="2"/>
    <x v="3"/>
    <n v="2"/>
    <n v="699"/>
    <n v="0.05"/>
    <n v="79"/>
    <s v="Gurgaon"/>
    <x v="0"/>
    <x v="0"/>
    <x v="1"/>
    <x v="2"/>
    <n v="4"/>
    <n v="1398"/>
    <n v="69.900000000000006"/>
    <n v="1407.1"/>
    <n v="428.5"/>
    <n v="0.30452704143273401"/>
    <x v="10"/>
  </r>
  <r>
    <s v="ORD-10423"/>
    <s v="CUST1204"/>
    <d v="2025-10-02T00:00:00"/>
    <s v="P011"/>
    <s v="Notebook"/>
    <x v="0"/>
    <x v="0"/>
    <n v="1"/>
    <n v="249"/>
    <n v="0.15"/>
    <n v="59"/>
    <s v="Kolkata"/>
    <x v="8"/>
    <x v="2"/>
    <x v="3"/>
    <x v="0"/>
    <n v="5"/>
    <n v="249"/>
    <n v="37.35"/>
    <n v="270.64999999999998"/>
    <n v="96.35"/>
    <n v="0.35599482726768888"/>
    <x v="8"/>
  </r>
  <r>
    <s v="ORD-10424"/>
    <s v="CUST1177"/>
    <d v="2025-10-14T00:00:00"/>
    <s v="P009"/>
    <s v="Water Bottle"/>
    <x v="2"/>
    <x v="3"/>
    <n v="1"/>
    <n v="699"/>
    <n v="0.05"/>
    <n v="99"/>
    <s v="Hyderabad"/>
    <x v="7"/>
    <x v="1"/>
    <x v="1"/>
    <x v="0"/>
    <n v="3"/>
    <n v="699"/>
    <n v="34.950000000000003"/>
    <n v="763.05"/>
    <n v="273.75"/>
    <n v="0.35875761745626106"/>
    <x v="8"/>
  </r>
  <r>
    <s v="ORD-10425"/>
    <s v="CUST1206"/>
    <d v="2025-08-17T00:00:00"/>
    <s v="P011"/>
    <s v="Notebook"/>
    <x v="0"/>
    <x v="0"/>
    <n v="2"/>
    <n v="249"/>
    <n v="0"/>
    <n v="99"/>
    <s v="Gurgaon"/>
    <x v="0"/>
    <x v="3"/>
    <x v="0"/>
    <x v="0"/>
    <n v="5"/>
    <n v="498"/>
    <n v="0"/>
    <n v="597"/>
    <n v="248.40000000000003"/>
    <n v="0.41608040201005031"/>
    <x v="5"/>
  </r>
  <r>
    <s v="ORD-10426"/>
    <s v="CUST1223"/>
    <d v="2025-11-22T00:00:00"/>
    <s v="P012"/>
    <s v="Office Chair"/>
    <x v="3"/>
    <x v="0"/>
    <n v="1"/>
    <n v="6499"/>
    <n v="0"/>
    <n v="79"/>
    <s v="Delhi"/>
    <x v="1"/>
    <x v="0"/>
    <x v="4"/>
    <x v="0"/>
    <n v="3"/>
    <n v="6499"/>
    <n v="0"/>
    <n v="6578"/>
    <n v="2028.7000000000007"/>
    <n v="0.30840681058072372"/>
    <x v="4"/>
  </r>
  <r>
    <s v="ORD-10427"/>
    <s v="CUST1147"/>
    <d v="2025-01-20T00:00:00"/>
    <s v="P004"/>
    <s v="USB-C Hub"/>
    <x v="1"/>
    <x v="1"/>
    <n v="1"/>
    <n v="1299"/>
    <n v="0.15"/>
    <n v="99"/>
    <s v="Pune"/>
    <x v="2"/>
    <x v="4"/>
    <x v="4"/>
    <x v="1"/>
    <n v="3"/>
    <n v="1299"/>
    <n v="194.85"/>
    <n v="1203.1500000000001"/>
    <n v="293.85000000000014"/>
    <n v="0.24423388604912116"/>
    <x v="2"/>
  </r>
  <r>
    <s v="ORD-10428"/>
    <s v="CUST1018"/>
    <d v="2025-04-14T00:00:00"/>
    <s v="P003"/>
    <s v="Bluetooth Speaker"/>
    <x v="1"/>
    <x v="6"/>
    <n v="1"/>
    <n v="1799"/>
    <n v="0.05"/>
    <n v="49"/>
    <s v="Hyderabad"/>
    <x v="7"/>
    <x v="4"/>
    <x v="0"/>
    <x v="3"/>
    <n v="5"/>
    <n v="1799"/>
    <n v="89.95"/>
    <n v="1758.05"/>
    <n v="498.75"/>
    <n v="0.28369500298626321"/>
    <x v="1"/>
  </r>
  <r>
    <s v="ORD-10429"/>
    <s v="CUST1081"/>
    <d v="2025-12-12T00:00:00"/>
    <s v="P012"/>
    <s v="Office Chair"/>
    <x v="3"/>
    <x v="0"/>
    <n v="2"/>
    <n v="6499"/>
    <n v="0.2"/>
    <n v="0"/>
    <s v="Jaipur"/>
    <x v="6"/>
    <x v="0"/>
    <x v="2"/>
    <x v="0"/>
    <n v="3"/>
    <n v="12998"/>
    <n v="2599.6000000000004"/>
    <n v="10398.4"/>
    <n v="1299.8000000000011"/>
    <n v="0.12500000000000011"/>
    <x v="11"/>
  </r>
  <r>
    <s v="ORD-10430"/>
    <s v="CUST1047"/>
    <d v="2025-07-27T00:00:00"/>
    <s v="P007"/>
    <s v="Backpack"/>
    <x v="4"/>
    <x v="5"/>
    <n v="2"/>
    <n v="1499"/>
    <n v="0"/>
    <n v="0"/>
    <s v="Pune"/>
    <x v="2"/>
    <x v="4"/>
    <x v="2"/>
    <x v="3"/>
    <n v="3"/>
    <n v="2998"/>
    <n v="0"/>
    <n v="2998"/>
    <n v="899.40000000000009"/>
    <n v="0.30000000000000004"/>
    <x v="10"/>
  </r>
  <r>
    <s v="ORD-10431"/>
    <s v="CUST1295"/>
    <d v="2025-05-22T00:00:00"/>
    <s v="P009"/>
    <s v="Water Bottle"/>
    <x v="2"/>
    <x v="3"/>
    <n v="1"/>
    <n v="699"/>
    <n v="0.1"/>
    <n v="79"/>
    <s v="Kolkata"/>
    <x v="8"/>
    <x v="0"/>
    <x v="2"/>
    <x v="0"/>
    <n v="2"/>
    <n v="699"/>
    <n v="69.900000000000006"/>
    <n v="708.1"/>
    <n v="218.80000000000007"/>
    <n v="0.30899590453325809"/>
    <x v="0"/>
  </r>
  <r>
    <s v="ORD-10432"/>
    <s v="CUST1132"/>
    <d v="2025-02-07T00:00:00"/>
    <s v="P007"/>
    <s v="Backpack"/>
    <x v="4"/>
    <x v="5"/>
    <n v="1"/>
    <n v="1499"/>
    <n v="0"/>
    <n v="99"/>
    <s v="Chennai"/>
    <x v="4"/>
    <x v="4"/>
    <x v="0"/>
    <x v="0"/>
    <n v="3"/>
    <n v="1499"/>
    <n v="0"/>
    <n v="1598"/>
    <n v="548.70000000000005"/>
    <n v="0.34336670838548189"/>
    <x v="9"/>
  </r>
  <r>
    <s v="ORD-10433"/>
    <s v="CUST1236"/>
    <d v="2025-10-16T00:00:00"/>
    <s v="P012"/>
    <s v="Office Chair"/>
    <x v="3"/>
    <x v="0"/>
    <n v="4"/>
    <n v="6499"/>
    <n v="0.05"/>
    <n v="79"/>
    <s v="Hyderabad"/>
    <x v="7"/>
    <x v="4"/>
    <x v="4"/>
    <x v="0"/>
    <n v="4"/>
    <n v="25996"/>
    <n v="1299.8000000000002"/>
    <n v="24775.200000000001"/>
    <n v="6578.0000000000036"/>
    <n v="0.2655074429267979"/>
    <x v="8"/>
  </r>
  <r>
    <s v="ORD-10434"/>
    <s v="CUST1212"/>
    <d v="2025-11-21T00:00:00"/>
    <s v="P002"/>
    <s v="Mechanical Keyboard"/>
    <x v="1"/>
    <x v="1"/>
    <n v="1"/>
    <n v="2499"/>
    <n v="0"/>
    <n v="59"/>
    <s v="Mumbai"/>
    <x v="2"/>
    <x v="3"/>
    <x v="0"/>
    <x v="2"/>
    <n v="5"/>
    <n v="2499"/>
    <n v="0"/>
    <n v="2558"/>
    <n v="808.7"/>
    <n v="0.3161454261141517"/>
    <x v="4"/>
  </r>
  <r>
    <s v="ORD-10435"/>
    <s v="CUST1284"/>
    <d v="2025-02-17T00:00:00"/>
    <s v="P001"/>
    <s v="Wireless Mouse"/>
    <x v="1"/>
    <x v="1"/>
    <n v="1"/>
    <n v="599"/>
    <n v="0.05"/>
    <n v="0"/>
    <s v="Mumbai"/>
    <x v="2"/>
    <x v="2"/>
    <x v="3"/>
    <x v="2"/>
    <n v="3"/>
    <n v="599"/>
    <n v="29.950000000000003"/>
    <n v="569.04999999999995"/>
    <n v="149.75"/>
    <n v="0.26315789473684215"/>
    <x v="9"/>
  </r>
  <r>
    <s v="ORD-10436"/>
    <s v="CUST1103"/>
    <d v="2025-05-18T00:00:00"/>
    <s v="P006"/>
    <s v="Cotton T-Shirt"/>
    <x v="4"/>
    <x v="8"/>
    <n v="3"/>
    <n v="799"/>
    <n v="0"/>
    <n v="79"/>
    <s v="Jaipur"/>
    <x v="6"/>
    <x v="2"/>
    <x v="1"/>
    <x v="2"/>
    <n v="3"/>
    <n v="2397"/>
    <n v="0"/>
    <n v="2476"/>
    <n v="798.10000000000014"/>
    <n v="0.32233441033925692"/>
    <x v="0"/>
  </r>
  <r>
    <s v="ORD-10437"/>
    <s v="CUST1041"/>
    <d v="2025-05-08T00:00:00"/>
    <s v="P005"/>
    <s v="Running Shoes"/>
    <x v="4"/>
    <x v="7"/>
    <n v="1"/>
    <n v="2999"/>
    <n v="0"/>
    <n v="0"/>
    <s v="Jaipur"/>
    <x v="6"/>
    <x v="1"/>
    <x v="0"/>
    <x v="0"/>
    <n v="1"/>
    <n v="2999"/>
    <n v="0"/>
    <n v="2999"/>
    <n v="899.70000000000027"/>
    <n v="0.3000000000000001"/>
    <x v="0"/>
  </r>
  <r>
    <s v="ORD-10438"/>
    <s v="CUST1252"/>
    <d v="2025-07-10T00:00:00"/>
    <s v="P009"/>
    <s v="Water Bottle"/>
    <x v="2"/>
    <x v="3"/>
    <n v="3"/>
    <n v="699"/>
    <n v="0.15"/>
    <n v="59"/>
    <s v="Delhi"/>
    <x v="1"/>
    <x v="2"/>
    <x v="0"/>
    <x v="1"/>
    <n v="3"/>
    <n v="2097"/>
    <n v="314.55"/>
    <n v="1841.45"/>
    <n v="373.55000000000018"/>
    <n v="0.20285644464959687"/>
    <x v="10"/>
  </r>
  <r>
    <s v="ORD-10439"/>
    <s v="CUST1017"/>
    <d v="2025-03-07T00:00:00"/>
    <s v="P007"/>
    <s v="Backpack"/>
    <x v="4"/>
    <x v="5"/>
    <n v="3"/>
    <n v="1499"/>
    <n v="0.1"/>
    <n v="99"/>
    <s v="Jaipur"/>
    <x v="6"/>
    <x v="4"/>
    <x v="2"/>
    <x v="1"/>
    <n v="4"/>
    <n v="4497"/>
    <n v="449.70000000000005"/>
    <n v="4146.3"/>
    <n v="998.40000000000055"/>
    <n v="0.2407929961652559"/>
    <x v="6"/>
  </r>
  <r>
    <s v="ORD-10440"/>
    <s v="CUST1007"/>
    <d v="2025-03-03T00:00:00"/>
    <s v="P011"/>
    <s v="Notebook"/>
    <x v="0"/>
    <x v="0"/>
    <n v="2"/>
    <n v="249"/>
    <n v="0.05"/>
    <n v="0"/>
    <s v="Noida"/>
    <x v="5"/>
    <x v="2"/>
    <x v="3"/>
    <x v="1"/>
    <n v="5"/>
    <n v="498"/>
    <n v="24.900000000000002"/>
    <n v="473.1"/>
    <n v="124.50000000000006"/>
    <n v="0.2631578947368422"/>
    <x v="6"/>
  </r>
  <r>
    <s v="ORD-10441"/>
    <s v="CUST1242"/>
    <d v="2025-05-13T00:00:00"/>
    <s v="P002"/>
    <s v="Mechanical Keyboard"/>
    <x v="1"/>
    <x v="1"/>
    <n v="1"/>
    <n v="2499"/>
    <n v="0"/>
    <n v="59"/>
    <s v="Pune"/>
    <x v="2"/>
    <x v="4"/>
    <x v="2"/>
    <x v="0"/>
    <n v="3"/>
    <n v="2499"/>
    <n v="0"/>
    <n v="2558"/>
    <n v="808.7"/>
    <n v="0.3161454261141517"/>
    <x v="0"/>
  </r>
  <r>
    <s v="ORD-10442"/>
    <s v="CUST1144"/>
    <d v="2025-08-03T00:00:00"/>
    <s v="P003"/>
    <s v="Bluetooth Speaker"/>
    <x v="1"/>
    <x v="6"/>
    <n v="1"/>
    <n v="1799"/>
    <n v="0.05"/>
    <n v="79"/>
    <s v="Hyderabad"/>
    <x v="7"/>
    <x v="1"/>
    <x v="1"/>
    <x v="0"/>
    <n v="5"/>
    <n v="1799"/>
    <n v="89.95"/>
    <n v="1788.05"/>
    <n v="528.75"/>
    <n v="0.29571320712508042"/>
    <x v="5"/>
  </r>
  <r>
    <s v="ORD-10443"/>
    <s v="CUST1196"/>
    <d v="2025-02-21T00:00:00"/>
    <s v="P003"/>
    <s v="Bluetooth Speaker"/>
    <x v="1"/>
    <x v="6"/>
    <n v="2"/>
    <n v="1799"/>
    <n v="0.15"/>
    <n v="79"/>
    <s v="Kolkata"/>
    <x v="8"/>
    <x v="2"/>
    <x v="1"/>
    <x v="0"/>
    <n v="3"/>
    <n v="3598"/>
    <n v="539.69999999999993"/>
    <n v="3137.3"/>
    <n v="618.70000000000027"/>
    <n v="0.19720779013801684"/>
    <x v="9"/>
  </r>
  <r>
    <s v="ORD-10444"/>
    <s v="CUST1274"/>
    <d v="2025-01-05T00:00:00"/>
    <s v="P012"/>
    <s v="Office Chair"/>
    <x v="3"/>
    <x v="0"/>
    <n v="2"/>
    <n v="6499"/>
    <n v="0"/>
    <n v="99"/>
    <s v="Noida"/>
    <x v="5"/>
    <x v="3"/>
    <x v="3"/>
    <x v="1"/>
    <n v="3"/>
    <n v="12998"/>
    <n v="0"/>
    <n v="13097"/>
    <n v="3998.4000000000015"/>
    <n v="0.30529128808124006"/>
    <x v="2"/>
  </r>
  <r>
    <s v="ORD-10445"/>
    <s v="CUST1111"/>
    <d v="2025-01-25T00:00:00"/>
    <s v="P005"/>
    <s v="Running Shoes"/>
    <x v="4"/>
    <x v="7"/>
    <n v="3"/>
    <n v="2999"/>
    <n v="0"/>
    <n v="0"/>
    <s v="Chennai"/>
    <x v="4"/>
    <x v="3"/>
    <x v="3"/>
    <x v="2"/>
    <n v="3"/>
    <n v="8997"/>
    <n v="0"/>
    <n v="8997"/>
    <n v="2699.1000000000004"/>
    <n v="0.30000000000000004"/>
    <x v="2"/>
  </r>
  <r>
    <s v="ORD-10446"/>
    <s v="CUST1132"/>
    <d v="2025-06-21T00:00:00"/>
    <s v="P011"/>
    <s v="Notebook"/>
    <x v="0"/>
    <x v="0"/>
    <n v="1"/>
    <n v="249"/>
    <n v="0.15"/>
    <n v="99"/>
    <s v="Gurgaon"/>
    <x v="0"/>
    <x v="3"/>
    <x v="4"/>
    <x v="0"/>
    <n v="4"/>
    <n v="249"/>
    <n v="37.35"/>
    <n v="310.64999999999998"/>
    <n v="136.35"/>
    <n v="0.43891839690970547"/>
    <x v="3"/>
  </r>
  <r>
    <s v="ORD-10447"/>
    <s v="CUST1090"/>
    <d v="2025-11-07T00:00:00"/>
    <s v="P002"/>
    <s v="Mechanical Keyboard"/>
    <x v="1"/>
    <x v="1"/>
    <n v="3"/>
    <n v="2499"/>
    <n v="0.2"/>
    <n v="99"/>
    <s v="Pune"/>
    <x v="2"/>
    <x v="3"/>
    <x v="2"/>
    <x v="3"/>
    <n v="3"/>
    <n v="7497"/>
    <n v="1499.4"/>
    <n v="6096.6"/>
    <n v="848.70000000000073"/>
    <n v="0.13920873929731337"/>
    <x v="4"/>
  </r>
  <r>
    <s v="ORD-10448"/>
    <s v="CUST1075"/>
    <d v="2025-08-17T00:00:00"/>
    <s v="P011"/>
    <s v="Notebook"/>
    <x v="0"/>
    <x v="0"/>
    <n v="2"/>
    <n v="249"/>
    <n v="0.05"/>
    <n v="79"/>
    <s v="Chennai"/>
    <x v="4"/>
    <x v="2"/>
    <x v="2"/>
    <x v="3"/>
    <n v="4"/>
    <n v="498"/>
    <n v="24.900000000000002"/>
    <n v="552.1"/>
    <n v="203.50000000000006"/>
    <n v="0.36859264625973565"/>
    <x v="5"/>
  </r>
  <r>
    <s v="ORD-10449"/>
    <s v="CUST1163"/>
    <d v="2025-02-06T00:00:00"/>
    <s v="P011"/>
    <s v="Notebook"/>
    <x v="0"/>
    <x v="0"/>
    <n v="2"/>
    <n v="249"/>
    <n v="0"/>
    <n v="59"/>
    <s v="Kolkata"/>
    <x v="8"/>
    <x v="3"/>
    <x v="2"/>
    <x v="0"/>
    <n v="5"/>
    <n v="498"/>
    <n v="0"/>
    <n v="557"/>
    <n v="208.40000000000003"/>
    <n v="0.37414721723518857"/>
    <x v="9"/>
  </r>
  <r>
    <s v="ORD-10450"/>
    <s v="CUST1212"/>
    <d v="2025-08-16T00:00:00"/>
    <s v="P011"/>
    <s v="Notebook"/>
    <x v="0"/>
    <x v="0"/>
    <n v="1"/>
    <n v="249"/>
    <n v="0.15"/>
    <n v="79"/>
    <s v="Bengaluru"/>
    <x v="3"/>
    <x v="2"/>
    <x v="1"/>
    <x v="3"/>
    <n v="3"/>
    <n v="249"/>
    <n v="37.35"/>
    <n v="290.64999999999998"/>
    <n v="116.35"/>
    <n v="0.4003096507827284"/>
    <x v="5"/>
  </r>
  <r>
    <s v="ORD-10451"/>
    <s v="CUST1108"/>
    <d v="2025-12-05T00:00:00"/>
    <s v="P001"/>
    <s v="Wireless Mouse"/>
    <x v="1"/>
    <x v="1"/>
    <n v="1"/>
    <n v="599"/>
    <n v="0.2"/>
    <n v="0"/>
    <s v="Noida"/>
    <x v="5"/>
    <x v="2"/>
    <x v="3"/>
    <x v="2"/>
    <n v="1"/>
    <n v="599"/>
    <n v="119.80000000000001"/>
    <n v="479.2"/>
    <n v="59.900000000000034"/>
    <n v="0.12500000000000008"/>
    <x v="11"/>
  </r>
  <r>
    <s v="ORD-10452"/>
    <s v="CUST1043"/>
    <d v="2025-08-31T00:00:00"/>
    <s v="P002"/>
    <s v="Mechanical Keyboard"/>
    <x v="1"/>
    <x v="1"/>
    <n v="4"/>
    <n v="2499"/>
    <n v="0.1"/>
    <n v="99"/>
    <s v="Gurgaon"/>
    <x v="0"/>
    <x v="0"/>
    <x v="2"/>
    <x v="0"/>
    <n v="5"/>
    <n v="9996"/>
    <n v="999.6"/>
    <n v="9095.4"/>
    <n v="2098.1999999999998"/>
    <n v="0.23068804010818655"/>
    <x v="5"/>
  </r>
  <r>
    <s v="ORD-10453"/>
    <s v="CUST1227"/>
    <d v="2025-07-19T00:00:00"/>
    <s v="P003"/>
    <s v="Bluetooth Speaker"/>
    <x v="1"/>
    <x v="6"/>
    <n v="2"/>
    <n v="1799"/>
    <n v="0.2"/>
    <n v="59"/>
    <s v="Gurgaon"/>
    <x v="0"/>
    <x v="2"/>
    <x v="1"/>
    <x v="0"/>
    <n v="5"/>
    <n v="3598"/>
    <n v="719.6"/>
    <n v="2937.4"/>
    <n v="418.80000000000018"/>
    <n v="0.1425750663852387"/>
    <x v="10"/>
  </r>
  <r>
    <s v="ORD-10454"/>
    <s v="CUST1140"/>
    <d v="2025-07-02T00:00:00"/>
    <s v="P003"/>
    <s v="Bluetooth Speaker"/>
    <x v="1"/>
    <x v="6"/>
    <n v="1"/>
    <n v="1799"/>
    <n v="0.1"/>
    <n v="99"/>
    <s v="Delhi"/>
    <x v="1"/>
    <x v="4"/>
    <x v="3"/>
    <x v="1"/>
    <n v="2"/>
    <n v="1799"/>
    <n v="179.9"/>
    <n v="1718.1"/>
    <n v="458.79999999999995"/>
    <n v="0.26703917117746345"/>
    <x v="10"/>
  </r>
  <r>
    <s v="ORD-10455"/>
    <s v="CUST1223"/>
    <d v="2025-11-02T00:00:00"/>
    <s v="P012"/>
    <s v="Office Chair"/>
    <x v="3"/>
    <x v="0"/>
    <n v="1"/>
    <n v="6499"/>
    <n v="0.2"/>
    <n v="99"/>
    <s v="Chennai"/>
    <x v="4"/>
    <x v="4"/>
    <x v="0"/>
    <x v="2"/>
    <n v="3"/>
    <n v="6499"/>
    <n v="1299.8000000000002"/>
    <n v="5298.2"/>
    <n v="748.90000000000055"/>
    <n v="0.14134989241629242"/>
    <x v="4"/>
  </r>
  <r>
    <s v="ORD-10456"/>
    <s v="CUST1080"/>
    <d v="2025-02-15T00:00:00"/>
    <s v="P006"/>
    <s v="Cotton T-Shirt"/>
    <x v="4"/>
    <x v="8"/>
    <n v="2"/>
    <n v="799"/>
    <n v="0.1"/>
    <n v="59"/>
    <s v="Hyderabad"/>
    <x v="7"/>
    <x v="3"/>
    <x v="4"/>
    <x v="0"/>
    <n v="1"/>
    <n v="1598"/>
    <n v="159.80000000000001"/>
    <n v="1497.2"/>
    <n v="378.60000000000014"/>
    <n v="0.25287202778519913"/>
    <x v="9"/>
  </r>
  <r>
    <s v="ORD-10457"/>
    <s v="CUST1154"/>
    <d v="2025-08-29T00:00:00"/>
    <s v="P009"/>
    <s v="Water Bottle"/>
    <x v="2"/>
    <x v="3"/>
    <n v="1"/>
    <n v="699"/>
    <n v="0"/>
    <n v="79"/>
    <s v="Noida"/>
    <x v="5"/>
    <x v="0"/>
    <x v="3"/>
    <x v="2"/>
    <n v="3"/>
    <n v="699"/>
    <n v="0"/>
    <n v="778"/>
    <n v="288.70000000000005"/>
    <n v="0.37107969151670955"/>
    <x v="5"/>
  </r>
  <r>
    <s v="ORD-10458"/>
    <s v="CUST1224"/>
    <d v="2025-01-04T00:00:00"/>
    <s v="P005"/>
    <s v="Running Shoes"/>
    <x v="4"/>
    <x v="7"/>
    <n v="1"/>
    <n v="2999"/>
    <n v="0.1"/>
    <n v="99"/>
    <s v="Kolkata"/>
    <x v="8"/>
    <x v="1"/>
    <x v="1"/>
    <x v="0"/>
    <n v="2"/>
    <n v="2999"/>
    <n v="299.90000000000003"/>
    <n v="2798.1"/>
    <n v="698.80000000000018"/>
    <n v="0.24974089560773388"/>
    <x v="2"/>
  </r>
  <r>
    <s v="ORD-10459"/>
    <s v="CUST1265"/>
    <d v="2025-04-23T00:00:00"/>
    <s v="P012"/>
    <s v="Office Chair"/>
    <x v="3"/>
    <x v="0"/>
    <n v="3"/>
    <n v="6499"/>
    <n v="0.2"/>
    <n v="49"/>
    <s v="Bengaluru"/>
    <x v="3"/>
    <x v="4"/>
    <x v="2"/>
    <x v="1"/>
    <n v="3"/>
    <n v="19497"/>
    <n v="3899.4"/>
    <n v="15646.6"/>
    <n v="1998.7000000000007"/>
    <n v="0.12774021193102658"/>
    <x v="1"/>
  </r>
  <r>
    <s v="ORD-10460"/>
    <s v="CUST1149"/>
    <d v="2025-07-31T00:00:00"/>
    <s v="P011"/>
    <s v="Notebook"/>
    <x v="0"/>
    <x v="0"/>
    <n v="3"/>
    <n v="249"/>
    <n v="0"/>
    <n v="49"/>
    <s v="Chennai"/>
    <x v="4"/>
    <x v="0"/>
    <x v="3"/>
    <x v="0"/>
    <n v="5"/>
    <n v="747"/>
    <n v="0"/>
    <n v="796"/>
    <n v="273.10000000000002"/>
    <n v="0.34309045226130658"/>
    <x v="10"/>
  </r>
  <r>
    <s v="ORD-10461"/>
    <s v="CUST1274"/>
    <d v="2025-09-09T00:00:00"/>
    <s v="P008"/>
    <s v="Smart Watch"/>
    <x v="1"/>
    <x v="4"/>
    <n v="2"/>
    <n v="3499"/>
    <n v="0"/>
    <n v="0"/>
    <s v="Mumbai"/>
    <x v="2"/>
    <x v="0"/>
    <x v="1"/>
    <x v="0"/>
    <n v="1"/>
    <n v="6998"/>
    <n v="0"/>
    <n v="6998"/>
    <n v="2099.4000000000005"/>
    <n v="0.3000000000000001"/>
    <x v="7"/>
  </r>
  <r>
    <s v="ORD-10462"/>
    <s v="CUST1008"/>
    <d v="2025-08-13T00:00:00"/>
    <s v="P005"/>
    <s v="Running Shoes"/>
    <x v="4"/>
    <x v="7"/>
    <n v="1"/>
    <n v="2999"/>
    <n v="0"/>
    <n v="49"/>
    <s v="Mumbai"/>
    <x v="2"/>
    <x v="1"/>
    <x v="1"/>
    <x v="0"/>
    <n v="3"/>
    <n v="2999"/>
    <n v="0"/>
    <n v="3048"/>
    <n v="948.70000000000027"/>
    <n v="0.31125328083989512"/>
    <x v="5"/>
  </r>
  <r>
    <s v="ORD-10463"/>
    <s v="CUST1042"/>
    <d v="2025-09-13T00:00:00"/>
    <s v="P007"/>
    <s v="Backpack"/>
    <x v="4"/>
    <x v="5"/>
    <n v="3"/>
    <n v="1499"/>
    <n v="0"/>
    <n v="59"/>
    <s v="Mumbai"/>
    <x v="2"/>
    <x v="2"/>
    <x v="4"/>
    <x v="2"/>
    <n v="3"/>
    <n v="4497"/>
    <n v="0"/>
    <n v="4556"/>
    <n v="1408.1000000000004"/>
    <n v="0.30906496927129068"/>
    <x v="7"/>
  </r>
  <r>
    <s v="ORD-10464"/>
    <s v="CUST1063"/>
    <d v="2025-04-03T00:00:00"/>
    <s v="P007"/>
    <s v="Backpack"/>
    <x v="4"/>
    <x v="5"/>
    <n v="2"/>
    <n v="1499"/>
    <n v="0.1"/>
    <n v="0"/>
    <s v="Gurgaon"/>
    <x v="0"/>
    <x v="2"/>
    <x v="3"/>
    <x v="0"/>
    <n v="3"/>
    <n v="2998"/>
    <n v="299.8"/>
    <n v="2698.2"/>
    <n v="599.59999999999991"/>
    <n v="0.22222222222222221"/>
    <x v="1"/>
  </r>
  <r>
    <s v="ORD-10465"/>
    <s v="CUST1107"/>
    <d v="2025-01-18T00:00:00"/>
    <s v="P008"/>
    <s v="Smart Watch"/>
    <x v="1"/>
    <x v="4"/>
    <n v="2"/>
    <n v="3499"/>
    <n v="0"/>
    <n v="99"/>
    <s v="Jaipur"/>
    <x v="6"/>
    <x v="1"/>
    <x v="3"/>
    <x v="2"/>
    <n v="3"/>
    <n v="6998"/>
    <n v="0"/>
    <n v="7097"/>
    <n v="2198.4000000000005"/>
    <n v="0.30976468930534035"/>
    <x v="2"/>
  </r>
  <r>
    <s v="ORD-10466"/>
    <s v="Not Assigned"/>
    <d v="2025-01-22T00:00:00"/>
    <s v="P005"/>
    <s v="Running Shoes"/>
    <x v="4"/>
    <x v="7"/>
    <n v="1"/>
    <n v="2999"/>
    <n v="0.15"/>
    <n v="0"/>
    <s v="Pune"/>
    <x v="2"/>
    <x v="1"/>
    <x v="2"/>
    <x v="3"/>
    <n v="2"/>
    <n v="2999"/>
    <n v="449.84999999999997"/>
    <n v="2549.15"/>
    <n v="449.85000000000036"/>
    <n v="0.17647058823529427"/>
    <x v="2"/>
  </r>
  <r>
    <s v="ORD-10467"/>
    <s v="CUST1008"/>
    <d v="2025-04-22T00:00:00"/>
    <s v="P006"/>
    <s v="Cotton T-Shirt"/>
    <x v="4"/>
    <x v="8"/>
    <n v="3"/>
    <n v="799"/>
    <n v="0.1"/>
    <n v="59"/>
    <s v="Delhi"/>
    <x v="1"/>
    <x v="2"/>
    <x v="2"/>
    <x v="2"/>
    <n v="5"/>
    <n v="2397"/>
    <n v="239.70000000000002"/>
    <n v="2216.3000000000002"/>
    <n v="538.40000000000032"/>
    <n v="0.24292740152506442"/>
    <x v="1"/>
  </r>
  <r>
    <s v="ORD-10468"/>
    <s v="CUST1080"/>
    <d v="2025-01-05T00:00:00"/>
    <s v="P002"/>
    <s v="Mechanical Keyboard"/>
    <x v="1"/>
    <x v="1"/>
    <n v="3"/>
    <n v="2499"/>
    <n v="0.1"/>
    <n v="99"/>
    <s v="Bengaluru"/>
    <x v="3"/>
    <x v="3"/>
    <x v="4"/>
    <x v="2"/>
    <n v="2"/>
    <n v="7497"/>
    <n v="749.7"/>
    <n v="6846.3"/>
    <n v="1598.4000000000005"/>
    <n v="0.23346917313001189"/>
    <x v="2"/>
  </r>
  <r>
    <s v="ORD-10469"/>
    <s v="CUST1183"/>
    <d v="2025-11-13T00:00:00"/>
    <s v="P003"/>
    <s v="Bluetooth Speaker"/>
    <x v="1"/>
    <x v="6"/>
    <n v="1"/>
    <n v="1799"/>
    <n v="0"/>
    <n v="0"/>
    <s v="Hyderabad"/>
    <x v="7"/>
    <x v="2"/>
    <x v="0"/>
    <x v="2"/>
    <n v="3"/>
    <n v="1799"/>
    <n v="0"/>
    <n v="1799"/>
    <n v="539.70000000000005"/>
    <n v="0.30000000000000004"/>
    <x v="4"/>
  </r>
  <r>
    <s v="ORD-10470"/>
    <s v="CUST1099"/>
    <d v="2025-06-12T00:00:00"/>
    <s v="P002"/>
    <s v="Mechanical Keyboard"/>
    <x v="1"/>
    <x v="1"/>
    <n v="2"/>
    <n v="2499"/>
    <n v="0.05"/>
    <n v="79"/>
    <s v="Noida"/>
    <x v="5"/>
    <x v="0"/>
    <x v="3"/>
    <x v="2"/>
    <n v="3"/>
    <n v="4998"/>
    <n v="249.9"/>
    <n v="4827.1000000000004"/>
    <n v="1328.5000000000005"/>
    <n v="0.27521700399825988"/>
    <x v="3"/>
  </r>
  <r>
    <s v="ORD-10471"/>
    <s v="CUST1278"/>
    <d v="2025-01-21T00:00:00"/>
    <s v="P012"/>
    <s v="Office Chair"/>
    <x v="3"/>
    <x v="0"/>
    <n v="1"/>
    <n v="6499"/>
    <n v="0.15"/>
    <n v="59"/>
    <s v="Noida"/>
    <x v="5"/>
    <x v="1"/>
    <x v="1"/>
    <x v="1"/>
    <n v="5"/>
    <n v="6499"/>
    <n v="974.84999999999991"/>
    <n v="5583.15"/>
    <n v="1033.8500000000004"/>
    <n v="0.18517324449459543"/>
    <x v="2"/>
  </r>
  <r>
    <s v="ORD-10472"/>
    <s v="CUST1036"/>
    <d v="2025-08-28T00:00:00"/>
    <s v="P003"/>
    <s v="Bluetooth Speaker"/>
    <x v="1"/>
    <x v="6"/>
    <n v="1"/>
    <n v="1799"/>
    <n v="0.15"/>
    <n v="49"/>
    <s v="Chennai"/>
    <x v="4"/>
    <x v="4"/>
    <x v="1"/>
    <x v="3"/>
    <n v="4"/>
    <n v="1799"/>
    <n v="269.84999999999997"/>
    <n v="1578.15"/>
    <n v="318.85000000000014"/>
    <n v="0.20204036371701051"/>
    <x v="5"/>
  </r>
  <r>
    <s v="ORD-10473"/>
    <s v="CUST1095"/>
    <d v="2025-08-21T00:00:00"/>
    <s v="P005"/>
    <s v="Running Shoes"/>
    <x v="4"/>
    <x v="7"/>
    <n v="2"/>
    <n v="2999"/>
    <n v="0.15"/>
    <n v="79"/>
    <s v="Mumbai"/>
    <x v="2"/>
    <x v="0"/>
    <x v="0"/>
    <x v="2"/>
    <n v="3"/>
    <n v="5998"/>
    <n v="899.69999999999993"/>
    <n v="5177.3"/>
    <n v="978.70000000000073"/>
    <n v="0.18903675661058866"/>
    <x v="5"/>
  </r>
  <r>
    <s v="ORD-10474"/>
    <s v="CUST1255"/>
    <d v="2025-02-02T00:00:00"/>
    <s v="P006"/>
    <s v="Cotton T-Shirt"/>
    <x v="4"/>
    <x v="8"/>
    <n v="1"/>
    <n v="799"/>
    <n v="0"/>
    <n v="99"/>
    <s v="Kolkata"/>
    <x v="8"/>
    <x v="4"/>
    <x v="1"/>
    <x v="1"/>
    <n v="5"/>
    <n v="799"/>
    <n v="0"/>
    <n v="898"/>
    <n v="338.70000000000005"/>
    <n v="0.37717149220489982"/>
    <x v="9"/>
  </r>
  <r>
    <s v="ORD-10475"/>
    <s v="CUST1023"/>
    <d v="2025-06-14T00:00:00"/>
    <s v="P005"/>
    <s v="Running Shoes"/>
    <x v="4"/>
    <x v="7"/>
    <n v="1"/>
    <n v="2999"/>
    <n v="0.2"/>
    <n v="0"/>
    <s v="Pune"/>
    <x v="2"/>
    <x v="2"/>
    <x v="1"/>
    <x v="3"/>
    <n v="3"/>
    <n v="2999"/>
    <n v="599.80000000000007"/>
    <n v="2399.1999999999998"/>
    <n v="299.90000000000009"/>
    <n v="0.12500000000000006"/>
    <x v="3"/>
  </r>
  <r>
    <s v="ORD-10476"/>
    <s v="CUST1251"/>
    <d v="2025-04-09T00:00:00"/>
    <s v="P001"/>
    <s v="Wireless Mouse"/>
    <x v="1"/>
    <x v="1"/>
    <n v="1"/>
    <n v="599"/>
    <n v="0.2"/>
    <n v="79"/>
    <s v="Jaipur"/>
    <x v="6"/>
    <x v="4"/>
    <x v="0"/>
    <x v="3"/>
    <n v="3"/>
    <n v="599"/>
    <n v="119.80000000000001"/>
    <n v="558.20000000000005"/>
    <n v="138.90000000000009"/>
    <n v="0.24883554281619505"/>
    <x v="1"/>
  </r>
  <r>
    <s v="ORD-10477"/>
    <s v="CUST1252"/>
    <d v="2025-04-24T00:00:00"/>
    <s v="P010"/>
    <s v="Desk Lamp"/>
    <x v="2"/>
    <x v="2"/>
    <n v="1"/>
    <n v="1199"/>
    <n v="0"/>
    <n v="49"/>
    <s v="Mumbai"/>
    <x v="2"/>
    <x v="0"/>
    <x v="3"/>
    <x v="0"/>
    <n v="3"/>
    <n v="1199"/>
    <n v="0"/>
    <n v="1248"/>
    <n v="408.70000000000005"/>
    <n v="0.32748397435897442"/>
    <x v="1"/>
  </r>
  <r>
    <s v="ORD-10478"/>
    <s v="CUST1137"/>
    <d v="2025-08-01T00:00:00"/>
    <s v="P011"/>
    <s v="Notebook"/>
    <x v="0"/>
    <x v="0"/>
    <n v="1"/>
    <n v="249"/>
    <n v="0"/>
    <n v="99"/>
    <s v="Delhi"/>
    <x v="1"/>
    <x v="4"/>
    <x v="4"/>
    <x v="2"/>
    <n v="3"/>
    <n v="249"/>
    <n v="0"/>
    <n v="348"/>
    <n v="173.70000000000002"/>
    <n v="0.49913793103448278"/>
    <x v="5"/>
  </r>
  <r>
    <s v="ORD-10479"/>
    <s v="CUST1273"/>
    <d v="2025-04-21T00:00:00"/>
    <s v="P002"/>
    <s v="Mechanical Keyboard"/>
    <x v="1"/>
    <x v="1"/>
    <n v="1"/>
    <n v="2499"/>
    <n v="0.2"/>
    <n v="49"/>
    <s v="Mumbai"/>
    <x v="2"/>
    <x v="1"/>
    <x v="1"/>
    <x v="0"/>
    <n v="2"/>
    <n v="2499"/>
    <n v="499.8"/>
    <n v="2048.1999999999998"/>
    <n v="298.89999999999986"/>
    <n v="0.14593301435406694"/>
    <x v="1"/>
  </r>
  <r>
    <s v="ORD-10480"/>
    <s v="CUST1296"/>
    <d v="2025-04-02T00:00:00"/>
    <s v="P009"/>
    <s v="Water Bottle"/>
    <x v="2"/>
    <x v="3"/>
    <n v="2"/>
    <n v="699"/>
    <n v="0.1"/>
    <n v="0"/>
    <s v="Jaipur"/>
    <x v="6"/>
    <x v="3"/>
    <x v="3"/>
    <x v="3"/>
    <n v="3"/>
    <n v="1398"/>
    <n v="139.80000000000001"/>
    <n v="1258.2"/>
    <n v="279.60000000000014"/>
    <n v="0.22222222222222232"/>
    <x v="1"/>
  </r>
  <r>
    <s v="ORD-10481"/>
    <s v="CUST1081"/>
    <d v="2025-03-27T00:00:00"/>
    <s v="P011"/>
    <s v="Notebook"/>
    <x v="0"/>
    <x v="0"/>
    <n v="3"/>
    <n v="249"/>
    <n v="0.15"/>
    <n v="59"/>
    <s v="Bengaluru"/>
    <x v="3"/>
    <x v="4"/>
    <x v="0"/>
    <x v="1"/>
    <n v="4"/>
    <n v="747"/>
    <n v="112.05"/>
    <n v="693.95"/>
    <n v="171.05000000000007"/>
    <n v="0.24648749909935883"/>
    <x v="6"/>
  </r>
  <r>
    <s v="ORD-10482"/>
    <s v="CUST1124"/>
    <d v="2025-06-16T00:00:00"/>
    <s v="P006"/>
    <s v="Cotton T-Shirt"/>
    <x v="4"/>
    <x v="8"/>
    <n v="2"/>
    <n v="799"/>
    <n v="0.1"/>
    <n v="59"/>
    <s v="Pune"/>
    <x v="2"/>
    <x v="4"/>
    <x v="0"/>
    <x v="2"/>
    <n v="2"/>
    <n v="1598"/>
    <n v="159.80000000000001"/>
    <n v="1497.2"/>
    <n v="378.60000000000014"/>
    <n v="0.25287202778519913"/>
    <x v="3"/>
  </r>
  <r>
    <s v="ORD-10483"/>
    <s v="CUST1018"/>
    <d v="2025-05-11T00:00:00"/>
    <s v="P007"/>
    <s v="Backpack"/>
    <x v="4"/>
    <x v="5"/>
    <n v="4"/>
    <n v="1499"/>
    <n v="0.1"/>
    <n v="0"/>
    <s v="Chennai"/>
    <x v="4"/>
    <x v="3"/>
    <x v="0"/>
    <x v="1"/>
    <n v="1"/>
    <n v="5996"/>
    <n v="599.6"/>
    <n v="5396.4"/>
    <n v="1199.1999999999998"/>
    <n v="0.22222222222222221"/>
    <x v="0"/>
  </r>
  <r>
    <s v="ORD-10484"/>
    <s v="CUST1012"/>
    <d v="2025-06-04T00:00:00"/>
    <s v="P009"/>
    <s v="Water Bottle"/>
    <x v="2"/>
    <x v="3"/>
    <n v="5"/>
    <n v="699"/>
    <n v="0"/>
    <n v="59"/>
    <s v="Noida"/>
    <x v="5"/>
    <x v="3"/>
    <x v="0"/>
    <x v="0"/>
    <n v="5"/>
    <n v="3495"/>
    <n v="0"/>
    <n v="3554"/>
    <n v="1107.5"/>
    <n v="0.31162070906021383"/>
    <x v="3"/>
  </r>
  <r>
    <s v="ORD-10485"/>
    <s v="CUST1071"/>
    <d v="2025-03-21T00:00:00"/>
    <s v="P009"/>
    <s v="Water Bottle"/>
    <x v="2"/>
    <x v="3"/>
    <n v="4"/>
    <n v="699"/>
    <n v="0"/>
    <n v="49"/>
    <s v="Kolkata"/>
    <x v="8"/>
    <x v="3"/>
    <x v="2"/>
    <x v="1"/>
    <n v="5"/>
    <n v="2796"/>
    <n v="0"/>
    <n v="2845"/>
    <n v="887.80000000000018"/>
    <n v="0.3120562390158173"/>
    <x v="6"/>
  </r>
  <r>
    <s v="ORD-10486"/>
    <s v="Not Assigned"/>
    <d v="2025-06-03T00:00:00"/>
    <s v="P004"/>
    <s v="USB-C Hub"/>
    <x v="1"/>
    <x v="1"/>
    <n v="1"/>
    <n v="1299"/>
    <n v="0.15"/>
    <n v="49"/>
    <s v="Jaipur"/>
    <x v="6"/>
    <x v="3"/>
    <x v="3"/>
    <x v="1"/>
    <n v="2"/>
    <n v="1299"/>
    <n v="194.85"/>
    <n v="1153.1500000000001"/>
    <n v="243.85000000000014"/>
    <n v="0.21146425009755895"/>
    <x v="3"/>
  </r>
  <r>
    <s v="ORD-10487"/>
    <s v="CUST1196"/>
    <d v="2025-02-18T00:00:00"/>
    <s v="P008"/>
    <s v="Smart Watch"/>
    <x v="1"/>
    <x v="4"/>
    <n v="3"/>
    <n v="3499"/>
    <n v="0"/>
    <n v="99"/>
    <s v="Kolkata"/>
    <x v="8"/>
    <x v="0"/>
    <x v="4"/>
    <x v="0"/>
    <n v="3"/>
    <n v="10497"/>
    <n v="0"/>
    <n v="10596"/>
    <n v="3248.1000000000004"/>
    <n v="0.30654020385050967"/>
    <x v="9"/>
  </r>
  <r>
    <s v="ORD-10488"/>
    <s v="CUST1006"/>
    <d v="2025-08-11T00:00:00"/>
    <s v="P006"/>
    <s v="Cotton T-Shirt"/>
    <x v="4"/>
    <x v="8"/>
    <n v="3"/>
    <n v="799"/>
    <n v="0"/>
    <n v="99"/>
    <s v="Pune"/>
    <x v="2"/>
    <x v="1"/>
    <x v="4"/>
    <x v="0"/>
    <n v="3"/>
    <n v="2397"/>
    <n v="0"/>
    <n v="2496"/>
    <n v="818.10000000000014"/>
    <n v="0.32776442307692311"/>
    <x v="5"/>
  </r>
  <r>
    <s v="ORD-10489"/>
    <s v="CUST1079"/>
    <d v="2025-10-17T00:00:00"/>
    <s v="P009"/>
    <s v="Water Bottle"/>
    <x v="2"/>
    <x v="3"/>
    <n v="1"/>
    <n v="699"/>
    <n v="0.2"/>
    <n v="49"/>
    <s v="Delhi"/>
    <x v="1"/>
    <x v="0"/>
    <x v="3"/>
    <x v="3"/>
    <n v="4"/>
    <n v="699"/>
    <n v="139.80000000000001"/>
    <n v="608.20000000000005"/>
    <n v="118.90000000000009"/>
    <n v="0.19549490299243683"/>
    <x v="8"/>
  </r>
  <r>
    <s v="ORD-10490"/>
    <s v="CUST1173"/>
    <d v="2025-04-24T00:00:00"/>
    <s v="P010"/>
    <s v="Desk Lamp"/>
    <x v="2"/>
    <x v="2"/>
    <n v="2"/>
    <n v="1199"/>
    <n v="0"/>
    <n v="49"/>
    <s v="Kolkata"/>
    <x v="8"/>
    <x v="0"/>
    <x v="3"/>
    <x v="1"/>
    <n v="5"/>
    <n v="2398"/>
    <n v="0"/>
    <n v="2447"/>
    <n v="768.40000000000009"/>
    <n v="0.31401716387413164"/>
    <x v="1"/>
  </r>
  <r>
    <s v="ORD-10491"/>
    <s v="CUST1070"/>
    <d v="2025-05-15T00:00:00"/>
    <s v="P012"/>
    <s v="Office Chair"/>
    <x v="3"/>
    <x v="0"/>
    <n v="2"/>
    <n v="6499"/>
    <n v="0.1"/>
    <n v="49"/>
    <s v="Delhi"/>
    <x v="1"/>
    <x v="1"/>
    <x v="0"/>
    <x v="3"/>
    <n v="2"/>
    <n v="12998"/>
    <n v="1299.8000000000002"/>
    <n v="11747.2"/>
    <n v="2648.6000000000022"/>
    <n v="0.22546649414328537"/>
    <x v="0"/>
  </r>
  <r>
    <s v="ORD-10492"/>
    <s v="CUST1125"/>
    <d v="2025-04-11T00:00:00"/>
    <s v="P008"/>
    <s v="Smart Watch"/>
    <x v="1"/>
    <x v="4"/>
    <n v="2"/>
    <n v="3499"/>
    <n v="0.15"/>
    <n v="49"/>
    <s v="Bengaluru"/>
    <x v="3"/>
    <x v="0"/>
    <x v="2"/>
    <x v="2"/>
    <n v="3"/>
    <n v="6998"/>
    <n v="1049.7"/>
    <n v="5997.3"/>
    <n v="1098.7000000000007"/>
    <n v="0.18319910626448579"/>
    <x v="1"/>
  </r>
  <r>
    <s v="ORD-10493"/>
    <s v="CUST1188"/>
    <d v="2025-10-22T00:00:00"/>
    <s v="P007"/>
    <s v="Backpack"/>
    <x v="4"/>
    <x v="5"/>
    <n v="2"/>
    <n v="1499"/>
    <n v="0.1"/>
    <n v="79"/>
    <s v="Pune"/>
    <x v="2"/>
    <x v="3"/>
    <x v="1"/>
    <x v="2"/>
    <n v="3"/>
    <n v="2998"/>
    <n v="299.8"/>
    <n v="2777.2"/>
    <n v="678.59999999999991"/>
    <n v="0.24434682413942099"/>
    <x v="8"/>
  </r>
  <r>
    <s v="ORD-10494"/>
    <s v="CUST1075"/>
    <d v="2025-06-06T00:00:00"/>
    <s v="P006"/>
    <s v="Cotton T-Shirt"/>
    <x v="4"/>
    <x v="8"/>
    <n v="2"/>
    <n v="799"/>
    <n v="0.1"/>
    <n v="99"/>
    <s v="Kolkata"/>
    <x v="8"/>
    <x v="1"/>
    <x v="4"/>
    <x v="3"/>
    <n v="3"/>
    <n v="1598"/>
    <n v="159.80000000000001"/>
    <n v="1537.2"/>
    <n v="418.60000000000014"/>
    <n v="0.2723132969034609"/>
    <x v="3"/>
  </r>
  <r>
    <s v="ORD-10495"/>
    <s v="CUST1125"/>
    <d v="2025-03-21T00:00:00"/>
    <s v="P004"/>
    <s v="USB-C Hub"/>
    <x v="1"/>
    <x v="1"/>
    <n v="2"/>
    <n v="1299"/>
    <n v="0"/>
    <n v="0"/>
    <s v="Jaipur"/>
    <x v="6"/>
    <x v="4"/>
    <x v="1"/>
    <x v="0"/>
    <n v="3"/>
    <n v="2598"/>
    <n v="0"/>
    <n v="2598"/>
    <n v="779.40000000000009"/>
    <n v="0.30000000000000004"/>
    <x v="6"/>
  </r>
  <r>
    <s v="ORD-10496"/>
    <s v="CUST1108"/>
    <d v="2025-02-26T00:00:00"/>
    <s v="P005"/>
    <s v="Running Shoes"/>
    <x v="4"/>
    <x v="7"/>
    <n v="1"/>
    <n v="2999"/>
    <n v="0"/>
    <n v="59"/>
    <s v="Delhi"/>
    <x v="1"/>
    <x v="4"/>
    <x v="1"/>
    <x v="1"/>
    <n v="2"/>
    <n v="2999"/>
    <n v="0"/>
    <n v="3058"/>
    <n v="958.70000000000027"/>
    <n v="0.31350555918901252"/>
    <x v="9"/>
  </r>
  <r>
    <s v="ORD-10497"/>
    <s v="CUST1193"/>
    <d v="2025-10-08T00:00:00"/>
    <s v="P009"/>
    <s v="Water Bottle"/>
    <x v="2"/>
    <x v="3"/>
    <n v="3"/>
    <n v="699"/>
    <n v="0"/>
    <n v="0"/>
    <s v="Chennai"/>
    <x v="4"/>
    <x v="4"/>
    <x v="0"/>
    <x v="2"/>
    <n v="1"/>
    <n v="2097"/>
    <n v="0"/>
    <n v="2097"/>
    <n v="629.10000000000014"/>
    <n v="0.30000000000000004"/>
    <x v="8"/>
  </r>
  <r>
    <s v="ORD-10498"/>
    <s v="CUST1005"/>
    <d v="2025-04-13T00:00:00"/>
    <s v="P005"/>
    <s v="Running Shoes"/>
    <x v="4"/>
    <x v="7"/>
    <n v="1"/>
    <n v="2999"/>
    <n v="0"/>
    <n v="79"/>
    <s v="Noida"/>
    <x v="5"/>
    <x v="0"/>
    <x v="3"/>
    <x v="0"/>
    <n v="3"/>
    <n v="2999"/>
    <n v="0"/>
    <n v="3078"/>
    <n v="978.70000000000027"/>
    <n v="0.31796621182586104"/>
    <x v="1"/>
  </r>
  <r>
    <s v="ORD-10499"/>
    <s v="CUST1195"/>
    <d v="2025-01-10T00:00:00"/>
    <s v="P005"/>
    <s v="Running Shoes"/>
    <x v="4"/>
    <x v="7"/>
    <n v="3"/>
    <n v="2999"/>
    <n v="0.1"/>
    <n v="49"/>
    <s v="Pune"/>
    <x v="2"/>
    <x v="4"/>
    <x v="4"/>
    <x v="2"/>
    <n v="3"/>
    <n v="8997"/>
    <n v="899.7"/>
    <n v="8146.3"/>
    <n v="1848.4000000000005"/>
    <n v="0.22690055608067472"/>
    <x v="2"/>
  </r>
  <r>
    <s v="ORD-10500"/>
    <s v="CUST1021"/>
    <d v="2025-04-06T00:00:00"/>
    <s v="P008"/>
    <s v="Smart Watch"/>
    <x v="1"/>
    <x v="4"/>
    <n v="2"/>
    <n v="3499"/>
    <n v="0.15"/>
    <n v="0"/>
    <s v="Kolkata"/>
    <x v="8"/>
    <x v="2"/>
    <x v="0"/>
    <x v="1"/>
    <n v="3"/>
    <n v="6998"/>
    <n v="1049.7"/>
    <n v="5948.3"/>
    <n v="1049.7000000000007"/>
    <n v="0.17647058823529424"/>
    <x v="1"/>
  </r>
  <r>
    <s v="ORD-10501"/>
    <s v="CUST1155"/>
    <d v="2025-03-22T00:00:00"/>
    <s v="P006"/>
    <s v="Cotton T-Shirt"/>
    <x v="4"/>
    <x v="8"/>
    <n v="1"/>
    <n v="799"/>
    <n v="0.05"/>
    <n v="59"/>
    <s v="Hyderabad"/>
    <x v="7"/>
    <x v="2"/>
    <x v="0"/>
    <x v="2"/>
    <n v="3"/>
    <n v="799"/>
    <n v="39.950000000000003"/>
    <n v="818.05"/>
    <n v="258.75"/>
    <n v="0.31630095959904653"/>
    <x v="6"/>
  </r>
  <r>
    <s v="ORD-10502"/>
    <s v="CUST1202"/>
    <d v="2025-01-16T00:00:00"/>
    <s v="P001"/>
    <s v="Wireless Mouse"/>
    <x v="1"/>
    <x v="1"/>
    <n v="3"/>
    <n v="599"/>
    <n v="0"/>
    <n v="59"/>
    <s v="Mumbai"/>
    <x v="2"/>
    <x v="2"/>
    <x v="4"/>
    <x v="0"/>
    <n v="3"/>
    <n v="1797"/>
    <n v="0"/>
    <n v="1856"/>
    <n v="598.10000000000014"/>
    <n v="0.32225215517241385"/>
    <x v="2"/>
  </r>
  <r>
    <s v="ORD-10503"/>
    <s v="CUST1294"/>
    <d v="2025-11-10T00:00:00"/>
    <s v="P007"/>
    <s v="Backpack"/>
    <x v="4"/>
    <x v="5"/>
    <n v="4"/>
    <n v="1499"/>
    <n v="0.1"/>
    <n v="49"/>
    <s v="Chennai"/>
    <x v="4"/>
    <x v="2"/>
    <x v="3"/>
    <x v="0"/>
    <n v="3"/>
    <n v="5996"/>
    <n v="599.6"/>
    <n v="5445.4"/>
    <n v="1248.1999999999998"/>
    <n v="0.22922099386638262"/>
    <x v="4"/>
  </r>
  <r>
    <s v="ORD-10504"/>
    <s v="CUST1104"/>
    <d v="2025-03-09T00:00:00"/>
    <s v="P010"/>
    <s v="Desk Lamp"/>
    <x v="2"/>
    <x v="2"/>
    <n v="1"/>
    <n v="1199"/>
    <n v="0.15"/>
    <n v="99"/>
    <s v="Pune"/>
    <x v="2"/>
    <x v="2"/>
    <x v="2"/>
    <x v="0"/>
    <n v="3"/>
    <n v="1199"/>
    <n v="179.85"/>
    <n v="1118.1500000000001"/>
    <n v="278.85000000000014"/>
    <n v="0.24938514510575516"/>
    <x v="6"/>
  </r>
  <r>
    <s v="ORD-10505"/>
    <s v="CUST1035"/>
    <d v="2025-08-09T00:00:00"/>
    <s v="P012"/>
    <s v="Office Chair"/>
    <x v="3"/>
    <x v="0"/>
    <n v="4"/>
    <n v="2017"/>
    <n v="0"/>
    <n v="59"/>
    <s v="Chennai"/>
    <x v="4"/>
    <x v="4"/>
    <x v="0"/>
    <x v="3"/>
    <n v="3"/>
    <n v="8068"/>
    <n v="0"/>
    <n v="8127"/>
    <n v="2479.4000000000005"/>
    <n v="0.30508182601205863"/>
    <x v="5"/>
  </r>
  <r>
    <s v="ORD-10506"/>
    <s v="CUST1156"/>
    <d v="2025-03-16T00:00:00"/>
    <s v="P002"/>
    <s v="Mechanical Keyboard"/>
    <x v="1"/>
    <x v="1"/>
    <n v="1"/>
    <n v="2499"/>
    <n v="0.1"/>
    <n v="79"/>
    <s v="Noida"/>
    <x v="5"/>
    <x v="1"/>
    <x v="2"/>
    <x v="0"/>
    <n v="2"/>
    <n v="2499"/>
    <n v="249.9"/>
    <n v="2328.1"/>
    <n v="578.79999999999995"/>
    <n v="0.24861475022550578"/>
    <x v="6"/>
  </r>
  <r>
    <s v="ORD-10507"/>
    <s v="CUST1119"/>
    <d v="2025-01-14T00:00:00"/>
    <s v="P004"/>
    <s v="USB-C Hub"/>
    <x v="1"/>
    <x v="1"/>
    <n v="1"/>
    <n v="1299"/>
    <n v="0.15"/>
    <n v="99"/>
    <s v="Gurgaon"/>
    <x v="0"/>
    <x v="4"/>
    <x v="1"/>
    <x v="0"/>
    <n v="2"/>
    <n v="1299"/>
    <n v="194.85"/>
    <n v="1203.1500000000001"/>
    <n v="293.85000000000014"/>
    <n v="0.24423388604912116"/>
    <x v="2"/>
  </r>
  <r>
    <s v="ORD-10508"/>
    <s v="CUST1192"/>
    <d v="2025-12-19T00:00:00"/>
    <s v="P011"/>
    <s v="Notebook"/>
    <x v="0"/>
    <x v="0"/>
    <n v="1"/>
    <n v="249"/>
    <n v="0.15"/>
    <n v="79"/>
    <s v="Delhi"/>
    <x v="1"/>
    <x v="2"/>
    <x v="3"/>
    <x v="3"/>
    <n v="4"/>
    <n v="249"/>
    <n v="37.35"/>
    <n v="290.64999999999998"/>
    <n v="116.35"/>
    <n v="0.4003096507827284"/>
    <x v="11"/>
  </r>
  <r>
    <s v="ORD-10509"/>
    <s v="CUST1114"/>
    <d v="2025-04-26T00:00:00"/>
    <s v="P008"/>
    <s v="Smart Watch"/>
    <x v="1"/>
    <x v="4"/>
    <n v="1"/>
    <n v="3499"/>
    <n v="0.05"/>
    <n v="79"/>
    <s v="Noida"/>
    <x v="5"/>
    <x v="2"/>
    <x v="1"/>
    <x v="0"/>
    <n v="1"/>
    <n v="3499"/>
    <n v="174.95000000000002"/>
    <n v="3403.05"/>
    <n v="953.75000000000045"/>
    <n v="0.28026329322225663"/>
    <x v="1"/>
  </r>
  <r>
    <s v="ORD-10510"/>
    <s v="CUST1208"/>
    <d v="2025-09-08T00:00:00"/>
    <s v="P003"/>
    <s v="Bluetooth Speaker"/>
    <x v="1"/>
    <x v="6"/>
    <n v="3"/>
    <n v="1799"/>
    <n v="0"/>
    <n v="79"/>
    <s v="Hyderabad"/>
    <x v="7"/>
    <x v="0"/>
    <x v="0"/>
    <x v="1"/>
    <n v="3"/>
    <n v="5397"/>
    <n v="0"/>
    <n v="5476"/>
    <n v="1698.1000000000004"/>
    <n v="0.31009861212563922"/>
    <x v="7"/>
  </r>
  <r>
    <s v="ORD-10511"/>
    <s v="CUST1267"/>
    <d v="2025-10-20T00:00:00"/>
    <s v="P007"/>
    <s v="Backpack"/>
    <x v="4"/>
    <x v="5"/>
    <n v="1"/>
    <n v="1499"/>
    <n v="0.2"/>
    <n v="0"/>
    <s v="Pune"/>
    <x v="2"/>
    <x v="0"/>
    <x v="3"/>
    <x v="3"/>
    <n v="4"/>
    <n v="1499"/>
    <n v="299.8"/>
    <n v="1199.2"/>
    <n v="149.90000000000009"/>
    <n v="0.12500000000000008"/>
    <x v="8"/>
  </r>
  <r>
    <s v="ORD-10512"/>
    <s v="CUST1026"/>
    <d v="2025-07-22T00:00:00"/>
    <s v="P001"/>
    <s v="Wireless Mouse"/>
    <x v="1"/>
    <x v="1"/>
    <n v="2"/>
    <n v="599"/>
    <n v="0.1"/>
    <n v="99"/>
    <s v="Jaipur"/>
    <x v="6"/>
    <x v="2"/>
    <x v="2"/>
    <x v="3"/>
    <n v="4"/>
    <n v="1198"/>
    <n v="119.80000000000001"/>
    <n v="1177.2"/>
    <n v="338.60000000000014"/>
    <n v="0.28763166836561344"/>
    <x v="10"/>
  </r>
  <r>
    <s v="ORD-10513"/>
    <s v="CUST1028"/>
    <d v="2025-05-27T00:00:00"/>
    <s v="P007"/>
    <s v="Backpack"/>
    <x v="4"/>
    <x v="5"/>
    <n v="3"/>
    <n v="1499"/>
    <n v="0.05"/>
    <n v="99"/>
    <s v="Mumbai"/>
    <x v="2"/>
    <x v="4"/>
    <x v="1"/>
    <x v="1"/>
    <n v="4"/>
    <n v="4497"/>
    <n v="224.85000000000002"/>
    <n v="4371.1499999999996"/>
    <n v="1223.25"/>
    <n v="0.27984626471294743"/>
    <x v="0"/>
  </r>
  <r>
    <s v="ORD-10514"/>
    <s v="CUST1070"/>
    <d v="2025-09-14T00:00:00"/>
    <s v="P011"/>
    <s v="Notebook"/>
    <x v="0"/>
    <x v="0"/>
    <n v="1"/>
    <n v="249"/>
    <n v="0.2"/>
    <n v="99"/>
    <s v="Hyderabad"/>
    <x v="7"/>
    <x v="1"/>
    <x v="3"/>
    <x v="3"/>
    <n v="3"/>
    <n v="249"/>
    <n v="49.800000000000004"/>
    <n v="298.2"/>
    <n v="123.9"/>
    <n v="0.41549295774647893"/>
    <x v="7"/>
  </r>
  <r>
    <s v="ORD-10515"/>
    <s v="CUST1129"/>
    <d v="2025-10-30T00:00:00"/>
    <s v="P008"/>
    <s v="Smart Watch"/>
    <x v="1"/>
    <x v="4"/>
    <n v="1"/>
    <n v="3499"/>
    <n v="0.1"/>
    <n v="0"/>
    <s v="Delhi"/>
    <x v="1"/>
    <x v="3"/>
    <x v="1"/>
    <x v="0"/>
    <n v="3"/>
    <n v="3499"/>
    <n v="349.90000000000003"/>
    <n v="3149.1"/>
    <n v="699.80000000000018"/>
    <n v="0.22222222222222229"/>
    <x v="8"/>
  </r>
  <r>
    <s v="ORD-10516"/>
    <s v="CUST1197"/>
    <d v="2025-12-28T00:00:00"/>
    <s v="P012"/>
    <s v="Office Chair"/>
    <x v="3"/>
    <x v="0"/>
    <n v="1"/>
    <n v="6499"/>
    <n v="0"/>
    <n v="99"/>
    <s v="Gurgaon"/>
    <x v="0"/>
    <x v="4"/>
    <x v="0"/>
    <x v="0"/>
    <n v="2"/>
    <n v="6499"/>
    <n v="0"/>
    <n v="6598"/>
    <n v="2048.7000000000007"/>
    <n v="0.31050318278266154"/>
    <x v="11"/>
  </r>
  <r>
    <s v="ORD-10517"/>
    <s v="CUST1075"/>
    <d v="2025-03-29T00:00:00"/>
    <s v="P007"/>
    <s v="Backpack"/>
    <x v="4"/>
    <x v="5"/>
    <n v="1"/>
    <n v="1499"/>
    <n v="0"/>
    <n v="49"/>
    <s v="Chennai"/>
    <x v="4"/>
    <x v="2"/>
    <x v="4"/>
    <x v="2"/>
    <n v="4"/>
    <n v="1499"/>
    <n v="0"/>
    <n v="1548"/>
    <n v="498.70000000000005"/>
    <n v="0.3221576227390181"/>
    <x v="6"/>
  </r>
  <r>
    <s v="ORD-10518"/>
    <s v="CUST1104"/>
    <d v="2025-08-17T00:00:00"/>
    <s v="P005"/>
    <s v="Running Shoes"/>
    <x v="4"/>
    <x v="7"/>
    <n v="2"/>
    <n v="2999"/>
    <n v="0"/>
    <n v="49"/>
    <s v="Mumbai"/>
    <x v="2"/>
    <x v="0"/>
    <x v="0"/>
    <x v="0"/>
    <n v="3"/>
    <n v="5998"/>
    <n v="0"/>
    <n v="6047"/>
    <n v="1848.4000000000005"/>
    <n v="0.30567223416570211"/>
    <x v="5"/>
  </r>
  <r>
    <s v="ORD-10519"/>
    <s v="CUST1122"/>
    <d v="2025-09-13T00:00:00"/>
    <s v="P005"/>
    <s v="Running Shoes"/>
    <x v="4"/>
    <x v="7"/>
    <n v="2"/>
    <n v="2999"/>
    <n v="0.15"/>
    <n v="79"/>
    <s v="Delhi"/>
    <x v="1"/>
    <x v="2"/>
    <x v="0"/>
    <x v="0"/>
    <n v="3"/>
    <n v="5998"/>
    <n v="899.69999999999993"/>
    <n v="5177.3"/>
    <n v="978.70000000000073"/>
    <n v="0.18903675661058866"/>
    <x v="7"/>
  </r>
  <r>
    <s v="ORD-10520"/>
    <s v="CUST1143"/>
    <d v="2025-02-10T00:00:00"/>
    <s v="P008"/>
    <s v="Smart Watch"/>
    <x v="1"/>
    <x v="4"/>
    <n v="1"/>
    <n v="3499"/>
    <n v="0"/>
    <n v="99"/>
    <s v="Hyderabad"/>
    <x v="7"/>
    <x v="4"/>
    <x v="0"/>
    <x v="0"/>
    <n v="3"/>
    <n v="3499"/>
    <n v="0"/>
    <n v="3598"/>
    <n v="1148.7000000000003"/>
    <n v="0.31926070038910515"/>
    <x v="9"/>
  </r>
  <r>
    <s v="ORD-10521"/>
    <s v="CUST1296"/>
    <d v="2025-01-29T00:00:00"/>
    <s v="P004"/>
    <s v="USB-C Hub"/>
    <x v="1"/>
    <x v="1"/>
    <n v="1"/>
    <n v="1299"/>
    <n v="0"/>
    <n v="0"/>
    <s v="Delhi"/>
    <x v="1"/>
    <x v="4"/>
    <x v="2"/>
    <x v="0"/>
    <n v="3"/>
    <n v="1299"/>
    <n v="0"/>
    <n v="1299"/>
    <n v="389.70000000000005"/>
    <n v="0.30000000000000004"/>
    <x v="2"/>
  </r>
  <r>
    <s v="ORD-10522"/>
    <s v="CUST1294"/>
    <d v="2025-04-02T00:00:00"/>
    <s v="P002"/>
    <s v="Mechanical Keyboard"/>
    <x v="1"/>
    <x v="1"/>
    <n v="1"/>
    <n v="2499"/>
    <n v="0.15"/>
    <n v="99"/>
    <s v="Delhi"/>
    <x v="1"/>
    <x v="4"/>
    <x v="1"/>
    <x v="0"/>
    <n v="4"/>
    <n v="2499"/>
    <n v="374.84999999999997"/>
    <n v="2223.15"/>
    <n v="473.85000000000014"/>
    <n v="0.21314351258349645"/>
    <x v="1"/>
  </r>
  <r>
    <s v="ORD-10523"/>
    <s v="CUST1195"/>
    <d v="2025-01-19T00:00:00"/>
    <s v="P012"/>
    <s v="Office Chair"/>
    <x v="3"/>
    <x v="0"/>
    <n v="1"/>
    <n v="6499"/>
    <n v="0.05"/>
    <n v="59"/>
    <s v="Kolkata"/>
    <x v="8"/>
    <x v="0"/>
    <x v="3"/>
    <x v="0"/>
    <n v="3"/>
    <n v="6499"/>
    <n v="324.95000000000005"/>
    <n v="6233.05"/>
    <n v="1683.7500000000009"/>
    <n v="0.27013259961014285"/>
    <x v="2"/>
  </r>
  <r>
    <s v="ORD-10524"/>
    <s v="CUST1212"/>
    <d v="2025-03-10T00:00:00"/>
    <s v="P009"/>
    <s v="Water Bottle"/>
    <x v="2"/>
    <x v="3"/>
    <n v="1"/>
    <n v="699"/>
    <n v="0.05"/>
    <n v="99"/>
    <s v="Gurgaon"/>
    <x v="0"/>
    <x v="4"/>
    <x v="1"/>
    <x v="0"/>
    <n v="3"/>
    <n v="699"/>
    <n v="34.950000000000003"/>
    <n v="763.05"/>
    <n v="273.75"/>
    <n v="0.35875761745626106"/>
    <x v="6"/>
  </r>
  <r>
    <s v="ORD-10525"/>
    <s v="CUST1148"/>
    <d v="2025-10-20T00:00:00"/>
    <s v="P004"/>
    <s v="USB-C Hub"/>
    <x v="1"/>
    <x v="1"/>
    <n v="1"/>
    <n v="1299"/>
    <n v="0"/>
    <n v="79"/>
    <s v="Kolkata"/>
    <x v="8"/>
    <x v="1"/>
    <x v="0"/>
    <x v="3"/>
    <n v="3"/>
    <n v="1299"/>
    <n v="0"/>
    <n v="1378"/>
    <n v="468.70000000000005"/>
    <n v="0.3401306240928883"/>
    <x v="8"/>
  </r>
  <r>
    <s v="ORD-10526"/>
    <s v="CUST1255"/>
    <d v="2025-11-16T00:00:00"/>
    <s v="P006"/>
    <s v="Cotton T-Shirt"/>
    <x v="4"/>
    <x v="8"/>
    <n v="2"/>
    <n v="799"/>
    <n v="0.15"/>
    <n v="99"/>
    <s v="Mumbai"/>
    <x v="2"/>
    <x v="4"/>
    <x v="3"/>
    <x v="0"/>
    <n v="4"/>
    <n v="1598"/>
    <n v="239.7"/>
    <n v="1457.3"/>
    <n v="338.70000000000005"/>
    <n v="0.23241611198792292"/>
    <x v="4"/>
  </r>
  <r>
    <s v="ORD-10527"/>
    <s v="CUST1061"/>
    <d v="2025-05-29T00:00:00"/>
    <s v="P003"/>
    <s v="Bluetooth Speaker"/>
    <x v="1"/>
    <x v="6"/>
    <n v="1"/>
    <n v="1799"/>
    <n v="0"/>
    <n v="79"/>
    <s v="Kolkata"/>
    <x v="8"/>
    <x v="2"/>
    <x v="0"/>
    <x v="0"/>
    <n v="4"/>
    <n v="1799"/>
    <n v="0"/>
    <n v="1878"/>
    <n v="618.70000000000005"/>
    <n v="0.32944621938232166"/>
    <x v="0"/>
  </r>
  <r>
    <s v="ORD-10528"/>
    <s v="CUST1145"/>
    <d v="2025-10-14T00:00:00"/>
    <s v="P007"/>
    <s v="Backpack"/>
    <x v="4"/>
    <x v="5"/>
    <n v="1"/>
    <n v="1499"/>
    <n v="0.2"/>
    <n v="49"/>
    <s v="Delhi"/>
    <x v="1"/>
    <x v="3"/>
    <x v="4"/>
    <x v="0"/>
    <n v="3"/>
    <n v="1499"/>
    <n v="299.8"/>
    <n v="1248.2"/>
    <n v="198.90000000000009"/>
    <n v="0.15934946322704702"/>
    <x v="8"/>
  </r>
  <r>
    <s v="ORD-10529"/>
    <s v="CUST1292"/>
    <d v="2025-01-04T00:00:00"/>
    <s v="P005"/>
    <s v="Running Shoes"/>
    <x v="4"/>
    <x v="7"/>
    <n v="2"/>
    <n v="2999"/>
    <n v="0.05"/>
    <n v="79"/>
    <s v="Chennai"/>
    <x v="4"/>
    <x v="4"/>
    <x v="4"/>
    <x v="0"/>
    <n v="3"/>
    <n v="5998"/>
    <n v="299.90000000000003"/>
    <n v="5777.1"/>
    <n v="1578.5000000000009"/>
    <n v="0.27323397552405199"/>
    <x v="2"/>
  </r>
  <r>
    <s v="ORD-10530"/>
    <s v="CUST1247"/>
    <d v="2025-06-23T00:00:00"/>
    <s v="P003"/>
    <s v="Bluetooth Speaker"/>
    <x v="1"/>
    <x v="6"/>
    <n v="1"/>
    <n v="1799"/>
    <n v="0"/>
    <n v="49"/>
    <s v="Jaipur"/>
    <x v="6"/>
    <x v="2"/>
    <x v="3"/>
    <x v="1"/>
    <n v="3"/>
    <n v="1799"/>
    <n v="0"/>
    <n v="1848"/>
    <n v="588.70000000000005"/>
    <n v="0.3185606060606061"/>
    <x v="3"/>
  </r>
  <r>
    <s v="ORD-10531"/>
    <s v="CUST1162"/>
    <d v="2025-07-31T00:00:00"/>
    <s v="P009"/>
    <s v="Water Bottle"/>
    <x v="2"/>
    <x v="3"/>
    <n v="2"/>
    <n v="699"/>
    <n v="0.05"/>
    <n v="99"/>
    <s v="Pune"/>
    <x v="2"/>
    <x v="4"/>
    <x v="0"/>
    <x v="3"/>
    <n v="1"/>
    <n v="1398"/>
    <n v="69.900000000000006"/>
    <n v="1427.1"/>
    <n v="448.5"/>
    <n v="0.31427370191297038"/>
    <x v="10"/>
  </r>
  <r>
    <s v="ORD-10532"/>
    <s v="CUST1193"/>
    <d v="2025-07-01T00:00:00"/>
    <s v="P004"/>
    <s v="USB-C Hub"/>
    <x v="1"/>
    <x v="1"/>
    <n v="2"/>
    <n v="1299"/>
    <n v="0"/>
    <n v="59"/>
    <s v="Kolkata"/>
    <x v="8"/>
    <x v="4"/>
    <x v="1"/>
    <x v="0"/>
    <n v="5"/>
    <n v="2598"/>
    <n v="0"/>
    <n v="2657"/>
    <n v="838.40000000000009"/>
    <n v="0.3155438464433572"/>
    <x v="10"/>
  </r>
  <r>
    <s v="ORD-10533"/>
    <s v="CUST1140"/>
    <d v="2025-03-01T00:00:00"/>
    <s v="P010"/>
    <s v="Desk Lamp"/>
    <x v="2"/>
    <x v="2"/>
    <n v="1"/>
    <n v="1199"/>
    <n v="0.2"/>
    <n v="0"/>
    <s v="Bengaluru"/>
    <x v="3"/>
    <x v="1"/>
    <x v="4"/>
    <x v="0"/>
    <n v="4"/>
    <n v="1199"/>
    <n v="239.8"/>
    <n v="959.2"/>
    <n v="119.90000000000009"/>
    <n v="0.12500000000000008"/>
    <x v="6"/>
  </r>
  <r>
    <s v="ORD-10534"/>
    <s v="CUST1192"/>
    <d v="2025-06-04T00:00:00"/>
    <s v="P004"/>
    <s v="USB-C Hub"/>
    <x v="1"/>
    <x v="1"/>
    <n v="2"/>
    <n v="1299"/>
    <n v="0"/>
    <n v="0"/>
    <s v="Pune"/>
    <x v="2"/>
    <x v="0"/>
    <x v="1"/>
    <x v="0"/>
    <n v="1"/>
    <n v="2598"/>
    <n v="0"/>
    <n v="2598"/>
    <n v="779.40000000000009"/>
    <n v="0.30000000000000004"/>
    <x v="3"/>
  </r>
  <r>
    <s v="ORD-10535"/>
    <s v="CUST1269"/>
    <d v="2025-09-05T00:00:00"/>
    <s v="P008"/>
    <s v="Smart Watch"/>
    <x v="1"/>
    <x v="4"/>
    <n v="1"/>
    <n v="3499"/>
    <n v="0.05"/>
    <n v="79"/>
    <s v="Chennai"/>
    <x v="4"/>
    <x v="3"/>
    <x v="2"/>
    <x v="0"/>
    <n v="2"/>
    <n v="3499"/>
    <n v="174.95000000000002"/>
    <n v="3403.05"/>
    <n v="953.75000000000045"/>
    <n v="0.28026329322225663"/>
    <x v="7"/>
  </r>
  <r>
    <s v="ORD-10536"/>
    <s v="CUST1268"/>
    <d v="2025-03-09T00:00:00"/>
    <s v="P002"/>
    <s v="Mechanical Keyboard"/>
    <x v="1"/>
    <x v="1"/>
    <n v="2"/>
    <n v="2499"/>
    <n v="0.1"/>
    <n v="79"/>
    <s v="Chennai"/>
    <x v="4"/>
    <x v="0"/>
    <x v="4"/>
    <x v="0"/>
    <n v="3"/>
    <n v="4998"/>
    <n v="499.8"/>
    <n v="4577.2"/>
    <n v="1078.5999999999999"/>
    <n v="0.23564624661365025"/>
    <x v="6"/>
  </r>
  <r>
    <s v="ORD-10537"/>
    <s v="CUST1160"/>
    <d v="2025-06-20T00:00:00"/>
    <s v="P001"/>
    <s v="Wireless Mouse"/>
    <x v="1"/>
    <x v="1"/>
    <n v="3"/>
    <n v="599"/>
    <n v="0"/>
    <n v="99"/>
    <s v="Kolkata"/>
    <x v="8"/>
    <x v="0"/>
    <x v="0"/>
    <x v="0"/>
    <n v="3"/>
    <n v="1797"/>
    <n v="0"/>
    <n v="1896"/>
    <n v="638.10000000000014"/>
    <n v="0.33655063291139248"/>
    <x v="3"/>
  </r>
  <r>
    <s v="ORD-10538"/>
    <s v="CUST1061"/>
    <d v="2025-04-09T00:00:00"/>
    <s v="P005"/>
    <s v="Running Shoes"/>
    <x v="4"/>
    <x v="7"/>
    <n v="1"/>
    <n v="2999"/>
    <n v="0.05"/>
    <n v="79"/>
    <s v="Jaipur"/>
    <x v="6"/>
    <x v="3"/>
    <x v="1"/>
    <x v="3"/>
    <n v="2"/>
    <n v="2999"/>
    <n v="149.95000000000002"/>
    <n v="2928.05"/>
    <n v="828.75000000000045"/>
    <n v="0.28303819948429854"/>
    <x v="1"/>
  </r>
  <r>
    <s v="ORD-10539"/>
    <s v="CUST1180"/>
    <d v="2025-11-15T00:00:00"/>
    <s v="P005"/>
    <s v="Running Shoes"/>
    <x v="4"/>
    <x v="7"/>
    <n v="1"/>
    <n v="2999"/>
    <n v="0"/>
    <n v="99"/>
    <s v="Gurgaon"/>
    <x v="0"/>
    <x v="4"/>
    <x v="2"/>
    <x v="0"/>
    <n v="3"/>
    <n v="2999"/>
    <n v="0"/>
    <n v="3098"/>
    <n v="998.70000000000027"/>
    <n v="0.32236927049709496"/>
    <x v="4"/>
  </r>
  <r>
    <s v="ORD-10540"/>
    <s v="CUST1228"/>
    <d v="2025-03-29T00:00:00"/>
    <s v="P003"/>
    <s v="Bluetooth Speaker"/>
    <x v="1"/>
    <x v="6"/>
    <n v="2"/>
    <n v="1799"/>
    <n v="0.05"/>
    <n v="99"/>
    <s v="Mumbai"/>
    <x v="2"/>
    <x v="0"/>
    <x v="1"/>
    <x v="3"/>
    <n v="1"/>
    <n v="3598"/>
    <n v="179.9"/>
    <n v="3517.1"/>
    <n v="998.5"/>
    <n v="0.2838986665150266"/>
    <x v="6"/>
  </r>
  <r>
    <s v="ORD-10541"/>
    <s v="CUST1229"/>
    <d v="2025-01-28T00:00:00"/>
    <s v="P008"/>
    <s v="Smart Watch"/>
    <x v="1"/>
    <x v="4"/>
    <n v="1"/>
    <n v="3499"/>
    <n v="0"/>
    <n v="99"/>
    <s v="Delhi"/>
    <x v="1"/>
    <x v="4"/>
    <x v="2"/>
    <x v="1"/>
    <n v="3"/>
    <n v="3499"/>
    <n v="0"/>
    <n v="3598"/>
    <n v="1148.7000000000003"/>
    <n v="0.31926070038910515"/>
    <x v="2"/>
  </r>
  <r>
    <s v="ORD-10542"/>
    <s v="CUST1048"/>
    <d v="2025-12-10T00:00:00"/>
    <s v="P006"/>
    <s v="Cotton T-Shirt"/>
    <x v="4"/>
    <x v="8"/>
    <n v="2"/>
    <n v="799"/>
    <n v="0.15"/>
    <n v="49"/>
    <s v="Jaipur"/>
    <x v="6"/>
    <x v="1"/>
    <x v="4"/>
    <x v="1"/>
    <n v="4"/>
    <n v="1598"/>
    <n v="239.7"/>
    <n v="1407.3"/>
    <n v="288.70000000000005"/>
    <n v="0.20514460314076605"/>
    <x v="11"/>
  </r>
  <r>
    <s v="ORD-10543"/>
    <s v="CUST1201"/>
    <d v="2025-04-25T00:00:00"/>
    <s v="P005"/>
    <s v="Running Shoes"/>
    <x v="4"/>
    <x v="7"/>
    <n v="2"/>
    <n v="2999"/>
    <n v="0.05"/>
    <n v="59"/>
    <s v="Hyderabad"/>
    <x v="7"/>
    <x v="2"/>
    <x v="2"/>
    <x v="3"/>
    <n v="3"/>
    <n v="5998"/>
    <n v="299.90000000000003"/>
    <n v="5757.1"/>
    <n v="1558.5000000000009"/>
    <n v="0.27070921123482322"/>
    <x v="1"/>
  </r>
  <r>
    <s v="ORD-10544"/>
    <s v="CUST1088"/>
    <d v="2025-02-03T00:00:00"/>
    <s v="P006"/>
    <s v="Cotton T-Shirt"/>
    <x v="4"/>
    <x v="8"/>
    <n v="2"/>
    <n v="799"/>
    <n v="0.1"/>
    <n v="79"/>
    <s v="Hyderabad"/>
    <x v="7"/>
    <x v="3"/>
    <x v="2"/>
    <x v="0"/>
    <n v="5"/>
    <n v="1598"/>
    <n v="159.80000000000001"/>
    <n v="1517.2"/>
    <n v="398.60000000000014"/>
    <n v="0.26272080147640398"/>
    <x v="9"/>
  </r>
  <r>
    <s v="ORD-10545"/>
    <s v="CUST1037"/>
    <d v="2025-07-27T00:00:00"/>
    <s v="P010"/>
    <s v="Desk Lamp"/>
    <x v="2"/>
    <x v="2"/>
    <n v="2"/>
    <n v="1199"/>
    <n v="0.05"/>
    <n v="99"/>
    <s v="Noida"/>
    <x v="5"/>
    <x v="3"/>
    <x v="0"/>
    <x v="0"/>
    <n v="4"/>
    <n v="2398"/>
    <n v="119.9"/>
    <n v="2377.1"/>
    <n v="698.5"/>
    <n v="0.2938454419250347"/>
    <x v="10"/>
  </r>
  <r>
    <s v="ORD-10546"/>
    <s v="CUST1034"/>
    <d v="2025-11-14T00:00:00"/>
    <s v="P007"/>
    <s v="Backpack"/>
    <x v="4"/>
    <x v="5"/>
    <n v="1"/>
    <n v="1499"/>
    <n v="0.1"/>
    <n v="79"/>
    <s v="Kolkata"/>
    <x v="8"/>
    <x v="3"/>
    <x v="1"/>
    <x v="0"/>
    <n v="3"/>
    <n v="1499"/>
    <n v="149.9"/>
    <n v="1428.1"/>
    <n v="378.79999999999995"/>
    <n v="0.26524753168545617"/>
    <x v="4"/>
  </r>
  <r>
    <s v="ORD-10547"/>
    <s v="CUST1089"/>
    <d v="2025-08-11T00:00:00"/>
    <s v="P012"/>
    <s v="Office Chair"/>
    <x v="3"/>
    <x v="0"/>
    <n v="1"/>
    <n v="6499"/>
    <n v="0.15"/>
    <n v="49"/>
    <s v="Kolkata"/>
    <x v="8"/>
    <x v="0"/>
    <x v="0"/>
    <x v="0"/>
    <n v="3"/>
    <n v="6499"/>
    <n v="974.84999999999991"/>
    <n v="5573.15"/>
    <n v="1023.8500000000004"/>
    <n v="0.18371118667181047"/>
    <x v="5"/>
  </r>
  <r>
    <s v="ORD-10548"/>
    <s v="CUST1158"/>
    <d v="2025-08-26T00:00:00"/>
    <s v="P008"/>
    <s v="Smart Watch"/>
    <x v="1"/>
    <x v="4"/>
    <n v="2"/>
    <n v="3499"/>
    <n v="0.1"/>
    <n v="49"/>
    <s v="Gurgaon"/>
    <x v="0"/>
    <x v="1"/>
    <x v="4"/>
    <x v="0"/>
    <n v="5"/>
    <n v="6998"/>
    <n v="699.80000000000007"/>
    <n v="6347.2"/>
    <n v="1448.6000000000004"/>
    <n v="0.22822661961179738"/>
    <x v="5"/>
  </r>
  <r>
    <s v="ORD-10549"/>
    <s v="CUST1047"/>
    <d v="2025-07-14T00:00:00"/>
    <s v="P002"/>
    <s v="Mechanical Keyboard"/>
    <x v="1"/>
    <x v="1"/>
    <n v="3"/>
    <n v="2499"/>
    <n v="0.2"/>
    <n v="0"/>
    <s v="Kolkata"/>
    <x v="8"/>
    <x v="2"/>
    <x v="1"/>
    <x v="2"/>
    <n v="5"/>
    <n v="7497"/>
    <n v="1499.4"/>
    <n v="5997.6"/>
    <n v="749.70000000000073"/>
    <n v="0.12500000000000011"/>
    <x v="10"/>
  </r>
  <r>
    <s v="ORD-10550"/>
    <s v="CUST1296"/>
    <d v="2025-12-05T00:00:00"/>
    <s v="P011"/>
    <s v="Notebook"/>
    <x v="0"/>
    <x v="0"/>
    <n v="3"/>
    <n v="249"/>
    <n v="0.05"/>
    <n v="79"/>
    <s v="Delhi"/>
    <x v="1"/>
    <x v="1"/>
    <x v="1"/>
    <x v="3"/>
    <n v="2"/>
    <n v="747"/>
    <n v="37.35"/>
    <n v="788.65"/>
    <n v="265.75"/>
    <n v="0.33696823686045774"/>
    <x v="11"/>
  </r>
  <r>
    <s v="ORD-10551"/>
    <s v="CUST1046"/>
    <d v="2025-12-14T00:00:00"/>
    <s v="P011"/>
    <s v="Notebook"/>
    <x v="0"/>
    <x v="0"/>
    <n v="1"/>
    <n v="249"/>
    <n v="0.2"/>
    <n v="59"/>
    <s v="Pune"/>
    <x v="2"/>
    <x v="4"/>
    <x v="4"/>
    <x v="1"/>
    <n v="5"/>
    <n v="249"/>
    <n v="49.800000000000004"/>
    <n v="258.2"/>
    <n v="83.9"/>
    <n v="0.32494190549961272"/>
    <x v="11"/>
  </r>
  <r>
    <s v="ORD-10552"/>
    <s v="CUST1287"/>
    <d v="2025-05-31T00:00:00"/>
    <s v="P009"/>
    <s v="Water Bottle"/>
    <x v="2"/>
    <x v="3"/>
    <n v="3"/>
    <n v="699"/>
    <n v="0"/>
    <n v="0"/>
    <s v="Bengaluru"/>
    <x v="3"/>
    <x v="3"/>
    <x v="4"/>
    <x v="3"/>
    <n v="3"/>
    <n v="2097"/>
    <n v="0"/>
    <n v="2097"/>
    <n v="629.10000000000014"/>
    <n v="0.30000000000000004"/>
    <x v="0"/>
  </r>
  <r>
    <s v="ORD-10553"/>
    <s v="CUST1208"/>
    <d v="2025-12-26T00:00:00"/>
    <s v="P005"/>
    <s v="Running Shoes"/>
    <x v="4"/>
    <x v="7"/>
    <n v="1"/>
    <n v="2999"/>
    <n v="0.05"/>
    <n v="79"/>
    <s v="Delhi"/>
    <x v="1"/>
    <x v="1"/>
    <x v="3"/>
    <x v="2"/>
    <n v="5"/>
    <n v="2999"/>
    <n v="149.95000000000002"/>
    <n v="2928.05"/>
    <n v="828.75000000000045"/>
    <n v="0.28303819948429854"/>
    <x v="11"/>
  </r>
  <r>
    <s v="ORD-10554"/>
    <s v="CUST1148"/>
    <d v="2025-04-07T00:00:00"/>
    <s v="P004"/>
    <s v="USB-C Hub"/>
    <x v="1"/>
    <x v="1"/>
    <n v="2"/>
    <n v="1299"/>
    <n v="0.1"/>
    <n v="49"/>
    <s v="Noida"/>
    <x v="5"/>
    <x v="2"/>
    <x v="1"/>
    <x v="0"/>
    <n v="1"/>
    <n v="2598"/>
    <n v="259.8"/>
    <n v="2387.1999999999998"/>
    <n v="568.59999999999991"/>
    <n v="0.23818699731903484"/>
    <x v="1"/>
  </r>
  <r>
    <s v="ORD-10555"/>
    <s v="CUST1213"/>
    <d v="2025-09-07T00:00:00"/>
    <s v="P002"/>
    <s v="Mechanical Keyboard"/>
    <x v="1"/>
    <x v="1"/>
    <n v="1"/>
    <n v="2499"/>
    <n v="0"/>
    <n v="49"/>
    <s v="Delhi"/>
    <x v="1"/>
    <x v="1"/>
    <x v="0"/>
    <x v="0"/>
    <n v="4"/>
    <n v="2499"/>
    <n v="0"/>
    <n v="2548"/>
    <n v="798.7"/>
    <n v="0.31346153846153846"/>
    <x v="7"/>
  </r>
  <r>
    <s v="ORD-10556"/>
    <s v="CUST1116"/>
    <d v="2025-08-06T00:00:00"/>
    <s v="P010"/>
    <s v="Desk Lamp"/>
    <x v="2"/>
    <x v="2"/>
    <n v="2"/>
    <n v="1199"/>
    <n v="0.1"/>
    <n v="59"/>
    <s v="Noida"/>
    <x v="5"/>
    <x v="2"/>
    <x v="3"/>
    <x v="1"/>
    <n v="5"/>
    <n v="2398"/>
    <n v="239.8"/>
    <n v="2217.1999999999998"/>
    <n v="538.59999999999991"/>
    <n v="0.2429189969330687"/>
    <x v="5"/>
  </r>
  <r>
    <s v="ORD-10557"/>
    <s v="CUST1296"/>
    <d v="2025-05-02T00:00:00"/>
    <s v="P001"/>
    <s v="Wireless Mouse"/>
    <x v="1"/>
    <x v="1"/>
    <n v="2"/>
    <n v="599"/>
    <n v="0.1"/>
    <n v="99"/>
    <s v="Kolkata"/>
    <x v="8"/>
    <x v="3"/>
    <x v="4"/>
    <x v="0"/>
    <n v="1"/>
    <n v="1198"/>
    <n v="119.80000000000001"/>
    <n v="1177.2"/>
    <n v="338.60000000000014"/>
    <n v="0.28763166836561344"/>
    <x v="0"/>
  </r>
  <r>
    <s v="ORD-10558"/>
    <s v="CUST1270"/>
    <d v="2025-02-27T00:00:00"/>
    <s v="P010"/>
    <s v="Desk Lamp"/>
    <x v="2"/>
    <x v="2"/>
    <n v="2"/>
    <n v="1199"/>
    <n v="0"/>
    <n v="49"/>
    <s v="Hyderabad"/>
    <x v="7"/>
    <x v="3"/>
    <x v="3"/>
    <x v="2"/>
    <n v="5"/>
    <n v="2398"/>
    <n v="0"/>
    <n v="2447"/>
    <n v="768.40000000000009"/>
    <n v="0.31401716387413164"/>
    <x v="9"/>
  </r>
  <r>
    <s v="ORD-10559"/>
    <s v="CUST1277"/>
    <d v="2025-02-15T00:00:00"/>
    <s v="P002"/>
    <s v="Mechanical Keyboard"/>
    <x v="1"/>
    <x v="1"/>
    <n v="3"/>
    <n v="2499"/>
    <n v="0.2"/>
    <n v="0"/>
    <s v="Chennai"/>
    <x v="4"/>
    <x v="4"/>
    <x v="2"/>
    <x v="2"/>
    <n v="5"/>
    <n v="7497"/>
    <n v="1499.4"/>
    <n v="5997.6"/>
    <n v="749.70000000000073"/>
    <n v="0.12500000000000011"/>
    <x v="9"/>
  </r>
  <r>
    <s v="ORD-10560"/>
    <s v="CUST1170"/>
    <d v="2025-01-06T00:00:00"/>
    <s v="P001"/>
    <s v="Wireless Mouse"/>
    <x v="1"/>
    <x v="1"/>
    <n v="2"/>
    <n v="599"/>
    <n v="0.1"/>
    <n v="99"/>
    <s v="Pune"/>
    <x v="2"/>
    <x v="1"/>
    <x v="2"/>
    <x v="3"/>
    <n v="3"/>
    <n v="1198"/>
    <n v="119.80000000000001"/>
    <n v="1177.2"/>
    <n v="338.60000000000014"/>
    <n v="0.28763166836561344"/>
    <x v="2"/>
  </r>
  <r>
    <s v="ORD-10561"/>
    <s v="CUST1134"/>
    <d v="2025-12-22T00:00:00"/>
    <s v="P005"/>
    <s v="Running Shoes"/>
    <x v="4"/>
    <x v="7"/>
    <n v="1"/>
    <n v="2999"/>
    <n v="0.2"/>
    <n v="99"/>
    <s v="Mumbai"/>
    <x v="2"/>
    <x v="0"/>
    <x v="3"/>
    <x v="0"/>
    <n v="5"/>
    <n v="2999"/>
    <n v="599.80000000000007"/>
    <n v="2498.1999999999998"/>
    <n v="398.90000000000009"/>
    <n v="0.1596749659755024"/>
    <x v="11"/>
  </r>
  <r>
    <s v="ORD-10562"/>
    <s v="CUST1043"/>
    <d v="2025-05-30T00:00:00"/>
    <s v="P003"/>
    <s v="Bluetooth Speaker"/>
    <x v="1"/>
    <x v="6"/>
    <n v="1"/>
    <n v="1799"/>
    <n v="0.05"/>
    <n v="79"/>
    <s v="Kolkata"/>
    <x v="8"/>
    <x v="2"/>
    <x v="0"/>
    <x v="0"/>
    <n v="1"/>
    <n v="1799"/>
    <n v="89.95"/>
    <n v="1788.05"/>
    <n v="528.75"/>
    <n v="0.29571320712508042"/>
    <x v="0"/>
  </r>
  <r>
    <s v="ORD-10563"/>
    <s v="CUST1090"/>
    <d v="2025-05-24T00:00:00"/>
    <s v="P005"/>
    <s v="Running Shoes"/>
    <x v="4"/>
    <x v="7"/>
    <n v="1"/>
    <n v="2999"/>
    <n v="0"/>
    <n v="0"/>
    <s v="Mumbai"/>
    <x v="2"/>
    <x v="4"/>
    <x v="1"/>
    <x v="0"/>
    <n v="3"/>
    <n v="2999"/>
    <n v="0"/>
    <n v="2999"/>
    <n v="899.70000000000027"/>
    <n v="0.3000000000000001"/>
    <x v="0"/>
  </r>
  <r>
    <s v="ORD-10564"/>
    <s v="CUST1017"/>
    <d v="2025-05-14T00:00:00"/>
    <s v="P008"/>
    <s v="Smart Watch"/>
    <x v="1"/>
    <x v="4"/>
    <n v="3"/>
    <n v="3499"/>
    <n v="0"/>
    <n v="99"/>
    <s v="Pune"/>
    <x v="2"/>
    <x v="3"/>
    <x v="4"/>
    <x v="1"/>
    <n v="2"/>
    <n v="10497"/>
    <n v="0"/>
    <n v="10596"/>
    <n v="3248.1000000000004"/>
    <n v="0.30654020385050967"/>
    <x v="0"/>
  </r>
  <r>
    <s v="ORD-10565"/>
    <s v="CUST1108"/>
    <d v="2025-07-31T00:00:00"/>
    <s v="P010"/>
    <s v="Desk Lamp"/>
    <x v="2"/>
    <x v="2"/>
    <n v="3"/>
    <n v="1199"/>
    <n v="0.1"/>
    <n v="49"/>
    <s v="Noida"/>
    <x v="5"/>
    <x v="4"/>
    <x v="2"/>
    <x v="2"/>
    <n v="1"/>
    <n v="3597"/>
    <n v="359.70000000000005"/>
    <n v="3286.3"/>
    <n v="768.40000000000055"/>
    <n v="0.23381918875330934"/>
    <x v="10"/>
  </r>
  <r>
    <s v="ORD-10566"/>
    <s v="CUST1155"/>
    <d v="2025-03-01T00:00:00"/>
    <s v="P011"/>
    <s v="Notebook"/>
    <x v="0"/>
    <x v="0"/>
    <n v="3"/>
    <n v="249"/>
    <n v="0.1"/>
    <n v="79"/>
    <s v="Mumbai"/>
    <x v="2"/>
    <x v="1"/>
    <x v="0"/>
    <x v="1"/>
    <n v="2"/>
    <n v="747"/>
    <n v="74.7"/>
    <n v="751.3"/>
    <n v="228.39999999999998"/>
    <n v="0.30400638892586185"/>
    <x v="6"/>
  </r>
  <r>
    <s v="ORD-10567"/>
    <s v="CUST1230"/>
    <d v="2025-03-16T00:00:00"/>
    <s v="P007"/>
    <s v="Backpack"/>
    <x v="4"/>
    <x v="5"/>
    <n v="2"/>
    <n v="1499"/>
    <n v="0"/>
    <n v="59"/>
    <s v="Bengaluru"/>
    <x v="3"/>
    <x v="1"/>
    <x v="2"/>
    <x v="1"/>
    <n v="5"/>
    <n v="2998"/>
    <n v="0"/>
    <n v="3057"/>
    <n v="958.40000000000009"/>
    <n v="0.31350997710173378"/>
    <x v="6"/>
  </r>
  <r>
    <s v="ORD-10568"/>
    <s v="CUST1172"/>
    <d v="2025-09-30T00:00:00"/>
    <s v="P011"/>
    <s v="Notebook"/>
    <x v="0"/>
    <x v="0"/>
    <n v="1"/>
    <n v="249"/>
    <n v="0.15"/>
    <n v="59"/>
    <s v="Delhi"/>
    <x v="1"/>
    <x v="3"/>
    <x v="2"/>
    <x v="1"/>
    <n v="3"/>
    <n v="249"/>
    <n v="37.35"/>
    <n v="270.64999999999998"/>
    <n v="96.35"/>
    <n v="0.35599482726768888"/>
    <x v="7"/>
  </r>
  <r>
    <s v="ORD-10569"/>
    <s v="CUST1100"/>
    <d v="2025-07-20T00:00:00"/>
    <s v="P002"/>
    <s v="Mechanical Keyboard"/>
    <x v="1"/>
    <x v="1"/>
    <n v="2"/>
    <n v="2499"/>
    <n v="0.2"/>
    <n v="49"/>
    <s v="Mumbai"/>
    <x v="2"/>
    <x v="4"/>
    <x v="2"/>
    <x v="2"/>
    <n v="3"/>
    <n v="4998"/>
    <n v="999.6"/>
    <n v="4047.4"/>
    <n v="548.80000000000018"/>
    <n v="0.13559322033898311"/>
    <x v="10"/>
  </r>
  <r>
    <s v="ORD-10570"/>
    <s v="CUST1051"/>
    <d v="2025-01-06T00:00:00"/>
    <s v="P012"/>
    <s v="Office Chair"/>
    <x v="3"/>
    <x v="0"/>
    <n v="1"/>
    <n v="6499"/>
    <n v="0"/>
    <n v="79"/>
    <s v="Noida"/>
    <x v="5"/>
    <x v="4"/>
    <x v="4"/>
    <x v="0"/>
    <n v="3"/>
    <n v="6499"/>
    <n v="0"/>
    <n v="6578"/>
    <n v="2028.7000000000007"/>
    <n v="0.30840681058072372"/>
    <x v="2"/>
  </r>
  <r>
    <s v="ORD-10571"/>
    <s v="CUST1048"/>
    <d v="2025-05-26T00:00:00"/>
    <s v="P008"/>
    <s v="Smart Watch"/>
    <x v="1"/>
    <x v="4"/>
    <n v="1"/>
    <n v="3499"/>
    <n v="0"/>
    <n v="99"/>
    <s v="Pune"/>
    <x v="2"/>
    <x v="0"/>
    <x v="0"/>
    <x v="0"/>
    <n v="3"/>
    <n v="3499"/>
    <n v="0"/>
    <n v="3598"/>
    <n v="1148.7000000000003"/>
    <n v="0.31926070038910515"/>
    <x v="0"/>
  </r>
  <r>
    <s v="ORD-10572"/>
    <s v="CUST1290"/>
    <d v="2025-12-29T00:00:00"/>
    <s v="P004"/>
    <s v="USB-C Hub"/>
    <x v="1"/>
    <x v="1"/>
    <n v="2"/>
    <n v="1299"/>
    <n v="0"/>
    <n v="79"/>
    <s v="Kolkata"/>
    <x v="8"/>
    <x v="2"/>
    <x v="4"/>
    <x v="3"/>
    <n v="3"/>
    <n v="2598"/>
    <n v="0"/>
    <n v="2677"/>
    <n v="858.40000000000009"/>
    <n v="0.32065745237205828"/>
    <x v="11"/>
  </r>
  <r>
    <s v="ORD-10573"/>
    <s v="CUST1166"/>
    <d v="2025-12-05T00:00:00"/>
    <s v="P003"/>
    <s v="Bluetooth Speaker"/>
    <x v="1"/>
    <x v="6"/>
    <n v="1"/>
    <n v="1799"/>
    <n v="0.05"/>
    <n v="79"/>
    <s v="Mumbai"/>
    <x v="2"/>
    <x v="3"/>
    <x v="1"/>
    <x v="1"/>
    <n v="3"/>
    <n v="1799"/>
    <n v="89.95"/>
    <n v="1788.05"/>
    <n v="528.75"/>
    <n v="0.29571320712508042"/>
    <x v="11"/>
  </r>
  <r>
    <s v="ORD-10574"/>
    <s v="CUST1092"/>
    <d v="2025-07-15T00:00:00"/>
    <s v="P002"/>
    <s v="Mechanical Keyboard"/>
    <x v="1"/>
    <x v="1"/>
    <n v="3"/>
    <n v="2499"/>
    <n v="0.05"/>
    <n v="59"/>
    <s v="Mumbai"/>
    <x v="2"/>
    <x v="1"/>
    <x v="4"/>
    <x v="0"/>
    <n v="4"/>
    <n v="7497"/>
    <n v="374.85"/>
    <n v="7181.15"/>
    <n v="1933.25"/>
    <n v="0.26921175577727802"/>
    <x v="10"/>
  </r>
  <r>
    <s v="ORD-10575"/>
    <s v="CUST1112"/>
    <d v="2025-11-27T00:00:00"/>
    <s v="P004"/>
    <s v="USB-C Hub"/>
    <x v="1"/>
    <x v="1"/>
    <n v="1"/>
    <n v="1299"/>
    <n v="0.15"/>
    <n v="79"/>
    <s v="Kolkata"/>
    <x v="8"/>
    <x v="4"/>
    <x v="4"/>
    <x v="0"/>
    <n v="4"/>
    <n v="1299"/>
    <n v="194.85"/>
    <n v="1183.1500000000001"/>
    <n v="273.85000000000014"/>
    <n v="0.23145839496259993"/>
    <x v="4"/>
  </r>
  <r>
    <s v="ORD-10576"/>
    <s v="CUST1010"/>
    <d v="2025-02-07T00:00:00"/>
    <s v="P012"/>
    <s v="Office Chair"/>
    <x v="3"/>
    <x v="0"/>
    <n v="1"/>
    <n v="6499"/>
    <n v="0.05"/>
    <n v="79"/>
    <s v="Mumbai"/>
    <x v="2"/>
    <x v="1"/>
    <x v="1"/>
    <x v="2"/>
    <n v="3"/>
    <n v="6499"/>
    <n v="324.95000000000005"/>
    <n v="6253.05"/>
    <n v="1703.7500000000009"/>
    <n v="0.27246703608639"/>
    <x v="9"/>
  </r>
  <r>
    <s v="ORD-10577"/>
    <s v="CUST1201"/>
    <d v="2025-12-07T00:00:00"/>
    <s v="P011"/>
    <s v="Notebook"/>
    <x v="0"/>
    <x v="0"/>
    <n v="4"/>
    <n v="249"/>
    <n v="0.2"/>
    <n v="59"/>
    <s v="Delhi"/>
    <x v="1"/>
    <x v="4"/>
    <x v="4"/>
    <x v="0"/>
    <n v="5"/>
    <n v="996"/>
    <n v="199.20000000000002"/>
    <n v="855.8"/>
    <n v="158.60000000000002"/>
    <n v="0.18532367375555039"/>
    <x v="11"/>
  </r>
  <r>
    <s v="ORD-10578"/>
    <s v="CUST1002"/>
    <d v="2025-07-26T00:00:00"/>
    <s v="P012"/>
    <s v="Office Chair"/>
    <x v="3"/>
    <x v="0"/>
    <n v="2"/>
    <n v="6499"/>
    <n v="0.15"/>
    <n v="49"/>
    <s v="Hyderabad"/>
    <x v="7"/>
    <x v="1"/>
    <x v="3"/>
    <x v="0"/>
    <n v="1"/>
    <n v="12998"/>
    <n v="1949.6999999999998"/>
    <n v="11097.3"/>
    <n v="1998.7000000000007"/>
    <n v="0.18010687284294385"/>
    <x v="10"/>
  </r>
  <r>
    <s v="ORD-10579"/>
    <s v="CUST1047"/>
    <d v="2025-07-03T00:00:00"/>
    <s v="P010"/>
    <s v="Desk Lamp"/>
    <x v="2"/>
    <x v="2"/>
    <n v="4"/>
    <n v="1199"/>
    <n v="0.1"/>
    <n v="0"/>
    <s v="Chennai"/>
    <x v="4"/>
    <x v="3"/>
    <x v="0"/>
    <x v="0"/>
    <n v="3"/>
    <n v="4796"/>
    <n v="479.6"/>
    <n v="4316.3999999999996"/>
    <n v="959.19999999999982"/>
    <n v="0.22222222222222221"/>
    <x v="10"/>
  </r>
  <r>
    <s v="ORD-10580"/>
    <s v="CUST1197"/>
    <d v="2025-05-29T00:00:00"/>
    <s v="P006"/>
    <s v="Cotton T-Shirt"/>
    <x v="4"/>
    <x v="8"/>
    <n v="3"/>
    <n v="799"/>
    <n v="0.15"/>
    <n v="0"/>
    <s v="Gurgaon"/>
    <x v="0"/>
    <x v="2"/>
    <x v="2"/>
    <x v="0"/>
    <n v="3"/>
    <n v="2397"/>
    <n v="359.55"/>
    <n v="2037.45"/>
    <n v="359.55000000000018"/>
    <n v="0.17647058823529421"/>
    <x v="0"/>
  </r>
  <r>
    <s v="ORD-10581"/>
    <s v="CUST1072"/>
    <d v="2025-07-03T00:00:00"/>
    <s v="P007"/>
    <s v="Backpack"/>
    <x v="4"/>
    <x v="5"/>
    <n v="2"/>
    <n v="1499"/>
    <n v="0.1"/>
    <n v="49"/>
    <s v="Gurgaon"/>
    <x v="0"/>
    <x v="0"/>
    <x v="1"/>
    <x v="2"/>
    <n v="1"/>
    <n v="2998"/>
    <n v="299.8"/>
    <n v="2747.2"/>
    <n v="648.59999999999991"/>
    <n v="0.23609493302271403"/>
    <x v="10"/>
  </r>
  <r>
    <s v="ORD-10582"/>
    <s v="CUST1256"/>
    <d v="2025-07-19T00:00:00"/>
    <s v="P012"/>
    <s v="Office Chair"/>
    <x v="3"/>
    <x v="0"/>
    <n v="1"/>
    <n v="6499"/>
    <n v="0.2"/>
    <n v="59"/>
    <s v="Kolkata"/>
    <x v="8"/>
    <x v="4"/>
    <x v="3"/>
    <x v="3"/>
    <n v="1"/>
    <n v="6499"/>
    <n v="1299.8000000000002"/>
    <n v="5258.2"/>
    <n v="708.90000000000055"/>
    <n v="0.13481799855463858"/>
    <x v="10"/>
  </r>
  <r>
    <s v="ORD-10583"/>
    <s v="CUST1235"/>
    <d v="2025-01-22T00:00:00"/>
    <s v="P001"/>
    <s v="Wireless Mouse"/>
    <x v="1"/>
    <x v="1"/>
    <n v="1"/>
    <n v="599"/>
    <n v="0.2"/>
    <n v="99"/>
    <s v="Pune"/>
    <x v="2"/>
    <x v="4"/>
    <x v="1"/>
    <x v="0"/>
    <n v="3"/>
    <n v="599"/>
    <n v="119.80000000000001"/>
    <n v="578.20000000000005"/>
    <n v="158.90000000000009"/>
    <n v="0.27481840193704615"/>
    <x v="2"/>
  </r>
  <r>
    <s v="ORD-10584"/>
    <s v="Not Assigned"/>
    <d v="2025-01-19T00:00:00"/>
    <s v="P010"/>
    <s v="Desk Lamp"/>
    <x v="2"/>
    <x v="2"/>
    <n v="4"/>
    <n v="1199"/>
    <n v="0.2"/>
    <n v="0"/>
    <s v="Jaipur"/>
    <x v="6"/>
    <x v="4"/>
    <x v="4"/>
    <x v="1"/>
    <n v="2"/>
    <n v="4796"/>
    <n v="959.2"/>
    <n v="3836.8"/>
    <n v="479.60000000000036"/>
    <n v="0.12500000000000008"/>
    <x v="2"/>
  </r>
  <r>
    <s v="ORD-10585"/>
    <s v="CUST1088"/>
    <d v="2025-11-20T00:00:00"/>
    <s v="P012"/>
    <s v="Office Chair"/>
    <x v="3"/>
    <x v="0"/>
    <n v="1"/>
    <n v="6499"/>
    <n v="0"/>
    <n v="79"/>
    <s v="Noida"/>
    <x v="5"/>
    <x v="4"/>
    <x v="4"/>
    <x v="0"/>
    <n v="3"/>
    <n v="6499"/>
    <n v="0"/>
    <n v="6578"/>
    <n v="2028.7000000000007"/>
    <n v="0.30840681058072372"/>
    <x v="4"/>
  </r>
  <r>
    <s v="ORD-10586"/>
    <s v="CUST1206"/>
    <d v="2025-11-12T00:00:00"/>
    <s v="P002"/>
    <s v="Mechanical Keyboard"/>
    <x v="1"/>
    <x v="1"/>
    <n v="2"/>
    <n v="2499"/>
    <n v="0.1"/>
    <n v="59"/>
    <s v="Gurgaon"/>
    <x v="0"/>
    <x v="3"/>
    <x v="4"/>
    <x v="0"/>
    <n v="3"/>
    <n v="4998"/>
    <n v="499.8"/>
    <n v="4557.2"/>
    <n v="1058.5999999999999"/>
    <n v="0.23229175809707714"/>
    <x v="4"/>
  </r>
  <r>
    <s v="ORD-10587"/>
    <s v="CUST1062"/>
    <d v="2025-04-20T00:00:00"/>
    <s v="P010"/>
    <s v="Desk Lamp"/>
    <x v="2"/>
    <x v="2"/>
    <n v="1"/>
    <n v="1199"/>
    <n v="0.05"/>
    <n v="0"/>
    <s v="Chennai"/>
    <x v="4"/>
    <x v="3"/>
    <x v="1"/>
    <x v="0"/>
    <n v="3"/>
    <n v="1199"/>
    <n v="59.95"/>
    <n v="1139.05"/>
    <n v="299.75"/>
    <n v="0.26315789473684209"/>
    <x v="1"/>
  </r>
  <r>
    <s v="ORD-10588"/>
    <s v="CUST1069"/>
    <d v="2025-10-11T00:00:00"/>
    <s v="P007"/>
    <s v="Backpack"/>
    <x v="4"/>
    <x v="5"/>
    <n v="2"/>
    <n v="1499"/>
    <n v="0.15"/>
    <n v="0"/>
    <s v="Noida"/>
    <x v="5"/>
    <x v="0"/>
    <x v="0"/>
    <x v="0"/>
    <n v="4"/>
    <n v="2998"/>
    <n v="449.7"/>
    <n v="2548.3000000000002"/>
    <n v="449.70000000000027"/>
    <n v="0.17647058823529421"/>
    <x v="8"/>
  </r>
  <r>
    <s v="ORD-10589"/>
    <s v="CUST1146"/>
    <d v="2025-02-11T00:00:00"/>
    <s v="P003"/>
    <s v="Bluetooth Speaker"/>
    <x v="1"/>
    <x v="6"/>
    <n v="3"/>
    <n v="1799"/>
    <n v="0"/>
    <n v="99"/>
    <s v="Delhi"/>
    <x v="1"/>
    <x v="1"/>
    <x v="3"/>
    <x v="0"/>
    <n v="3"/>
    <n v="5397"/>
    <n v="0"/>
    <n v="5496"/>
    <n v="1718.1000000000004"/>
    <n v="0.31260917030567692"/>
    <x v="9"/>
  </r>
  <r>
    <s v="ORD-10590"/>
    <s v="Not Assigned"/>
    <d v="2025-05-19T00:00:00"/>
    <s v="P003"/>
    <s v="Bluetooth Speaker"/>
    <x v="1"/>
    <x v="6"/>
    <n v="1"/>
    <n v="1799"/>
    <n v="0"/>
    <n v="49"/>
    <s v="Jaipur"/>
    <x v="6"/>
    <x v="4"/>
    <x v="1"/>
    <x v="1"/>
    <n v="3"/>
    <n v="1799"/>
    <n v="0"/>
    <n v="1848"/>
    <n v="588.70000000000005"/>
    <n v="0.3185606060606061"/>
    <x v="0"/>
  </r>
  <r>
    <s v="ORD-10591"/>
    <s v="CUST1121"/>
    <d v="2025-11-18T00:00:00"/>
    <s v="P008"/>
    <s v="Smart Watch"/>
    <x v="1"/>
    <x v="4"/>
    <n v="4"/>
    <n v="3499"/>
    <n v="0"/>
    <n v="99"/>
    <s v="Kolkata"/>
    <x v="8"/>
    <x v="2"/>
    <x v="4"/>
    <x v="1"/>
    <n v="5"/>
    <n v="13996"/>
    <n v="0"/>
    <n v="14095"/>
    <n v="4297.8000000000011"/>
    <n v="0.3049166371053566"/>
    <x v="4"/>
  </r>
  <r>
    <s v="ORD-10592"/>
    <s v="CUST1142"/>
    <d v="2025-10-04T00:00:00"/>
    <s v="P002"/>
    <s v="Mechanical Keyboard"/>
    <x v="1"/>
    <x v="1"/>
    <n v="1"/>
    <n v="2499"/>
    <n v="0.2"/>
    <n v="49"/>
    <s v="Kolkata"/>
    <x v="8"/>
    <x v="0"/>
    <x v="1"/>
    <x v="1"/>
    <n v="1"/>
    <n v="2499"/>
    <n v="499.8"/>
    <n v="2048.1999999999998"/>
    <n v="298.89999999999986"/>
    <n v="0.14593301435406694"/>
    <x v="8"/>
  </r>
  <r>
    <s v="ORD-10593"/>
    <s v="CUST1146"/>
    <d v="2025-03-23T00:00:00"/>
    <s v="P003"/>
    <s v="Bluetooth Speaker"/>
    <x v="1"/>
    <x v="6"/>
    <n v="2"/>
    <n v="1799"/>
    <n v="0"/>
    <n v="59"/>
    <s v="Hyderabad"/>
    <x v="7"/>
    <x v="2"/>
    <x v="3"/>
    <x v="0"/>
    <n v="3"/>
    <n v="3598"/>
    <n v="0"/>
    <n v="3657"/>
    <n v="1138.4000000000001"/>
    <n v="0.3112934098988242"/>
    <x v="6"/>
  </r>
  <r>
    <s v="ORD-10594"/>
    <s v="CUST1091"/>
    <d v="2025-08-21T00:00:00"/>
    <s v="P006"/>
    <s v="Cotton T-Shirt"/>
    <x v="4"/>
    <x v="8"/>
    <n v="3"/>
    <n v="799"/>
    <n v="0"/>
    <n v="99"/>
    <s v="Kolkata"/>
    <x v="8"/>
    <x v="2"/>
    <x v="4"/>
    <x v="2"/>
    <n v="4"/>
    <n v="2397"/>
    <n v="0"/>
    <n v="2496"/>
    <n v="818.10000000000014"/>
    <n v="0.32776442307692311"/>
    <x v="5"/>
  </r>
  <r>
    <s v="ORD-10595"/>
    <s v="CUST1215"/>
    <d v="2025-05-01T00:00:00"/>
    <s v="P009"/>
    <s v="Water Bottle"/>
    <x v="2"/>
    <x v="3"/>
    <n v="1"/>
    <n v="699"/>
    <n v="0.15"/>
    <n v="59"/>
    <s v="Gurgaon"/>
    <x v="0"/>
    <x v="2"/>
    <x v="2"/>
    <x v="3"/>
    <n v="2"/>
    <n v="699"/>
    <n v="104.85"/>
    <n v="653.15"/>
    <n v="163.85000000000002"/>
    <n v="0.25086121105412235"/>
    <x v="0"/>
  </r>
  <r>
    <s v="ORD-10596"/>
    <s v="CUST1038"/>
    <d v="2025-05-02T00:00:00"/>
    <s v="P002"/>
    <s v="Mechanical Keyboard"/>
    <x v="1"/>
    <x v="1"/>
    <n v="1"/>
    <n v="2499"/>
    <n v="0.1"/>
    <n v="49"/>
    <s v="Pune"/>
    <x v="2"/>
    <x v="1"/>
    <x v="0"/>
    <x v="0"/>
    <n v="4"/>
    <n v="2499"/>
    <n v="249.9"/>
    <n v="2298.1"/>
    <n v="548.79999999999995"/>
    <n v="0.23880597014925373"/>
    <x v="0"/>
  </r>
  <r>
    <s v="ORD-10597"/>
    <s v="CUST1235"/>
    <d v="2025-11-09T00:00:00"/>
    <s v="P001"/>
    <s v="Wireless Mouse"/>
    <x v="1"/>
    <x v="1"/>
    <n v="1"/>
    <n v="599"/>
    <n v="0.05"/>
    <n v="49"/>
    <s v="Bengaluru"/>
    <x v="3"/>
    <x v="2"/>
    <x v="2"/>
    <x v="1"/>
    <n v="3"/>
    <n v="599"/>
    <n v="29.950000000000003"/>
    <n v="618.04999999999995"/>
    <n v="198.75"/>
    <n v="0.32157592427797105"/>
    <x v="4"/>
  </r>
  <r>
    <s v="ORD-10598"/>
    <s v="CUST1239"/>
    <d v="2025-12-21T00:00:00"/>
    <s v="P004"/>
    <s v="USB-C Hub"/>
    <x v="1"/>
    <x v="1"/>
    <n v="1"/>
    <n v="1299"/>
    <n v="0"/>
    <n v="0"/>
    <s v="Pune"/>
    <x v="2"/>
    <x v="1"/>
    <x v="3"/>
    <x v="0"/>
    <n v="2"/>
    <n v="1299"/>
    <n v="0"/>
    <n v="1299"/>
    <n v="389.70000000000005"/>
    <n v="0.30000000000000004"/>
    <x v="11"/>
  </r>
  <r>
    <s v="ORD-10599"/>
    <s v="CUST1296"/>
    <d v="2025-11-06T00:00:00"/>
    <s v="P006"/>
    <s v="Cotton T-Shirt"/>
    <x v="4"/>
    <x v="8"/>
    <n v="3"/>
    <n v="799"/>
    <n v="0.15"/>
    <n v="49"/>
    <s v="Jaipur"/>
    <x v="6"/>
    <x v="4"/>
    <x v="1"/>
    <x v="2"/>
    <n v="1"/>
    <n v="2397"/>
    <n v="359.55"/>
    <n v="2086.4499999999998"/>
    <n v="408.54999999999995"/>
    <n v="0.19581106664430012"/>
    <x v="4"/>
  </r>
  <r>
    <s v="ORD-10600"/>
    <s v="CUST1220"/>
    <d v="2025-04-21T00:00:00"/>
    <s v="P007"/>
    <s v="Backpack"/>
    <x v="4"/>
    <x v="5"/>
    <n v="2"/>
    <n v="1499"/>
    <n v="0.05"/>
    <n v="0"/>
    <s v="Chennai"/>
    <x v="4"/>
    <x v="2"/>
    <x v="1"/>
    <x v="1"/>
    <n v="3"/>
    <n v="2998"/>
    <n v="149.9"/>
    <n v="2848.1"/>
    <n v="749.5"/>
    <n v="0.26315789473684209"/>
    <x v="1"/>
  </r>
  <r>
    <s v="ORD-10601"/>
    <s v="CUST1023"/>
    <d v="2025-10-30T00:00:00"/>
    <s v="P007"/>
    <s v="Backpack"/>
    <x v="4"/>
    <x v="5"/>
    <n v="1"/>
    <n v="1499"/>
    <n v="0"/>
    <n v="79"/>
    <s v="Kolkata"/>
    <x v="8"/>
    <x v="0"/>
    <x v="3"/>
    <x v="3"/>
    <n v="3"/>
    <n v="1499"/>
    <n v="0"/>
    <n v="1578"/>
    <n v="528.70000000000005"/>
    <n v="0.33504435994930293"/>
    <x v="8"/>
  </r>
  <r>
    <s v="ORD-10602"/>
    <s v="CUST1254"/>
    <d v="2025-07-21T00:00:00"/>
    <s v="P009"/>
    <s v="Water Bottle"/>
    <x v="2"/>
    <x v="3"/>
    <n v="1"/>
    <n v="699"/>
    <n v="0"/>
    <n v="79"/>
    <s v="Delhi"/>
    <x v="1"/>
    <x v="2"/>
    <x v="4"/>
    <x v="2"/>
    <n v="5"/>
    <n v="699"/>
    <n v="0"/>
    <n v="778"/>
    <n v="288.70000000000005"/>
    <n v="0.37107969151670955"/>
    <x v="10"/>
  </r>
  <r>
    <s v="ORD-10603"/>
    <s v="CUST1009"/>
    <d v="2025-03-09T00:00:00"/>
    <s v="P001"/>
    <s v="Wireless Mouse"/>
    <x v="1"/>
    <x v="1"/>
    <n v="1"/>
    <n v="599"/>
    <n v="0.2"/>
    <n v="0"/>
    <s v="Bengaluru"/>
    <x v="3"/>
    <x v="1"/>
    <x v="2"/>
    <x v="0"/>
    <n v="2"/>
    <n v="599"/>
    <n v="119.80000000000001"/>
    <n v="479.2"/>
    <n v="59.900000000000034"/>
    <n v="0.12500000000000008"/>
    <x v="6"/>
  </r>
  <r>
    <s v="ORD-10604"/>
    <s v="CUST1095"/>
    <d v="2025-10-26T00:00:00"/>
    <s v="P012"/>
    <s v="Office Chair"/>
    <x v="3"/>
    <x v="0"/>
    <n v="3"/>
    <n v="6499"/>
    <n v="0"/>
    <n v="79"/>
    <s v="Hyderabad"/>
    <x v="7"/>
    <x v="3"/>
    <x v="3"/>
    <x v="1"/>
    <n v="3"/>
    <n v="19497"/>
    <n v="0"/>
    <n v="19576"/>
    <n v="5928.1"/>
    <n v="0.30282488761749082"/>
    <x v="8"/>
  </r>
  <r>
    <s v="ORD-10605"/>
    <s v="CUST1017"/>
    <d v="2025-02-06T00:00:00"/>
    <s v="P011"/>
    <s v="Notebook"/>
    <x v="0"/>
    <x v="0"/>
    <n v="3"/>
    <n v="249"/>
    <n v="0.05"/>
    <n v="99"/>
    <s v="Delhi"/>
    <x v="1"/>
    <x v="3"/>
    <x v="3"/>
    <x v="2"/>
    <n v="3"/>
    <n v="747"/>
    <n v="37.35"/>
    <n v="808.65"/>
    <n v="285.75"/>
    <n v="0.35336672231496941"/>
    <x v="9"/>
  </r>
  <r>
    <s v="ORD-10606"/>
    <s v="CUST1264"/>
    <d v="2025-04-17T00:00:00"/>
    <s v="P005"/>
    <s v="Running Shoes"/>
    <x v="4"/>
    <x v="7"/>
    <n v="2"/>
    <n v="2999"/>
    <n v="0.05"/>
    <n v="0"/>
    <s v="Kolkata"/>
    <x v="8"/>
    <x v="3"/>
    <x v="4"/>
    <x v="3"/>
    <n v="1"/>
    <n v="5998"/>
    <n v="299.90000000000003"/>
    <n v="5698.1"/>
    <n v="1499.5000000000009"/>
    <n v="0.26315789473684226"/>
    <x v="1"/>
  </r>
  <r>
    <s v="ORD-10607"/>
    <s v="CUST1035"/>
    <d v="2025-01-21T00:00:00"/>
    <s v="P007"/>
    <s v="Backpack"/>
    <x v="4"/>
    <x v="5"/>
    <n v="2"/>
    <n v="1499"/>
    <n v="0.2"/>
    <n v="99"/>
    <s v="Pune"/>
    <x v="2"/>
    <x v="4"/>
    <x v="1"/>
    <x v="0"/>
    <n v="2"/>
    <n v="2998"/>
    <n v="599.6"/>
    <n v="2497.4"/>
    <n v="398.80000000000018"/>
    <n v="0.15968607351645719"/>
    <x v="2"/>
  </r>
  <r>
    <s v="ORD-10608"/>
    <s v="CUST1116"/>
    <d v="2025-11-29T00:00:00"/>
    <s v="P006"/>
    <s v="Cotton T-Shirt"/>
    <x v="4"/>
    <x v="8"/>
    <n v="2"/>
    <n v="799"/>
    <n v="0.2"/>
    <n v="49"/>
    <s v="Jaipur"/>
    <x v="6"/>
    <x v="3"/>
    <x v="2"/>
    <x v="3"/>
    <n v="3"/>
    <n v="1598"/>
    <n v="319.60000000000002"/>
    <n v="1327.4"/>
    <n v="208.80000000000018"/>
    <n v="0.15729998493295175"/>
    <x v="4"/>
  </r>
  <r>
    <s v="ORD-10609"/>
    <s v="CUST1270"/>
    <d v="2025-02-02T00:00:00"/>
    <s v="P009"/>
    <s v="Water Bottle"/>
    <x v="2"/>
    <x v="3"/>
    <n v="1"/>
    <n v="699"/>
    <n v="0.1"/>
    <n v="99"/>
    <s v="Bengaluru"/>
    <x v="3"/>
    <x v="0"/>
    <x v="3"/>
    <x v="1"/>
    <n v="3"/>
    <n v="699"/>
    <n v="69.900000000000006"/>
    <n v="728.1"/>
    <n v="238.80000000000007"/>
    <n v="0.3279769262463948"/>
    <x v="9"/>
  </r>
  <r>
    <s v="ORD-10610"/>
    <s v="CUST1097"/>
    <d v="2025-08-20T00:00:00"/>
    <s v="P009"/>
    <s v="Water Bottle"/>
    <x v="2"/>
    <x v="3"/>
    <n v="3"/>
    <n v="699"/>
    <n v="0.2"/>
    <n v="0"/>
    <s v="Chennai"/>
    <x v="4"/>
    <x v="1"/>
    <x v="4"/>
    <x v="2"/>
    <n v="1"/>
    <n v="2097"/>
    <n v="419.40000000000003"/>
    <n v="1677.6"/>
    <n v="209.70000000000005"/>
    <n v="0.12500000000000003"/>
    <x v="5"/>
  </r>
  <r>
    <s v="ORD-10611"/>
    <s v="CUST1255"/>
    <d v="2025-02-09T00:00:00"/>
    <s v="P007"/>
    <s v="Backpack"/>
    <x v="4"/>
    <x v="5"/>
    <n v="1"/>
    <n v="1499"/>
    <n v="0"/>
    <n v="49"/>
    <s v="Noida"/>
    <x v="5"/>
    <x v="2"/>
    <x v="1"/>
    <x v="0"/>
    <n v="5"/>
    <n v="1499"/>
    <n v="0"/>
    <n v="1548"/>
    <n v="498.70000000000005"/>
    <n v="0.3221576227390181"/>
    <x v="9"/>
  </r>
  <r>
    <s v="ORD-10612"/>
    <s v="CUST1216"/>
    <d v="2025-12-16T00:00:00"/>
    <s v="P011"/>
    <s v="Notebook"/>
    <x v="0"/>
    <x v="0"/>
    <n v="1"/>
    <n v="249"/>
    <n v="0.1"/>
    <n v="59"/>
    <s v="Delhi"/>
    <x v="1"/>
    <x v="1"/>
    <x v="4"/>
    <x v="0"/>
    <n v="3"/>
    <n v="249"/>
    <n v="24.900000000000002"/>
    <n v="283.10000000000002"/>
    <n v="108.80000000000004"/>
    <n v="0.38431649593783124"/>
    <x v="11"/>
  </r>
  <r>
    <s v="ORD-10613"/>
    <s v="CUST1176"/>
    <d v="2025-04-29T00:00:00"/>
    <s v="P004"/>
    <s v="USB-C Hub"/>
    <x v="1"/>
    <x v="1"/>
    <n v="1"/>
    <n v="1299"/>
    <n v="0.1"/>
    <n v="99"/>
    <s v="Gurgaon"/>
    <x v="0"/>
    <x v="3"/>
    <x v="3"/>
    <x v="0"/>
    <n v="5"/>
    <n v="1299"/>
    <n v="129.9"/>
    <n v="1268.0999999999999"/>
    <n v="358.79999999999995"/>
    <n v="0.28294298556896141"/>
    <x v="1"/>
  </r>
  <r>
    <s v="ORD-10614"/>
    <s v="CUST1088"/>
    <d v="2025-08-16T00:00:00"/>
    <s v="P011"/>
    <s v="Notebook"/>
    <x v="0"/>
    <x v="0"/>
    <n v="3"/>
    <n v="2017"/>
    <n v="0"/>
    <n v="59"/>
    <s v="Chennai"/>
    <x v="4"/>
    <x v="3"/>
    <x v="1"/>
    <x v="3"/>
    <n v="4"/>
    <n v="6051"/>
    <n v="0"/>
    <n v="6110"/>
    <n v="1874.3000000000002"/>
    <n v="0.30675941080196401"/>
    <x v="5"/>
  </r>
  <r>
    <s v="ORD-10615"/>
    <s v="CUST1083"/>
    <d v="2025-01-25T00:00:00"/>
    <s v="P006"/>
    <s v="Cotton T-Shirt"/>
    <x v="4"/>
    <x v="8"/>
    <n v="3"/>
    <n v="799"/>
    <n v="0.1"/>
    <n v="49"/>
    <s v="Mumbai"/>
    <x v="2"/>
    <x v="4"/>
    <x v="2"/>
    <x v="0"/>
    <n v="2"/>
    <n v="2397"/>
    <n v="239.70000000000002"/>
    <n v="2206.3000000000002"/>
    <n v="528.40000000000032"/>
    <n v="0.23949598875946165"/>
    <x v="2"/>
  </r>
  <r>
    <s v="ORD-10616"/>
    <s v="CUST1134"/>
    <d v="2025-03-01T00:00:00"/>
    <s v="P003"/>
    <s v="Bluetooth Speaker"/>
    <x v="1"/>
    <x v="6"/>
    <n v="1"/>
    <n v="1799"/>
    <n v="0"/>
    <n v="79"/>
    <s v="Noida"/>
    <x v="5"/>
    <x v="3"/>
    <x v="1"/>
    <x v="3"/>
    <n v="2"/>
    <n v="1799"/>
    <n v="0"/>
    <n v="1878"/>
    <n v="618.70000000000005"/>
    <n v="0.32944621938232166"/>
    <x v="6"/>
  </r>
  <r>
    <s v="ORD-10617"/>
    <s v="CUST1274"/>
    <d v="2025-06-26T00:00:00"/>
    <s v="P009"/>
    <s v="Water Bottle"/>
    <x v="2"/>
    <x v="3"/>
    <n v="2"/>
    <n v="699"/>
    <n v="0.15"/>
    <n v="49"/>
    <s v="Delhi"/>
    <x v="1"/>
    <x v="3"/>
    <x v="4"/>
    <x v="1"/>
    <n v="1"/>
    <n v="1398"/>
    <n v="209.7"/>
    <n v="1237.3"/>
    <n v="258.70000000000005"/>
    <n v="0.20908429645195187"/>
    <x v="3"/>
  </r>
  <r>
    <s v="ORD-10618"/>
    <s v="CUST1260"/>
    <d v="2025-08-23T00:00:00"/>
    <s v="P007"/>
    <s v="Backpack"/>
    <x v="4"/>
    <x v="5"/>
    <n v="3"/>
    <n v="1499"/>
    <n v="0.2"/>
    <n v="99"/>
    <s v="Hyderabad"/>
    <x v="7"/>
    <x v="3"/>
    <x v="2"/>
    <x v="0"/>
    <n v="4"/>
    <n v="4497"/>
    <n v="899.40000000000009"/>
    <n v="3696.6"/>
    <n v="548.70000000000027"/>
    <n v="0.14843369582859933"/>
    <x v="5"/>
  </r>
  <r>
    <s v="ORD-10619"/>
    <s v="CUST1246"/>
    <d v="2025-10-17T00:00:00"/>
    <s v="P005"/>
    <s v="Running Shoes"/>
    <x v="4"/>
    <x v="7"/>
    <n v="2"/>
    <n v="2999"/>
    <n v="0.05"/>
    <n v="0"/>
    <s v="Kolkata"/>
    <x v="8"/>
    <x v="0"/>
    <x v="1"/>
    <x v="1"/>
    <n v="3"/>
    <n v="5998"/>
    <n v="299.90000000000003"/>
    <n v="5698.1"/>
    <n v="1499.5000000000009"/>
    <n v="0.26315789473684226"/>
    <x v="8"/>
  </r>
  <r>
    <s v="ORD-10620"/>
    <s v="CUST1048"/>
    <d v="2025-07-25T00:00:00"/>
    <s v="P009"/>
    <s v="Water Bottle"/>
    <x v="2"/>
    <x v="3"/>
    <n v="1"/>
    <n v="699"/>
    <n v="0.1"/>
    <n v="59"/>
    <s v="Gurgaon"/>
    <x v="0"/>
    <x v="3"/>
    <x v="4"/>
    <x v="0"/>
    <n v="5"/>
    <n v="699"/>
    <n v="69.900000000000006"/>
    <n v="688.1"/>
    <n v="198.80000000000007"/>
    <n v="0.28891149542217709"/>
    <x v="10"/>
  </r>
  <r>
    <s v="ORD-10621"/>
    <s v="CUST1229"/>
    <d v="2025-04-24T00:00:00"/>
    <s v="P011"/>
    <s v="Notebook"/>
    <x v="0"/>
    <x v="0"/>
    <n v="2"/>
    <n v="249"/>
    <n v="0"/>
    <n v="99"/>
    <s v="Jaipur"/>
    <x v="6"/>
    <x v="0"/>
    <x v="0"/>
    <x v="0"/>
    <n v="4"/>
    <n v="498"/>
    <n v="0"/>
    <n v="597"/>
    <n v="248.40000000000003"/>
    <n v="0.41608040201005031"/>
    <x v="1"/>
  </r>
  <r>
    <s v="ORD-10622"/>
    <s v="CUST1076"/>
    <d v="2025-11-06T00:00:00"/>
    <s v="P004"/>
    <s v="USB-C Hub"/>
    <x v="1"/>
    <x v="1"/>
    <n v="1"/>
    <n v="1299"/>
    <n v="0.05"/>
    <n v="79"/>
    <s v="Hyderabad"/>
    <x v="7"/>
    <x v="1"/>
    <x v="2"/>
    <x v="2"/>
    <n v="4"/>
    <n v="1299"/>
    <n v="64.95"/>
    <n v="1313.05"/>
    <n v="403.75"/>
    <n v="0.30749019458512622"/>
    <x v="4"/>
  </r>
  <r>
    <s v="ORD-10623"/>
    <s v="CUST1228"/>
    <d v="2025-06-29T00:00:00"/>
    <s v="P006"/>
    <s v="Cotton T-Shirt"/>
    <x v="4"/>
    <x v="8"/>
    <n v="1"/>
    <n v="799"/>
    <n v="0"/>
    <n v="49"/>
    <s v="Delhi"/>
    <x v="1"/>
    <x v="1"/>
    <x v="3"/>
    <x v="3"/>
    <n v="3"/>
    <n v="799"/>
    <n v="0"/>
    <n v="848"/>
    <n v="288.70000000000005"/>
    <n v="0.3404481132075472"/>
    <x v="3"/>
  </r>
  <r>
    <s v="ORD-10624"/>
    <s v="CUST1074"/>
    <d v="2025-08-01T00:00:00"/>
    <s v="P003"/>
    <s v="Bluetooth Speaker"/>
    <x v="1"/>
    <x v="6"/>
    <n v="2"/>
    <n v="1799"/>
    <n v="0.15"/>
    <n v="0"/>
    <s v="Bengaluru"/>
    <x v="3"/>
    <x v="2"/>
    <x v="2"/>
    <x v="3"/>
    <n v="4"/>
    <n v="3598"/>
    <n v="539.69999999999993"/>
    <n v="3058.3"/>
    <n v="539.70000000000027"/>
    <n v="0.17647058823529418"/>
    <x v="5"/>
  </r>
  <r>
    <s v="ORD-10625"/>
    <s v="CUST1213"/>
    <d v="2025-10-30T00:00:00"/>
    <s v="P009"/>
    <s v="Water Bottle"/>
    <x v="2"/>
    <x v="3"/>
    <n v="1"/>
    <n v="699"/>
    <n v="0.1"/>
    <n v="59"/>
    <s v="Pune"/>
    <x v="2"/>
    <x v="2"/>
    <x v="0"/>
    <x v="0"/>
    <n v="4"/>
    <n v="699"/>
    <n v="69.900000000000006"/>
    <n v="688.1"/>
    <n v="198.80000000000007"/>
    <n v="0.28891149542217709"/>
    <x v="8"/>
  </r>
  <r>
    <s v="ORD-10626"/>
    <s v="CUST1252"/>
    <d v="2025-03-12T00:00:00"/>
    <s v="P012"/>
    <s v="Office Chair"/>
    <x v="3"/>
    <x v="0"/>
    <n v="1"/>
    <n v="6499"/>
    <n v="0.05"/>
    <n v="99"/>
    <s v="Kolkata"/>
    <x v="8"/>
    <x v="0"/>
    <x v="2"/>
    <x v="1"/>
    <n v="3"/>
    <n v="6499"/>
    <n v="324.95000000000005"/>
    <n v="6273.05"/>
    <n v="1723.7500000000009"/>
    <n v="0.2747865870668974"/>
    <x v="6"/>
  </r>
  <r>
    <s v="ORD-10627"/>
    <s v="CUST1154"/>
    <d v="2025-08-26T00:00:00"/>
    <s v="P010"/>
    <s v="Desk Lamp"/>
    <x v="2"/>
    <x v="2"/>
    <n v="2"/>
    <n v="1199"/>
    <n v="0"/>
    <n v="59"/>
    <s v="Mumbai"/>
    <x v="2"/>
    <x v="1"/>
    <x v="4"/>
    <x v="0"/>
    <n v="3"/>
    <n v="2398"/>
    <n v="0"/>
    <n v="2457"/>
    <n v="778.40000000000009"/>
    <n v="0.31680911680911683"/>
    <x v="5"/>
  </r>
  <r>
    <s v="ORD-10628"/>
    <s v="CUST1142"/>
    <d v="2025-09-09T00:00:00"/>
    <s v="P011"/>
    <s v="Notebook"/>
    <x v="0"/>
    <x v="0"/>
    <n v="1"/>
    <n v="249"/>
    <n v="0"/>
    <n v="0"/>
    <s v="Mumbai"/>
    <x v="2"/>
    <x v="1"/>
    <x v="4"/>
    <x v="0"/>
    <n v="5"/>
    <n v="249"/>
    <n v="0"/>
    <n v="249"/>
    <n v="74.700000000000017"/>
    <n v="0.30000000000000004"/>
    <x v="7"/>
  </r>
  <r>
    <s v="ORD-10629"/>
    <s v="CUST1062"/>
    <d v="2025-10-17T00:00:00"/>
    <s v="P012"/>
    <s v="Office Chair"/>
    <x v="3"/>
    <x v="0"/>
    <n v="2"/>
    <n v="6499"/>
    <n v="0.2"/>
    <n v="79"/>
    <s v="Pune"/>
    <x v="2"/>
    <x v="3"/>
    <x v="0"/>
    <x v="0"/>
    <n v="3"/>
    <n v="12998"/>
    <n v="2599.6000000000004"/>
    <n v="10477.4"/>
    <n v="1378.8000000000011"/>
    <n v="0.13159753373928657"/>
    <x v="8"/>
  </r>
  <r>
    <s v="ORD-10630"/>
    <s v="CUST1070"/>
    <d v="2025-03-25T00:00:00"/>
    <s v="P010"/>
    <s v="Desk Lamp"/>
    <x v="2"/>
    <x v="2"/>
    <n v="3"/>
    <n v="1199"/>
    <n v="0.05"/>
    <n v="79"/>
    <s v="Delhi"/>
    <x v="1"/>
    <x v="3"/>
    <x v="1"/>
    <x v="0"/>
    <n v="1"/>
    <n v="3597"/>
    <n v="179.85000000000002"/>
    <n v="3496.15"/>
    <n v="978.25000000000045"/>
    <n v="0.27980778856742428"/>
    <x v="6"/>
  </r>
  <r>
    <s v="ORD-10631"/>
    <s v="CUST1264"/>
    <d v="2025-07-02T00:00:00"/>
    <s v="P005"/>
    <s v="Running Shoes"/>
    <x v="4"/>
    <x v="7"/>
    <n v="1"/>
    <n v="2999"/>
    <n v="0.15"/>
    <n v="0"/>
    <s v="Pune"/>
    <x v="2"/>
    <x v="2"/>
    <x v="1"/>
    <x v="0"/>
    <n v="3"/>
    <n v="2999"/>
    <n v="449.84999999999997"/>
    <n v="2549.15"/>
    <n v="449.85000000000036"/>
    <n v="0.17647058823529427"/>
    <x v="10"/>
  </r>
  <r>
    <s v="ORD-10632"/>
    <s v="CUST1139"/>
    <d v="2025-10-06T00:00:00"/>
    <s v="P002"/>
    <s v="Mechanical Keyboard"/>
    <x v="1"/>
    <x v="1"/>
    <n v="3"/>
    <n v="2499"/>
    <n v="0.2"/>
    <n v="59"/>
    <s v="Kolkata"/>
    <x v="8"/>
    <x v="3"/>
    <x v="4"/>
    <x v="0"/>
    <n v="5"/>
    <n v="7497"/>
    <n v="1499.4"/>
    <n v="6056.6"/>
    <n v="808.70000000000073"/>
    <n v="0.1335237592048345"/>
    <x v="8"/>
  </r>
  <r>
    <s v="ORD-10633"/>
    <s v="CUST1211"/>
    <d v="2025-01-07T00:00:00"/>
    <s v="P010"/>
    <s v="Desk Lamp"/>
    <x v="2"/>
    <x v="2"/>
    <n v="3"/>
    <n v="1199"/>
    <n v="0.05"/>
    <n v="79"/>
    <s v="Pune"/>
    <x v="2"/>
    <x v="3"/>
    <x v="1"/>
    <x v="0"/>
    <n v="1"/>
    <n v="3597"/>
    <n v="179.85000000000002"/>
    <n v="3496.15"/>
    <n v="978.25000000000045"/>
    <n v="0.27980778856742428"/>
    <x v="2"/>
  </r>
  <r>
    <s v="ORD-10634"/>
    <s v="CUST1283"/>
    <d v="2025-04-07T00:00:00"/>
    <s v="P004"/>
    <s v="USB-C Hub"/>
    <x v="1"/>
    <x v="1"/>
    <n v="2"/>
    <n v="1299"/>
    <n v="0.15"/>
    <n v="99"/>
    <s v="Noida"/>
    <x v="5"/>
    <x v="0"/>
    <x v="3"/>
    <x v="2"/>
    <n v="4"/>
    <n v="2598"/>
    <n v="389.7"/>
    <n v="2307.3000000000002"/>
    <n v="488.70000000000027"/>
    <n v="0.2118060070211937"/>
    <x v="1"/>
  </r>
  <r>
    <s v="ORD-10635"/>
    <s v="CUST1072"/>
    <d v="2025-01-09T00:00:00"/>
    <s v="P002"/>
    <s v="Mechanical Keyboard"/>
    <x v="1"/>
    <x v="1"/>
    <n v="3"/>
    <n v="2499"/>
    <n v="0.2"/>
    <n v="59"/>
    <s v="Gurgaon"/>
    <x v="0"/>
    <x v="1"/>
    <x v="0"/>
    <x v="0"/>
    <n v="5"/>
    <n v="7497"/>
    <n v="1499.4"/>
    <n v="6056.6"/>
    <n v="808.70000000000073"/>
    <n v="0.1335237592048345"/>
    <x v="2"/>
  </r>
  <r>
    <s v="ORD-10636"/>
    <s v="CUST1073"/>
    <d v="2025-01-15T00:00:00"/>
    <s v="P006"/>
    <s v="Cotton T-Shirt"/>
    <x v="4"/>
    <x v="8"/>
    <n v="2"/>
    <n v="799"/>
    <n v="0"/>
    <n v="49"/>
    <s v="Noida"/>
    <x v="5"/>
    <x v="2"/>
    <x v="2"/>
    <x v="0"/>
    <n v="2"/>
    <n v="1598"/>
    <n v="0"/>
    <n v="1647"/>
    <n v="528.40000000000009"/>
    <n v="0.32082574377656348"/>
    <x v="2"/>
  </r>
  <r>
    <s v="ORD-10637"/>
    <s v="CUST1248"/>
    <d v="2025-08-06T00:00:00"/>
    <s v="P004"/>
    <s v="USB-C Hub"/>
    <x v="1"/>
    <x v="1"/>
    <n v="5"/>
    <n v="1299"/>
    <n v="0"/>
    <n v="0"/>
    <s v="Noida"/>
    <x v="5"/>
    <x v="1"/>
    <x v="4"/>
    <x v="0"/>
    <n v="2"/>
    <n v="6495"/>
    <n v="0"/>
    <n v="6495"/>
    <n v="1948.5"/>
    <n v="0.3"/>
    <x v="5"/>
  </r>
  <r>
    <s v="ORD-10638"/>
    <s v="CUST1023"/>
    <d v="2025-09-20T00:00:00"/>
    <s v="P002"/>
    <s v="Mechanical Keyboard"/>
    <x v="1"/>
    <x v="1"/>
    <n v="3"/>
    <n v="2499"/>
    <n v="0"/>
    <n v="59"/>
    <s v="Delhi"/>
    <x v="1"/>
    <x v="0"/>
    <x v="2"/>
    <x v="1"/>
    <n v="3"/>
    <n v="7497"/>
    <n v="0"/>
    <n v="7556"/>
    <n v="2308.1000000000004"/>
    <n v="0.3054658549497089"/>
    <x v="7"/>
  </r>
  <r>
    <s v="ORD-10639"/>
    <s v="CUST1015"/>
    <d v="2025-11-05T00:00:00"/>
    <s v="P001"/>
    <s v="Wireless Mouse"/>
    <x v="1"/>
    <x v="1"/>
    <n v="3"/>
    <n v="599"/>
    <n v="0"/>
    <n v="59"/>
    <s v="Gurgaon"/>
    <x v="0"/>
    <x v="0"/>
    <x v="1"/>
    <x v="0"/>
    <n v="3"/>
    <n v="1797"/>
    <n v="0"/>
    <n v="1856"/>
    <n v="598.10000000000014"/>
    <n v="0.32225215517241385"/>
    <x v="4"/>
  </r>
  <r>
    <s v="ORD-10640"/>
    <s v="CUST1124"/>
    <d v="2025-06-28T00:00:00"/>
    <s v="P012"/>
    <s v="Office Chair"/>
    <x v="3"/>
    <x v="0"/>
    <n v="4"/>
    <n v="6499"/>
    <n v="0.2"/>
    <n v="99"/>
    <s v="Mumbai"/>
    <x v="2"/>
    <x v="4"/>
    <x v="0"/>
    <x v="3"/>
    <n v="1"/>
    <n v="25996"/>
    <n v="5199.2000000000007"/>
    <n v="20895.8"/>
    <n v="2698.6000000000022"/>
    <n v="0.12914556992314255"/>
    <x v="3"/>
  </r>
  <r>
    <s v="ORD-10641"/>
    <s v="Not Assigned"/>
    <d v="2025-09-28T00:00:00"/>
    <s v="P002"/>
    <s v="Mechanical Keyboard"/>
    <x v="1"/>
    <x v="1"/>
    <n v="3"/>
    <n v="2499"/>
    <n v="0.05"/>
    <n v="49"/>
    <s v="Kolkata"/>
    <x v="8"/>
    <x v="0"/>
    <x v="4"/>
    <x v="0"/>
    <n v="2"/>
    <n v="7497"/>
    <n v="374.85"/>
    <n v="7171.15"/>
    <n v="1923.25"/>
    <n v="0.26819268875982238"/>
    <x v="7"/>
  </r>
  <r>
    <s v="ORD-10642"/>
    <s v="CUST1182"/>
    <d v="2025-10-29T00:00:00"/>
    <s v="P009"/>
    <s v="Water Bottle"/>
    <x v="2"/>
    <x v="3"/>
    <n v="1"/>
    <n v="699"/>
    <n v="0"/>
    <n v="49"/>
    <s v="Hyderabad"/>
    <x v="7"/>
    <x v="1"/>
    <x v="3"/>
    <x v="2"/>
    <n v="2"/>
    <n v="699"/>
    <n v="0"/>
    <n v="748"/>
    <n v="258.70000000000005"/>
    <n v="0.34585561497326212"/>
    <x v="8"/>
  </r>
  <r>
    <s v="ORD-10643"/>
    <s v="CUST1254"/>
    <d v="2025-06-10T00:00:00"/>
    <s v="P009"/>
    <s v="Water Bottle"/>
    <x v="2"/>
    <x v="3"/>
    <n v="1"/>
    <n v="699"/>
    <n v="0.15"/>
    <n v="49"/>
    <s v="Jaipur"/>
    <x v="6"/>
    <x v="3"/>
    <x v="2"/>
    <x v="0"/>
    <n v="5"/>
    <n v="699"/>
    <n v="104.85"/>
    <n v="643.15"/>
    <n v="153.85000000000002"/>
    <n v="0.23921324729845297"/>
    <x v="3"/>
  </r>
  <r>
    <s v="ORD-10644"/>
    <s v="CUST1160"/>
    <d v="2025-09-10T00:00:00"/>
    <s v="P012"/>
    <s v="Office Chair"/>
    <x v="3"/>
    <x v="0"/>
    <n v="1"/>
    <n v="6499"/>
    <n v="0.1"/>
    <n v="99"/>
    <s v="Delhi"/>
    <x v="1"/>
    <x v="1"/>
    <x v="1"/>
    <x v="0"/>
    <n v="5"/>
    <n v="6499"/>
    <n v="649.90000000000009"/>
    <n v="5948.1"/>
    <n v="1398.8000000000011"/>
    <n v="0.23516753248936653"/>
    <x v="7"/>
  </r>
  <r>
    <s v="ORD-10645"/>
    <s v="CUST1092"/>
    <d v="2025-08-08T00:00:00"/>
    <s v="P007"/>
    <s v="Backpack"/>
    <x v="4"/>
    <x v="5"/>
    <n v="5"/>
    <n v="1499"/>
    <n v="0.1"/>
    <n v="59"/>
    <s v="Mumbai"/>
    <x v="2"/>
    <x v="0"/>
    <x v="3"/>
    <x v="0"/>
    <n v="3"/>
    <n v="7495"/>
    <n v="749.5"/>
    <n v="6804.5"/>
    <n v="1558"/>
    <n v="0.22896612535821884"/>
    <x v="5"/>
  </r>
  <r>
    <s v="ORD-10646"/>
    <s v="CUST1206"/>
    <d v="2025-12-04T00:00:00"/>
    <s v="P002"/>
    <s v="Mechanical Keyboard"/>
    <x v="1"/>
    <x v="1"/>
    <n v="1"/>
    <n v="2499"/>
    <n v="0"/>
    <n v="79"/>
    <s v="Bengaluru"/>
    <x v="3"/>
    <x v="4"/>
    <x v="4"/>
    <x v="0"/>
    <n v="3"/>
    <n v="2499"/>
    <n v="0"/>
    <n v="2578"/>
    <n v="828.7"/>
    <n v="0.32145073700543059"/>
    <x v="11"/>
  </r>
  <r>
    <s v="ORD-10647"/>
    <s v="CUST1120"/>
    <d v="2025-04-12T00:00:00"/>
    <s v="P003"/>
    <s v="Bluetooth Speaker"/>
    <x v="1"/>
    <x v="6"/>
    <n v="1"/>
    <n v="1799"/>
    <n v="0.1"/>
    <n v="0"/>
    <s v="Gurgaon"/>
    <x v="0"/>
    <x v="1"/>
    <x v="3"/>
    <x v="3"/>
    <n v="3"/>
    <n v="1799"/>
    <n v="179.9"/>
    <n v="1619.1"/>
    <n v="359.79999999999995"/>
    <n v="0.22222222222222221"/>
    <x v="1"/>
  </r>
  <r>
    <s v="ORD-10648"/>
    <s v="CUST1208"/>
    <d v="2025-11-26T00:00:00"/>
    <s v="P012"/>
    <s v="Office Chair"/>
    <x v="3"/>
    <x v="0"/>
    <n v="2"/>
    <n v="6499"/>
    <n v="0.2"/>
    <n v="99"/>
    <s v="Kolkata"/>
    <x v="8"/>
    <x v="1"/>
    <x v="0"/>
    <x v="1"/>
    <n v="3"/>
    <n v="12998"/>
    <n v="2599.6000000000004"/>
    <n v="10497.4"/>
    <n v="1398.8000000000011"/>
    <n v="0.13325204336311861"/>
    <x v="4"/>
  </r>
  <r>
    <s v="ORD-10649"/>
    <s v="CUST1016"/>
    <d v="2025-05-09T00:00:00"/>
    <s v="P003"/>
    <s v="Bluetooth Speaker"/>
    <x v="1"/>
    <x v="6"/>
    <n v="1"/>
    <n v="1799"/>
    <n v="0.2"/>
    <n v="49"/>
    <s v="Hyderabad"/>
    <x v="7"/>
    <x v="0"/>
    <x v="4"/>
    <x v="0"/>
    <n v="3"/>
    <n v="1799"/>
    <n v="359.8"/>
    <n v="1488.2"/>
    <n v="228.90000000000009"/>
    <n v="0.15380997177798689"/>
    <x v="0"/>
  </r>
  <r>
    <s v="ORD-10650"/>
    <s v="CUST1156"/>
    <d v="2025-04-02T00:00:00"/>
    <s v="P002"/>
    <s v="Mechanical Keyboard"/>
    <x v="1"/>
    <x v="1"/>
    <n v="2"/>
    <n v="2499"/>
    <n v="0.05"/>
    <n v="49"/>
    <s v="Hyderabad"/>
    <x v="7"/>
    <x v="4"/>
    <x v="0"/>
    <x v="2"/>
    <n v="1"/>
    <n v="4998"/>
    <n v="249.9"/>
    <n v="4797.1000000000004"/>
    <n v="1298.5000000000005"/>
    <n v="0.27068437180796739"/>
    <x v="1"/>
  </r>
  <r>
    <s v="ORD-10651"/>
    <s v="CUST1259"/>
    <d v="2025-08-27T00:00:00"/>
    <s v="P002"/>
    <s v="Mechanical Keyboard"/>
    <x v="1"/>
    <x v="1"/>
    <n v="3"/>
    <n v="2499"/>
    <n v="0.1"/>
    <n v="79"/>
    <s v="Chennai"/>
    <x v="4"/>
    <x v="3"/>
    <x v="0"/>
    <x v="2"/>
    <n v="3"/>
    <n v="7497"/>
    <n v="749.7"/>
    <n v="6826.3"/>
    <n v="1578.4000000000005"/>
    <n v="0.23122335672326158"/>
    <x v="5"/>
  </r>
  <r>
    <s v="ORD-10652"/>
    <s v="CUST1162"/>
    <d v="2025-01-17T00:00:00"/>
    <s v="P009"/>
    <s v="Water Bottle"/>
    <x v="2"/>
    <x v="3"/>
    <n v="1"/>
    <n v="699"/>
    <n v="0.1"/>
    <n v="79"/>
    <s v="Chennai"/>
    <x v="4"/>
    <x v="1"/>
    <x v="3"/>
    <x v="0"/>
    <n v="4"/>
    <n v="699"/>
    <n v="69.900000000000006"/>
    <n v="708.1"/>
    <n v="218.80000000000007"/>
    <n v="0.30899590453325809"/>
    <x v="2"/>
  </r>
  <r>
    <s v="ORD-10653"/>
    <s v="CUST1221"/>
    <d v="2025-12-04T00:00:00"/>
    <s v="P001"/>
    <s v="Wireless Mouse"/>
    <x v="1"/>
    <x v="1"/>
    <n v="1"/>
    <n v="599"/>
    <n v="0"/>
    <n v="79"/>
    <s v="Delhi"/>
    <x v="1"/>
    <x v="2"/>
    <x v="2"/>
    <x v="2"/>
    <n v="3"/>
    <n v="599"/>
    <n v="0"/>
    <n v="678"/>
    <n v="258.70000000000005"/>
    <n v="0.38156342182890862"/>
    <x v="11"/>
  </r>
  <r>
    <s v="ORD-10654"/>
    <s v="CUST1293"/>
    <d v="2025-10-19T00:00:00"/>
    <s v="P007"/>
    <s v="Backpack"/>
    <x v="4"/>
    <x v="5"/>
    <n v="3"/>
    <n v="1499"/>
    <n v="0.15"/>
    <n v="99"/>
    <s v="Hyderabad"/>
    <x v="7"/>
    <x v="1"/>
    <x v="3"/>
    <x v="2"/>
    <n v="5"/>
    <n v="4497"/>
    <n v="674.55"/>
    <n v="3921.45"/>
    <n v="773.55000000000018"/>
    <n v="0.19726121715181891"/>
    <x v="8"/>
  </r>
  <r>
    <s v="ORD-10655"/>
    <s v="CUST1146"/>
    <d v="2025-05-15T00:00:00"/>
    <s v="P003"/>
    <s v="Bluetooth Speaker"/>
    <x v="1"/>
    <x v="6"/>
    <n v="1"/>
    <n v="1799"/>
    <n v="0.15"/>
    <n v="59"/>
    <s v="Chennai"/>
    <x v="4"/>
    <x v="3"/>
    <x v="4"/>
    <x v="1"/>
    <n v="1"/>
    <n v="1799"/>
    <n v="269.84999999999997"/>
    <n v="1588.15"/>
    <n v="328.85000000000014"/>
    <n v="0.20706482385165137"/>
    <x v="0"/>
  </r>
  <r>
    <s v="ORD-10656"/>
    <s v="CUST1175"/>
    <d v="2025-07-07T00:00:00"/>
    <s v="P010"/>
    <s v="Desk Lamp"/>
    <x v="2"/>
    <x v="2"/>
    <n v="1"/>
    <n v="1199"/>
    <n v="0.15"/>
    <n v="0"/>
    <s v="Delhi"/>
    <x v="1"/>
    <x v="1"/>
    <x v="4"/>
    <x v="2"/>
    <n v="4"/>
    <n v="1199"/>
    <n v="179.85"/>
    <n v="1019.15"/>
    <n v="179.85000000000002"/>
    <n v="0.17647058823529416"/>
    <x v="10"/>
  </r>
  <r>
    <s v="ORD-10657"/>
    <s v="CUST1044"/>
    <d v="2025-01-29T00:00:00"/>
    <s v="P006"/>
    <s v="Cotton T-Shirt"/>
    <x v="4"/>
    <x v="8"/>
    <n v="1"/>
    <n v="799"/>
    <n v="0"/>
    <n v="59"/>
    <s v="Pune"/>
    <x v="2"/>
    <x v="0"/>
    <x v="2"/>
    <x v="0"/>
    <n v="1"/>
    <n v="799"/>
    <n v="0"/>
    <n v="858"/>
    <n v="298.70000000000005"/>
    <n v="0.34813519813519817"/>
    <x v="2"/>
  </r>
  <r>
    <s v="ORD-10658"/>
    <s v="CUST1264"/>
    <d v="2025-06-16T00:00:00"/>
    <s v="P006"/>
    <s v="Cotton T-Shirt"/>
    <x v="4"/>
    <x v="8"/>
    <n v="1"/>
    <n v="799"/>
    <n v="0.1"/>
    <n v="99"/>
    <s v="Noida"/>
    <x v="5"/>
    <x v="1"/>
    <x v="2"/>
    <x v="2"/>
    <n v="1"/>
    <n v="799"/>
    <n v="79.900000000000006"/>
    <n v="818.1"/>
    <n v="258.80000000000007"/>
    <n v="0.31634274538564977"/>
    <x v="3"/>
  </r>
  <r>
    <s v="ORD-10659"/>
    <s v="CUST1051"/>
    <d v="2025-06-12T00:00:00"/>
    <s v="P012"/>
    <s v="Office Chair"/>
    <x v="3"/>
    <x v="0"/>
    <n v="2"/>
    <n v="6499"/>
    <n v="0.05"/>
    <n v="99"/>
    <s v="Hyderabad"/>
    <x v="7"/>
    <x v="1"/>
    <x v="4"/>
    <x v="1"/>
    <n v="3"/>
    <n v="12998"/>
    <n v="649.90000000000009"/>
    <n v="12447.1"/>
    <n v="3348.5000000000018"/>
    <n v="0.26901848623374131"/>
    <x v="3"/>
  </r>
  <r>
    <s v="ORD-10660"/>
    <s v="CUST1187"/>
    <d v="2025-09-15T00:00:00"/>
    <s v="P011"/>
    <s v="Notebook"/>
    <x v="0"/>
    <x v="0"/>
    <n v="1"/>
    <n v="249"/>
    <n v="0.15"/>
    <n v="59"/>
    <s v="Jaipur"/>
    <x v="6"/>
    <x v="1"/>
    <x v="1"/>
    <x v="0"/>
    <n v="4"/>
    <n v="249"/>
    <n v="37.35"/>
    <n v="270.64999999999998"/>
    <n v="96.35"/>
    <n v="0.35599482726768888"/>
    <x v="7"/>
  </r>
  <r>
    <s v="ORD-10661"/>
    <s v="CUST1294"/>
    <d v="2025-10-02T00:00:00"/>
    <s v="P011"/>
    <s v="Notebook"/>
    <x v="0"/>
    <x v="0"/>
    <n v="3"/>
    <n v="249"/>
    <n v="0"/>
    <n v="59"/>
    <s v="Gurgaon"/>
    <x v="0"/>
    <x v="1"/>
    <x v="1"/>
    <x v="0"/>
    <n v="5"/>
    <n v="747"/>
    <n v="0"/>
    <n v="806"/>
    <n v="283.10000000000002"/>
    <n v="0.35124069478908193"/>
    <x v="8"/>
  </r>
  <r>
    <s v="ORD-10662"/>
    <s v="CUST1291"/>
    <d v="2025-10-24T00:00:00"/>
    <s v="P012"/>
    <s v="Office Chair"/>
    <x v="3"/>
    <x v="0"/>
    <n v="2"/>
    <n v="6499"/>
    <n v="0.05"/>
    <n v="0"/>
    <s v="Gurgaon"/>
    <x v="0"/>
    <x v="4"/>
    <x v="3"/>
    <x v="0"/>
    <n v="4"/>
    <n v="12998"/>
    <n v="649.90000000000009"/>
    <n v="12348.1"/>
    <n v="3249.5000000000018"/>
    <n v="0.26315789473684226"/>
    <x v="8"/>
  </r>
  <r>
    <s v="ORD-10663"/>
    <s v="CUST1161"/>
    <d v="2025-11-30T00:00:00"/>
    <s v="P004"/>
    <s v="USB-C Hub"/>
    <x v="1"/>
    <x v="1"/>
    <n v="3"/>
    <n v="1299"/>
    <n v="0.1"/>
    <n v="99"/>
    <s v="Pune"/>
    <x v="2"/>
    <x v="2"/>
    <x v="3"/>
    <x v="0"/>
    <n v="4"/>
    <n v="3897"/>
    <n v="389.70000000000005"/>
    <n v="3606.3"/>
    <n v="878.40000000000055"/>
    <n v="0.2435737459445971"/>
    <x v="4"/>
  </r>
  <r>
    <s v="ORD-10664"/>
    <s v="CUST1096"/>
    <d v="2025-12-10T00:00:00"/>
    <s v="P005"/>
    <s v="Running Shoes"/>
    <x v="4"/>
    <x v="7"/>
    <n v="2"/>
    <n v="2999"/>
    <n v="0.2"/>
    <n v="99"/>
    <s v="Kolkata"/>
    <x v="8"/>
    <x v="4"/>
    <x v="3"/>
    <x v="0"/>
    <n v="2"/>
    <n v="5998"/>
    <n v="1199.6000000000001"/>
    <n v="4897.3999999999996"/>
    <n v="698.80000000000018"/>
    <n v="0.14268795687507663"/>
    <x v="11"/>
  </r>
  <r>
    <s v="ORD-10665"/>
    <s v="CUST1031"/>
    <d v="2025-11-23T00:00:00"/>
    <s v="P011"/>
    <s v="Notebook"/>
    <x v="0"/>
    <x v="0"/>
    <n v="1"/>
    <n v="249"/>
    <n v="0.1"/>
    <n v="99"/>
    <s v="Hyderabad"/>
    <x v="7"/>
    <x v="4"/>
    <x v="1"/>
    <x v="3"/>
    <n v="3"/>
    <n v="249"/>
    <n v="24.900000000000002"/>
    <n v="323.10000000000002"/>
    <n v="148.80000000000004"/>
    <n v="0.46053853296193137"/>
    <x v="4"/>
  </r>
  <r>
    <s v="ORD-10666"/>
    <s v="CUST1033"/>
    <d v="2025-12-17T00:00:00"/>
    <s v="P008"/>
    <s v="Smart Watch"/>
    <x v="1"/>
    <x v="4"/>
    <n v="1"/>
    <n v="3499"/>
    <n v="0.1"/>
    <n v="59"/>
    <s v="Noida"/>
    <x v="5"/>
    <x v="2"/>
    <x v="3"/>
    <x v="1"/>
    <n v="3"/>
    <n v="3499"/>
    <n v="349.90000000000003"/>
    <n v="3208.1"/>
    <n v="758.80000000000018"/>
    <n v="0.23652629282129617"/>
    <x v="11"/>
  </r>
  <r>
    <s v="ORD-10667"/>
    <s v="CUST1099"/>
    <d v="2025-11-04T00:00:00"/>
    <s v="P005"/>
    <s v="Running Shoes"/>
    <x v="4"/>
    <x v="7"/>
    <n v="1"/>
    <n v="2017"/>
    <n v="0"/>
    <n v="49"/>
    <s v="Noida"/>
    <x v="5"/>
    <x v="0"/>
    <x v="1"/>
    <x v="0"/>
    <n v="3"/>
    <n v="2017"/>
    <n v="0"/>
    <n v="2066"/>
    <n v="654.10000000000014"/>
    <n v="0.31660212971926432"/>
    <x v="4"/>
  </r>
  <r>
    <s v="ORD-10668"/>
    <s v="CUST1140"/>
    <d v="2025-08-12T00:00:00"/>
    <s v="P005"/>
    <s v="Running Shoes"/>
    <x v="4"/>
    <x v="7"/>
    <n v="2"/>
    <n v="2999"/>
    <n v="0"/>
    <n v="49"/>
    <s v="Hyderabad"/>
    <x v="7"/>
    <x v="2"/>
    <x v="4"/>
    <x v="0"/>
    <n v="3"/>
    <n v="5998"/>
    <n v="0"/>
    <n v="6047"/>
    <n v="1848.4000000000005"/>
    <n v="0.30567223416570211"/>
    <x v="5"/>
  </r>
  <r>
    <s v="ORD-10669"/>
    <s v="CUST1161"/>
    <d v="2025-01-22T00:00:00"/>
    <s v="P005"/>
    <s v="Running Shoes"/>
    <x v="4"/>
    <x v="7"/>
    <n v="1"/>
    <n v="2999"/>
    <n v="0"/>
    <n v="0"/>
    <s v="Chennai"/>
    <x v="4"/>
    <x v="4"/>
    <x v="2"/>
    <x v="0"/>
    <n v="3"/>
    <n v="2999"/>
    <n v="0"/>
    <n v="2999"/>
    <n v="899.70000000000027"/>
    <n v="0.3000000000000001"/>
    <x v="2"/>
  </r>
  <r>
    <s v="ORD-10670"/>
    <s v="CUST1121"/>
    <d v="2025-12-10T00:00:00"/>
    <s v="P002"/>
    <s v="Mechanical Keyboard"/>
    <x v="1"/>
    <x v="1"/>
    <n v="3"/>
    <n v="2499"/>
    <n v="0.1"/>
    <n v="49"/>
    <s v="Bengaluru"/>
    <x v="3"/>
    <x v="0"/>
    <x v="0"/>
    <x v="0"/>
    <n v="3"/>
    <n v="7497"/>
    <n v="749.7"/>
    <n v="6796.3"/>
    <n v="1548.4000000000005"/>
    <n v="0.22782984859408803"/>
    <x v="11"/>
  </r>
  <r>
    <s v="ORD-10671"/>
    <s v="CUST1063"/>
    <d v="2025-10-25T00:00:00"/>
    <s v="P009"/>
    <s v="Water Bottle"/>
    <x v="2"/>
    <x v="3"/>
    <n v="2"/>
    <n v="699"/>
    <n v="0"/>
    <n v="49"/>
    <s v="Gurgaon"/>
    <x v="0"/>
    <x v="3"/>
    <x v="2"/>
    <x v="1"/>
    <n v="3"/>
    <n v="1398"/>
    <n v="0"/>
    <n v="1447"/>
    <n v="468.40000000000009"/>
    <n v="0.32370421561852114"/>
    <x v="8"/>
  </r>
  <r>
    <s v="ORD-10672"/>
    <s v="CUST1110"/>
    <d v="2025-05-01T00:00:00"/>
    <s v="P010"/>
    <s v="Desk Lamp"/>
    <x v="2"/>
    <x v="2"/>
    <n v="3"/>
    <n v="1199"/>
    <n v="0"/>
    <n v="49"/>
    <s v="Bengaluru"/>
    <x v="3"/>
    <x v="3"/>
    <x v="3"/>
    <x v="0"/>
    <n v="4"/>
    <n v="3597"/>
    <n v="0"/>
    <n v="3646"/>
    <n v="1128.1000000000004"/>
    <n v="0.30940756993966001"/>
    <x v="0"/>
  </r>
  <r>
    <s v="ORD-10673"/>
    <s v="CUST1217"/>
    <d v="2025-10-01T00:00:00"/>
    <s v="P005"/>
    <s v="Running Shoes"/>
    <x v="4"/>
    <x v="7"/>
    <n v="1"/>
    <n v="2999"/>
    <n v="0.05"/>
    <n v="99"/>
    <s v="Kolkata"/>
    <x v="8"/>
    <x v="1"/>
    <x v="1"/>
    <x v="0"/>
    <n v="3"/>
    <n v="2999"/>
    <n v="149.95000000000002"/>
    <n v="2948.05"/>
    <n v="848.75000000000045"/>
    <n v="0.28790217262258117"/>
    <x v="8"/>
  </r>
  <r>
    <s v="ORD-10674"/>
    <s v="CUST1028"/>
    <d v="2025-07-08T00:00:00"/>
    <s v="P003"/>
    <s v="Bluetooth Speaker"/>
    <x v="1"/>
    <x v="6"/>
    <n v="2"/>
    <n v="1799"/>
    <n v="0.15"/>
    <n v="0"/>
    <s v="Pune"/>
    <x v="2"/>
    <x v="2"/>
    <x v="2"/>
    <x v="2"/>
    <n v="5"/>
    <n v="3598"/>
    <n v="539.69999999999993"/>
    <n v="3058.3"/>
    <n v="539.70000000000027"/>
    <n v="0.17647058823529418"/>
    <x v="10"/>
  </r>
  <r>
    <s v="ORD-10675"/>
    <s v="CUST1122"/>
    <d v="2025-12-25T00:00:00"/>
    <s v="P007"/>
    <s v="Backpack"/>
    <x v="4"/>
    <x v="5"/>
    <n v="2"/>
    <n v="1499"/>
    <n v="0"/>
    <n v="99"/>
    <s v="Mumbai"/>
    <x v="2"/>
    <x v="1"/>
    <x v="3"/>
    <x v="2"/>
    <n v="1"/>
    <n v="2998"/>
    <n v="0"/>
    <n v="3097"/>
    <n v="998.40000000000009"/>
    <n v="0.32237649338069102"/>
    <x v="11"/>
  </r>
  <r>
    <s v="ORD-10676"/>
    <s v="CUST1209"/>
    <d v="2025-05-01T00:00:00"/>
    <s v="P007"/>
    <s v="Backpack"/>
    <x v="4"/>
    <x v="5"/>
    <n v="1"/>
    <n v="1499"/>
    <n v="0.1"/>
    <n v="59"/>
    <s v="Mumbai"/>
    <x v="2"/>
    <x v="0"/>
    <x v="2"/>
    <x v="0"/>
    <n v="3"/>
    <n v="1499"/>
    <n v="149.9"/>
    <n v="1408.1"/>
    <n v="358.79999999999995"/>
    <n v="0.25481144805056455"/>
    <x v="0"/>
  </r>
  <r>
    <s v="ORD-10677"/>
    <s v="CUST1134"/>
    <d v="2025-07-31T00:00:00"/>
    <s v="P002"/>
    <s v="Mechanical Keyboard"/>
    <x v="1"/>
    <x v="1"/>
    <n v="2"/>
    <n v="2499"/>
    <n v="0"/>
    <n v="49"/>
    <s v="Hyderabad"/>
    <x v="7"/>
    <x v="4"/>
    <x v="4"/>
    <x v="1"/>
    <n v="3"/>
    <n v="4998"/>
    <n v="0"/>
    <n v="5047"/>
    <n v="1548.4"/>
    <n v="0.30679611650485439"/>
    <x v="10"/>
  </r>
  <r>
    <s v="ORD-10678"/>
    <s v="CUST1027"/>
    <d v="2025-10-08T00:00:00"/>
    <s v="P007"/>
    <s v="Backpack"/>
    <x v="4"/>
    <x v="5"/>
    <n v="2"/>
    <n v="1499"/>
    <n v="0.2"/>
    <n v="0"/>
    <s v="Kolkata"/>
    <x v="8"/>
    <x v="2"/>
    <x v="3"/>
    <x v="1"/>
    <n v="3"/>
    <n v="2998"/>
    <n v="599.6"/>
    <n v="2398.4"/>
    <n v="299.80000000000018"/>
    <n v="0.12500000000000008"/>
    <x v="8"/>
  </r>
  <r>
    <s v="ORD-10679"/>
    <s v="CUST1057"/>
    <d v="2025-04-13T00:00:00"/>
    <s v="P011"/>
    <s v="Notebook"/>
    <x v="0"/>
    <x v="0"/>
    <n v="1"/>
    <n v="249"/>
    <n v="0.15"/>
    <n v="0"/>
    <s v="Noida"/>
    <x v="5"/>
    <x v="2"/>
    <x v="1"/>
    <x v="0"/>
    <n v="5"/>
    <n v="249"/>
    <n v="37.35"/>
    <n v="211.65"/>
    <n v="37.350000000000023"/>
    <n v="0.17647058823529421"/>
    <x v="1"/>
  </r>
  <r>
    <s v="ORD-10680"/>
    <s v="CUST1069"/>
    <d v="2025-12-18T00:00:00"/>
    <s v="P012"/>
    <s v="Office Chair"/>
    <x v="3"/>
    <x v="0"/>
    <n v="3"/>
    <n v="6499"/>
    <n v="0.1"/>
    <n v="79"/>
    <s v="Noida"/>
    <x v="5"/>
    <x v="3"/>
    <x v="1"/>
    <x v="0"/>
    <n v="3"/>
    <n v="19497"/>
    <n v="1949.7"/>
    <n v="17626.3"/>
    <n v="3978.3999999999996"/>
    <n v="0.22570817471619115"/>
    <x v="11"/>
  </r>
  <r>
    <s v="ORD-10681"/>
    <s v="CUST1194"/>
    <d v="2025-04-12T00:00:00"/>
    <s v="P010"/>
    <s v="Desk Lamp"/>
    <x v="2"/>
    <x v="2"/>
    <n v="3"/>
    <n v="1199"/>
    <n v="0"/>
    <n v="79"/>
    <s v="Pune"/>
    <x v="2"/>
    <x v="4"/>
    <x v="1"/>
    <x v="0"/>
    <n v="1"/>
    <n v="3597"/>
    <n v="0"/>
    <n v="3676"/>
    <n v="1158.1000000000004"/>
    <n v="0.31504352557127324"/>
    <x v="1"/>
  </r>
  <r>
    <s v="ORD-10682"/>
    <s v="CUST1135"/>
    <d v="2025-11-17T00:00:00"/>
    <s v="P001"/>
    <s v="Wireless Mouse"/>
    <x v="1"/>
    <x v="1"/>
    <n v="2"/>
    <n v="599"/>
    <n v="0.1"/>
    <n v="49"/>
    <s v="Chennai"/>
    <x v="4"/>
    <x v="2"/>
    <x v="4"/>
    <x v="0"/>
    <n v="4"/>
    <n v="1198"/>
    <n v="119.80000000000001"/>
    <n v="1127.2"/>
    <n v="288.60000000000014"/>
    <n v="0.25603264726756575"/>
    <x v="4"/>
  </r>
  <r>
    <s v="ORD-10683"/>
    <s v="CUST1008"/>
    <d v="2025-03-18T00:00:00"/>
    <s v="P010"/>
    <s v="Desk Lamp"/>
    <x v="2"/>
    <x v="2"/>
    <n v="2"/>
    <n v="1199"/>
    <n v="0.15"/>
    <n v="0"/>
    <s v="Bengaluru"/>
    <x v="3"/>
    <x v="4"/>
    <x v="3"/>
    <x v="0"/>
    <n v="3"/>
    <n v="2398"/>
    <n v="359.7"/>
    <n v="2038.3"/>
    <n v="359.70000000000005"/>
    <n v="0.17647058823529416"/>
    <x v="6"/>
  </r>
  <r>
    <s v="ORD-10684"/>
    <s v="CUST1196"/>
    <d v="2025-04-15T00:00:00"/>
    <s v="P008"/>
    <s v="Smart Watch"/>
    <x v="1"/>
    <x v="4"/>
    <n v="1"/>
    <n v="3499"/>
    <n v="0.05"/>
    <n v="79"/>
    <s v="Hyderabad"/>
    <x v="7"/>
    <x v="2"/>
    <x v="3"/>
    <x v="0"/>
    <n v="3"/>
    <n v="3499"/>
    <n v="174.95000000000002"/>
    <n v="3403.05"/>
    <n v="953.75000000000045"/>
    <n v="0.28026329322225663"/>
    <x v="1"/>
  </r>
  <r>
    <s v="ORD-10685"/>
    <s v="CUST1210"/>
    <d v="2025-05-25T00:00:00"/>
    <s v="P004"/>
    <s v="USB-C Hub"/>
    <x v="1"/>
    <x v="1"/>
    <n v="1"/>
    <n v="1299"/>
    <n v="0.1"/>
    <n v="49"/>
    <s v="Kolkata"/>
    <x v="8"/>
    <x v="2"/>
    <x v="4"/>
    <x v="0"/>
    <n v="3"/>
    <n v="1299"/>
    <n v="129.9"/>
    <n v="1218.0999999999999"/>
    <n v="308.79999999999995"/>
    <n v="0.25350956407519909"/>
    <x v="0"/>
  </r>
  <r>
    <s v="ORD-10686"/>
    <s v="CUST1044"/>
    <d v="2025-05-08T00:00:00"/>
    <s v="P005"/>
    <s v="Running Shoes"/>
    <x v="4"/>
    <x v="7"/>
    <n v="2"/>
    <n v="2999"/>
    <n v="0.2"/>
    <n v="79"/>
    <s v="Jaipur"/>
    <x v="6"/>
    <x v="0"/>
    <x v="3"/>
    <x v="2"/>
    <n v="2"/>
    <n v="5998"/>
    <n v="1199.6000000000001"/>
    <n v="4877.3999999999996"/>
    <n v="678.80000000000018"/>
    <n v="0.13917250994382258"/>
    <x v="0"/>
  </r>
  <r>
    <s v="ORD-10687"/>
    <s v="CUST1038"/>
    <d v="2025-07-16T00:00:00"/>
    <s v="P006"/>
    <s v="Cotton T-Shirt"/>
    <x v="4"/>
    <x v="8"/>
    <n v="2"/>
    <n v="799"/>
    <n v="0.15"/>
    <n v="59"/>
    <s v="Bengaluru"/>
    <x v="3"/>
    <x v="0"/>
    <x v="0"/>
    <x v="2"/>
    <n v="1"/>
    <n v="1598"/>
    <n v="239.7"/>
    <n v="1417.3"/>
    <n v="298.70000000000005"/>
    <n v="0.21075283990686519"/>
    <x v="10"/>
  </r>
  <r>
    <s v="ORD-10688"/>
    <s v="CUST1003"/>
    <d v="2025-08-30T00:00:00"/>
    <s v="P001"/>
    <s v="Wireless Mouse"/>
    <x v="1"/>
    <x v="1"/>
    <n v="4"/>
    <n v="599"/>
    <n v="0.15"/>
    <n v="0"/>
    <s v="Pune"/>
    <x v="2"/>
    <x v="3"/>
    <x v="0"/>
    <x v="2"/>
    <n v="5"/>
    <n v="2396"/>
    <n v="359.4"/>
    <n v="2036.6"/>
    <n v="359.40000000000009"/>
    <n v="0.17647058823529416"/>
    <x v="5"/>
  </r>
  <r>
    <s v="ORD-10689"/>
    <s v="CUST1092"/>
    <d v="2025-12-10T00:00:00"/>
    <s v="P007"/>
    <s v="Backpack"/>
    <x v="4"/>
    <x v="5"/>
    <n v="5"/>
    <n v="1499"/>
    <n v="0"/>
    <n v="99"/>
    <s v="Mumbai"/>
    <x v="2"/>
    <x v="3"/>
    <x v="1"/>
    <x v="3"/>
    <n v="5"/>
    <n v="7495"/>
    <n v="0"/>
    <n v="7594"/>
    <n v="2347.5"/>
    <n v="0.3091256254938109"/>
    <x v="11"/>
  </r>
  <r>
    <s v="ORD-10690"/>
    <s v="CUST1073"/>
    <d v="2025-03-09T00:00:00"/>
    <s v="P008"/>
    <s v="Smart Watch"/>
    <x v="1"/>
    <x v="4"/>
    <n v="3"/>
    <n v="3499"/>
    <n v="0.15"/>
    <n v="79"/>
    <s v="Pune"/>
    <x v="2"/>
    <x v="3"/>
    <x v="4"/>
    <x v="2"/>
    <n v="3"/>
    <n v="10497"/>
    <n v="1574.55"/>
    <n v="9001.4500000000007"/>
    <n v="1653.5500000000011"/>
    <n v="0.1836981819595733"/>
    <x v="6"/>
  </r>
  <r>
    <s v="ORD-10691"/>
    <s v="CUST1136"/>
    <d v="2025-05-24T00:00:00"/>
    <s v="P001"/>
    <s v="Wireless Mouse"/>
    <x v="1"/>
    <x v="1"/>
    <n v="2"/>
    <n v="599"/>
    <n v="0.05"/>
    <n v="59"/>
    <s v="Noida"/>
    <x v="5"/>
    <x v="4"/>
    <x v="2"/>
    <x v="1"/>
    <n v="4"/>
    <n v="1198"/>
    <n v="59.900000000000006"/>
    <n v="1197.0999999999999"/>
    <n v="358.5"/>
    <n v="0.29947372817642637"/>
    <x v="0"/>
  </r>
  <r>
    <s v="ORD-10692"/>
    <s v="CUST1028"/>
    <d v="2025-09-09T00:00:00"/>
    <s v="P003"/>
    <s v="Bluetooth Speaker"/>
    <x v="1"/>
    <x v="6"/>
    <n v="2"/>
    <n v="1799"/>
    <n v="0.2"/>
    <n v="79"/>
    <s v="Pune"/>
    <x v="2"/>
    <x v="2"/>
    <x v="1"/>
    <x v="2"/>
    <n v="1"/>
    <n v="3598"/>
    <n v="719.6"/>
    <n v="2957.4"/>
    <n v="438.80000000000018"/>
    <n v="0.14837357138026649"/>
    <x v="7"/>
  </r>
  <r>
    <s v="ORD-10693"/>
    <s v="CUST1254"/>
    <d v="2025-05-14T00:00:00"/>
    <s v="P004"/>
    <s v="USB-C Hub"/>
    <x v="1"/>
    <x v="1"/>
    <n v="1"/>
    <n v="1299"/>
    <n v="0.1"/>
    <n v="0"/>
    <s v="Noida"/>
    <x v="5"/>
    <x v="0"/>
    <x v="3"/>
    <x v="1"/>
    <n v="3"/>
    <n v="1299"/>
    <n v="129.9"/>
    <n v="1169.0999999999999"/>
    <n v="259.79999999999995"/>
    <n v="0.22222222222222221"/>
    <x v="0"/>
  </r>
  <r>
    <s v="ORD-10694"/>
    <s v="Not Assigned"/>
    <d v="2025-09-10T00:00:00"/>
    <s v="P012"/>
    <s v="Office Chair"/>
    <x v="3"/>
    <x v="0"/>
    <n v="2"/>
    <n v="6499"/>
    <n v="0"/>
    <n v="0"/>
    <s v="Chennai"/>
    <x v="4"/>
    <x v="0"/>
    <x v="1"/>
    <x v="2"/>
    <n v="3"/>
    <n v="12998"/>
    <n v="0"/>
    <n v="12998"/>
    <n v="3899.4000000000015"/>
    <n v="0.3000000000000001"/>
    <x v="7"/>
  </r>
  <r>
    <s v="ORD-10695"/>
    <s v="CUST1299"/>
    <d v="2025-09-18T00:00:00"/>
    <s v="P005"/>
    <s v="Running Shoes"/>
    <x v="4"/>
    <x v="7"/>
    <n v="3"/>
    <n v="2999"/>
    <n v="0.15"/>
    <n v="49"/>
    <s v="Noida"/>
    <x v="5"/>
    <x v="0"/>
    <x v="0"/>
    <x v="2"/>
    <n v="3"/>
    <n v="8997"/>
    <n v="1349.55"/>
    <n v="7696.45"/>
    <n v="1398.5500000000002"/>
    <n v="0.18171364720098229"/>
    <x v="7"/>
  </r>
  <r>
    <s v="ORD-10696"/>
    <s v="CUST1169"/>
    <d v="2025-02-09T00:00:00"/>
    <s v="P010"/>
    <s v="Desk Lamp"/>
    <x v="2"/>
    <x v="2"/>
    <n v="1"/>
    <n v="1199"/>
    <n v="0.2"/>
    <n v="0"/>
    <s v="Noida"/>
    <x v="5"/>
    <x v="0"/>
    <x v="2"/>
    <x v="1"/>
    <n v="3"/>
    <n v="1199"/>
    <n v="239.8"/>
    <n v="959.2"/>
    <n v="119.90000000000009"/>
    <n v="0.12500000000000008"/>
    <x v="9"/>
  </r>
  <r>
    <s v="ORD-10697"/>
    <s v="CUST1042"/>
    <d v="2025-10-30T00:00:00"/>
    <s v="P011"/>
    <s v="Notebook"/>
    <x v="0"/>
    <x v="0"/>
    <n v="1"/>
    <n v="249"/>
    <n v="0"/>
    <n v="0"/>
    <s v="Gurgaon"/>
    <x v="0"/>
    <x v="1"/>
    <x v="3"/>
    <x v="0"/>
    <n v="4"/>
    <n v="249"/>
    <n v="0"/>
    <n v="249"/>
    <n v="74.700000000000017"/>
    <n v="0.30000000000000004"/>
    <x v="8"/>
  </r>
  <r>
    <s v="ORD-10698"/>
    <s v="CUST1167"/>
    <d v="2025-01-03T00:00:00"/>
    <s v="P011"/>
    <s v="Notebook"/>
    <x v="0"/>
    <x v="0"/>
    <n v="2"/>
    <n v="249"/>
    <n v="0.15"/>
    <n v="79"/>
    <s v="Mumbai"/>
    <x v="2"/>
    <x v="4"/>
    <x v="1"/>
    <x v="2"/>
    <n v="2"/>
    <n v="498"/>
    <n v="74.7"/>
    <n v="502.3"/>
    <n v="153.70000000000005"/>
    <n v="0.30599243479992044"/>
    <x v="2"/>
  </r>
  <r>
    <s v="ORD-10699"/>
    <s v="CUST1048"/>
    <d v="2025-01-29T00:00:00"/>
    <s v="P001"/>
    <s v="Wireless Mouse"/>
    <x v="1"/>
    <x v="1"/>
    <n v="1"/>
    <n v="599"/>
    <n v="0.15"/>
    <n v="79"/>
    <s v="Mumbai"/>
    <x v="2"/>
    <x v="1"/>
    <x v="2"/>
    <x v="3"/>
    <n v="2"/>
    <n v="599"/>
    <n v="89.85"/>
    <n v="588.15"/>
    <n v="168.85000000000002"/>
    <n v="0.2870866275609964"/>
    <x v="2"/>
  </r>
  <r>
    <s v="ORD-10700"/>
    <s v="CUST1062"/>
    <d v="2025-04-17T00:00:00"/>
    <s v="P004"/>
    <s v="USB-C Hub"/>
    <x v="1"/>
    <x v="1"/>
    <n v="1"/>
    <n v="1299"/>
    <n v="0.05"/>
    <n v="49"/>
    <s v="Bengaluru"/>
    <x v="3"/>
    <x v="3"/>
    <x v="3"/>
    <x v="1"/>
    <n v="3"/>
    <n v="1299"/>
    <n v="64.95"/>
    <n v="1283.05"/>
    <n v="373.75"/>
    <n v="0.29129807879661745"/>
    <x v="1"/>
  </r>
  <r>
    <s v="ORD-10701"/>
    <s v="CUST1263"/>
    <d v="2025-11-05T00:00:00"/>
    <s v="P007"/>
    <s v="Backpack"/>
    <x v="4"/>
    <x v="5"/>
    <n v="4"/>
    <n v="1499"/>
    <n v="0"/>
    <n v="59"/>
    <s v="Mumbai"/>
    <x v="2"/>
    <x v="2"/>
    <x v="3"/>
    <x v="2"/>
    <n v="4"/>
    <n v="5996"/>
    <n v="0"/>
    <n v="6055"/>
    <n v="1857.8000000000002"/>
    <n v="0.30682080924855493"/>
    <x v="4"/>
  </r>
  <r>
    <s v="ORD-10702"/>
    <s v="CUST1096"/>
    <d v="2025-11-04T00:00:00"/>
    <s v="P007"/>
    <s v="Backpack"/>
    <x v="4"/>
    <x v="5"/>
    <n v="1"/>
    <n v="1499"/>
    <n v="0.05"/>
    <n v="99"/>
    <s v="Hyderabad"/>
    <x v="7"/>
    <x v="1"/>
    <x v="3"/>
    <x v="1"/>
    <n v="1"/>
    <n v="1499"/>
    <n v="74.95"/>
    <n v="1523.05"/>
    <n v="473.75"/>
    <n v="0.3110534782180493"/>
    <x v="4"/>
  </r>
  <r>
    <s v="ORD-10703"/>
    <s v="CUST1254"/>
    <d v="2025-08-26T00:00:00"/>
    <s v="P001"/>
    <s v="Wireless Mouse"/>
    <x v="1"/>
    <x v="1"/>
    <n v="1"/>
    <n v="599"/>
    <n v="0.2"/>
    <n v="49"/>
    <s v="Chennai"/>
    <x v="4"/>
    <x v="4"/>
    <x v="0"/>
    <x v="2"/>
    <n v="1"/>
    <n v="599"/>
    <n v="119.80000000000001"/>
    <n v="528.20000000000005"/>
    <n v="108.90000000000009"/>
    <n v="0.20617190458159804"/>
    <x v="5"/>
  </r>
  <r>
    <s v="ORD-10704"/>
    <s v="CUST1128"/>
    <d v="2025-09-02T00:00:00"/>
    <s v="P005"/>
    <s v="Running Shoes"/>
    <x v="4"/>
    <x v="7"/>
    <n v="1"/>
    <n v="2999"/>
    <n v="0.2"/>
    <n v="59"/>
    <s v="Hyderabad"/>
    <x v="7"/>
    <x v="4"/>
    <x v="3"/>
    <x v="0"/>
    <n v="3"/>
    <n v="2999"/>
    <n v="599.80000000000007"/>
    <n v="2458.1999999999998"/>
    <n v="358.90000000000009"/>
    <n v="0.14600113904482959"/>
    <x v="7"/>
  </r>
  <r>
    <s v="ORD-10705"/>
    <s v="CUST1049"/>
    <d v="2025-01-24T00:00:00"/>
    <s v="P010"/>
    <s v="Desk Lamp"/>
    <x v="2"/>
    <x v="2"/>
    <n v="2"/>
    <n v="1199"/>
    <n v="0.1"/>
    <n v="79"/>
    <s v="Delhi"/>
    <x v="1"/>
    <x v="1"/>
    <x v="0"/>
    <x v="3"/>
    <n v="3"/>
    <n v="2398"/>
    <n v="239.8"/>
    <n v="2237.1999999999998"/>
    <n v="558.59999999999991"/>
    <n v="0.24968710888610762"/>
    <x v="2"/>
  </r>
  <r>
    <s v="ORD-10706"/>
    <s v="CUST1092"/>
    <d v="2025-02-11T00:00:00"/>
    <s v="P005"/>
    <s v="Running Shoes"/>
    <x v="4"/>
    <x v="7"/>
    <n v="1"/>
    <n v="2999"/>
    <n v="0.2"/>
    <n v="79"/>
    <s v="Pune"/>
    <x v="2"/>
    <x v="2"/>
    <x v="3"/>
    <x v="0"/>
    <n v="1"/>
    <n v="2999"/>
    <n v="599.80000000000007"/>
    <n v="2478.1999999999998"/>
    <n v="378.90000000000009"/>
    <n v="0.15289322895650073"/>
    <x v="9"/>
  </r>
  <r>
    <s v="ORD-10707"/>
    <s v="CUST1136"/>
    <d v="2025-06-02T00:00:00"/>
    <s v="P002"/>
    <s v="Mechanical Keyboard"/>
    <x v="1"/>
    <x v="1"/>
    <n v="3"/>
    <n v="2499"/>
    <n v="0.1"/>
    <n v="79"/>
    <s v="Bengaluru"/>
    <x v="3"/>
    <x v="3"/>
    <x v="1"/>
    <x v="2"/>
    <n v="2"/>
    <n v="7497"/>
    <n v="749.7"/>
    <n v="6826.3"/>
    <n v="1578.4000000000005"/>
    <n v="0.23122335672326158"/>
    <x v="3"/>
  </r>
  <r>
    <s v="ORD-10708"/>
    <s v="CUST1274"/>
    <d v="2025-11-06T00:00:00"/>
    <s v="P003"/>
    <s v="Bluetooth Speaker"/>
    <x v="1"/>
    <x v="6"/>
    <n v="2"/>
    <n v="1799"/>
    <n v="0"/>
    <n v="79"/>
    <s v="Gurgaon"/>
    <x v="0"/>
    <x v="0"/>
    <x v="4"/>
    <x v="2"/>
    <n v="4"/>
    <n v="3598"/>
    <n v="0"/>
    <n v="3677"/>
    <n v="1158.4000000000001"/>
    <n v="0.31503943432145776"/>
    <x v="4"/>
  </r>
  <r>
    <s v="ORD-10709"/>
    <s v="CUST1250"/>
    <d v="2025-09-02T00:00:00"/>
    <s v="P002"/>
    <s v="Mechanical Keyboard"/>
    <x v="1"/>
    <x v="1"/>
    <n v="1"/>
    <n v="2499"/>
    <n v="0.2"/>
    <n v="99"/>
    <s v="Delhi"/>
    <x v="1"/>
    <x v="3"/>
    <x v="0"/>
    <x v="1"/>
    <n v="3"/>
    <n v="2499"/>
    <n v="499.8"/>
    <n v="2098.1999999999998"/>
    <n v="348.89999999999986"/>
    <n v="0.16628538747497851"/>
    <x v="7"/>
  </r>
  <r>
    <s v="ORD-10710"/>
    <s v="CUST1070"/>
    <d v="2025-12-20T00:00:00"/>
    <s v="P010"/>
    <s v="Desk Lamp"/>
    <x v="2"/>
    <x v="2"/>
    <n v="2"/>
    <n v="1199"/>
    <n v="0"/>
    <n v="49"/>
    <s v="Pune"/>
    <x v="2"/>
    <x v="0"/>
    <x v="1"/>
    <x v="0"/>
    <n v="1"/>
    <n v="2398"/>
    <n v="0"/>
    <n v="2447"/>
    <n v="768.40000000000009"/>
    <n v="0.31401716387413164"/>
    <x v="11"/>
  </r>
  <r>
    <s v="ORD-10711"/>
    <s v="CUST1224"/>
    <d v="2025-04-18T00:00:00"/>
    <s v="P001"/>
    <s v="Wireless Mouse"/>
    <x v="1"/>
    <x v="1"/>
    <n v="3"/>
    <n v="599"/>
    <n v="0.2"/>
    <n v="49"/>
    <s v="Jaipur"/>
    <x v="6"/>
    <x v="4"/>
    <x v="1"/>
    <x v="0"/>
    <n v="1"/>
    <n v="1797"/>
    <n v="359.40000000000003"/>
    <n v="1486.6"/>
    <n v="228.70000000000005"/>
    <n v="0.15384097941611735"/>
    <x v="1"/>
  </r>
  <r>
    <s v="ORD-10712"/>
    <s v="CUST1249"/>
    <d v="2025-08-05T00:00:00"/>
    <s v="P005"/>
    <s v="Running Shoes"/>
    <x v="4"/>
    <x v="7"/>
    <n v="1"/>
    <n v="2999"/>
    <n v="0"/>
    <n v="79"/>
    <s v="Hyderabad"/>
    <x v="7"/>
    <x v="1"/>
    <x v="4"/>
    <x v="0"/>
    <n v="3"/>
    <n v="2999"/>
    <n v="0"/>
    <n v="3078"/>
    <n v="978.70000000000027"/>
    <n v="0.31796621182586104"/>
    <x v="5"/>
  </r>
  <r>
    <s v="ORD-10713"/>
    <s v="CUST1005"/>
    <d v="2025-05-31T00:00:00"/>
    <s v="P008"/>
    <s v="Smart Watch"/>
    <x v="1"/>
    <x v="4"/>
    <n v="1"/>
    <n v="3499"/>
    <n v="0"/>
    <n v="59"/>
    <s v="Kolkata"/>
    <x v="8"/>
    <x v="0"/>
    <x v="3"/>
    <x v="1"/>
    <n v="4"/>
    <n v="3499"/>
    <n v="0"/>
    <n v="3558"/>
    <n v="1108.7000000000003"/>
    <n v="0.31160764474423841"/>
    <x v="0"/>
  </r>
  <r>
    <s v="ORD-10714"/>
    <s v="CUST1263"/>
    <d v="2025-10-11T00:00:00"/>
    <s v="P008"/>
    <s v="Smart Watch"/>
    <x v="1"/>
    <x v="4"/>
    <n v="2"/>
    <n v="3499"/>
    <n v="0.1"/>
    <n v="79"/>
    <s v="Kolkata"/>
    <x v="8"/>
    <x v="4"/>
    <x v="0"/>
    <x v="1"/>
    <n v="3"/>
    <n v="6998"/>
    <n v="699.80000000000007"/>
    <n v="6377.2"/>
    <n v="1478.6000000000004"/>
    <n v="0.23185724142256797"/>
    <x v="8"/>
  </r>
  <r>
    <s v="ORD-10715"/>
    <s v="CUST1033"/>
    <d v="2025-09-28T00:00:00"/>
    <s v="P008"/>
    <s v="Smart Watch"/>
    <x v="1"/>
    <x v="4"/>
    <n v="2"/>
    <n v="3499"/>
    <n v="0.05"/>
    <n v="99"/>
    <s v="Jaipur"/>
    <x v="6"/>
    <x v="3"/>
    <x v="3"/>
    <x v="3"/>
    <n v="4"/>
    <n v="6998"/>
    <n v="349.90000000000003"/>
    <n v="6747.1"/>
    <n v="1848.5000000000009"/>
    <n v="0.27396955729128081"/>
    <x v="7"/>
  </r>
  <r>
    <s v="ORD-10716"/>
    <s v="CUST1083"/>
    <d v="2025-11-27T00:00:00"/>
    <s v="P002"/>
    <s v="Mechanical Keyboard"/>
    <x v="1"/>
    <x v="1"/>
    <n v="2"/>
    <n v="2499"/>
    <n v="0.1"/>
    <n v="0"/>
    <s v="Hyderabad"/>
    <x v="7"/>
    <x v="3"/>
    <x v="1"/>
    <x v="2"/>
    <n v="4"/>
    <n v="4998"/>
    <n v="499.8"/>
    <n v="4498.2"/>
    <n v="999.59999999999991"/>
    <n v="0.22222222222222221"/>
    <x v="4"/>
  </r>
  <r>
    <s v="ORD-10717"/>
    <s v="Not Assigned"/>
    <d v="2025-04-23T00:00:00"/>
    <s v="P006"/>
    <s v="Cotton T-Shirt"/>
    <x v="4"/>
    <x v="8"/>
    <n v="1"/>
    <n v="799"/>
    <n v="0.05"/>
    <n v="99"/>
    <s v="Hyderabad"/>
    <x v="7"/>
    <x v="2"/>
    <x v="2"/>
    <x v="2"/>
    <n v="3"/>
    <n v="799"/>
    <n v="39.950000000000003"/>
    <n v="858.05"/>
    <n v="298.75"/>
    <n v="0.3481731833809219"/>
    <x v="1"/>
  </r>
  <r>
    <s v="ORD-10718"/>
    <s v="CUST1107"/>
    <d v="2025-12-11T00:00:00"/>
    <s v="P012"/>
    <s v="Office Chair"/>
    <x v="3"/>
    <x v="0"/>
    <n v="4"/>
    <n v="6499"/>
    <n v="0.1"/>
    <n v="49"/>
    <s v="Bengaluru"/>
    <x v="3"/>
    <x v="3"/>
    <x v="4"/>
    <x v="0"/>
    <n v="3"/>
    <n v="25996"/>
    <n v="2599.6000000000004"/>
    <n v="23445.4"/>
    <n v="5248.2000000000044"/>
    <n v="0.223847748385611"/>
    <x v="11"/>
  </r>
  <r>
    <s v="ORD-10719"/>
    <s v="CUST1156"/>
    <d v="2025-03-22T00:00:00"/>
    <s v="P008"/>
    <s v="Smart Watch"/>
    <x v="1"/>
    <x v="4"/>
    <n v="1"/>
    <n v="3499"/>
    <n v="0.1"/>
    <n v="79"/>
    <s v="Noida"/>
    <x v="5"/>
    <x v="2"/>
    <x v="1"/>
    <x v="0"/>
    <n v="5"/>
    <n v="3499"/>
    <n v="349.90000000000003"/>
    <n v="3228.1"/>
    <n v="778.80000000000018"/>
    <n v="0.24125646665221034"/>
    <x v="6"/>
  </r>
  <r>
    <s v="ORD-10720"/>
    <s v="CUST1017"/>
    <d v="2025-05-14T00:00:00"/>
    <s v="P001"/>
    <s v="Wireless Mouse"/>
    <x v="1"/>
    <x v="1"/>
    <n v="1"/>
    <n v="599"/>
    <n v="0"/>
    <n v="99"/>
    <s v="Delhi"/>
    <x v="1"/>
    <x v="0"/>
    <x v="2"/>
    <x v="0"/>
    <n v="4"/>
    <n v="599"/>
    <n v="0"/>
    <n v="698"/>
    <n v="278.70000000000005"/>
    <n v="0.39928366762177658"/>
    <x v="0"/>
  </r>
  <r>
    <s v="ORD-10721"/>
    <s v="CUST1024"/>
    <d v="2025-10-15T00:00:00"/>
    <s v="P002"/>
    <s v="Mechanical Keyboard"/>
    <x v="1"/>
    <x v="1"/>
    <n v="1"/>
    <n v="2499"/>
    <n v="0.05"/>
    <n v="59"/>
    <s v="Kolkata"/>
    <x v="8"/>
    <x v="4"/>
    <x v="2"/>
    <x v="0"/>
    <n v="2"/>
    <n v="2499"/>
    <n v="124.95"/>
    <n v="2433.0500000000002"/>
    <n v="683.75000000000023"/>
    <n v="0.28102587287560887"/>
    <x v="8"/>
  </r>
  <r>
    <s v="ORD-10722"/>
    <s v="CUST1055"/>
    <d v="2025-02-23T00:00:00"/>
    <s v="P012"/>
    <s v="Office Chair"/>
    <x v="3"/>
    <x v="0"/>
    <n v="2"/>
    <n v="6499"/>
    <n v="0.1"/>
    <n v="0"/>
    <s v="Chennai"/>
    <x v="4"/>
    <x v="4"/>
    <x v="0"/>
    <x v="1"/>
    <n v="3"/>
    <n v="12998"/>
    <n v="1299.8000000000002"/>
    <n v="11698.2"/>
    <n v="2599.6000000000022"/>
    <n v="0.2222222222222224"/>
    <x v="9"/>
  </r>
  <r>
    <s v="ORD-10723"/>
    <s v="CUST1081"/>
    <d v="2025-02-23T00:00:00"/>
    <s v="P002"/>
    <s v="Mechanical Keyboard"/>
    <x v="1"/>
    <x v="1"/>
    <n v="1"/>
    <n v="2499"/>
    <n v="0"/>
    <n v="59"/>
    <s v="Chennai"/>
    <x v="4"/>
    <x v="3"/>
    <x v="3"/>
    <x v="0"/>
    <n v="3"/>
    <n v="2499"/>
    <n v="0"/>
    <n v="2558"/>
    <n v="808.7"/>
    <n v="0.3161454261141517"/>
    <x v="9"/>
  </r>
  <r>
    <s v="ORD-10724"/>
    <s v="CUST1063"/>
    <d v="2025-02-20T00:00:00"/>
    <s v="P009"/>
    <s v="Water Bottle"/>
    <x v="2"/>
    <x v="3"/>
    <n v="2"/>
    <n v="699"/>
    <n v="0.05"/>
    <n v="49"/>
    <s v="Hyderabad"/>
    <x v="7"/>
    <x v="2"/>
    <x v="3"/>
    <x v="0"/>
    <n v="4"/>
    <n v="1398"/>
    <n v="69.900000000000006"/>
    <n v="1377.1"/>
    <n v="398.5"/>
    <n v="0.28937622540120544"/>
    <x v="9"/>
  </r>
  <r>
    <s v="ORD-10725"/>
    <s v="CUST1137"/>
    <d v="2025-08-31T00:00:00"/>
    <s v="P001"/>
    <s v="Wireless Mouse"/>
    <x v="1"/>
    <x v="1"/>
    <n v="3"/>
    <n v="599"/>
    <n v="0"/>
    <n v="0"/>
    <s v="Jaipur"/>
    <x v="6"/>
    <x v="3"/>
    <x v="3"/>
    <x v="3"/>
    <n v="3"/>
    <n v="1797"/>
    <n v="0"/>
    <n v="1797"/>
    <n v="539.10000000000014"/>
    <n v="0.3000000000000001"/>
    <x v="5"/>
  </r>
  <r>
    <s v="ORD-10726"/>
    <s v="CUST1212"/>
    <d v="2025-09-29T00:00:00"/>
    <s v="P011"/>
    <s v="Notebook"/>
    <x v="0"/>
    <x v="0"/>
    <n v="1"/>
    <n v="249"/>
    <n v="0"/>
    <n v="79"/>
    <s v="Jaipur"/>
    <x v="6"/>
    <x v="1"/>
    <x v="3"/>
    <x v="0"/>
    <n v="3"/>
    <n v="249"/>
    <n v="0"/>
    <n v="328"/>
    <n v="153.70000000000002"/>
    <n v="0.46859756097560978"/>
    <x v="7"/>
  </r>
  <r>
    <s v="ORD-10727"/>
    <s v="CUST1036"/>
    <d v="2025-08-15T00:00:00"/>
    <s v="P009"/>
    <s v="Water Bottle"/>
    <x v="2"/>
    <x v="3"/>
    <n v="4"/>
    <n v="699"/>
    <n v="0.2"/>
    <n v="99"/>
    <s v="Pune"/>
    <x v="2"/>
    <x v="0"/>
    <x v="2"/>
    <x v="0"/>
    <n v="3"/>
    <n v="2796"/>
    <n v="559.20000000000005"/>
    <n v="2335.8000000000002"/>
    <n v="378.60000000000036"/>
    <n v="0.16208579501669679"/>
    <x v="5"/>
  </r>
  <r>
    <s v="ORD-10728"/>
    <s v="CUST1030"/>
    <d v="2025-07-21T00:00:00"/>
    <s v="P007"/>
    <s v="Backpack"/>
    <x v="4"/>
    <x v="5"/>
    <n v="1"/>
    <n v="1499"/>
    <n v="0"/>
    <n v="99"/>
    <s v="Noida"/>
    <x v="5"/>
    <x v="4"/>
    <x v="2"/>
    <x v="2"/>
    <n v="4"/>
    <n v="1499"/>
    <n v="0"/>
    <n v="1598"/>
    <n v="548.70000000000005"/>
    <n v="0.34336670838548189"/>
    <x v="10"/>
  </r>
  <r>
    <s v="ORD-10729"/>
    <s v="CUST1076"/>
    <d v="2025-06-10T00:00:00"/>
    <s v="P007"/>
    <s v="Backpack"/>
    <x v="4"/>
    <x v="5"/>
    <n v="3"/>
    <n v="1499"/>
    <n v="0.15"/>
    <n v="99"/>
    <s v="Chennai"/>
    <x v="4"/>
    <x v="1"/>
    <x v="3"/>
    <x v="0"/>
    <n v="3"/>
    <n v="4497"/>
    <n v="674.55"/>
    <n v="3921.45"/>
    <n v="773.55000000000018"/>
    <n v="0.19726121715181891"/>
    <x v="3"/>
  </r>
  <r>
    <s v="ORD-10730"/>
    <s v="CUST1102"/>
    <d v="2025-11-13T00:00:00"/>
    <s v="P004"/>
    <s v="USB-C Hub"/>
    <x v="1"/>
    <x v="1"/>
    <n v="2"/>
    <n v="1299"/>
    <n v="0.05"/>
    <n v="79"/>
    <s v="Chennai"/>
    <x v="4"/>
    <x v="3"/>
    <x v="4"/>
    <x v="2"/>
    <n v="1"/>
    <n v="2598"/>
    <n v="129.9"/>
    <n v="2547.1"/>
    <n v="728.5"/>
    <n v="0.2860115425385733"/>
    <x v="4"/>
  </r>
  <r>
    <s v="ORD-10731"/>
    <s v="CUST1262"/>
    <d v="2025-03-06T00:00:00"/>
    <s v="P009"/>
    <s v="Water Bottle"/>
    <x v="2"/>
    <x v="3"/>
    <n v="1"/>
    <n v="699"/>
    <n v="0"/>
    <n v="0"/>
    <s v="Pune"/>
    <x v="2"/>
    <x v="4"/>
    <x v="2"/>
    <x v="0"/>
    <n v="5"/>
    <n v="699"/>
    <n v="0"/>
    <n v="699"/>
    <n v="209.70000000000005"/>
    <n v="0.30000000000000004"/>
    <x v="6"/>
  </r>
  <r>
    <s v="ORD-10732"/>
    <s v="CUST1259"/>
    <d v="2025-10-04T00:00:00"/>
    <s v="P006"/>
    <s v="Cotton T-Shirt"/>
    <x v="4"/>
    <x v="8"/>
    <n v="1"/>
    <n v="799"/>
    <n v="0.05"/>
    <n v="79"/>
    <s v="Noida"/>
    <x v="5"/>
    <x v="0"/>
    <x v="4"/>
    <x v="0"/>
    <n v="3"/>
    <n v="799"/>
    <n v="39.950000000000003"/>
    <n v="838.05"/>
    <n v="278.75"/>
    <n v="0.33261738559751808"/>
    <x v="8"/>
  </r>
  <r>
    <s v="ORD-10733"/>
    <s v="CUST1153"/>
    <d v="2025-07-01T00:00:00"/>
    <s v="P006"/>
    <s v="Cotton T-Shirt"/>
    <x v="4"/>
    <x v="8"/>
    <n v="2"/>
    <n v="799"/>
    <n v="0"/>
    <n v="79"/>
    <s v="Mumbai"/>
    <x v="2"/>
    <x v="4"/>
    <x v="4"/>
    <x v="2"/>
    <n v="4"/>
    <n v="1598"/>
    <n v="0"/>
    <n v="1677"/>
    <n v="558.40000000000009"/>
    <n v="0.33297555158020281"/>
    <x v="10"/>
  </r>
  <r>
    <s v="ORD-10734"/>
    <s v="CUST1120"/>
    <d v="2025-10-25T00:00:00"/>
    <s v="P006"/>
    <s v="Cotton T-Shirt"/>
    <x v="4"/>
    <x v="8"/>
    <n v="3"/>
    <n v="799"/>
    <n v="0.2"/>
    <n v="99"/>
    <s v="Jaipur"/>
    <x v="6"/>
    <x v="3"/>
    <x v="2"/>
    <x v="2"/>
    <n v="3"/>
    <n v="2397"/>
    <n v="479.40000000000003"/>
    <n v="2016.6"/>
    <n v="338.70000000000005"/>
    <n v="0.16795596548646238"/>
    <x v="8"/>
  </r>
  <r>
    <s v="ORD-10735"/>
    <s v="CUST1265"/>
    <d v="2025-07-13T00:00:00"/>
    <s v="P011"/>
    <s v="Notebook"/>
    <x v="0"/>
    <x v="0"/>
    <n v="2"/>
    <n v="249"/>
    <n v="0"/>
    <n v="59"/>
    <s v="Kolkata"/>
    <x v="8"/>
    <x v="4"/>
    <x v="1"/>
    <x v="0"/>
    <n v="3"/>
    <n v="498"/>
    <n v="0"/>
    <n v="557"/>
    <n v="208.40000000000003"/>
    <n v="0.37414721723518857"/>
    <x v="10"/>
  </r>
  <r>
    <s v="ORD-10736"/>
    <s v="CUST1032"/>
    <d v="2025-12-31T00:00:00"/>
    <s v="P006"/>
    <s v="Cotton T-Shirt"/>
    <x v="4"/>
    <x v="8"/>
    <n v="1"/>
    <n v="799"/>
    <n v="0"/>
    <n v="0"/>
    <s v="Hyderabad"/>
    <x v="7"/>
    <x v="1"/>
    <x v="1"/>
    <x v="1"/>
    <n v="4"/>
    <n v="799"/>
    <n v="0"/>
    <n v="799"/>
    <n v="239.70000000000005"/>
    <n v="0.30000000000000004"/>
    <x v="11"/>
  </r>
  <r>
    <s v="ORD-10737"/>
    <s v="CUST1203"/>
    <d v="2025-12-13T00:00:00"/>
    <s v="P004"/>
    <s v="USB-C Hub"/>
    <x v="1"/>
    <x v="1"/>
    <n v="1"/>
    <n v="2017"/>
    <n v="0.15"/>
    <n v="99"/>
    <s v="Hyderabad"/>
    <x v="7"/>
    <x v="3"/>
    <x v="0"/>
    <x v="3"/>
    <n v="4"/>
    <n v="2017"/>
    <n v="302.55"/>
    <n v="1813.45"/>
    <n v="401.55000000000018"/>
    <n v="0.2214287683696822"/>
    <x v="11"/>
  </r>
  <r>
    <s v="ORD-10738"/>
    <s v="CUST1259"/>
    <d v="2025-12-19T00:00:00"/>
    <s v="P011"/>
    <s v="Notebook"/>
    <x v="0"/>
    <x v="0"/>
    <n v="5"/>
    <n v="249"/>
    <n v="0"/>
    <n v="49"/>
    <s v="Bengaluru"/>
    <x v="3"/>
    <x v="2"/>
    <x v="3"/>
    <x v="1"/>
    <n v="3"/>
    <n v="1245"/>
    <n v="0"/>
    <n v="1294"/>
    <n v="422.5"/>
    <n v="0.32650695517774342"/>
    <x v="11"/>
  </r>
  <r>
    <s v="ORD-10739"/>
    <s v="CUST1243"/>
    <d v="2025-09-20T00:00:00"/>
    <s v="P008"/>
    <s v="Smart Watch"/>
    <x v="1"/>
    <x v="4"/>
    <n v="4"/>
    <n v="3499"/>
    <n v="0"/>
    <n v="79"/>
    <s v="Noida"/>
    <x v="5"/>
    <x v="0"/>
    <x v="1"/>
    <x v="2"/>
    <n v="5"/>
    <n v="13996"/>
    <n v="0"/>
    <n v="14075"/>
    <n v="4277.8000000000011"/>
    <n v="0.30392895204262887"/>
    <x v="7"/>
  </r>
  <r>
    <s v="ORD-10740"/>
    <s v="CUST1021"/>
    <d v="2025-07-29T00:00:00"/>
    <s v="P006"/>
    <s v="Cotton T-Shirt"/>
    <x v="4"/>
    <x v="8"/>
    <n v="2"/>
    <n v="799"/>
    <n v="0.15"/>
    <n v="59"/>
    <s v="Gurgaon"/>
    <x v="0"/>
    <x v="4"/>
    <x v="1"/>
    <x v="0"/>
    <n v="1"/>
    <n v="1598"/>
    <n v="239.7"/>
    <n v="1417.3"/>
    <n v="298.70000000000005"/>
    <n v="0.21075283990686519"/>
    <x v="10"/>
  </r>
  <r>
    <s v="ORD-10741"/>
    <s v="CUST1216"/>
    <d v="2025-06-05T00:00:00"/>
    <s v="P006"/>
    <s v="Cotton T-Shirt"/>
    <x v="4"/>
    <x v="8"/>
    <n v="5"/>
    <n v="799"/>
    <n v="0"/>
    <n v="49"/>
    <s v="Mumbai"/>
    <x v="2"/>
    <x v="0"/>
    <x v="2"/>
    <x v="0"/>
    <n v="3"/>
    <n v="3995"/>
    <n v="0"/>
    <n v="4044"/>
    <n v="1247.5"/>
    <n v="0.30848170128585561"/>
    <x v="3"/>
  </r>
  <r>
    <s v="ORD-10742"/>
    <s v="CUST1023"/>
    <d v="2025-09-08T00:00:00"/>
    <s v="P004"/>
    <s v="USB-C Hub"/>
    <x v="1"/>
    <x v="1"/>
    <n v="3"/>
    <n v="1299"/>
    <n v="0.05"/>
    <n v="0"/>
    <s v="Noida"/>
    <x v="5"/>
    <x v="1"/>
    <x v="3"/>
    <x v="3"/>
    <n v="5"/>
    <n v="3897"/>
    <n v="194.85000000000002"/>
    <n v="3702.15"/>
    <n v="974.25000000000045"/>
    <n v="0.2631578947368422"/>
    <x v="7"/>
  </r>
  <r>
    <s v="ORD-10743"/>
    <s v="CUST1071"/>
    <d v="2025-06-22T00:00:00"/>
    <s v="P005"/>
    <s v="Running Shoes"/>
    <x v="4"/>
    <x v="7"/>
    <n v="2"/>
    <n v="2999"/>
    <n v="0.15"/>
    <n v="49"/>
    <s v="Kolkata"/>
    <x v="8"/>
    <x v="4"/>
    <x v="3"/>
    <x v="2"/>
    <n v="3"/>
    <n v="5998"/>
    <n v="899.69999999999993"/>
    <n v="5147.3"/>
    <n v="948.70000000000073"/>
    <n v="0.1843102208925069"/>
    <x v="3"/>
  </r>
  <r>
    <s v="ORD-10744"/>
    <s v="CUST1210"/>
    <d v="2025-06-16T00:00:00"/>
    <s v="P008"/>
    <s v="Smart Watch"/>
    <x v="1"/>
    <x v="4"/>
    <n v="1"/>
    <n v="3499"/>
    <n v="0.2"/>
    <n v="99"/>
    <s v="Hyderabad"/>
    <x v="7"/>
    <x v="1"/>
    <x v="1"/>
    <x v="3"/>
    <n v="4"/>
    <n v="3499"/>
    <n v="699.80000000000007"/>
    <n v="2898.2"/>
    <n v="448.90000000000009"/>
    <n v="0.15488924159823342"/>
    <x v="3"/>
  </r>
  <r>
    <s v="ORD-10745"/>
    <s v="CUST1085"/>
    <d v="2025-12-10T00:00:00"/>
    <s v="P006"/>
    <s v="Cotton T-Shirt"/>
    <x v="4"/>
    <x v="8"/>
    <n v="1"/>
    <n v="799"/>
    <n v="0.2"/>
    <n v="0"/>
    <s v="Chennai"/>
    <x v="4"/>
    <x v="0"/>
    <x v="0"/>
    <x v="0"/>
    <n v="3"/>
    <n v="799"/>
    <n v="159.80000000000001"/>
    <n v="639.20000000000005"/>
    <n v="79.900000000000091"/>
    <n v="0.12500000000000014"/>
    <x v="11"/>
  </r>
  <r>
    <s v="ORD-10746"/>
    <s v="CUST1278"/>
    <d v="2025-03-05T00:00:00"/>
    <s v="P012"/>
    <s v="Office Chair"/>
    <x v="3"/>
    <x v="0"/>
    <n v="2"/>
    <n v="6499"/>
    <n v="0"/>
    <n v="99"/>
    <s v="Mumbai"/>
    <x v="2"/>
    <x v="4"/>
    <x v="4"/>
    <x v="0"/>
    <n v="5"/>
    <n v="12998"/>
    <n v="0"/>
    <n v="13097"/>
    <n v="3998.4000000000015"/>
    <n v="0.30529128808124006"/>
    <x v="6"/>
  </r>
  <r>
    <s v="ORD-10747"/>
    <s v="CUST1010"/>
    <d v="2025-09-15T00:00:00"/>
    <s v="P009"/>
    <s v="Water Bottle"/>
    <x v="2"/>
    <x v="3"/>
    <n v="3"/>
    <n v="699"/>
    <n v="0.15"/>
    <n v="49"/>
    <s v="Jaipur"/>
    <x v="6"/>
    <x v="3"/>
    <x v="1"/>
    <x v="2"/>
    <n v="2"/>
    <n v="2097"/>
    <n v="314.55"/>
    <n v="1831.45"/>
    <n v="363.55000000000018"/>
    <n v="0.19850391766086989"/>
    <x v="7"/>
  </r>
  <r>
    <s v="ORD-10748"/>
    <s v="CUST1252"/>
    <d v="2025-10-01T00:00:00"/>
    <s v="P012"/>
    <s v="Office Chair"/>
    <x v="3"/>
    <x v="0"/>
    <n v="1"/>
    <n v="6499"/>
    <n v="0.15"/>
    <n v="0"/>
    <s v="Kolkata"/>
    <x v="8"/>
    <x v="0"/>
    <x v="2"/>
    <x v="1"/>
    <n v="4"/>
    <n v="6499"/>
    <n v="974.84999999999991"/>
    <n v="5524.15"/>
    <n v="974.85000000000036"/>
    <n v="0.17647058823529418"/>
    <x v="8"/>
  </r>
  <r>
    <s v="ORD-10749"/>
    <s v="CUST1051"/>
    <d v="2025-09-28T00:00:00"/>
    <s v="P003"/>
    <s v="Bluetooth Speaker"/>
    <x v="1"/>
    <x v="6"/>
    <n v="1"/>
    <n v="1799"/>
    <n v="0"/>
    <n v="0"/>
    <s v="Bengaluru"/>
    <x v="3"/>
    <x v="4"/>
    <x v="1"/>
    <x v="0"/>
    <n v="3"/>
    <n v="1799"/>
    <n v="0"/>
    <n v="1799"/>
    <n v="539.70000000000005"/>
    <n v="0.30000000000000004"/>
    <x v="7"/>
  </r>
  <r>
    <s v="ORD-10750"/>
    <s v="CUST1031"/>
    <d v="2025-02-15T00:00:00"/>
    <s v="P003"/>
    <s v="Bluetooth Speaker"/>
    <x v="1"/>
    <x v="6"/>
    <n v="1"/>
    <n v="1799"/>
    <n v="0.2"/>
    <n v="49"/>
    <s v="Noida"/>
    <x v="5"/>
    <x v="4"/>
    <x v="2"/>
    <x v="1"/>
    <n v="2"/>
    <n v="1799"/>
    <n v="359.8"/>
    <n v="1488.2"/>
    <n v="228.90000000000009"/>
    <n v="0.15380997177798689"/>
    <x v="9"/>
  </r>
  <r>
    <s v="ORD-10751"/>
    <s v="CUST1193"/>
    <d v="2025-02-20T00:00:00"/>
    <s v="P001"/>
    <s v="Wireless Mouse"/>
    <x v="1"/>
    <x v="1"/>
    <n v="1"/>
    <n v="599"/>
    <n v="0.05"/>
    <n v="59"/>
    <s v="Delhi"/>
    <x v="1"/>
    <x v="0"/>
    <x v="4"/>
    <x v="1"/>
    <n v="2"/>
    <n v="599"/>
    <n v="29.950000000000003"/>
    <n v="628.04999999999995"/>
    <n v="208.75"/>
    <n v="0.33237799538253326"/>
    <x v="9"/>
  </r>
  <r>
    <s v="ORD-10752"/>
    <s v="CUST1138"/>
    <d v="2025-09-10T00:00:00"/>
    <s v="P004"/>
    <s v="USB-C Hub"/>
    <x v="1"/>
    <x v="1"/>
    <n v="2"/>
    <n v="1299"/>
    <n v="0.1"/>
    <n v="0"/>
    <s v="Kolkata"/>
    <x v="8"/>
    <x v="0"/>
    <x v="2"/>
    <x v="3"/>
    <n v="4"/>
    <n v="2598"/>
    <n v="259.8"/>
    <n v="2338.1999999999998"/>
    <n v="519.59999999999991"/>
    <n v="0.22222222222222221"/>
    <x v="7"/>
  </r>
  <r>
    <s v="ORD-10753"/>
    <s v="CUST1284"/>
    <d v="2025-01-15T00:00:00"/>
    <s v="P009"/>
    <s v="Water Bottle"/>
    <x v="2"/>
    <x v="3"/>
    <n v="1"/>
    <n v="699"/>
    <n v="0"/>
    <n v="59"/>
    <s v="Bengaluru"/>
    <x v="3"/>
    <x v="4"/>
    <x v="4"/>
    <x v="0"/>
    <n v="2"/>
    <n v="699"/>
    <n v="0"/>
    <n v="758"/>
    <n v="268.70000000000005"/>
    <n v="0.35448548812664915"/>
    <x v="2"/>
  </r>
  <r>
    <s v="ORD-10754"/>
    <s v="CUST1073"/>
    <d v="2025-07-28T00:00:00"/>
    <s v="P009"/>
    <s v="Water Bottle"/>
    <x v="2"/>
    <x v="3"/>
    <n v="1"/>
    <n v="699"/>
    <n v="0.15"/>
    <n v="49"/>
    <s v="Noida"/>
    <x v="5"/>
    <x v="3"/>
    <x v="0"/>
    <x v="2"/>
    <n v="2"/>
    <n v="699"/>
    <n v="104.85"/>
    <n v="643.15"/>
    <n v="153.85000000000002"/>
    <n v="0.23921324729845297"/>
    <x v="10"/>
  </r>
  <r>
    <s v="ORD-10755"/>
    <s v="CUST1149"/>
    <d v="2025-10-12T00:00:00"/>
    <s v="P004"/>
    <s v="USB-C Hub"/>
    <x v="1"/>
    <x v="1"/>
    <n v="4"/>
    <n v="1299"/>
    <n v="0.1"/>
    <n v="99"/>
    <s v="Chennai"/>
    <x v="4"/>
    <x v="2"/>
    <x v="4"/>
    <x v="0"/>
    <n v="1"/>
    <n v="5196"/>
    <n v="519.6"/>
    <n v="4775.3999999999996"/>
    <n v="1138.1999999999998"/>
    <n v="0.23834652594547051"/>
    <x v="8"/>
  </r>
  <r>
    <s v="ORD-10756"/>
    <s v="CUST1262"/>
    <d v="2025-12-15T00:00:00"/>
    <s v="P008"/>
    <s v="Smart Watch"/>
    <x v="1"/>
    <x v="4"/>
    <n v="2"/>
    <n v="3499"/>
    <n v="0"/>
    <n v="99"/>
    <s v="Mumbai"/>
    <x v="2"/>
    <x v="3"/>
    <x v="4"/>
    <x v="2"/>
    <n v="2"/>
    <n v="6998"/>
    <n v="0"/>
    <n v="7097"/>
    <n v="2198.4000000000005"/>
    <n v="0.30976468930534035"/>
    <x v="11"/>
  </r>
  <r>
    <s v="ORD-10757"/>
    <s v="CUST1285"/>
    <d v="2025-06-03T00:00:00"/>
    <s v="P012"/>
    <s v="Office Chair"/>
    <x v="3"/>
    <x v="0"/>
    <n v="2"/>
    <n v="6499"/>
    <n v="0"/>
    <n v="49"/>
    <s v="Chennai"/>
    <x v="4"/>
    <x v="3"/>
    <x v="3"/>
    <x v="2"/>
    <n v="2"/>
    <n v="12998"/>
    <n v="0"/>
    <n v="13047"/>
    <n v="3948.4000000000015"/>
    <n v="0.30262895684831775"/>
    <x v="3"/>
  </r>
  <r>
    <s v="ORD-10758"/>
    <s v="CUST1140"/>
    <d v="2025-06-12T00:00:00"/>
    <s v="P010"/>
    <s v="Desk Lamp"/>
    <x v="2"/>
    <x v="2"/>
    <n v="4"/>
    <n v="1199"/>
    <n v="0.05"/>
    <n v="79"/>
    <s v="Chennai"/>
    <x v="4"/>
    <x v="2"/>
    <x v="2"/>
    <x v="2"/>
    <n v="3"/>
    <n v="4796"/>
    <n v="239.8"/>
    <n v="4635.2"/>
    <n v="1278"/>
    <n v="0.275716258198136"/>
    <x v="3"/>
  </r>
  <r>
    <s v="ORD-10759"/>
    <s v="CUST1244"/>
    <d v="2025-06-18T00:00:00"/>
    <s v="P004"/>
    <s v="USB-C Hub"/>
    <x v="1"/>
    <x v="1"/>
    <n v="4"/>
    <n v="1299"/>
    <n v="0"/>
    <n v="0"/>
    <s v="Hyderabad"/>
    <x v="7"/>
    <x v="0"/>
    <x v="4"/>
    <x v="2"/>
    <n v="3"/>
    <n v="5196"/>
    <n v="0"/>
    <n v="5196"/>
    <n v="1558.8000000000002"/>
    <n v="0.30000000000000004"/>
    <x v="3"/>
  </r>
  <r>
    <s v="ORD-10760"/>
    <s v="CUST1040"/>
    <d v="2025-12-23T00:00:00"/>
    <s v="P003"/>
    <s v="Bluetooth Speaker"/>
    <x v="1"/>
    <x v="6"/>
    <n v="2"/>
    <n v="1799"/>
    <n v="0.15"/>
    <n v="0"/>
    <s v="Bengaluru"/>
    <x v="3"/>
    <x v="4"/>
    <x v="4"/>
    <x v="1"/>
    <n v="3"/>
    <n v="3598"/>
    <n v="539.69999999999993"/>
    <n v="3058.3"/>
    <n v="539.70000000000027"/>
    <n v="0.17647058823529418"/>
    <x v="11"/>
  </r>
  <r>
    <s v="ORD-10761"/>
    <s v="CUST1091"/>
    <d v="2025-06-30T00:00:00"/>
    <s v="P011"/>
    <s v="Notebook"/>
    <x v="0"/>
    <x v="0"/>
    <n v="2"/>
    <n v="249"/>
    <n v="0.05"/>
    <n v="79"/>
    <s v="Hyderabad"/>
    <x v="7"/>
    <x v="0"/>
    <x v="4"/>
    <x v="3"/>
    <n v="4"/>
    <n v="498"/>
    <n v="24.900000000000002"/>
    <n v="552.1"/>
    <n v="203.50000000000006"/>
    <n v="0.36859264625973565"/>
    <x v="3"/>
  </r>
  <r>
    <s v="ORD-10762"/>
    <s v="CUST1099"/>
    <d v="2025-04-24T00:00:00"/>
    <s v="P006"/>
    <s v="Cotton T-Shirt"/>
    <x v="4"/>
    <x v="8"/>
    <n v="1"/>
    <n v="799"/>
    <n v="0.2"/>
    <n v="59"/>
    <s v="Jaipur"/>
    <x v="6"/>
    <x v="0"/>
    <x v="0"/>
    <x v="0"/>
    <n v="3"/>
    <n v="799"/>
    <n v="159.80000000000001"/>
    <n v="698.2"/>
    <n v="138.90000000000009"/>
    <n v="0.198940131767402"/>
    <x v="1"/>
  </r>
  <r>
    <s v="ORD-10763"/>
    <s v="CUST1108"/>
    <d v="2025-09-10T00:00:00"/>
    <s v="P005"/>
    <s v="Running Shoes"/>
    <x v="4"/>
    <x v="7"/>
    <n v="1"/>
    <n v="2999"/>
    <n v="0.1"/>
    <n v="99"/>
    <s v="Jaipur"/>
    <x v="6"/>
    <x v="0"/>
    <x v="1"/>
    <x v="0"/>
    <n v="3"/>
    <n v="2999"/>
    <n v="299.90000000000003"/>
    <n v="2798.1"/>
    <n v="698.80000000000018"/>
    <n v="0.24974089560773388"/>
    <x v="7"/>
  </r>
  <r>
    <s v="ORD-10764"/>
    <s v="CUST1100"/>
    <d v="2025-05-23T00:00:00"/>
    <s v="P011"/>
    <s v="Notebook"/>
    <x v="0"/>
    <x v="0"/>
    <n v="1"/>
    <n v="249"/>
    <n v="0"/>
    <n v="99"/>
    <s v="Bengaluru"/>
    <x v="3"/>
    <x v="4"/>
    <x v="0"/>
    <x v="1"/>
    <n v="5"/>
    <n v="249"/>
    <n v="0"/>
    <n v="348"/>
    <n v="173.70000000000002"/>
    <n v="0.49913793103448278"/>
    <x v="0"/>
  </r>
  <r>
    <s v="ORD-10765"/>
    <s v="CUST1141"/>
    <d v="2025-02-03T00:00:00"/>
    <s v="P003"/>
    <s v="Bluetooth Speaker"/>
    <x v="1"/>
    <x v="6"/>
    <n v="2"/>
    <n v="1799"/>
    <n v="0"/>
    <n v="99"/>
    <s v="Gurgaon"/>
    <x v="0"/>
    <x v="2"/>
    <x v="4"/>
    <x v="3"/>
    <n v="3"/>
    <n v="3598"/>
    <n v="0"/>
    <n v="3697"/>
    <n v="1178.4000000000001"/>
    <n v="0.31874492832025969"/>
    <x v="9"/>
  </r>
  <r>
    <s v="ORD-10766"/>
    <s v="CUST1027"/>
    <d v="2025-12-15T00:00:00"/>
    <s v="P011"/>
    <s v="Notebook"/>
    <x v="0"/>
    <x v="0"/>
    <n v="2"/>
    <n v="249"/>
    <n v="0"/>
    <n v="79"/>
    <s v="Chennai"/>
    <x v="4"/>
    <x v="3"/>
    <x v="3"/>
    <x v="1"/>
    <n v="3"/>
    <n v="498"/>
    <n v="0"/>
    <n v="577"/>
    <n v="228.40000000000003"/>
    <n v="0.39584055459272105"/>
    <x v="11"/>
  </r>
  <r>
    <s v="ORD-10767"/>
    <s v="CUST1115"/>
    <d v="2025-09-23T00:00:00"/>
    <s v="P007"/>
    <s v="Backpack"/>
    <x v="4"/>
    <x v="5"/>
    <n v="1"/>
    <n v="1499"/>
    <n v="0.15"/>
    <n v="0"/>
    <s v="Mumbai"/>
    <x v="2"/>
    <x v="0"/>
    <x v="2"/>
    <x v="0"/>
    <n v="4"/>
    <n v="1499"/>
    <n v="224.85"/>
    <n v="1274.1500000000001"/>
    <n v="224.85000000000014"/>
    <n v="0.17647058823529421"/>
    <x v="7"/>
  </r>
  <r>
    <s v="ORD-10768"/>
    <s v="CUST1116"/>
    <d v="2025-07-20T00:00:00"/>
    <s v="P009"/>
    <s v="Water Bottle"/>
    <x v="2"/>
    <x v="3"/>
    <n v="1"/>
    <n v="699"/>
    <n v="0.15"/>
    <n v="0"/>
    <s v="Hyderabad"/>
    <x v="7"/>
    <x v="1"/>
    <x v="4"/>
    <x v="0"/>
    <n v="2"/>
    <n v="699"/>
    <n v="104.85"/>
    <n v="594.15"/>
    <n v="104.85000000000002"/>
    <n v="0.17647058823529416"/>
    <x v="10"/>
  </r>
  <r>
    <s v="ORD-10769"/>
    <s v="CUST1222"/>
    <d v="2025-02-02T00:00:00"/>
    <s v="P004"/>
    <s v="USB-C Hub"/>
    <x v="1"/>
    <x v="1"/>
    <n v="1"/>
    <n v="1299"/>
    <n v="0"/>
    <n v="79"/>
    <s v="Noida"/>
    <x v="5"/>
    <x v="0"/>
    <x v="0"/>
    <x v="0"/>
    <n v="3"/>
    <n v="1299"/>
    <n v="0"/>
    <n v="1378"/>
    <n v="468.70000000000005"/>
    <n v="0.3401306240928883"/>
    <x v="9"/>
  </r>
  <r>
    <s v="ORD-10770"/>
    <s v="CUST1171"/>
    <d v="2025-05-07T00:00:00"/>
    <s v="P011"/>
    <s v="Notebook"/>
    <x v="0"/>
    <x v="0"/>
    <n v="3"/>
    <n v="249"/>
    <n v="0.05"/>
    <n v="0"/>
    <s v="Pune"/>
    <x v="2"/>
    <x v="4"/>
    <x v="1"/>
    <x v="0"/>
    <n v="1"/>
    <n v="747"/>
    <n v="37.35"/>
    <n v="709.65"/>
    <n v="186.75"/>
    <n v="0.26315789473684209"/>
    <x v="0"/>
  </r>
  <r>
    <s v="ORD-10771"/>
    <s v="CUST1032"/>
    <d v="2025-02-18T00:00:00"/>
    <s v="P010"/>
    <s v="Desk Lamp"/>
    <x v="2"/>
    <x v="2"/>
    <n v="1"/>
    <n v="1199"/>
    <n v="0"/>
    <n v="0"/>
    <s v="Kolkata"/>
    <x v="8"/>
    <x v="0"/>
    <x v="3"/>
    <x v="3"/>
    <n v="3"/>
    <n v="1199"/>
    <n v="0"/>
    <n v="1199"/>
    <n v="359.70000000000005"/>
    <n v="0.30000000000000004"/>
    <x v="9"/>
  </r>
  <r>
    <s v="ORD-10772"/>
    <s v="CUST1034"/>
    <d v="2025-02-01T00:00:00"/>
    <s v="P012"/>
    <s v="Office Chair"/>
    <x v="3"/>
    <x v="0"/>
    <n v="3"/>
    <n v="6499"/>
    <n v="0.15"/>
    <n v="79"/>
    <s v="Gurgaon"/>
    <x v="0"/>
    <x v="0"/>
    <x v="4"/>
    <x v="0"/>
    <n v="5"/>
    <n v="19497"/>
    <n v="2924.5499999999997"/>
    <n v="16651.45"/>
    <n v="3003.5500000000011"/>
    <n v="0.18037768482624641"/>
    <x v="9"/>
  </r>
  <r>
    <s v="ORD-10773"/>
    <s v="CUST1006"/>
    <d v="2025-07-25T00:00:00"/>
    <s v="P001"/>
    <s v="Wireless Mouse"/>
    <x v="1"/>
    <x v="1"/>
    <n v="3"/>
    <n v="599"/>
    <n v="0"/>
    <n v="99"/>
    <s v="Mumbai"/>
    <x v="2"/>
    <x v="1"/>
    <x v="3"/>
    <x v="1"/>
    <n v="4"/>
    <n v="1797"/>
    <n v="0"/>
    <n v="1896"/>
    <n v="638.10000000000014"/>
    <n v="0.33655063291139248"/>
    <x v="10"/>
  </r>
  <r>
    <s v="ORD-10774"/>
    <s v="CUST1169"/>
    <d v="2025-06-23T00:00:00"/>
    <s v="P007"/>
    <s v="Backpack"/>
    <x v="4"/>
    <x v="5"/>
    <n v="2"/>
    <n v="1499"/>
    <n v="0.1"/>
    <n v="99"/>
    <s v="Kolkata"/>
    <x v="8"/>
    <x v="4"/>
    <x v="1"/>
    <x v="0"/>
    <n v="1"/>
    <n v="2998"/>
    <n v="299.8"/>
    <n v="2797.2"/>
    <n v="698.59999999999991"/>
    <n v="0.24974974974974973"/>
    <x v="3"/>
  </r>
  <r>
    <s v="ORD-10775"/>
    <s v="CUST1261"/>
    <d v="2025-02-04T00:00:00"/>
    <s v="P002"/>
    <s v="Mechanical Keyboard"/>
    <x v="1"/>
    <x v="1"/>
    <n v="2"/>
    <n v="2499"/>
    <n v="0.15"/>
    <n v="49"/>
    <s v="Delhi"/>
    <x v="1"/>
    <x v="3"/>
    <x v="2"/>
    <x v="0"/>
    <n v="4"/>
    <n v="4998"/>
    <n v="749.69999999999993"/>
    <n v="4297.3"/>
    <n v="798.70000000000027"/>
    <n v="0.18586088939566711"/>
    <x v="9"/>
  </r>
  <r>
    <s v="ORD-10776"/>
    <s v="CUST1160"/>
    <d v="2025-05-05T00:00:00"/>
    <s v="P008"/>
    <s v="Smart Watch"/>
    <x v="1"/>
    <x v="4"/>
    <n v="1"/>
    <n v="3499"/>
    <n v="0"/>
    <n v="49"/>
    <s v="Kolkata"/>
    <x v="8"/>
    <x v="4"/>
    <x v="3"/>
    <x v="0"/>
    <n v="5"/>
    <n v="3499"/>
    <n v="0"/>
    <n v="3548"/>
    <n v="1098.7000000000003"/>
    <n v="0.30966741826381067"/>
    <x v="0"/>
  </r>
  <r>
    <s v="ORD-10777"/>
    <s v="Not Assigned"/>
    <d v="2025-10-05T00:00:00"/>
    <s v="P011"/>
    <s v="Notebook"/>
    <x v="0"/>
    <x v="0"/>
    <n v="1"/>
    <n v="249"/>
    <n v="0.05"/>
    <n v="99"/>
    <s v="Pune"/>
    <x v="2"/>
    <x v="3"/>
    <x v="2"/>
    <x v="1"/>
    <n v="1"/>
    <n v="249"/>
    <n v="12.450000000000001"/>
    <n v="335.55"/>
    <n v="161.25000000000003"/>
    <n v="0.48055431381314268"/>
    <x v="8"/>
  </r>
  <r>
    <s v="ORD-10778"/>
    <s v="CUST1217"/>
    <d v="2025-03-16T00:00:00"/>
    <s v="P009"/>
    <s v="Water Bottle"/>
    <x v="2"/>
    <x v="3"/>
    <n v="2"/>
    <n v="699"/>
    <n v="0.15"/>
    <n v="0"/>
    <s v="Kolkata"/>
    <x v="8"/>
    <x v="3"/>
    <x v="1"/>
    <x v="3"/>
    <n v="2"/>
    <n v="1398"/>
    <n v="209.7"/>
    <n v="1188.3"/>
    <n v="209.70000000000005"/>
    <n v="0.17647058823529416"/>
    <x v="6"/>
  </r>
  <r>
    <s v="ORD-10779"/>
    <s v="CUST1170"/>
    <d v="2025-06-24T00:00:00"/>
    <s v="P011"/>
    <s v="Notebook"/>
    <x v="0"/>
    <x v="0"/>
    <n v="3"/>
    <n v="249"/>
    <n v="0.2"/>
    <n v="79"/>
    <s v="Jaipur"/>
    <x v="6"/>
    <x v="4"/>
    <x v="0"/>
    <x v="1"/>
    <n v="3"/>
    <n v="747"/>
    <n v="149.4"/>
    <n v="676.6"/>
    <n v="153.70000000000005"/>
    <n v="0.22716523795447832"/>
    <x v="3"/>
  </r>
  <r>
    <s v="ORD-10780"/>
    <s v="CUST1002"/>
    <d v="2025-03-25T00:00:00"/>
    <s v="P010"/>
    <s v="Desk Lamp"/>
    <x v="2"/>
    <x v="2"/>
    <n v="1"/>
    <n v="1199"/>
    <n v="0.1"/>
    <n v="49"/>
    <s v="Mumbai"/>
    <x v="2"/>
    <x v="2"/>
    <x v="1"/>
    <x v="0"/>
    <n v="4"/>
    <n v="1199"/>
    <n v="119.9"/>
    <n v="1128.0999999999999"/>
    <n v="288.79999999999995"/>
    <n v="0.256005673255917"/>
    <x v="6"/>
  </r>
  <r>
    <s v="ORD-10781"/>
    <s v="CUST1004"/>
    <d v="2025-06-19T00:00:00"/>
    <s v="P010"/>
    <s v="Desk Lamp"/>
    <x v="2"/>
    <x v="2"/>
    <n v="1"/>
    <n v="1199"/>
    <n v="0.1"/>
    <n v="49"/>
    <s v="Jaipur"/>
    <x v="6"/>
    <x v="3"/>
    <x v="4"/>
    <x v="0"/>
    <n v="1"/>
    <n v="1199"/>
    <n v="119.9"/>
    <n v="1128.0999999999999"/>
    <n v="288.79999999999995"/>
    <n v="0.256005673255917"/>
    <x v="3"/>
  </r>
  <r>
    <s v="ORD-10782"/>
    <s v="CUST1185"/>
    <d v="2025-03-14T00:00:00"/>
    <s v="P006"/>
    <s v="Cotton T-Shirt"/>
    <x v="4"/>
    <x v="8"/>
    <n v="2"/>
    <n v="799"/>
    <n v="0.2"/>
    <n v="99"/>
    <s v="Delhi"/>
    <x v="1"/>
    <x v="0"/>
    <x v="4"/>
    <x v="0"/>
    <n v="2"/>
    <n v="1598"/>
    <n v="319.60000000000002"/>
    <n v="1377.4"/>
    <n v="258.80000000000018"/>
    <n v="0.18789022796573265"/>
    <x v="6"/>
  </r>
  <r>
    <s v="ORD-10783"/>
    <s v="CUST1092"/>
    <d v="2025-05-15T00:00:00"/>
    <s v="P004"/>
    <s v="USB-C Hub"/>
    <x v="1"/>
    <x v="1"/>
    <n v="1"/>
    <n v="1299"/>
    <n v="0.15"/>
    <n v="49"/>
    <s v="Mumbai"/>
    <x v="2"/>
    <x v="2"/>
    <x v="4"/>
    <x v="0"/>
    <n v="2"/>
    <n v="1299"/>
    <n v="194.85"/>
    <n v="1153.1500000000001"/>
    <n v="243.85000000000014"/>
    <n v="0.21146425009755895"/>
    <x v="0"/>
  </r>
  <r>
    <s v="ORD-10784"/>
    <s v="CUST1108"/>
    <d v="2025-12-13T00:00:00"/>
    <s v="P005"/>
    <s v="Running Shoes"/>
    <x v="4"/>
    <x v="7"/>
    <n v="1"/>
    <n v="2999"/>
    <n v="0"/>
    <n v="59"/>
    <s v="Gurgaon"/>
    <x v="0"/>
    <x v="3"/>
    <x v="3"/>
    <x v="2"/>
    <n v="2"/>
    <n v="2999"/>
    <n v="0"/>
    <n v="3058"/>
    <n v="958.70000000000027"/>
    <n v="0.31350555918901252"/>
    <x v="11"/>
  </r>
  <r>
    <s v="ORD-10785"/>
    <s v="CUST1061"/>
    <d v="2025-09-27T00:00:00"/>
    <s v="P006"/>
    <s v="Cotton T-Shirt"/>
    <x v="4"/>
    <x v="8"/>
    <n v="2"/>
    <n v="799"/>
    <n v="0.2"/>
    <n v="0"/>
    <s v="Pune"/>
    <x v="2"/>
    <x v="2"/>
    <x v="1"/>
    <x v="1"/>
    <n v="3"/>
    <n v="1598"/>
    <n v="319.60000000000002"/>
    <n v="1278.4000000000001"/>
    <n v="159.80000000000018"/>
    <n v="0.12500000000000014"/>
    <x v="7"/>
  </r>
  <r>
    <s v="ORD-10786"/>
    <s v="CUST1024"/>
    <d v="2025-12-22T00:00:00"/>
    <s v="P004"/>
    <s v="USB-C Hub"/>
    <x v="1"/>
    <x v="1"/>
    <n v="2"/>
    <n v="1299"/>
    <n v="0.1"/>
    <n v="49"/>
    <s v="Jaipur"/>
    <x v="6"/>
    <x v="4"/>
    <x v="0"/>
    <x v="3"/>
    <n v="2"/>
    <n v="2598"/>
    <n v="259.8"/>
    <n v="2387.1999999999998"/>
    <n v="568.59999999999991"/>
    <n v="0.23818699731903484"/>
    <x v="11"/>
  </r>
  <r>
    <s v="ORD-10787"/>
    <s v="CUST1261"/>
    <d v="2025-06-17T00:00:00"/>
    <s v="P009"/>
    <s v="Water Bottle"/>
    <x v="2"/>
    <x v="3"/>
    <n v="3"/>
    <n v="699"/>
    <n v="0.05"/>
    <n v="49"/>
    <s v="Mumbai"/>
    <x v="2"/>
    <x v="4"/>
    <x v="3"/>
    <x v="2"/>
    <n v="2"/>
    <n v="2097"/>
    <n v="104.85000000000001"/>
    <n v="2041.15"/>
    <n v="573.25000000000023"/>
    <n v="0.28084658158391113"/>
    <x v="3"/>
  </r>
  <r>
    <s v="ORD-10788"/>
    <s v="CUST1261"/>
    <d v="2025-12-06T00:00:00"/>
    <s v="P012"/>
    <s v="Office Chair"/>
    <x v="3"/>
    <x v="0"/>
    <n v="1"/>
    <n v="6499"/>
    <n v="0.15"/>
    <n v="79"/>
    <s v="Gurgaon"/>
    <x v="0"/>
    <x v="3"/>
    <x v="3"/>
    <x v="0"/>
    <n v="5"/>
    <n v="6499"/>
    <n v="974.84999999999991"/>
    <n v="5603.15"/>
    <n v="1053.8500000000004"/>
    <n v="0.18808170404147675"/>
    <x v="11"/>
  </r>
  <r>
    <s v="ORD-10789"/>
    <s v="CUST1243"/>
    <d v="2025-07-11T00:00:00"/>
    <s v="P008"/>
    <s v="Smart Watch"/>
    <x v="1"/>
    <x v="4"/>
    <n v="1"/>
    <n v="3499"/>
    <n v="0.2"/>
    <n v="79"/>
    <s v="Noida"/>
    <x v="5"/>
    <x v="3"/>
    <x v="0"/>
    <x v="1"/>
    <n v="4"/>
    <n v="3499"/>
    <n v="699.80000000000007"/>
    <n v="2878.2"/>
    <n v="428.90000000000009"/>
    <n v="0.14901674657772224"/>
    <x v="10"/>
  </r>
  <r>
    <s v="ORD-10790"/>
    <s v="CUST1203"/>
    <d v="2025-04-17T00:00:00"/>
    <s v="P011"/>
    <s v="Notebook"/>
    <x v="0"/>
    <x v="0"/>
    <n v="2"/>
    <n v="249"/>
    <n v="0.1"/>
    <n v="49"/>
    <s v="Kolkata"/>
    <x v="8"/>
    <x v="2"/>
    <x v="2"/>
    <x v="0"/>
    <n v="4"/>
    <n v="498"/>
    <n v="49.800000000000004"/>
    <n v="497.2"/>
    <n v="148.60000000000002"/>
    <n v="0.29887369267900249"/>
    <x v="1"/>
  </r>
  <r>
    <s v="ORD-10791"/>
    <s v="CUST1152"/>
    <d v="2025-07-11T00:00:00"/>
    <s v="P007"/>
    <s v="Backpack"/>
    <x v="4"/>
    <x v="5"/>
    <n v="1"/>
    <n v="1499"/>
    <n v="0"/>
    <n v="0"/>
    <s v="Kolkata"/>
    <x v="8"/>
    <x v="1"/>
    <x v="0"/>
    <x v="0"/>
    <n v="3"/>
    <n v="1499"/>
    <n v="0"/>
    <n v="1499"/>
    <n v="449.70000000000005"/>
    <n v="0.30000000000000004"/>
    <x v="10"/>
  </r>
  <r>
    <s v="ORD-10792"/>
    <s v="CUST1222"/>
    <d v="2025-09-20T00:00:00"/>
    <s v="P004"/>
    <s v="USB-C Hub"/>
    <x v="1"/>
    <x v="1"/>
    <n v="1"/>
    <n v="1299"/>
    <n v="0.1"/>
    <n v="79"/>
    <s v="Kolkata"/>
    <x v="8"/>
    <x v="1"/>
    <x v="2"/>
    <x v="1"/>
    <n v="3"/>
    <n v="1299"/>
    <n v="129.9"/>
    <n v="1248.0999999999999"/>
    <n v="338.79999999999995"/>
    <n v="0.27145260796410542"/>
    <x v="7"/>
  </r>
  <r>
    <s v="ORD-10793"/>
    <s v="CUST1184"/>
    <d v="2025-01-13T00:00:00"/>
    <s v="P008"/>
    <s v="Smart Watch"/>
    <x v="1"/>
    <x v="4"/>
    <n v="1"/>
    <n v="3499"/>
    <n v="0.05"/>
    <n v="0"/>
    <s v="Pune"/>
    <x v="2"/>
    <x v="0"/>
    <x v="2"/>
    <x v="0"/>
    <n v="3"/>
    <n v="3499"/>
    <n v="174.95000000000002"/>
    <n v="3324.05"/>
    <n v="874.75000000000045"/>
    <n v="0.2631578947368422"/>
    <x v="2"/>
  </r>
  <r>
    <s v="ORD-10794"/>
    <s v="CUST1037"/>
    <d v="2025-02-10T00:00:00"/>
    <s v="P009"/>
    <s v="Water Bottle"/>
    <x v="2"/>
    <x v="3"/>
    <n v="2"/>
    <n v="699"/>
    <n v="0"/>
    <n v="0"/>
    <s v="Chennai"/>
    <x v="4"/>
    <x v="3"/>
    <x v="4"/>
    <x v="0"/>
    <n v="5"/>
    <n v="1398"/>
    <n v="0"/>
    <n v="1398"/>
    <n v="419.40000000000009"/>
    <n v="0.30000000000000004"/>
    <x v="9"/>
  </r>
  <r>
    <s v="ORD-10795"/>
    <s v="CUST1098"/>
    <d v="2025-06-18T00:00:00"/>
    <s v="P004"/>
    <s v="USB-C Hub"/>
    <x v="1"/>
    <x v="1"/>
    <n v="1"/>
    <n v="1299"/>
    <n v="0.2"/>
    <n v="59"/>
    <s v="Pune"/>
    <x v="2"/>
    <x v="4"/>
    <x v="1"/>
    <x v="2"/>
    <n v="3"/>
    <n v="1299"/>
    <n v="259.8"/>
    <n v="1098.2"/>
    <n v="188.90000000000009"/>
    <n v="0.17200874157712628"/>
    <x v="3"/>
  </r>
  <r>
    <s v="ORD-10796"/>
    <s v="CUST1297"/>
    <d v="2025-01-05T00:00:00"/>
    <s v="P012"/>
    <s v="Office Chair"/>
    <x v="3"/>
    <x v="0"/>
    <n v="4"/>
    <n v="6499"/>
    <n v="0.1"/>
    <n v="79"/>
    <s v="Chennai"/>
    <x v="4"/>
    <x v="0"/>
    <x v="3"/>
    <x v="0"/>
    <n v="3"/>
    <n v="25996"/>
    <n v="2599.6000000000004"/>
    <n v="23475.4"/>
    <n v="5278.2000000000044"/>
    <n v="0.22483961934620939"/>
    <x v="2"/>
  </r>
  <r>
    <s v="ORD-10797"/>
    <s v="CUST1120"/>
    <d v="2025-04-27T00:00:00"/>
    <s v="P009"/>
    <s v="Water Bottle"/>
    <x v="2"/>
    <x v="3"/>
    <n v="3"/>
    <n v="699"/>
    <n v="0"/>
    <n v="79"/>
    <s v="Noida"/>
    <x v="5"/>
    <x v="4"/>
    <x v="0"/>
    <x v="2"/>
    <n v="3"/>
    <n v="2097"/>
    <n v="0"/>
    <n v="2176"/>
    <n v="708.10000000000014"/>
    <n v="0.32541360294117655"/>
    <x v="1"/>
  </r>
  <r>
    <s v="ORD-10798"/>
    <s v="CUST1220"/>
    <d v="2025-08-25T00:00:00"/>
    <s v="P009"/>
    <s v="Water Bottle"/>
    <x v="2"/>
    <x v="3"/>
    <n v="2"/>
    <n v="699"/>
    <n v="0.05"/>
    <n v="49"/>
    <s v="Hyderabad"/>
    <x v="7"/>
    <x v="1"/>
    <x v="1"/>
    <x v="0"/>
    <n v="4"/>
    <n v="1398"/>
    <n v="69.900000000000006"/>
    <n v="1377.1"/>
    <n v="398.5"/>
    <n v="0.28937622540120544"/>
    <x v="5"/>
  </r>
  <r>
    <s v="ORD-10799"/>
    <s v="CUST1256"/>
    <d v="2025-03-13T00:00:00"/>
    <s v="P008"/>
    <s v="Smart Watch"/>
    <x v="1"/>
    <x v="4"/>
    <n v="1"/>
    <n v="3499"/>
    <n v="0.05"/>
    <n v="0"/>
    <s v="Chennai"/>
    <x v="4"/>
    <x v="3"/>
    <x v="2"/>
    <x v="0"/>
    <n v="2"/>
    <n v="3499"/>
    <n v="174.95000000000002"/>
    <n v="3324.05"/>
    <n v="874.75000000000045"/>
    <n v="0.2631578947368422"/>
    <x v="6"/>
  </r>
  <r>
    <s v="ORD-10800"/>
    <s v="CUST1012"/>
    <d v="2025-07-26T00:00:00"/>
    <s v="P007"/>
    <s v="Backpack"/>
    <x v="4"/>
    <x v="5"/>
    <n v="2"/>
    <n v="1499"/>
    <n v="0.05"/>
    <n v="99"/>
    <s v="Bengaluru"/>
    <x v="3"/>
    <x v="4"/>
    <x v="4"/>
    <x v="0"/>
    <n v="2"/>
    <n v="2998"/>
    <n v="149.9"/>
    <n v="2947.1"/>
    <n v="848.5"/>
    <n v="0.28791014895999456"/>
    <x v="10"/>
  </r>
  <r>
    <s v="ORD-10801"/>
    <s v="Not Assigned"/>
    <d v="2025-11-05T00:00:00"/>
    <s v="P003"/>
    <s v="Bluetooth Speaker"/>
    <x v="1"/>
    <x v="6"/>
    <n v="2"/>
    <n v="1799"/>
    <n v="0.1"/>
    <n v="49"/>
    <s v="Pune"/>
    <x v="2"/>
    <x v="0"/>
    <x v="0"/>
    <x v="1"/>
    <n v="4"/>
    <n v="3598"/>
    <n v="359.8"/>
    <n v="3287.2"/>
    <n v="768.59999999999991"/>
    <n v="0.23381601362862009"/>
    <x v="4"/>
  </r>
  <r>
    <s v="ORD-10802"/>
    <s v="CUST1054"/>
    <d v="2025-10-19T00:00:00"/>
    <s v="P004"/>
    <s v="USB-C Hub"/>
    <x v="1"/>
    <x v="1"/>
    <n v="1"/>
    <n v="1299"/>
    <n v="0"/>
    <n v="49"/>
    <s v="Hyderabad"/>
    <x v="7"/>
    <x v="4"/>
    <x v="1"/>
    <x v="0"/>
    <n v="1"/>
    <n v="1299"/>
    <n v="0"/>
    <n v="1348"/>
    <n v="438.70000000000005"/>
    <n v="0.32544510385756681"/>
    <x v="8"/>
  </r>
  <r>
    <s v="ORD-10803"/>
    <s v="CUST1120"/>
    <d v="2025-04-06T00:00:00"/>
    <s v="P012"/>
    <s v="Office Chair"/>
    <x v="3"/>
    <x v="0"/>
    <n v="2"/>
    <n v="6499"/>
    <n v="0.05"/>
    <n v="49"/>
    <s v="Kolkata"/>
    <x v="8"/>
    <x v="3"/>
    <x v="0"/>
    <x v="1"/>
    <n v="1"/>
    <n v="12998"/>
    <n v="649.90000000000009"/>
    <n v="12397.1"/>
    <n v="3298.5000000000018"/>
    <n v="0.26607029063248677"/>
    <x v="1"/>
  </r>
  <r>
    <s v="ORD-10804"/>
    <s v="CUST1057"/>
    <d v="2025-01-06T00:00:00"/>
    <s v="P008"/>
    <s v="Smart Watch"/>
    <x v="1"/>
    <x v="4"/>
    <n v="1"/>
    <n v="3499"/>
    <n v="0.1"/>
    <n v="49"/>
    <s v="Delhi"/>
    <x v="1"/>
    <x v="2"/>
    <x v="0"/>
    <x v="1"/>
    <n v="4"/>
    <n v="3499"/>
    <n v="349.90000000000003"/>
    <n v="3198.1"/>
    <n v="748.80000000000018"/>
    <n v="0.23413902004315068"/>
    <x v="2"/>
  </r>
  <r>
    <s v="ORD-10805"/>
    <s v="CUST1244"/>
    <d v="2025-04-16T00:00:00"/>
    <s v="P008"/>
    <s v="Smart Watch"/>
    <x v="1"/>
    <x v="4"/>
    <n v="1"/>
    <n v="3499"/>
    <n v="0.05"/>
    <n v="79"/>
    <s v="Gurgaon"/>
    <x v="0"/>
    <x v="2"/>
    <x v="0"/>
    <x v="0"/>
    <n v="5"/>
    <n v="3499"/>
    <n v="174.95000000000002"/>
    <n v="3403.05"/>
    <n v="953.75000000000045"/>
    <n v="0.28026329322225663"/>
    <x v="1"/>
  </r>
  <r>
    <s v="ORD-10806"/>
    <s v="CUST1229"/>
    <d v="2025-12-17T00:00:00"/>
    <s v="P005"/>
    <s v="Running Shoes"/>
    <x v="4"/>
    <x v="7"/>
    <n v="1"/>
    <n v="2999"/>
    <n v="0"/>
    <n v="49"/>
    <s v="Kolkata"/>
    <x v="8"/>
    <x v="0"/>
    <x v="3"/>
    <x v="0"/>
    <n v="5"/>
    <n v="2999"/>
    <n v="0"/>
    <n v="3048"/>
    <n v="948.70000000000027"/>
    <n v="0.31125328083989512"/>
    <x v="11"/>
  </r>
  <r>
    <s v="ORD-10807"/>
    <s v="CUST1047"/>
    <d v="2025-10-19T00:00:00"/>
    <s v="P004"/>
    <s v="USB-C Hub"/>
    <x v="1"/>
    <x v="1"/>
    <n v="1"/>
    <n v="1299"/>
    <n v="0.15"/>
    <n v="0"/>
    <s v="Chennai"/>
    <x v="4"/>
    <x v="3"/>
    <x v="3"/>
    <x v="1"/>
    <n v="3"/>
    <n v="1299"/>
    <n v="194.85"/>
    <n v="1104.1500000000001"/>
    <n v="194.85000000000014"/>
    <n v="0.17647058823529424"/>
    <x v="8"/>
  </r>
  <r>
    <s v="ORD-10808"/>
    <s v="CUST1235"/>
    <d v="2025-03-31T00:00:00"/>
    <s v="P012"/>
    <s v="Office Chair"/>
    <x v="3"/>
    <x v="0"/>
    <n v="1"/>
    <n v="6499"/>
    <n v="0.15"/>
    <n v="79"/>
    <s v="Mumbai"/>
    <x v="2"/>
    <x v="1"/>
    <x v="1"/>
    <x v="0"/>
    <n v="3"/>
    <n v="6499"/>
    <n v="974.84999999999991"/>
    <n v="5603.15"/>
    <n v="1053.8500000000004"/>
    <n v="0.18808170404147675"/>
    <x v="6"/>
  </r>
  <r>
    <s v="ORD-10809"/>
    <s v="CUST1150"/>
    <d v="2025-01-23T00:00:00"/>
    <s v="P010"/>
    <s v="Desk Lamp"/>
    <x v="2"/>
    <x v="2"/>
    <n v="1"/>
    <n v="1199"/>
    <n v="0.05"/>
    <n v="99"/>
    <s v="Gurgaon"/>
    <x v="0"/>
    <x v="0"/>
    <x v="1"/>
    <x v="0"/>
    <n v="4"/>
    <n v="1199"/>
    <n v="59.95"/>
    <n v="1238.05"/>
    <n v="398.75"/>
    <n v="0.32207907596623725"/>
    <x v="2"/>
  </r>
  <r>
    <s v="ORD-10810"/>
    <s v="CUST1210"/>
    <d v="2025-07-08T00:00:00"/>
    <s v="P007"/>
    <s v="Backpack"/>
    <x v="4"/>
    <x v="5"/>
    <n v="1"/>
    <n v="1499"/>
    <n v="0.15"/>
    <n v="59"/>
    <s v="Chennai"/>
    <x v="4"/>
    <x v="1"/>
    <x v="1"/>
    <x v="0"/>
    <n v="3"/>
    <n v="1499"/>
    <n v="224.85"/>
    <n v="1333.15"/>
    <n v="283.85000000000014"/>
    <n v="0.21291677605670789"/>
    <x v="10"/>
  </r>
  <r>
    <s v="ORD-10811"/>
    <s v="CUST1196"/>
    <d v="2025-01-14T00:00:00"/>
    <s v="P004"/>
    <s v="USB-C Hub"/>
    <x v="1"/>
    <x v="1"/>
    <n v="1"/>
    <n v="1299"/>
    <n v="0.2"/>
    <n v="79"/>
    <s v="Chennai"/>
    <x v="4"/>
    <x v="3"/>
    <x v="3"/>
    <x v="2"/>
    <n v="3"/>
    <n v="1299"/>
    <n v="259.8"/>
    <n v="1118.2"/>
    <n v="208.90000000000009"/>
    <n v="0.18681810051869083"/>
    <x v="2"/>
  </r>
  <r>
    <s v="ORD-10812"/>
    <s v="CUST1249"/>
    <d v="2025-05-09T00:00:00"/>
    <s v="P004"/>
    <s v="USB-C Hub"/>
    <x v="1"/>
    <x v="1"/>
    <n v="1"/>
    <n v="1299"/>
    <n v="0.05"/>
    <n v="79"/>
    <s v="Bengaluru"/>
    <x v="3"/>
    <x v="1"/>
    <x v="4"/>
    <x v="0"/>
    <n v="1"/>
    <n v="1299"/>
    <n v="64.95"/>
    <n v="1313.05"/>
    <n v="403.75"/>
    <n v="0.30749019458512622"/>
    <x v="0"/>
  </r>
  <r>
    <s v="ORD-10813"/>
    <s v="CUST1010"/>
    <d v="2025-08-13T00:00:00"/>
    <s v="P009"/>
    <s v="Water Bottle"/>
    <x v="2"/>
    <x v="3"/>
    <n v="2"/>
    <n v="699"/>
    <n v="0"/>
    <n v="49"/>
    <s v="Jaipur"/>
    <x v="6"/>
    <x v="4"/>
    <x v="4"/>
    <x v="0"/>
    <n v="2"/>
    <n v="1398"/>
    <n v="0"/>
    <n v="1447"/>
    <n v="468.40000000000009"/>
    <n v="0.32370421561852114"/>
    <x v="5"/>
  </r>
  <r>
    <s v="ORD-10814"/>
    <s v="CUST1079"/>
    <d v="2025-07-20T00:00:00"/>
    <s v="P005"/>
    <s v="Running Shoes"/>
    <x v="4"/>
    <x v="7"/>
    <n v="2"/>
    <n v="2999"/>
    <n v="0"/>
    <n v="59"/>
    <s v="Gurgaon"/>
    <x v="0"/>
    <x v="1"/>
    <x v="2"/>
    <x v="2"/>
    <n v="2"/>
    <n v="5998"/>
    <n v="0"/>
    <n v="6057"/>
    <n v="1858.4000000000005"/>
    <n v="0.30681855704143973"/>
    <x v="10"/>
  </r>
  <r>
    <s v="ORD-10815"/>
    <s v="CUST1053"/>
    <d v="2025-09-30T00:00:00"/>
    <s v="P004"/>
    <s v="USB-C Hub"/>
    <x v="1"/>
    <x v="1"/>
    <n v="3"/>
    <n v="1299"/>
    <n v="0"/>
    <n v="99"/>
    <s v="Delhi"/>
    <x v="1"/>
    <x v="1"/>
    <x v="2"/>
    <x v="2"/>
    <n v="4"/>
    <n v="3897"/>
    <n v="0"/>
    <n v="3996"/>
    <n v="1268.1000000000004"/>
    <n v="0.31734234234234243"/>
    <x v="7"/>
  </r>
  <r>
    <s v="ORD-10816"/>
    <s v="CUST1103"/>
    <d v="2025-07-13T00:00:00"/>
    <s v="P001"/>
    <s v="Wireless Mouse"/>
    <x v="1"/>
    <x v="1"/>
    <n v="1"/>
    <n v="599"/>
    <n v="0.05"/>
    <n v="49"/>
    <s v="Kolkata"/>
    <x v="8"/>
    <x v="0"/>
    <x v="4"/>
    <x v="0"/>
    <n v="4"/>
    <n v="599"/>
    <n v="29.950000000000003"/>
    <n v="618.04999999999995"/>
    <n v="198.75"/>
    <n v="0.32157592427797105"/>
    <x v="10"/>
  </r>
  <r>
    <s v="ORD-10817"/>
    <s v="CUST1086"/>
    <d v="2025-04-09T00:00:00"/>
    <s v="P001"/>
    <s v="Wireless Mouse"/>
    <x v="1"/>
    <x v="1"/>
    <n v="1"/>
    <n v="599"/>
    <n v="0"/>
    <n v="0"/>
    <s v="Delhi"/>
    <x v="1"/>
    <x v="2"/>
    <x v="4"/>
    <x v="0"/>
    <n v="4"/>
    <n v="599"/>
    <n v="0"/>
    <n v="599"/>
    <n v="179.70000000000005"/>
    <n v="0.3000000000000001"/>
    <x v="1"/>
  </r>
  <r>
    <s v="ORD-10818"/>
    <s v="CUST1278"/>
    <d v="2025-06-15T00:00:00"/>
    <s v="P009"/>
    <s v="Water Bottle"/>
    <x v="2"/>
    <x v="3"/>
    <n v="3"/>
    <n v="699"/>
    <n v="0.15"/>
    <n v="49"/>
    <s v="Gurgaon"/>
    <x v="0"/>
    <x v="1"/>
    <x v="3"/>
    <x v="0"/>
    <n v="1"/>
    <n v="2097"/>
    <n v="314.55"/>
    <n v="1831.45"/>
    <n v="363.55000000000018"/>
    <n v="0.19850391766086989"/>
    <x v="3"/>
  </r>
  <r>
    <s v="ORD-10819"/>
    <s v="CUST1007"/>
    <d v="2025-06-15T00:00:00"/>
    <s v="P004"/>
    <s v="USB-C Hub"/>
    <x v="1"/>
    <x v="1"/>
    <n v="1"/>
    <n v="1299"/>
    <n v="0.2"/>
    <n v="59"/>
    <s v="Jaipur"/>
    <x v="6"/>
    <x v="1"/>
    <x v="1"/>
    <x v="1"/>
    <n v="4"/>
    <n v="1299"/>
    <n v="259.8"/>
    <n v="1098.2"/>
    <n v="188.90000000000009"/>
    <n v="0.17200874157712628"/>
    <x v="3"/>
  </r>
  <r>
    <s v="ORD-10820"/>
    <s v="CUST1112"/>
    <d v="2025-05-23T00:00:00"/>
    <s v="P004"/>
    <s v="USB-C Hub"/>
    <x v="1"/>
    <x v="1"/>
    <n v="2"/>
    <n v="1299"/>
    <n v="0"/>
    <n v="0"/>
    <s v="Gurgaon"/>
    <x v="0"/>
    <x v="1"/>
    <x v="2"/>
    <x v="0"/>
    <n v="3"/>
    <n v="2598"/>
    <n v="0"/>
    <n v="2598"/>
    <n v="779.40000000000009"/>
    <n v="0.30000000000000004"/>
    <x v="0"/>
  </r>
  <r>
    <s v="ORD-10821"/>
    <s v="CUST1049"/>
    <d v="2025-02-22T00:00:00"/>
    <s v="P010"/>
    <s v="Desk Lamp"/>
    <x v="2"/>
    <x v="2"/>
    <n v="5"/>
    <n v="1199"/>
    <n v="0"/>
    <n v="59"/>
    <s v="Hyderabad"/>
    <x v="7"/>
    <x v="4"/>
    <x v="2"/>
    <x v="3"/>
    <n v="3"/>
    <n v="5995"/>
    <n v="0"/>
    <n v="6054"/>
    <n v="1857.5"/>
    <n v="0.30682193591014206"/>
    <x v="9"/>
  </r>
  <r>
    <s v="ORD-10822"/>
    <s v="CUST1247"/>
    <d v="2025-12-22T00:00:00"/>
    <s v="P012"/>
    <s v="Office Chair"/>
    <x v="3"/>
    <x v="0"/>
    <n v="2"/>
    <n v="6499"/>
    <n v="0.2"/>
    <n v="59"/>
    <s v="Bengaluru"/>
    <x v="3"/>
    <x v="0"/>
    <x v="2"/>
    <x v="0"/>
    <n v="1"/>
    <n v="12998"/>
    <n v="2599.6000000000004"/>
    <n v="10457.4"/>
    <n v="1358.8000000000011"/>
    <n v="0.12993669554573806"/>
    <x v="11"/>
  </r>
  <r>
    <s v="ORD-10823"/>
    <s v="CUST1007"/>
    <d v="2025-09-19T00:00:00"/>
    <s v="P010"/>
    <s v="Desk Lamp"/>
    <x v="2"/>
    <x v="2"/>
    <n v="1"/>
    <n v="1199"/>
    <n v="0.15"/>
    <n v="99"/>
    <s v="Kolkata"/>
    <x v="8"/>
    <x v="2"/>
    <x v="4"/>
    <x v="0"/>
    <n v="5"/>
    <n v="1199"/>
    <n v="179.85"/>
    <n v="1118.1500000000001"/>
    <n v="278.85000000000014"/>
    <n v="0.24938514510575516"/>
    <x v="7"/>
  </r>
  <r>
    <s v="ORD-10824"/>
    <s v="CUST1192"/>
    <d v="2025-08-08T00:00:00"/>
    <s v="P002"/>
    <s v="Mechanical Keyboard"/>
    <x v="1"/>
    <x v="1"/>
    <n v="1"/>
    <n v="2499"/>
    <n v="0"/>
    <n v="49"/>
    <s v="Mumbai"/>
    <x v="2"/>
    <x v="1"/>
    <x v="2"/>
    <x v="0"/>
    <n v="2"/>
    <n v="2499"/>
    <n v="0"/>
    <n v="2548"/>
    <n v="798.7"/>
    <n v="0.31346153846153846"/>
    <x v="5"/>
  </r>
  <r>
    <s v="ORD-10825"/>
    <s v="CUST1169"/>
    <d v="2025-01-20T00:00:00"/>
    <s v="P003"/>
    <s v="Bluetooth Speaker"/>
    <x v="1"/>
    <x v="6"/>
    <n v="1"/>
    <n v="1799"/>
    <n v="0.15"/>
    <n v="79"/>
    <s v="Bengaluru"/>
    <x v="3"/>
    <x v="2"/>
    <x v="2"/>
    <x v="2"/>
    <n v="3"/>
    <n v="1799"/>
    <n v="269.84999999999997"/>
    <n v="1608.15"/>
    <n v="348.85000000000014"/>
    <n v="0.21692628175232417"/>
    <x v="2"/>
  </r>
  <r>
    <s v="ORD-10826"/>
    <s v="CUST1170"/>
    <d v="2025-08-01T00:00:00"/>
    <s v="P011"/>
    <s v="Notebook"/>
    <x v="0"/>
    <x v="0"/>
    <n v="2"/>
    <n v="249"/>
    <n v="0"/>
    <n v="49"/>
    <s v="Delhi"/>
    <x v="1"/>
    <x v="3"/>
    <x v="1"/>
    <x v="0"/>
    <n v="2"/>
    <n v="498"/>
    <n v="0"/>
    <n v="547"/>
    <n v="198.40000000000003"/>
    <n v="0.36270566727605125"/>
    <x v="5"/>
  </r>
  <r>
    <s v="ORD-10827"/>
    <s v="CUST1196"/>
    <d v="2025-12-07T00:00:00"/>
    <s v="P009"/>
    <s v="Water Bottle"/>
    <x v="2"/>
    <x v="3"/>
    <n v="4"/>
    <n v="699"/>
    <n v="0.2"/>
    <n v="49"/>
    <s v="Delhi"/>
    <x v="1"/>
    <x v="4"/>
    <x v="2"/>
    <x v="2"/>
    <n v="2"/>
    <n v="2796"/>
    <n v="559.20000000000005"/>
    <n v="2285.8000000000002"/>
    <n v="328.60000000000036"/>
    <n v="0.14375710910840858"/>
    <x v="11"/>
  </r>
  <r>
    <s v="ORD-10828"/>
    <s v="CUST1105"/>
    <d v="2025-09-09T00:00:00"/>
    <s v="P008"/>
    <s v="Smart Watch"/>
    <x v="1"/>
    <x v="4"/>
    <n v="1"/>
    <n v="3499"/>
    <n v="0.2"/>
    <n v="49"/>
    <s v="Delhi"/>
    <x v="1"/>
    <x v="2"/>
    <x v="4"/>
    <x v="0"/>
    <n v="2"/>
    <n v="3499"/>
    <n v="699.80000000000007"/>
    <n v="2848.2"/>
    <n v="398.90000000000009"/>
    <n v="0.14005336703883159"/>
    <x v="7"/>
  </r>
  <r>
    <s v="ORD-10829"/>
    <s v="CUST1160"/>
    <d v="2025-04-15T00:00:00"/>
    <s v="P010"/>
    <s v="Desk Lamp"/>
    <x v="2"/>
    <x v="2"/>
    <n v="3"/>
    <n v="1199"/>
    <n v="0.1"/>
    <n v="79"/>
    <s v="Chennai"/>
    <x v="4"/>
    <x v="2"/>
    <x v="1"/>
    <x v="0"/>
    <n v="2"/>
    <n v="3597"/>
    <n v="359.70000000000005"/>
    <n v="3316.3"/>
    <n v="798.40000000000055"/>
    <n v="0.24075023369417739"/>
    <x v="1"/>
  </r>
  <r>
    <s v="ORD-10830"/>
    <s v="CUST1140"/>
    <d v="2025-06-05T00:00:00"/>
    <s v="P007"/>
    <s v="Backpack"/>
    <x v="4"/>
    <x v="5"/>
    <n v="2"/>
    <n v="1499"/>
    <n v="0.2"/>
    <n v="49"/>
    <s v="Noida"/>
    <x v="5"/>
    <x v="1"/>
    <x v="4"/>
    <x v="1"/>
    <n v="3"/>
    <n v="2998"/>
    <n v="599.6"/>
    <n v="2447.4"/>
    <n v="348.80000000000018"/>
    <n v="0.14251859115796361"/>
    <x v="3"/>
  </r>
  <r>
    <s v="ORD-10831"/>
    <s v="CUST1080"/>
    <d v="2025-08-14T00:00:00"/>
    <s v="P007"/>
    <s v="Backpack"/>
    <x v="4"/>
    <x v="5"/>
    <n v="1"/>
    <n v="1499"/>
    <n v="0.2"/>
    <n v="79"/>
    <s v="Bengaluru"/>
    <x v="3"/>
    <x v="1"/>
    <x v="4"/>
    <x v="3"/>
    <n v="3"/>
    <n v="1499"/>
    <n v="299.8"/>
    <n v="1278.2"/>
    <n v="228.90000000000009"/>
    <n v="0.17907995618838998"/>
    <x v="5"/>
  </r>
  <r>
    <s v="ORD-10832"/>
    <s v="CUST1132"/>
    <d v="2025-06-03T00:00:00"/>
    <s v="P007"/>
    <s v="Backpack"/>
    <x v="4"/>
    <x v="5"/>
    <n v="3"/>
    <n v="1499"/>
    <n v="0.15"/>
    <n v="49"/>
    <s v="Bengaluru"/>
    <x v="3"/>
    <x v="1"/>
    <x v="3"/>
    <x v="0"/>
    <n v="3"/>
    <n v="4497"/>
    <n v="674.55"/>
    <n v="3871.45"/>
    <n v="723.55000000000018"/>
    <n v="0.18689379948081475"/>
    <x v="3"/>
  </r>
  <r>
    <s v="ORD-10833"/>
    <s v="CUST1101"/>
    <d v="2025-11-07T00:00:00"/>
    <s v="P008"/>
    <s v="Smart Watch"/>
    <x v="1"/>
    <x v="4"/>
    <n v="1"/>
    <n v="3499"/>
    <n v="0"/>
    <n v="79"/>
    <s v="Mumbai"/>
    <x v="2"/>
    <x v="2"/>
    <x v="1"/>
    <x v="0"/>
    <n v="1"/>
    <n v="3499"/>
    <n v="0"/>
    <n v="3578"/>
    <n v="1128.7000000000003"/>
    <n v="0.31545556176634998"/>
    <x v="4"/>
  </r>
  <r>
    <s v="ORD-10834"/>
    <s v="CUST1197"/>
    <d v="2025-07-11T00:00:00"/>
    <s v="P001"/>
    <s v="Wireless Mouse"/>
    <x v="1"/>
    <x v="1"/>
    <n v="2"/>
    <n v="599"/>
    <n v="0.1"/>
    <n v="59"/>
    <s v="Chennai"/>
    <x v="4"/>
    <x v="1"/>
    <x v="2"/>
    <x v="1"/>
    <n v="3"/>
    <n v="1198"/>
    <n v="119.80000000000001"/>
    <n v="1137.2"/>
    <n v="298.60000000000014"/>
    <n v="0.26257474498768918"/>
    <x v="10"/>
  </r>
  <r>
    <s v="ORD-10835"/>
    <s v="CUST1224"/>
    <d v="2025-01-20T00:00:00"/>
    <s v="P010"/>
    <s v="Desk Lamp"/>
    <x v="2"/>
    <x v="2"/>
    <n v="1"/>
    <n v="1199"/>
    <n v="0"/>
    <n v="49"/>
    <s v="Gurgaon"/>
    <x v="0"/>
    <x v="3"/>
    <x v="2"/>
    <x v="3"/>
    <n v="5"/>
    <n v="1199"/>
    <n v="0"/>
    <n v="1248"/>
    <n v="408.70000000000005"/>
    <n v="0.32748397435897442"/>
    <x v="2"/>
  </r>
  <r>
    <s v="ORD-10836"/>
    <s v="CUST1127"/>
    <d v="2025-07-08T00:00:00"/>
    <s v="P012"/>
    <s v="Office Chair"/>
    <x v="3"/>
    <x v="0"/>
    <n v="2"/>
    <n v="6499"/>
    <n v="0.1"/>
    <n v="79"/>
    <s v="Hyderabad"/>
    <x v="7"/>
    <x v="2"/>
    <x v="3"/>
    <x v="2"/>
    <n v="1"/>
    <n v="12998"/>
    <n v="1299.8000000000002"/>
    <n v="11777.2"/>
    <n v="2678.6000000000022"/>
    <n v="0.22743945929422971"/>
    <x v="10"/>
  </r>
  <r>
    <s v="ORD-10837"/>
    <s v="CUST1131"/>
    <d v="2025-11-27T00:00:00"/>
    <s v="P006"/>
    <s v="Cotton T-Shirt"/>
    <x v="4"/>
    <x v="8"/>
    <n v="2"/>
    <n v="799"/>
    <n v="0.1"/>
    <n v="49"/>
    <s v="Delhi"/>
    <x v="1"/>
    <x v="2"/>
    <x v="0"/>
    <x v="3"/>
    <n v="5"/>
    <n v="1598"/>
    <n v="159.80000000000001"/>
    <n v="1487.2"/>
    <n v="368.60000000000014"/>
    <n v="0.24784830554061332"/>
    <x v="4"/>
  </r>
  <r>
    <s v="ORD-10838"/>
    <s v="CUST1042"/>
    <d v="2025-02-17T00:00:00"/>
    <s v="P011"/>
    <s v="Notebook"/>
    <x v="0"/>
    <x v="0"/>
    <n v="1"/>
    <n v="249"/>
    <n v="0.1"/>
    <n v="99"/>
    <s v="Noida"/>
    <x v="5"/>
    <x v="4"/>
    <x v="1"/>
    <x v="1"/>
    <n v="4"/>
    <n v="249"/>
    <n v="24.900000000000002"/>
    <n v="323.10000000000002"/>
    <n v="148.80000000000004"/>
    <n v="0.46053853296193137"/>
    <x v="9"/>
  </r>
  <r>
    <s v="ORD-10839"/>
    <s v="CUST1158"/>
    <d v="2025-06-04T00:00:00"/>
    <s v="P003"/>
    <s v="Bluetooth Speaker"/>
    <x v="1"/>
    <x v="6"/>
    <n v="1"/>
    <n v="1799"/>
    <n v="0.1"/>
    <n v="99"/>
    <s v="Bengaluru"/>
    <x v="3"/>
    <x v="1"/>
    <x v="4"/>
    <x v="2"/>
    <n v="1"/>
    <n v="1799"/>
    <n v="179.9"/>
    <n v="1718.1"/>
    <n v="458.79999999999995"/>
    <n v="0.26703917117746345"/>
    <x v="3"/>
  </r>
  <r>
    <s v="ORD-10840"/>
    <s v="CUST1158"/>
    <d v="2025-06-26T00:00:00"/>
    <s v="P011"/>
    <s v="Notebook"/>
    <x v="0"/>
    <x v="0"/>
    <n v="3"/>
    <n v="249"/>
    <n v="0"/>
    <n v="79"/>
    <s v="Kolkata"/>
    <x v="8"/>
    <x v="0"/>
    <x v="1"/>
    <x v="2"/>
    <n v="3"/>
    <n v="747"/>
    <n v="0"/>
    <n v="826"/>
    <n v="303.10000000000002"/>
    <n v="0.36694915254237293"/>
    <x v="3"/>
  </r>
  <r>
    <s v="ORD-10841"/>
    <s v="CUST1221"/>
    <d v="2025-12-23T00:00:00"/>
    <s v="P008"/>
    <s v="Smart Watch"/>
    <x v="1"/>
    <x v="4"/>
    <n v="1"/>
    <n v="3499"/>
    <n v="0.2"/>
    <n v="59"/>
    <s v="Delhi"/>
    <x v="1"/>
    <x v="2"/>
    <x v="1"/>
    <x v="1"/>
    <n v="3"/>
    <n v="3499"/>
    <n v="699.80000000000007"/>
    <n v="2858.2"/>
    <n v="408.90000000000009"/>
    <n v="0.14306206703519703"/>
    <x v="11"/>
  </r>
  <r>
    <s v="ORD-10842"/>
    <s v="CUST1096"/>
    <d v="2025-04-04T00:00:00"/>
    <s v="P003"/>
    <s v="Bluetooth Speaker"/>
    <x v="1"/>
    <x v="6"/>
    <n v="1"/>
    <n v="1799"/>
    <n v="0.15"/>
    <n v="49"/>
    <s v="Noida"/>
    <x v="5"/>
    <x v="2"/>
    <x v="4"/>
    <x v="1"/>
    <n v="3"/>
    <n v="1799"/>
    <n v="269.84999999999997"/>
    <n v="1578.15"/>
    <n v="318.85000000000014"/>
    <n v="0.20204036371701051"/>
    <x v="1"/>
  </r>
  <r>
    <s v="ORD-10843"/>
    <s v="CUST1041"/>
    <d v="2025-07-29T00:00:00"/>
    <s v="P003"/>
    <s v="Bluetooth Speaker"/>
    <x v="1"/>
    <x v="6"/>
    <n v="1"/>
    <n v="1799"/>
    <n v="0"/>
    <n v="49"/>
    <s v="Jaipur"/>
    <x v="6"/>
    <x v="3"/>
    <x v="4"/>
    <x v="3"/>
    <n v="4"/>
    <n v="1799"/>
    <n v="0"/>
    <n v="1848"/>
    <n v="588.70000000000005"/>
    <n v="0.3185606060606061"/>
    <x v="10"/>
  </r>
  <r>
    <s v="ORD-10844"/>
    <s v="CUST1005"/>
    <d v="2025-01-16T00:00:00"/>
    <s v="P002"/>
    <s v="Mechanical Keyboard"/>
    <x v="1"/>
    <x v="1"/>
    <n v="1"/>
    <n v="2499"/>
    <n v="0.1"/>
    <n v="0"/>
    <s v="Mumbai"/>
    <x v="2"/>
    <x v="0"/>
    <x v="2"/>
    <x v="1"/>
    <n v="3"/>
    <n v="2499"/>
    <n v="249.9"/>
    <n v="2249.1"/>
    <n v="499.79999999999995"/>
    <n v="0.22222222222222221"/>
    <x v="2"/>
  </r>
  <r>
    <s v="ORD-10845"/>
    <s v="CUST1267"/>
    <d v="2025-01-22T00:00:00"/>
    <s v="P001"/>
    <s v="Wireless Mouse"/>
    <x v="1"/>
    <x v="1"/>
    <n v="3"/>
    <n v="599"/>
    <n v="0"/>
    <n v="79"/>
    <s v="Kolkata"/>
    <x v="8"/>
    <x v="3"/>
    <x v="3"/>
    <x v="3"/>
    <n v="4"/>
    <n v="1797"/>
    <n v="0"/>
    <n v="1876"/>
    <n v="618.10000000000014"/>
    <n v="0.32947761194029856"/>
    <x v="2"/>
  </r>
  <r>
    <s v="ORD-10846"/>
    <s v="CUST1185"/>
    <d v="2025-07-09T00:00:00"/>
    <s v="P006"/>
    <s v="Cotton T-Shirt"/>
    <x v="4"/>
    <x v="8"/>
    <n v="1"/>
    <n v="799"/>
    <n v="0.05"/>
    <n v="49"/>
    <s v="Kolkata"/>
    <x v="8"/>
    <x v="1"/>
    <x v="3"/>
    <x v="0"/>
    <n v="5"/>
    <n v="799"/>
    <n v="39.950000000000003"/>
    <n v="808.05"/>
    <n v="248.75"/>
    <n v="0.3078398613947157"/>
    <x v="10"/>
  </r>
  <r>
    <s v="ORD-10847"/>
    <s v="CUST1014"/>
    <d v="2025-02-21T00:00:00"/>
    <s v="P001"/>
    <s v="Wireless Mouse"/>
    <x v="1"/>
    <x v="1"/>
    <n v="3"/>
    <n v="599"/>
    <n v="0.1"/>
    <n v="49"/>
    <s v="Pune"/>
    <x v="2"/>
    <x v="4"/>
    <x v="4"/>
    <x v="2"/>
    <n v="3"/>
    <n v="1797"/>
    <n v="179.70000000000002"/>
    <n v="1666.3"/>
    <n v="408.40000000000009"/>
    <n v="0.24509392066254582"/>
    <x v="9"/>
  </r>
  <r>
    <s v="ORD-10848"/>
    <s v="CUST1264"/>
    <d v="2025-05-08T00:00:00"/>
    <s v="P009"/>
    <s v="Water Bottle"/>
    <x v="2"/>
    <x v="3"/>
    <n v="4"/>
    <n v="699"/>
    <n v="0.2"/>
    <n v="79"/>
    <s v="Mumbai"/>
    <x v="2"/>
    <x v="1"/>
    <x v="1"/>
    <x v="3"/>
    <n v="1"/>
    <n v="2796"/>
    <n v="559.20000000000005"/>
    <n v="2315.8000000000002"/>
    <n v="358.60000000000036"/>
    <n v="0.15484929613956314"/>
    <x v="0"/>
  </r>
  <r>
    <s v="ORD-10849"/>
    <s v="CUST1120"/>
    <d v="2025-07-04T00:00:00"/>
    <s v="P011"/>
    <s v="Notebook"/>
    <x v="0"/>
    <x v="0"/>
    <n v="1"/>
    <n v="249"/>
    <n v="0.05"/>
    <n v="79"/>
    <s v="Pune"/>
    <x v="2"/>
    <x v="4"/>
    <x v="3"/>
    <x v="2"/>
    <n v="4"/>
    <n v="249"/>
    <n v="12.450000000000001"/>
    <n v="315.55"/>
    <n v="141.25000000000003"/>
    <n v="0.44763112026620194"/>
    <x v="10"/>
  </r>
  <r>
    <s v="ORD-10850"/>
    <s v="CUST1198"/>
    <d v="2025-06-28T00:00:00"/>
    <s v="P012"/>
    <s v="Office Chair"/>
    <x v="3"/>
    <x v="0"/>
    <n v="3"/>
    <n v="6499"/>
    <n v="0.2"/>
    <n v="0"/>
    <s v="Kolkata"/>
    <x v="8"/>
    <x v="3"/>
    <x v="0"/>
    <x v="1"/>
    <n v="2"/>
    <n v="19497"/>
    <n v="3899.4"/>
    <n v="15597.6"/>
    <n v="1949.7000000000007"/>
    <n v="0.12500000000000006"/>
    <x v="3"/>
  </r>
  <r>
    <s v="ORD-10851"/>
    <s v="CUST1045"/>
    <d v="2025-10-20T00:00:00"/>
    <s v="P012"/>
    <s v="Office Chair"/>
    <x v="3"/>
    <x v="0"/>
    <n v="3"/>
    <n v="6499"/>
    <n v="0"/>
    <n v="79"/>
    <s v="Noida"/>
    <x v="5"/>
    <x v="3"/>
    <x v="0"/>
    <x v="0"/>
    <n v="3"/>
    <n v="19497"/>
    <n v="0"/>
    <n v="19576"/>
    <n v="5928.1"/>
    <n v="0.30282488761749082"/>
    <x v="8"/>
  </r>
  <r>
    <s v="ORD-10852"/>
    <s v="CUST1109"/>
    <d v="2025-03-01T00:00:00"/>
    <s v="P008"/>
    <s v="Smart Watch"/>
    <x v="1"/>
    <x v="4"/>
    <n v="3"/>
    <n v="3499"/>
    <n v="0"/>
    <n v="49"/>
    <s v="Noida"/>
    <x v="5"/>
    <x v="2"/>
    <x v="4"/>
    <x v="3"/>
    <n v="1"/>
    <n v="10497"/>
    <n v="0"/>
    <n v="10546"/>
    <n v="3198.1000000000004"/>
    <n v="0.30325241797838048"/>
    <x v="6"/>
  </r>
  <r>
    <s v="ORD-10853"/>
    <s v="CUST1244"/>
    <d v="2025-06-17T00:00:00"/>
    <s v="P007"/>
    <s v="Backpack"/>
    <x v="4"/>
    <x v="5"/>
    <n v="1"/>
    <n v="1499"/>
    <n v="0"/>
    <n v="59"/>
    <s v="Delhi"/>
    <x v="1"/>
    <x v="0"/>
    <x v="1"/>
    <x v="0"/>
    <n v="5"/>
    <n v="1499"/>
    <n v="0"/>
    <n v="1558"/>
    <n v="508.70000000000005"/>
    <n v="0.32650834403080875"/>
    <x v="3"/>
  </r>
  <r>
    <s v="ORD-10854"/>
    <s v="CUST1034"/>
    <d v="2025-12-21T00:00:00"/>
    <s v="P011"/>
    <s v="Notebook"/>
    <x v="0"/>
    <x v="0"/>
    <n v="1"/>
    <n v="249"/>
    <n v="0.15"/>
    <n v="99"/>
    <s v="Hyderabad"/>
    <x v="7"/>
    <x v="3"/>
    <x v="3"/>
    <x v="0"/>
    <n v="3"/>
    <n v="249"/>
    <n v="37.35"/>
    <n v="310.64999999999998"/>
    <n v="136.35"/>
    <n v="0.43891839690970547"/>
    <x v="11"/>
  </r>
  <r>
    <s v="ORD-10855"/>
    <s v="CUST1060"/>
    <d v="2025-10-15T00:00:00"/>
    <s v="P012"/>
    <s v="Office Chair"/>
    <x v="3"/>
    <x v="0"/>
    <n v="2"/>
    <n v="6499"/>
    <n v="0"/>
    <n v="59"/>
    <s v="Bengaluru"/>
    <x v="3"/>
    <x v="3"/>
    <x v="4"/>
    <x v="0"/>
    <n v="1"/>
    <n v="12998"/>
    <n v="0"/>
    <n v="13057"/>
    <n v="3958.4000000000015"/>
    <n v="0.30316305430037538"/>
    <x v="8"/>
  </r>
  <r>
    <s v="ORD-10856"/>
    <s v="CUST1161"/>
    <d v="2025-04-07T00:00:00"/>
    <s v="P002"/>
    <s v="Mechanical Keyboard"/>
    <x v="1"/>
    <x v="1"/>
    <n v="2"/>
    <n v="2499"/>
    <n v="0.05"/>
    <n v="49"/>
    <s v="Pune"/>
    <x v="2"/>
    <x v="1"/>
    <x v="0"/>
    <x v="3"/>
    <n v="3"/>
    <n v="4998"/>
    <n v="249.9"/>
    <n v="4797.1000000000004"/>
    <n v="1298.5000000000005"/>
    <n v="0.27068437180796739"/>
    <x v="1"/>
  </r>
  <r>
    <s v="ORD-10857"/>
    <s v="CUST1187"/>
    <d v="2025-10-02T00:00:00"/>
    <s v="P001"/>
    <s v="Wireless Mouse"/>
    <x v="1"/>
    <x v="1"/>
    <n v="1"/>
    <n v="599"/>
    <n v="0.1"/>
    <n v="59"/>
    <s v="Mumbai"/>
    <x v="2"/>
    <x v="2"/>
    <x v="0"/>
    <x v="1"/>
    <n v="3"/>
    <n v="599"/>
    <n v="59.900000000000006"/>
    <n v="598.1"/>
    <n v="178.80000000000007"/>
    <n v="0.29894666443738516"/>
    <x v="8"/>
  </r>
  <r>
    <s v="ORD-10858"/>
    <s v="CUST1152"/>
    <d v="2025-07-22T00:00:00"/>
    <s v="P010"/>
    <s v="Desk Lamp"/>
    <x v="2"/>
    <x v="2"/>
    <n v="1"/>
    <n v="1199"/>
    <n v="0.05"/>
    <n v="49"/>
    <s v="Kolkata"/>
    <x v="8"/>
    <x v="2"/>
    <x v="3"/>
    <x v="1"/>
    <n v="3"/>
    <n v="1199"/>
    <n v="59.95"/>
    <n v="1188.05"/>
    <n v="348.75"/>
    <n v="0.29354825133622325"/>
    <x v="10"/>
  </r>
  <r>
    <s v="ORD-10859"/>
    <s v="CUST1164"/>
    <d v="2025-03-16T00:00:00"/>
    <s v="P008"/>
    <s v="Smart Watch"/>
    <x v="1"/>
    <x v="4"/>
    <n v="2"/>
    <n v="3499"/>
    <n v="0"/>
    <n v="99"/>
    <s v="Noida"/>
    <x v="5"/>
    <x v="3"/>
    <x v="0"/>
    <x v="2"/>
    <n v="3"/>
    <n v="6998"/>
    <n v="0"/>
    <n v="7097"/>
    <n v="2198.4000000000005"/>
    <n v="0.30976468930534035"/>
    <x v="6"/>
  </r>
  <r>
    <s v="ORD-10860"/>
    <s v="CUST1150"/>
    <d v="2025-12-28T00:00:00"/>
    <s v="P002"/>
    <s v="Mechanical Keyboard"/>
    <x v="1"/>
    <x v="1"/>
    <n v="5"/>
    <n v="2499"/>
    <n v="0"/>
    <n v="79"/>
    <s v="Mumbai"/>
    <x v="2"/>
    <x v="1"/>
    <x v="4"/>
    <x v="2"/>
    <n v="3"/>
    <n v="12495"/>
    <n v="0"/>
    <n v="12574"/>
    <n v="3827.5"/>
    <n v="0.30439796405280739"/>
    <x v="11"/>
  </r>
  <r>
    <s v="ORD-10861"/>
    <s v="CUST1092"/>
    <d v="2025-04-18T00:00:00"/>
    <s v="P006"/>
    <s v="Cotton T-Shirt"/>
    <x v="4"/>
    <x v="8"/>
    <n v="3"/>
    <n v="799"/>
    <n v="0.2"/>
    <n v="0"/>
    <s v="Noida"/>
    <x v="5"/>
    <x v="1"/>
    <x v="3"/>
    <x v="0"/>
    <n v="3"/>
    <n v="2397"/>
    <n v="479.40000000000003"/>
    <n v="1917.6"/>
    <n v="239.70000000000005"/>
    <n v="0.12500000000000003"/>
    <x v="1"/>
  </r>
  <r>
    <s v="ORD-10862"/>
    <s v="CUST1179"/>
    <d v="2025-10-08T00:00:00"/>
    <s v="P011"/>
    <s v="Notebook"/>
    <x v="0"/>
    <x v="0"/>
    <n v="5"/>
    <n v="249"/>
    <n v="0.2"/>
    <n v="79"/>
    <s v="Noida"/>
    <x v="5"/>
    <x v="1"/>
    <x v="3"/>
    <x v="1"/>
    <n v="1"/>
    <n v="1245"/>
    <n v="249"/>
    <n v="1075"/>
    <n v="203.5"/>
    <n v="0.18930232558139534"/>
    <x v="8"/>
  </r>
  <r>
    <s v="ORD-10863"/>
    <s v="CUST1068"/>
    <d v="2025-04-10T00:00:00"/>
    <s v="P009"/>
    <s v="Water Bottle"/>
    <x v="2"/>
    <x v="3"/>
    <n v="1"/>
    <n v="2017"/>
    <n v="0.1"/>
    <n v="0"/>
    <s v="Mumbai"/>
    <x v="2"/>
    <x v="3"/>
    <x v="0"/>
    <x v="3"/>
    <n v="3"/>
    <n v="2017"/>
    <n v="201.70000000000002"/>
    <n v="1815.3"/>
    <n v="403.40000000000009"/>
    <n v="0.22222222222222227"/>
    <x v="1"/>
  </r>
  <r>
    <s v="ORD-10864"/>
    <s v="CUST1150"/>
    <d v="2025-03-25T00:00:00"/>
    <s v="P001"/>
    <s v="Wireless Mouse"/>
    <x v="1"/>
    <x v="1"/>
    <n v="2"/>
    <n v="599"/>
    <n v="0.2"/>
    <n v="79"/>
    <s v="Mumbai"/>
    <x v="2"/>
    <x v="2"/>
    <x v="1"/>
    <x v="1"/>
    <n v="2"/>
    <n v="1198"/>
    <n v="239.60000000000002"/>
    <n v="1037.4000000000001"/>
    <n v="198.80000000000018"/>
    <n v="0.19163292847503391"/>
    <x v="6"/>
  </r>
  <r>
    <s v="ORD-10865"/>
    <s v="CUST1193"/>
    <d v="2025-01-05T00:00:00"/>
    <s v="P012"/>
    <s v="Office Chair"/>
    <x v="3"/>
    <x v="0"/>
    <n v="2"/>
    <n v="6499"/>
    <n v="0"/>
    <n v="49"/>
    <s v="Jaipur"/>
    <x v="6"/>
    <x v="1"/>
    <x v="1"/>
    <x v="3"/>
    <n v="1"/>
    <n v="12998"/>
    <n v="0"/>
    <n v="13047"/>
    <n v="3948.4000000000015"/>
    <n v="0.30262895684831775"/>
    <x v="2"/>
  </r>
  <r>
    <s v="ORD-10866"/>
    <s v="CUST1223"/>
    <d v="2025-04-02T00:00:00"/>
    <s v="P002"/>
    <s v="Mechanical Keyboard"/>
    <x v="1"/>
    <x v="1"/>
    <n v="1"/>
    <n v="2499"/>
    <n v="0.2"/>
    <n v="59"/>
    <s v="Pune"/>
    <x v="2"/>
    <x v="2"/>
    <x v="3"/>
    <x v="3"/>
    <n v="2"/>
    <n v="2499"/>
    <n v="499.8"/>
    <n v="2058.1999999999998"/>
    <n v="308.89999999999986"/>
    <n v="0.15008259644349425"/>
    <x v="1"/>
  </r>
  <r>
    <s v="ORD-10867"/>
    <s v="CUST1046"/>
    <d v="2025-09-08T00:00:00"/>
    <s v="P001"/>
    <s v="Wireless Mouse"/>
    <x v="1"/>
    <x v="1"/>
    <n v="1"/>
    <n v="599"/>
    <n v="0"/>
    <n v="79"/>
    <s v="Gurgaon"/>
    <x v="0"/>
    <x v="1"/>
    <x v="3"/>
    <x v="3"/>
    <n v="3"/>
    <n v="599"/>
    <n v="0"/>
    <n v="678"/>
    <n v="258.70000000000005"/>
    <n v="0.38156342182890862"/>
    <x v="7"/>
  </r>
  <r>
    <s v="ORD-10868"/>
    <s v="CUST1116"/>
    <d v="2025-03-03T00:00:00"/>
    <s v="P011"/>
    <s v="Notebook"/>
    <x v="0"/>
    <x v="0"/>
    <n v="1"/>
    <n v="249"/>
    <n v="0.1"/>
    <n v="99"/>
    <s v="Hyderabad"/>
    <x v="7"/>
    <x v="0"/>
    <x v="0"/>
    <x v="0"/>
    <n v="5"/>
    <n v="249"/>
    <n v="24.900000000000002"/>
    <n v="323.10000000000002"/>
    <n v="148.80000000000004"/>
    <n v="0.46053853296193137"/>
    <x v="6"/>
  </r>
  <r>
    <s v="ORD-10869"/>
    <s v="CUST1153"/>
    <d v="2025-02-18T00:00:00"/>
    <s v="P010"/>
    <s v="Desk Lamp"/>
    <x v="2"/>
    <x v="2"/>
    <n v="1"/>
    <n v="1199"/>
    <n v="0.1"/>
    <n v="79"/>
    <s v="Hyderabad"/>
    <x v="7"/>
    <x v="4"/>
    <x v="1"/>
    <x v="1"/>
    <n v="1"/>
    <n v="1199"/>
    <n v="119.9"/>
    <n v="1158.0999999999999"/>
    <n v="318.79999999999995"/>
    <n v="0.27527847336154043"/>
    <x v="9"/>
  </r>
  <r>
    <s v="ORD-10870"/>
    <s v="CUST1285"/>
    <d v="2025-10-03T00:00:00"/>
    <s v="P006"/>
    <s v="Cotton T-Shirt"/>
    <x v="4"/>
    <x v="8"/>
    <n v="2"/>
    <n v="799"/>
    <n v="0"/>
    <n v="79"/>
    <s v="Gurgaon"/>
    <x v="0"/>
    <x v="4"/>
    <x v="0"/>
    <x v="2"/>
    <n v="4"/>
    <n v="1598"/>
    <n v="0"/>
    <n v="1677"/>
    <n v="558.40000000000009"/>
    <n v="0.33297555158020281"/>
    <x v="8"/>
  </r>
  <r>
    <s v="ORD-10871"/>
    <s v="CUST1061"/>
    <d v="2025-10-03T00:00:00"/>
    <s v="P002"/>
    <s v="Mechanical Keyboard"/>
    <x v="1"/>
    <x v="1"/>
    <n v="3"/>
    <n v="2499"/>
    <n v="0"/>
    <n v="49"/>
    <s v="Chennai"/>
    <x v="4"/>
    <x v="2"/>
    <x v="0"/>
    <x v="2"/>
    <n v="3"/>
    <n v="7497"/>
    <n v="0"/>
    <n v="7546"/>
    <n v="2298.1000000000004"/>
    <n v="0.30454545454545462"/>
    <x v="8"/>
  </r>
  <r>
    <s v="ORD-10872"/>
    <s v="CUST1083"/>
    <d v="2025-06-10T00:00:00"/>
    <s v="P003"/>
    <s v="Bluetooth Speaker"/>
    <x v="1"/>
    <x v="6"/>
    <n v="2"/>
    <n v="1799"/>
    <n v="0.15"/>
    <n v="49"/>
    <s v="Delhi"/>
    <x v="1"/>
    <x v="0"/>
    <x v="0"/>
    <x v="0"/>
    <n v="3"/>
    <n v="3598"/>
    <n v="539.69999999999993"/>
    <n v="3107.3"/>
    <n v="588.70000000000027"/>
    <n v="0.18945708492903815"/>
    <x v="3"/>
  </r>
  <r>
    <s v="ORD-10873"/>
    <s v="CUST1001"/>
    <d v="2025-09-17T00:00:00"/>
    <s v="P001"/>
    <s v="Wireless Mouse"/>
    <x v="1"/>
    <x v="1"/>
    <n v="5"/>
    <n v="599"/>
    <n v="0"/>
    <n v="79"/>
    <s v="Gurgaon"/>
    <x v="0"/>
    <x v="2"/>
    <x v="2"/>
    <x v="3"/>
    <n v="1"/>
    <n v="2995"/>
    <n v="0"/>
    <n v="3074"/>
    <n v="977.5"/>
    <n v="0.31798959011060507"/>
    <x v="7"/>
  </r>
  <r>
    <s v="ORD-10874"/>
    <s v="CUST1268"/>
    <d v="2025-08-16T00:00:00"/>
    <s v="P009"/>
    <s v="Water Bottle"/>
    <x v="2"/>
    <x v="3"/>
    <n v="2"/>
    <n v="699"/>
    <n v="0.2"/>
    <n v="59"/>
    <s v="Mumbai"/>
    <x v="2"/>
    <x v="3"/>
    <x v="0"/>
    <x v="1"/>
    <n v="5"/>
    <n v="1398"/>
    <n v="279.60000000000002"/>
    <n v="1177.4000000000001"/>
    <n v="198.80000000000018"/>
    <n v="0.16884661117717017"/>
    <x v="5"/>
  </r>
  <r>
    <s v="ORD-10875"/>
    <s v="CUST1154"/>
    <d v="2025-12-06T00:00:00"/>
    <s v="P009"/>
    <s v="Water Bottle"/>
    <x v="2"/>
    <x v="3"/>
    <n v="2"/>
    <n v="699"/>
    <n v="0"/>
    <n v="49"/>
    <s v="Jaipur"/>
    <x v="6"/>
    <x v="2"/>
    <x v="1"/>
    <x v="0"/>
    <n v="5"/>
    <n v="1398"/>
    <n v="0"/>
    <n v="1447"/>
    <n v="468.40000000000009"/>
    <n v="0.32370421561852114"/>
    <x v="11"/>
  </r>
  <r>
    <s v="ORD-10876"/>
    <s v="CUST1282"/>
    <d v="2025-05-23T00:00:00"/>
    <s v="P009"/>
    <s v="Water Bottle"/>
    <x v="2"/>
    <x v="3"/>
    <n v="2"/>
    <n v="699"/>
    <n v="0.1"/>
    <n v="0"/>
    <s v="Jaipur"/>
    <x v="6"/>
    <x v="3"/>
    <x v="2"/>
    <x v="3"/>
    <n v="4"/>
    <n v="1398"/>
    <n v="139.80000000000001"/>
    <n v="1258.2"/>
    <n v="279.60000000000014"/>
    <n v="0.22222222222222232"/>
    <x v="0"/>
  </r>
  <r>
    <s v="ORD-10877"/>
    <s v="CUST1275"/>
    <d v="2025-02-12T00:00:00"/>
    <s v="P011"/>
    <s v="Notebook"/>
    <x v="0"/>
    <x v="0"/>
    <n v="1"/>
    <n v="249"/>
    <n v="0.2"/>
    <n v="49"/>
    <s v="Noida"/>
    <x v="5"/>
    <x v="2"/>
    <x v="4"/>
    <x v="1"/>
    <n v="3"/>
    <n v="249"/>
    <n v="49.800000000000004"/>
    <n v="248.2"/>
    <n v="73.900000000000006"/>
    <n v="0.2977437550362611"/>
    <x v="9"/>
  </r>
  <r>
    <s v="ORD-10878"/>
    <s v="CUST1262"/>
    <d v="2025-12-23T00:00:00"/>
    <s v="P012"/>
    <s v="Office Chair"/>
    <x v="3"/>
    <x v="0"/>
    <n v="5"/>
    <n v="6499"/>
    <n v="0.05"/>
    <n v="99"/>
    <s v="Mumbai"/>
    <x v="2"/>
    <x v="4"/>
    <x v="1"/>
    <x v="2"/>
    <n v="4"/>
    <n v="32495"/>
    <n v="1624.75"/>
    <n v="30969.25"/>
    <n v="8222.75"/>
    <n v="0.26551337213526321"/>
    <x v="11"/>
  </r>
  <r>
    <s v="ORD-10879"/>
    <s v="CUST1139"/>
    <d v="2025-08-11T00:00:00"/>
    <s v="P003"/>
    <s v="Bluetooth Speaker"/>
    <x v="1"/>
    <x v="6"/>
    <n v="5"/>
    <n v="1799"/>
    <n v="0"/>
    <n v="0"/>
    <s v="Pune"/>
    <x v="2"/>
    <x v="0"/>
    <x v="0"/>
    <x v="3"/>
    <n v="1"/>
    <n v="8995"/>
    <n v="0"/>
    <n v="8995"/>
    <n v="2698.5"/>
    <n v="0.3"/>
    <x v="5"/>
  </r>
  <r>
    <s v="ORD-10880"/>
    <s v="CUST1075"/>
    <d v="2025-06-18T00:00:00"/>
    <s v="P011"/>
    <s v="Notebook"/>
    <x v="0"/>
    <x v="0"/>
    <n v="1"/>
    <n v="249"/>
    <n v="0.05"/>
    <n v="59"/>
    <s v="Chennai"/>
    <x v="4"/>
    <x v="2"/>
    <x v="2"/>
    <x v="0"/>
    <n v="1"/>
    <n v="249"/>
    <n v="12.450000000000001"/>
    <n v="295.55"/>
    <n v="121.25000000000003"/>
    <n v="0.41025207240737616"/>
    <x v="3"/>
  </r>
  <r>
    <s v="ORD-10881"/>
    <s v="CUST1157"/>
    <d v="2025-04-24T00:00:00"/>
    <s v="P002"/>
    <s v="Mechanical Keyboard"/>
    <x v="1"/>
    <x v="1"/>
    <n v="5"/>
    <n v="2499"/>
    <n v="0"/>
    <n v="99"/>
    <s v="Bengaluru"/>
    <x v="3"/>
    <x v="4"/>
    <x v="3"/>
    <x v="0"/>
    <n v="1"/>
    <n v="12495"/>
    <n v="0"/>
    <n v="12594"/>
    <n v="3847.5"/>
    <n v="0.30550262029537878"/>
    <x v="1"/>
  </r>
  <r>
    <s v="ORD-10882"/>
    <s v="CUST1088"/>
    <d v="2025-05-25T00:00:00"/>
    <s v="P009"/>
    <s v="Water Bottle"/>
    <x v="2"/>
    <x v="3"/>
    <n v="2"/>
    <n v="699"/>
    <n v="0"/>
    <n v="0"/>
    <s v="Pune"/>
    <x v="2"/>
    <x v="3"/>
    <x v="3"/>
    <x v="3"/>
    <n v="2"/>
    <n v="1398"/>
    <n v="0"/>
    <n v="1398"/>
    <n v="419.40000000000009"/>
    <n v="0.30000000000000004"/>
    <x v="0"/>
  </r>
  <r>
    <s v="ORD-10883"/>
    <s v="CUST1263"/>
    <d v="2025-07-26T00:00:00"/>
    <s v="P006"/>
    <s v="Cotton T-Shirt"/>
    <x v="4"/>
    <x v="8"/>
    <n v="2"/>
    <n v="799"/>
    <n v="0.05"/>
    <n v="0"/>
    <s v="Chennai"/>
    <x v="4"/>
    <x v="2"/>
    <x v="1"/>
    <x v="0"/>
    <n v="2"/>
    <n v="1598"/>
    <n v="79.900000000000006"/>
    <n v="1518.1"/>
    <n v="399.5"/>
    <n v="0.26315789473684215"/>
    <x v="10"/>
  </r>
  <r>
    <s v="ORD-10884"/>
    <s v="CUST1215"/>
    <d v="2025-01-28T00:00:00"/>
    <s v="P007"/>
    <s v="Backpack"/>
    <x v="4"/>
    <x v="5"/>
    <n v="2"/>
    <n v="2017"/>
    <n v="0.2"/>
    <n v="49"/>
    <s v="Kolkata"/>
    <x v="8"/>
    <x v="1"/>
    <x v="1"/>
    <x v="0"/>
    <n v="4"/>
    <n v="4034"/>
    <n v="806.80000000000007"/>
    <n v="3276.2"/>
    <n v="452.40000000000009"/>
    <n v="0.13808680788718641"/>
    <x v="2"/>
  </r>
  <r>
    <s v="ORD-10885"/>
    <s v="CUST1045"/>
    <d v="2025-05-22T00:00:00"/>
    <s v="P006"/>
    <s v="Cotton T-Shirt"/>
    <x v="4"/>
    <x v="8"/>
    <n v="2"/>
    <n v="799"/>
    <n v="0"/>
    <n v="59"/>
    <s v="Hyderabad"/>
    <x v="7"/>
    <x v="3"/>
    <x v="3"/>
    <x v="2"/>
    <n v="3"/>
    <n v="1598"/>
    <n v="0"/>
    <n v="1657"/>
    <n v="538.40000000000009"/>
    <n v="0.3249245624622813"/>
    <x v="0"/>
  </r>
  <r>
    <s v="ORD-10886"/>
    <s v="CUST1030"/>
    <d v="2025-02-09T00:00:00"/>
    <s v="P006"/>
    <s v="Cotton T-Shirt"/>
    <x v="4"/>
    <x v="8"/>
    <n v="2"/>
    <n v="799"/>
    <n v="0"/>
    <n v="99"/>
    <s v="Gurgaon"/>
    <x v="0"/>
    <x v="0"/>
    <x v="2"/>
    <x v="0"/>
    <n v="5"/>
    <n v="1598"/>
    <n v="0"/>
    <n v="1697"/>
    <n v="578.40000000000009"/>
    <n v="0.34083677077195057"/>
    <x v="9"/>
  </r>
  <r>
    <s v="ORD-10887"/>
    <s v="CUST1255"/>
    <d v="2025-08-06T00:00:00"/>
    <s v="P008"/>
    <s v="Smart Watch"/>
    <x v="1"/>
    <x v="4"/>
    <n v="4"/>
    <n v="3499"/>
    <n v="0"/>
    <n v="79"/>
    <s v="Delhi"/>
    <x v="1"/>
    <x v="4"/>
    <x v="0"/>
    <x v="2"/>
    <n v="3"/>
    <n v="13996"/>
    <n v="0"/>
    <n v="14075"/>
    <n v="4277.8000000000011"/>
    <n v="0.30392895204262887"/>
    <x v="5"/>
  </r>
  <r>
    <s v="ORD-10888"/>
    <s v="CUST1177"/>
    <d v="2025-04-08T00:00:00"/>
    <s v="P002"/>
    <s v="Mechanical Keyboard"/>
    <x v="1"/>
    <x v="1"/>
    <n v="1"/>
    <n v="2499"/>
    <n v="0.1"/>
    <n v="99"/>
    <s v="Bengaluru"/>
    <x v="3"/>
    <x v="2"/>
    <x v="0"/>
    <x v="2"/>
    <n v="3"/>
    <n v="2499"/>
    <n v="249.9"/>
    <n v="2348.1"/>
    <n v="598.79999999999995"/>
    <n v="0.25501469273029259"/>
    <x v="1"/>
  </r>
  <r>
    <s v="ORD-10889"/>
    <s v="CUST1039"/>
    <d v="2025-03-28T00:00:00"/>
    <s v="P010"/>
    <s v="Desk Lamp"/>
    <x v="2"/>
    <x v="2"/>
    <n v="2"/>
    <n v="1199"/>
    <n v="0"/>
    <n v="49"/>
    <s v="Delhi"/>
    <x v="1"/>
    <x v="3"/>
    <x v="1"/>
    <x v="3"/>
    <n v="5"/>
    <n v="2398"/>
    <n v="0"/>
    <n v="2447"/>
    <n v="768.40000000000009"/>
    <n v="0.31401716387413164"/>
    <x v="6"/>
  </r>
  <r>
    <s v="ORD-10890"/>
    <s v="CUST1277"/>
    <d v="2025-07-14T00:00:00"/>
    <s v="P006"/>
    <s v="Cotton T-Shirt"/>
    <x v="4"/>
    <x v="8"/>
    <n v="1"/>
    <n v="799"/>
    <n v="0.05"/>
    <n v="49"/>
    <s v="Delhi"/>
    <x v="1"/>
    <x v="0"/>
    <x v="2"/>
    <x v="0"/>
    <n v="3"/>
    <n v="799"/>
    <n v="39.950000000000003"/>
    <n v="808.05"/>
    <n v="248.75"/>
    <n v="0.3078398613947157"/>
    <x v="10"/>
  </r>
  <r>
    <s v="ORD-10891"/>
    <s v="CUST1157"/>
    <d v="2025-01-02T00:00:00"/>
    <s v="P008"/>
    <s v="Smart Watch"/>
    <x v="1"/>
    <x v="4"/>
    <n v="1"/>
    <n v="3499"/>
    <n v="0.1"/>
    <n v="49"/>
    <s v="Mumbai"/>
    <x v="2"/>
    <x v="4"/>
    <x v="4"/>
    <x v="3"/>
    <n v="4"/>
    <n v="3499"/>
    <n v="349.90000000000003"/>
    <n v="3198.1"/>
    <n v="748.80000000000018"/>
    <n v="0.23413902004315068"/>
    <x v="2"/>
  </r>
  <r>
    <s v="ORD-10892"/>
    <s v="CUST1055"/>
    <d v="2025-01-04T00:00:00"/>
    <s v="P010"/>
    <s v="Desk Lamp"/>
    <x v="2"/>
    <x v="2"/>
    <n v="1"/>
    <n v="1199"/>
    <n v="0.05"/>
    <n v="59"/>
    <s v="Hyderabad"/>
    <x v="7"/>
    <x v="0"/>
    <x v="2"/>
    <x v="0"/>
    <n v="3"/>
    <n v="1199"/>
    <n v="59.95"/>
    <n v="1198.05"/>
    <n v="358.75"/>
    <n v="0.29944493134677186"/>
    <x v="2"/>
  </r>
  <r>
    <s v="ORD-10893"/>
    <s v="CUST1264"/>
    <d v="2025-02-21T00:00:00"/>
    <s v="P003"/>
    <s v="Bluetooth Speaker"/>
    <x v="1"/>
    <x v="6"/>
    <n v="1"/>
    <n v="1799"/>
    <n v="0"/>
    <n v="99"/>
    <s v="Bengaluru"/>
    <x v="3"/>
    <x v="2"/>
    <x v="3"/>
    <x v="0"/>
    <n v="1"/>
    <n v="1799"/>
    <n v="0"/>
    <n v="1898"/>
    <n v="638.70000000000005"/>
    <n v="0.33651211801896735"/>
    <x v="9"/>
  </r>
  <r>
    <s v="ORD-10894"/>
    <s v="CUST1154"/>
    <d v="2025-12-03T00:00:00"/>
    <s v="P008"/>
    <s v="Smart Watch"/>
    <x v="1"/>
    <x v="4"/>
    <n v="1"/>
    <n v="3499"/>
    <n v="0.1"/>
    <n v="59"/>
    <s v="Delhi"/>
    <x v="1"/>
    <x v="3"/>
    <x v="3"/>
    <x v="1"/>
    <n v="2"/>
    <n v="3499"/>
    <n v="349.90000000000003"/>
    <n v="3208.1"/>
    <n v="758.80000000000018"/>
    <n v="0.23652629282129617"/>
    <x v="11"/>
  </r>
  <r>
    <s v="ORD-10895"/>
    <s v="CUST1182"/>
    <d v="2025-08-13T00:00:00"/>
    <s v="P009"/>
    <s v="Water Bottle"/>
    <x v="2"/>
    <x v="3"/>
    <n v="1"/>
    <n v="699"/>
    <n v="0"/>
    <n v="49"/>
    <s v="Mumbai"/>
    <x v="2"/>
    <x v="1"/>
    <x v="4"/>
    <x v="1"/>
    <n v="3"/>
    <n v="699"/>
    <n v="0"/>
    <n v="748"/>
    <n v="258.70000000000005"/>
    <n v="0.34585561497326212"/>
    <x v="5"/>
  </r>
  <r>
    <s v="ORD-10896"/>
    <s v="CUST1017"/>
    <d v="2025-05-26T00:00:00"/>
    <s v="P012"/>
    <s v="Office Chair"/>
    <x v="3"/>
    <x v="0"/>
    <n v="1"/>
    <n v="6499"/>
    <n v="0.1"/>
    <n v="59"/>
    <s v="Jaipur"/>
    <x v="6"/>
    <x v="2"/>
    <x v="1"/>
    <x v="1"/>
    <n v="4"/>
    <n v="6499"/>
    <n v="649.90000000000009"/>
    <n v="5908.1"/>
    <n v="1358.8000000000011"/>
    <n v="0.22998933667338078"/>
    <x v="0"/>
  </r>
  <r>
    <s v="ORD-10897"/>
    <s v="CUST1167"/>
    <d v="2025-09-08T00:00:00"/>
    <s v="P011"/>
    <s v="Notebook"/>
    <x v="0"/>
    <x v="0"/>
    <n v="1"/>
    <n v="249"/>
    <n v="0.2"/>
    <n v="49"/>
    <s v="Mumbai"/>
    <x v="2"/>
    <x v="1"/>
    <x v="0"/>
    <x v="2"/>
    <n v="3"/>
    <n v="249"/>
    <n v="49.800000000000004"/>
    <n v="248.2"/>
    <n v="73.900000000000006"/>
    <n v="0.2977437550362611"/>
    <x v="7"/>
  </r>
  <r>
    <s v="ORD-10898"/>
    <s v="CUST1007"/>
    <d v="2025-02-25T00:00:00"/>
    <s v="P012"/>
    <s v="Office Chair"/>
    <x v="3"/>
    <x v="0"/>
    <n v="1"/>
    <n v="6499"/>
    <n v="0.05"/>
    <n v="99"/>
    <s v="Bengaluru"/>
    <x v="3"/>
    <x v="2"/>
    <x v="4"/>
    <x v="0"/>
    <n v="3"/>
    <n v="6499"/>
    <n v="324.95000000000005"/>
    <n v="6273.05"/>
    <n v="1723.7500000000009"/>
    <n v="0.2747865870668974"/>
    <x v="9"/>
  </r>
  <r>
    <s v="ORD-10899"/>
    <s v="CUST1043"/>
    <d v="2025-01-05T00:00:00"/>
    <s v="P006"/>
    <s v="Cotton T-Shirt"/>
    <x v="4"/>
    <x v="8"/>
    <n v="5"/>
    <n v="799"/>
    <n v="0.05"/>
    <n v="79"/>
    <s v="Bengaluru"/>
    <x v="3"/>
    <x v="1"/>
    <x v="1"/>
    <x v="0"/>
    <n v="5"/>
    <n v="3995"/>
    <n v="199.75"/>
    <n v="3874.25"/>
    <n v="1077.75"/>
    <n v="0.27818287410466541"/>
    <x v="2"/>
  </r>
  <r>
    <s v="ORD-10900"/>
    <s v="CUST1220"/>
    <d v="2025-05-24T00:00:00"/>
    <s v="P003"/>
    <s v="Bluetooth Speaker"/>
    <x v="1"/>
    <x v="6"/>
    <n v="1"/>
    <n v="1799"/>
    <n v="0.2"/>
    <n v="49"/>
    <s v="Chennai"/>
    <x v="4"/>
    <x v="2"/>
    <x v="3"/>
    <x v="0"/>
    <n v="3"/>
    <n v="1799"/>
    <n v="359.8"/>
    <n v="1488.2"/>
    <n v="228.90000000000009"/>
    <n v="0.15380997177798689"/>
    <x v="0"/>
  </r>
  <r>
    <s v="ORD-10901"/>
    <s v="CUST1062"/>
    <d v="2025-04-07T00:00:00"/>
    <s v="P002"/>
    <s v="Mechanical Keyboard"/>
    <x v="1"/>
    <x v="1"/>
    <n v="2"/>
    <n v="2499"/>
    <n v="0"/>
    <n v="49"/>
    <s v="Chennai"/>
    <x v="4"/>
    <x v="2"/>
    <x v="3"/>
    <x v="2"/>
    <n v="1"/>
    <n v="4998"/>
    <n v="0"/>
    <n v="5047"/>
    <n v="1548.4"/>
    <n v="0.30679611650485439"/>
    <x v="1"/>
  </r>
  <r>
    <s v="ORD-10902"/>
    <s v="CUST1195"/>
    <d v="2025-08-07T00:00:00"/>
    <s v="P005"/>
    <s v="Running Shoes"/>
    <x v="4"/>
    <x v="7"/>
    <n v="4"/>
    <n v="2999"/>
    <n v="0"/>
    <n v="0"/>
    <s v="Jaipur"/>
    <x v="6"/>
    <x v="1"/>
    <x v="0"/>
    <x v="0"/>
    <n v="3"/>
    <n v="11996"/>
    <n v="0"/>
    <n v="11996"/>
    <n v="3598.8000000000011"/>
    <n v="0.3000000000000001"/>
    <x v="5"/>
  </r>
  <r>
    <s v="ORD-10903"/>
    <s v="CUST1156"/>
    <d v="2025-08-07T00:00:00"/>
    <s v="P012"/>
    <s v="Office Chair"/>
    <x v="3"/>
    <x v="0"/>
    <n v="1"/>
    <n v="6499"/>
    <n v="0.1"/>
    <n v="0"/>
    <s v="Jaipur"/>
    <x v="6"/>
    <x v="0"/>
    <x v="2"/>
    <x v="3"/>
    <n v="3"/>
    <n v="6499"/>
    <n v="649.90000000000009"/>
    <n v="5849.1"/>
    <n v="1299.8000000000011"/>
    <n v="0.2222222222222224"/>
    <x v="5"/>
  </r>
  <r>
    <s v="ORD-10904"/>
    <s v="CUST1001"/>
    <d v="2025-05-07T00:00:00"/>
    <s v="P005"/>
    <s v="Running Shoes"/>
    <x v="4"/>
    <x v="7"/>
    <n v="2"/>
    <n v="2999"/>
    <n v="0"/>
    <n v="0"/>
    <s v="Pune"/>
    <x v="2"/>
    <x v="0"/>
    <x v="2"/>
    <x v="0"/>
    <n v="2"/>
    <n v="5998"/>
    <n v="0"/>
    <n v="5998"/>
    <n v="1799.4000000000005"/>
    <n v="0.3000000000000001"/>
    <x v="0"/>
  </r>
  <r>
    <s v="ORD-10905"/>
    <s v="CUST1187"/>
    <d v="2025-11-07T00:00:00"/>
    <s v="P005"/>
    <s v="Running Shoes"/>
    <x v="4"/>
    <x v="7"/>
    <n v="1"/>
    <n v="2999"/>
    <n v="0.05"/>
    <n v="79"/>
    <s v="Hyderabad"/>
    <x v="7"/>
    <x v="3"/>
    <x v="2"/>
    <x v="0"/>
    <n v="1"/>
    <n v="2999"/>
    <n v="149.95000000000002"/>
    <n v="2928.05"/>
    <n v="828.75000000000045"/>
    <n v="0.28303819948429854"/>
    <x v="4"/>
  </r>
  <r>
    <s v="ORD-10906"/>
    <s v="CUST1271"/>
    <d v="2025-03-08T00:00:00"/>
    <s v="P002"/>
    <s v="Mechanical Keyboard"/>
    <x v="1"/>
    <x v="1"/>
    <n v="2"/>
    <n v="2499"/>
    <n v="0.05"/>
    <n v="99"/>
    <s v="Delhi"/>
    <x v="1"/>
    <x v="4"/>
    <x v="2"/>
    <x v="2"/>
    <n v="2"/>
    <n v="4998"/>
    <n v="249.9"/>
    <n v="4847.1000000000004"/>
    <n v="1348.5000000000005"/>
    <n v="0.27820758804233464"/>
    <x v="6"/>
  </r>
  <r>
    <s v="ORD-10907"/>
    <s v="CUST1062"/>
    <d v="2025-07-16T00:00:00"/>
    <s v="P011"/>
    <s v="Notebook"/>
    <x v="0"/>
    <x v="0"/>
    <n v="1"/>
    <n v="249"/>
    <n v="0"/>
    <n v="99"/>
    <s v="Mumbai"/>
    <x v="2"/>
    <x v="0"/>
    <x v="0"/>
    <x v="0"/>
    <n v="3"/>
    <n v="249"/>
    <n v="0"/>
    <n v="348"/>
    <n v="173.70000000000002"/>
    <n v="0.49913793103448278"/>
    <x v="10"/>
  </r>
  <r>
    <s v="ORD-10908"/>
    <s v="CUST1243"/>
    <d v="2025-02-20T00:00:00"/>
    <s v="P004"/>
    <s v="USB-C Hub"/>
    <x v="1"/>
    <x v="1"/>
    <n v="2"/>
    <n v="1299"/>
    <n v="0.05"/>
    <n v="59"/>
    <s v="Jaipur"/>
    <x v="6"/>
    <x v="2"/>
    <x v="0"/>
    <x v="3"/>
    <n v="3"/>
    <n v="2598"/>
    <n v="129.9"/>
    <n v="2527.1"/>
    <n v="708.5"/>
    <n v="0.28036088797435799"/>
    <x v="9"/>
  </r>
  <r>
    <s v="ORD-10909"/>
    <s v="CUST1188"/>
    <d v="2025-08-03T00:00:00"/>
    <s v="P003"/>
    <s v="Bluetooth Speaker"/>
    <x v="1"/>
    <x v="6"/>
    <n v="1"/>
    <n v="1799"/>
    <n v="0.15"/>
    <n v="59"/>
    <s v="Delhi"/>
    <x v="1"/>
    <x v="1"/>
    <x v="4"/>
    <x v="0"/>
    <n v="4"/>
    <n v="1799"/>
    <n v="269.84999999999997"/>
    <n v="1588.15"/>
    <n v="328.85000000000014"/>
    <n v="0.20706482385165137"/>
    <x v="5"/>
  </r>
  <r>
    <s v="ORD-10910"/>
    <s v="CUST1149"/>
    <d v="2025-09-15T00:00:00"/>
    <s v="P002"/>
    <s v="Mechanical Keyboard"/>
    <x v="1"/>
    <x v="1"/>
    <n v="1"/>
    <n v="2499"/>
    <n v="0.05"/>
    <n v="49"/>
    <s v="Hyderabad"/>
    <x v="7"/>
    <x v="0"/>
    <x v="0"/>
    <x v="3"/>
    <n v="1"/>
    <n v="2499"/>
    <n v="124.95"/>
    <n v="2423.0500000000002"/>
    <n v="673.75000000000023"/>
    <n v="0.27805864509605671"/>
    <x v="7"/>
  </r>
  <r>
    <s v="ORD-10911"/>
    <s v="CUST1085"/>
    <d v="2025-07-23T00:00:00"/>
    <s v="P012"/>
    <s v="Office Chair"/>
    <x v="3"/>
    <x v="0"/>
    <n v="2"/>
    <n v="6499"/>
    <n v="0.15"/>
    <n v="0"/>
    <s v="Jaipur"/>
    <x v="6"/>
    <x v="1"/>
    <x v="0"/>
    <x v="3"/>
    <n v="4"/>
    <n v="12998"/>
    <n v="1949.6999999999998"/>
    <n v="11048.3"/>
    <n v="1949.7000000000007"/>
    <n v="0.17647058823529418"/>
    <x v="10"/>
  </r>
  <r>
    <s v="ORD-10912"/>
    <s v="CUST1112"/>
    <d v="2025-05-20T00:00:00"/>
    <s v="P009"/>
    <s v="Water Bottle"/>
    <x v="2"/>
    <x v="3"/>
    <n v="1"/>
    <n v="699"/>
    <n v="0"/>
    <n v="99"/>
    <s v="Bengaluru"/>
    <x v="3"/>
    <x v="4"/>
    <x v="4"/>
    <x v="0"/>
    <n v="3"/>
    <n v="699"/>
    <n v="0"/>
    <n v="798"/>
    <n v="308.70000000000005"/>
    <n v="0.38684210526315793"/>
    <x v="0"/>
  </r>
  <r>
    <s v="ORD-10913"/>
    <s v="CUST1283"/>
    <d v="2025-09-26T00:00:00"/>
    <s v="P009"/>
    <s v="Water Bottle"/>
    <x v="2"/>
    <x v="3"/>
    <n v="2"/>
    <n v="699"/>
    <n v="0.05"/>
    <n v="59"/>
    <s v="Hyderabad"/>
    <x v="7"/>
    <x v="0"/>
    <x v="1"/>
    <x v="0"/>
    <n v="2"/>
    <n v="1398"/>
    <n v="69.900000000000006"/>
    <n v="1387.1"/>
    <n v="408.5"/>
    <n v="0.29449931511787186"/>
    <x v="7"/>
  </r>
  <r>
    <s v="ORD-10914"/>
    <s v="CUST1027"/>
    <d v="2025-01-21T00:00:00"/>
    <s v="P001"/>
    <s v="Wireless Mouse"/>
    <x v="1"/>
    <x v="1"/>
    <n v="1"/>
    <n v="599"/>
    <n v="0"/>
    <n v="59"/>
    <s v="Chennai"/>
    <x v="4"/>
    <x v="2"/>
    <x v="1"/>
    <x v="0"/>
    <n v="5"/>
    <n v="599"/>
    <n v="0"/>
    <n v="658"/>
    <n v="238.70000000000005"/>
    <n v="0.36276595744680856"/>
    <x v="2"/>
  </r>
  <r>
    <s v="ORD-10915"/>
    <s v="CUST1136"/>
    <d v="2025-11-20T00:00:00"/>
    <s v="P002"/>
    <s v="Mechanical Keyboard"/>
    <x v="1"/>
    <x v="1"/>
    <n v="2"/>
    <n v="2499"/>
    <n v="0"/>
    <n v="99"/>
    <s v="Delhi"/>
    <x v="1"/>
    <x v="2"/>
    <x v="3"/>
    <x v="0"/>
    <n v="5"/>
    <n v="4998"/>
    <n v="0"/>
    <n v="5097"/>
    <n v="1598.4"/>
    <n v="0.31359623307828138"/>
    <x v="4"/>
  </r>
  <r>
    <s v="ORD-10916"/>
    <s v="CUST1091"/>
    <d v="2025-11-17T00:00:00"/>
    <s v="P005"/>
    <s v="Running Shoes"/>
    <x v="4"/>
    <x v="7"/>
    <n v="5"/>
    <n v="2999"/>
    <n v="0"/>
    <n v="59"/>
    <s v="Pune"/>
    <x v="2"/>
    <x v="3"/>
    <x v="4"/>
    <x v="0"/>
    <n v="5"/>
    <n v="14995"/>
    <n v="0"/>
    <n v="15054"/>
    <n v="4557.5"/>
    <n v="0.3027434568885346"/>
    <x v="4"/>
  </r>
  <r>
    <s v="ORD-10917"/>
    <s v="CUST1283"/>
    <d v="2025-12-19T00:00:00"/>
    <s v="P011"/>
    <s v="Notebook"/>
    <x v="0"/>
    <x v="0"/>
    <n v="1"/>
    <n v="249"/>
    <n v="0.2"/>
    <n v="99"/>
    <s v="Kolkata"/>
    <x v="8"/>
    <x v="2"/>
    <x v="3"/>
    <x v="0"/>
    <n v="2"/>
    <n v="249"/>
    <n v="49.800000000000004"/>
    <n v="298.2"/>
    <n v="123.9"/>
    <n v="0.41549295774647893"/>
    <x v="11"/>
  </r>
  <r>
    <s v="ORD-10918"/>
    <s v="CUST1189"/>
    <d v="2025-11-19T00:00:00"/>
    <s v="P006"/>
    <s v="Cotton T-Shirt"/>
    <x v="4"/>
    <x v="8"/>
    <n v="1"/>
    <n v="799"/>
    <n v="0"/>
    <n v="79"/>
    <s v="Mumbai"/>
    <x v="2"/>
    <x v="2"/>
    <x v="3"/>
    <x v="1"/>
    <n v="1"/>
    <n v="799"/>
    <n v="0"/>
    <n v="878"/>
    <n v="318.70000000000005"/>
    <n v="0.3629840546697039"/>
    <x v="4"/>
  </r>
  <r>
    <s v="ORD-10919"/>
    <s v="CUST1145"/>
    <d v="2025-04-01T00:00:00"/>
    <s v="P008"/>
    <s v="Smart Watch"/>
    <x v="1"/>
    <x v="4"/>
    <n v="2"/>
    <n v="3499"/>
    <n v="0.2"/>
    <n v="49"/>
    <s v="Noida"/>
    <x v="5"/>
    <x v="0"/>
    <x v="2"/>
    <x v="1"/>
    <n v="2"/>
    <n v="6998"/>
    <n v="1399.6000000000001"/>
    <n v="5647.4"/>
    <n v="748.80000000000018"/>
    <n v="0.13259198923398383"/>
    <x v="1"/>
  </r>
  <r>
    <s v="ORD-10920"/>
    <s v="CUST1233"/>
    <d v="2025-04-07T00:00:00"/>
    <s v="P003"/>
    <s v="Bluetooth Speaker"/>
    <x v="1"/>
    <x v="6"/>
    <n v="2"/>
    <n v="1799"/>
    <n v="0.1"/>
    <n v="49"/>
    <s v="Bengaluru"/>
    <x v="3"/>
    <x v="1"/>
    <x v="4"/>
    <x v="0"/>
    <n v="3"/>
    <n v="3598"/>
    <n v="359.8"/>
    <n v="3287.2"/>
    <n v="768.59999999999991"/>
    <n v="0.23381601362862009"/>
    <x v="1"/>
  </r>
  <r>
    <s v="ORD-10921"/>
    <s v="CUST1057"/>
    <d v="2025-01-07T00:00:00"/>
    <s v="P009"/>
    <s v="Water Bottle"/>
    <x v="2"/>
    <x v="3"/>
    <n v="2"/>
    <n v="699"/>
    <n v="0.1"/>
    <n v="0"/>
    <s v="Noida"/>
    <x v="5"/>
    <x v="0"/>
    <x v="4"/>
    <x v="1"/>
    <n v="2"/>
    <n v="1398"/>
    <n v="139.80000000000001"/>
    <n v="1258.2"/>
    <n v="279.60000000000014"/>
    <n v="0.22222222222222232"/>
    <x v="2"/>
  </r>
  <r>
    <s v="ORD-10922"/>
    <s v="CUST1174"/>
    <d v="2025-11-18T00:00:00"/>
    <s v="P004"/>
    <s v="USB-C Hub"/>
    <x v="1"/>
    <x v="1"/>
    <n v="1"/>
    <n v="1299"/>
    <n v="0"/>
    <n v="99"/>
    <s v="Gurgaon"/>
    <x v="0"/>
    <x v="0"/>
    <x v="1"/>
    <x v="0"/>
    <n v="2"/>
    <n v="1299"/>
    <n v="0"/>
    <n v="1398"/>
    <n v="488.70000000000005"/>
    <n v="0.34957081545064383"/>
    <x v="4"/>
  </r>
  <r>
    <s v="ORD-10923"/>
    <s v="CUST1029"/>
    <d v="2025-03-25T00:00:00"/>
    <s v="P008"/>
    <s v="Smart Watch"/>
    <x v="1"/>
    <x v="4"/>
    <n v="3"/>
    <n v="3499"/>
    <n v="0"/>
    <n v="49"/>
    <s v="Kolkata"/>
    <x v="8"/>
    <x v="4"/>
    <x v="2"/>
    <x v="1"/>
    <n v="3"/>
    <n v="10497"/>
    <n v="0"/>
    <n v="10546"/>
    <n v="3198.1000000000004"/>
    <n v="0.30325241797838048"/>
    <x v="6"/>
  </r>
  <r>
    <s v="ORD-10924"/>
    <s v="CUST1213"/>
    <d v="2025-01-23T00:00:00"/>
    <s v="P009"/>
    <s v="Water Bottle"/>
    <x v="2"/>
    <x v="3"/>
    <n v="1"/>
    <n v="2017"/>
    <n v="0"/>
    <n v="99"/>
    <s v="Gurgaon"/>
    <x v="0"/>
    <x v="2"/>
    <x v="4"/>
    <x v="0"/>
    <n v="2"/>
    <n v="2017"/>
    <n v="0"/>
    <n v="2116"/>
    <n v="704.10000000000014"/>
    <n v="0.33275047258979212"/>
    <x v="2"/>
  </r>
  <r>
    <s v="ORD-10925"/>
    <s v="CUST1058"/>
    <d v="2025-03-17T00:00:00"/>
    <s v="P001"/>
    <s v="Wireless Mouse"/>
    <x v="1"/>
    <x v="1"/>
    <n v="1"/>
    <n v="599"/>
    <n v="0"/>
    <n v="79"/>
    <s v="Jaipur"/>
    <x v="6"/>
    <x v="1"/>
    <x v="1"/>
    <x v="0"/>
    <n v="1"/>
    <n v="599"/>
    <n v="0"/>
    <n v="678"/>
    <n v="258.70000000000005"/>
    <n v="0.38156342182890862"/>
    <x v="6"/>
  </r>
  <r>
    <s v="ORD-10926"/>
    <s v="CUST1185"/>
    <d v="2025-05-25T00:00:00"/>
    <s v="P004"/>
    <s v="USB-C Hub"/>
    <x v="1"/>
    <x v="1"/>
    <n v="4"/>
    <n v="1299"/>
    <n v="0.05"/>
    <n v="0"/>
    <s v="Gurgaon"/>
    <x v="0"/>
    <x v="0"/>
    <x v="4"/>
    <x v="3"/>
    <n v="5"/>
    <n v="5196"/>
    <n v="259.8"/>
    <n v="4936.2"/>
    <n v="1299"/>
    <n v="0.26315789473684209"/>
    <x v="0"/>
  </r>
  <r>
    <s v="ORD-10927"/>
    <s v="CUST1155"/>
    <d v="2025-06-21T00:00:00"/>
    <s v="P003"/>
    <s v="Bluetooth Speaker"/>
    <x v="1"/>
    <x v="6"/>
    <n v="1"/>
    <n v="1799"/>
    <n v="0.1"/>
    <n v="49"/>
    <s v="Noida"/>
    <x v="5"/>
    <x v="4"/>
    <x v="2"/>
    <x v="2"/>
    <n v="3"/>
    <n v="1799"/>
    <n v="179.9"/>
    <n v="1668.1"/>
    <n v="408.79999999999995"/>
    <n v="0.24506924045321021"/>
    <x v="3"/>
  </r>
  <r>
    <s v="ORD-10928"/>
    <s v="CUST1002"/>
    <d v="2025-12-05T00:00:00"/>
    <s v="P002"/>
    <s v="Mechanical Keyboard"/>
    <x v="1"/>
    <x v="1"/>
    <n v="4"/>
    <n v="2499"/>
    <n v="0.2"/>
    <n v="0"/>
    <s v="Mumbai"/>
    <x v="2"/>
    <x v="2"/>
    <x v="1"/>
    <x v="0"/>
    <n v="3"/>
    <n v="9996"/>
    <n v="1999.2"/>
    <n v="7996.8"/>
    <n v="999.60000000000036"/>
    <n v="0.12500000000000006"/>
    <x v="11"/>
  </r>
  <r>
    <s v="ORD-10929"/>
    <s v="CUST1075"/>
    <d v="2025-09-02T00:00:00"/>
    <s v="P003"/>
    <s v="Bluetooth Speaker"/>
    <x v="1"/>
    <x v="6"/>
    <n v="1"/>
    <n v="1799"/>
    <n v="0.1"/>
    <n v="59"/>
    <s v="Bengaluru"/>
    <x v="3"/>
    <x v="0"/>
    <x v="2"/>
    <x v="3"/>
    <n v="2"/>
    <n v="1799"/>
    <n v="179.9"/>
    <n v="1678.1"/>
    <n v="418.79999999999995"/>
    <n v="0.24956796376854776"/>
    <x v="7"/>
  </r>
  <r>
    <s v="ORD-10930"/>
    <s v="CUST1171"/>
    <d v="2025-09-11T00:00:00"/>
    <s v="P003"/>
    <s v="Bluetooth Speaker"/>
    <x v="1"/>
    <x v="6"/>
    <n v="1"/>
    <n v="1799"/>
    <n v="0.1"/>
    <n v="99"/>
    <s v="Bengaluru"/>
    <x v="3"/>
    <x v="2"/>
    <x v="1"/>
    <x v="2"/>
    <n v="4"/>
    <n v="1799"/>
    <n v="179.9"/>
    <n v="1718.1"/>
    <n v="458.79999999999995"/>
    <n v="0.26703917117746345"/>
    <x v="7"/>
  </r>
  <r>
    <s v="ORD-10931"/>
    <s v="CUST1043"/>
    <d v="2025-10-01T00:00:00"/>
    <s v="P007"/>
    <s v="Backpack"/>
    <x v="4"/>
    <x v="5"/>
    <n v="2"/>
    <n v="1499"/>
    <n v="0"/>
    <n v="79"/>
    <s v="Chennai"/>
    <x v="4"/>
    <x v="4"/>
    <x v="3"/>
    <x v="3"/>
    <n v="5"/>
    <n v="2998"/>
    <n v="0"/>
    <n v="3077"/>
    <n v="978.40000000000009"/>
    <n v="0.31797205069873258"/>
    <x v="8"/>
  </r>
  <r>
    <s v="ORD-10932"/>
    <s v="Not Assigned"/>
    <d v="2025-05-01T00:00:00"/>
    <s v="P010"/>
    <s v="Desk Lamp"/>
    <x v="2"/>
    <x v="2"/>
    <n v="2"/>
    <n v="1199"/>
    <n v="0"/>
    <n v="59"/>
    <s v="Jaipur"/>
    <x v="6"/>
    <x v="1"/>
    <x v="1"/>
    <x v="0"/>
    <n v="1"/>
    <n v="2398"/>
    <n v="0"/>
    <n v="2457"/>
    <n v="778.40000000000009"/>
    <n v="0.31680911680911683"/>
    <x v="0"/>
  </r>
  <r>
    <s v="ORD-10933"/>
    <s v="CUST1125"/>
    <d v="2025-03-13T00:00:00"/>
    <s v="P001"/>
    <s v="Wireless Mouse"/>
    <x v="1"/>
    <x v="1"/>
    <n v="1"/>
    <n v="599"/>
    <n v="0.15"/>
    <n v="79"/>
    <s v="Pune"/>
    <x v="2"/>
    <x v="2"/>
    <x v="1"/>
    <x v="0"/>
    <n v="1"/>
    <n v="599"/>
    <n v="89.85"/>
    <n v="588.15"/>
    <n v="168.85000000000002"/>
    <n v="0.2870866275609964"/>
    <x v="6"/>
  </r>
  <r>
    <s v="ORD-10934"/>
    <s v="CUST1218"/>
    <d v="2025-12-23T00:00:00"/>
    <s v="P012"/>
    <s v="Office Chair"/>
    <x v="3"/>
    <x v="0"/>
    <n v="1"/>
    <n v="6499"/>
    <n v="0.2"/>
    <n v="0"/>
    <s v="Noida"/>
    <x v="5"/>
    <x v="3"/>
    <x v="4"/>
    <x v="1"/>
    <n v="3"/>
    <n v="6499"/>
    <n v="1299.8000000000002"/>
    <n v="5199.2"/>
    <n v="649.90000000000055"/>
    <n v="0.12500000000000011"/>
    <x v="11"/>
  </r>
  <r>
    <s v="ORD-10935"/>
    <s v="CUST1041"/>
    <d v="2025-11-01T00:00:00"/>
    <s v="P002"/>
    <s v="Mechanical Keyboard"/>
    <x v="1"/>
    <x v="1"/>
    <n v="1"/>
    <n v="2499"/>
    <n v="0.05"/>
    <n v="49"/>
    <s v="Kolkata"/>
    <x v="8"/>
    <x v="2"/>
    <x v="4"/>
    <x v="0"/>
    <n v="1"/>
    <n v="2499"/>
    <n v="124.95"/>
    <n v="2423.0500000000002"/>
    <n v="673.75000000000023"/>
    <n v="0.27805864509605671"/>
    <x v="4"/>
  </r>
  <r>
    <s v="ORD-10936"/>
    <s v="CUST1154"/>
    <d v="2025-04-04T00:00:00"/>
    <s v="P010"/>
    <s v="Desk Lamp"/>
    <x v="2"/>
    <x v="2"/>
    <n v="1"/>
    <n v="1199"/>
    <n v="0.2"/>
    <n v="99"/>
    <s v="Bengaluru"/>
    <x v="3"/>
    <x v="1"/>
    <x v="3"/>
    <x v="0"/>
    <n v="3"/>
    <n v="1199"/>
    <n v="239.8"/>
    <n v="1058.2"/>
    <n v="218.90000000000009"/>
    <n v="0.20686070686070693"/>
    <x v="1"/>
  </r>
  <r>
    <s v="ORD-10937"/>
    <s v="CUST1017"/>
    <d v="2025-12-22T00:00:00"/>
    <s v="P006"/>
    <s v="Cotton T-Shirt"/>
    <x v="4"/>
    <x v="8"/>
    <n v="3"/>
    <n v="799"/>
    <n v="0"/>
    <n v="0"/>
    <s v="Hyderabad"/>
    <x v="7"/>
    <x v="4"/>
    <x v="1"/>
    <x v="0"/>
    <n v="5"/>
    <n v="2397"/>
    <n v="0"/>
    <n v="2397"/>
    <n v="719.10000000000014"/>
    <n v="0.30000000000000004"/>
    <x v="11"/>
  </r>
  <r>
    <s v="ORD-10938"/>
    <s v="CUST1293"/>
    <d v="2025-08-05T00:00:00"/>
    <s v="P003"/>
    <s v="Bluetooth Speaker"/>
    <x v="1"/>
    <x v="6"/>
    <n v="1"/>
    <n v="1799"/>
    <n v="0.15"/>
    <n v="59"/>
    <s v="Delhi"/>
    <x v="1"/>
    <x v="4"/>
    <x v="2"/>
    <x v="1"/>
    <n v="3"/>
    <n v="1799"/>
    <n v="269.84999999999997"/>
    <n v="1588.15"/>
    <n v="328.85000000000014"/>
    <n v="0.20706482385165137"/>
    <x v="5"/>
  </r>
  <r>
    <s v="ORD-10939"/>
    <s v="CUST1206"/>
    <d v="2025-05-20T00:00:00"/>
    <s v="P004"/>
    <s v="USB-C Hub"/>
    <x v="1"/>
    <x v="1"/>
    <n v="4"/>
    <n v="1299"/>
    <n v="0"/>
    <n v="49"/>
    <s v="Bengaluru"/>
    <x v="3"/>
    <x v="4"/>
    <x v="4"/>
    <x v="1"/>
    <n v="2"/>
    <n v="5196"/>
    <n v="0"/>
    <n v="5245"/>
    <n v="1607.8000000000002"/>
    <n v="0.30653956148713063"/>
    <x v="0"/>
  </r>
  <r>
    <s v="ORD-10940"/>
    <s v="CUST1245"/>
    <d v="2025-10-14T00:00:00"/>
    <s v="P007"/>
    <s v="Backpack"/>
    <x v="4"/>
    <x v="5"/>
    <n v="3"/>
    <n v="1499"/>
    <n v="0.2"/>
    <n v="79"/>
    <s v="Noida"/>
    <x v="5"/>
    <x v="3"/>
    <x v="3"/>
    <x v="0"/>
    <n v="3"/>
    <n v="4497"/>
    <n v="899.40000000000009"/>
    <n v="3676.6"/>
    <n v="528.70000000000027"/>
    <n v="0.1438013381928957"/>
    <x v="8"/>
  </r>
  <r>
    <s v="ORD-10941"/>
    <s v="CUST1054"/>
    <d v="2025-07-10T00:00:00"/>
    <s v="P007"/>
    <s v="Backpack"/>
    <x v="4"/>
    <x v="5"/>
    <n v="1"/>
    <n v="1499"/>
    <n v="0.05"/>
    <n v="0"/>
    <s v="Noida"/>
    <x v="5"/>
    <x v="0"/>
    <x v="2"/>
    <x v="0"/>
    <n v="5"/>
    <n v="1499"/>
    <n v="74.95"/>
    <n v="1424.05"/>
    <n v="374.75"/>
    <n v="0.26315789473684209"/>
    <x v="10"/>
  </r>
  <r>
    <s v="ORD-10942"/>
    <s v="Not Assigned"/>
    <d v="2025-03-25T00:00:00"/>
    <s v="P006"/>
    <s v="Cotton T-Shirt"/>
    <x v="4"/>
    <x v="8"/>
    <n v="1"/>
    <n v="799"/>
    <n v="0"/>
    <n v="99"/>
    <s v="Delhi"/>
    <x v="1"/>
    <x v="3"/>
    <x v="1"/>
    <x v="0"/>
    <n v="5"/>
    <n v="799"/>
    <n v="0"/>
    <n v="898"/>
    <n v="338.70000000000005"/>
    <n v="0.37717149220489982"/>
    <x v="6"/>
  </r>
  <r>
    <s v="ORD-10943"/>
    <s v="CUST1024"/>
    <d v="2025-02-13T00:00:00"/>
    <s v="P004"/>
    <s v="USB-C Hub"/>
    <x v="1"/>
    <x v="1"/>
    <n v="1"/>
    <n v="1299"/>
    <n v="0.15"/>
    <n v="79"/>
    <s v="Delhi"/>
    <x v="1"/>
    <x v="0"/>
    <x v="2"/>
    <x v="0"/>
    <n v="1"/>
    <n v="1299"/>
    <n v="194.85"/>
    <n v="1183.1500000000001"/>
    <n v="273.85000000000014"/>
    <n v="0.23145839496259993"/>
    <x v="9"/>
  </r>
  <r>
    <s v="ORD-10944"/>
    <s v="CUST1183"/>
    <d v="2025-05-25T00:00:00"/>
    <s v="P005"/>
    <s v="Running Shoes"/>
    <x v="4"/>
    <x v="7"/>
    <n v="5"/>
    <n v="2999"/>
    <n v="0.05"/>
    <n v="79"/>
    <s v="Delhi"/>
    <x v="1"/>
    <x v="2"/>
    <x v="4"/>
    <x v="0"/>
    <n v="3"/>
    <n v="14995"/>
    <n v="749.75"/>
    <n v="14324.25"/>
    <n v="3827.75"/>
    <n v="0.26722166954639859"/>
    <x v="0"/>
  </r>
  <r>
    <s v="ORD-10945"/>
    <s v="CUST1020"/>
    <d v="2025-03-18T00:00:00"/>
    <s v="P007"/>
    <s v="Backpack"/>
    <x v="4"/>
    <x v="5"/>
    <n v="1"/>
    <n v="1499"/>
    <n v="0.1"/>
    <n v="99"/>
    <s v="Chennai"/>
    <x v="4"/>
    <x v="3"/>
    <x v="1"/>
    <x v="1"/>
    <n v="2"/>
    <n v="1499"/>
    <n v="149.9"/>
    <n v="1448.1"/>
    <n v="398.79999999999995"/>
    <n v="0.2753953456253021"/>
    <x v="6"/>
  </r>
  <r>
    <s v="ORD-10946"/>
    <s v="CUST1083"/>
    <d v="2025-11-17T00:00:00"/>
    <s v="P011"/>
    <s v="Notebook"/>
    <x v="0"/>
    <x v="0"/>
    <n v="1"/>
    <n v="249"/>
    <n v="0"/>
    <n v="49"/>
    <s v="Hyderabad"/>
    <x v="7"/>
    <x v="4"/>
    <x v="0"/>
    <x v="0"/>
    <n v="3"/>
    <n v="249"/>
    <n v="0"/>
    <n v="298"/>
    <n v="123.70000000000002"/>
    <n v="0.41510067114093968"/>
    <x v="4"/>
  </r>
  <r>
    <s v="ORD-10947"/>
    <s v="CUST1185"/>
    <d v="2025-06-24T00:00:00"/>
    <s v="P010"/>
    <s v="Desk Lamp"/>
    <x v="2"/>
    <x v="2"/>
    <n v="4"/>
    <n v="1199"/>
    <n v="0.05"/>
    <n v="59"/>
    <s v="Chennai"/>
    <x v="4"/>
    <x v="4"/>
    <x v="3"/>
    <x v="0"/>
    <n v="1"/>
    <n v="4796"/>
    <n v="239.8"/>
    <n v="4615.2"/>
    <n v="1258"/>
    <n v="0.27257756976945746"/>
    <x v="3"/>
  </r>
  <r>
    <s v="ORD-10948"/>
    <s v="CUST1050"/>
    <d v="2025-11-09T00:00:00"/>
    <s v="P012"/>
    <s v="Office Chair"/>
    <x v="3"/>
    <x v="0"/>
    <n v="1"/>
    <n v="6499"/>
    <n v="0.15"/>
    <n v="79"/>
    <s v="Bengaluru"/>
    <x v="3"/>
    <x v="0"/>
    <x v="1"/>
    <x v="0"/>
    <n v="3"/>
    <n v="6499"/>
    <n v="974.84999999999991"/>
    <n v="5603.15"/>
    <n v="1053.8500000000004"/>
    <n v="0.18808170404147675"/>
    <x v="4"/>
  </r>
  <r>
    <s v="ORD-10949"/>
    <s v="CUST1152"/>
    <d v="2025-02-14T00:00:00"/>
    <s v="P005"/>
    <s v="Running Shoes"/>
    <x v="4"/>
    <x v="7"/>
    <n v="3"/>
    <n v="2999"/>
    <n v="0.05"/>
    <n v="49"/>
    <s v="Chennai"/>
    <x v="4"/>
    <x v="2"/>
    <x v="4"/>
    <x v="1"/>
    <n v="3"/>
    <n v="8997"/>
    <n v="449.85"/>
    <n v="8596.15"/>
    <n v="2298.25"/>
    <n v="0.26735806145774565"/>
    <x v="9"/>
  </r>
  <r>
    <s v="ORD-10950"/>
    <s v="CUST1132"/>
    <d v="2025-02-06T00:00:00"/>
    <s v="P010"/>
    <s v="Desk Lamp"/>
    <x v="2"/>
    <x v="2"/>
    <n v="1"/>
    <n v="1199"/>
    <n v="0.05"/>
    <n v="79"/>
    <s v="Pune"/>
    <x v="2"/>
    <x v="1"/>
    <x v="1"/>
    <x v="1"/>
    <n v="1"/>
    <n v="1199"/>
    <n v="59.95"/>
    <n v="1218.05"/>
    <n v="378.75"/>
    <n v="0.31094782644390623"/>
    <x v="9"/>
  </r>
  <r>
    <s v="ORD-10951"/>
    <s v="CUST1226"/>
    <d v="2025-05-27T00:00:00"/>
    <s v="P010"/>
    <s v="Desk Lamp"/>
    <x v="2"/>
    <x v="2"/>
    <n v="1"/>
    <n v="1199"/>
    <n v="0.2"/>
    <n v="49"/>
    <s v="Hyderabad"/>
    <x v="7"/>
    <x v="3"/>
    <x v="0"/>
    <x v="3"/>
    <n v="3"/>
    <n v="1199"/>
    <n v="239.8"/>
    <n v="1008.2"/>
    <n v="168.90000000000009"/>
    <n v="0.16752628446736767"/>
    <x v="0"/>
  </r>
  <r>
    <s v="ORD-10952"/>
    <s v="CUST1030"/>
    <d v="2025-12-16T00:00:00"/>
    <s v="P010"/>
    <s v="Desk Lamp"/>
    <x v="2"/>
    <x v="2"/>
    <n v="1"/>
    <n v="1199"/>
    <n v="0.05"/>
    <n v="0"/>
    <s v="Pune"/>
    <x v="2"/>
    <x v="2"/>
    <x v="0"/>
    <x v="1"/>
    <n v="1"/>
    <n v="1199"/>
    <n v="59.95"/>
    <n v="1139.05"/>
    <n v="299.75"/>
    <n v="0.26315789473684209"/>
    <x v="11"/>
  </r>
  <r>
    <s v="ORD-10953"/>
    <s v="CUST1237"/>
    <d v="2025-03-23T00:00:00"/>
    <s v="P003"/>
    <s v="Bluetooth Speaker"/>
    <x v="1"/>
    <x v="6"/>
    <n v="1"/>
    <n v="1799"/>
    <n v="0"/>
    <n v="79"/>
    <s v="Gurgaon"/>
    <x v="0"/>
    <x v="0"/>
    <x v="2"/>
    <x v="0"/>
    <n v="4"/>
    <n v="1799"/>
    <n v="0"/>
    <n v="1878"/>
    <n v="618.70000000000005"/>
    <n v="0.32944621938232166"/>
    <x v="6"/>
  </r>
  <r>
    <s v="ORD-10954"/>
    <s v="CUST1204"/>
    <d v="2025-08-27T00:00:00"/>
    <s v="P008"/>
    <s v="Smart Watch"/>
    <x v="1"/>
    <x v="4"/>
    <n v="4"/>
    <n v="3499"/>
    <n v="0.2"/>
    <n v="0"/>
    <s v="Chennai"/>
    <x v="4"/>
    <x v="1"/>
    <x v="1"/>
    <x v="0"/>
    <n v="4"/>
    <n v="13996"/>
    <n v="2799.2000000000003"/>
    <n v="11196.8"/>
    <n v="1399.6000000000004"/>
    <n v="0.12500000000000003"/>
    <x v="5"/>
  </r>
  <r>
    <s v="ORD-10955"/>
    <s v="CUST1059"/>
    <d v="2025-11-06T00:00:00"/>
    <s v="P006"/>
    <s v="Cotton T-Shirt"/>
    <x v="4"/>
    <x v="8"/>
    <n v="1"/>
    <n v="799"/>
    <n v="0.2"/>
    <n v="79"/>
    <s v="Gurgaon"/>
    <x v="0"/>
    <x v="3"/>
    <x v="3"/>
    <x v="2"/>
    <n v="1"/>
    <n v="799"/>
    <n v="159.80000000000001"/>
    <n v="718.2"/>
    <n v="158.90000000000009"/>
    <n v="0.22124756335282664"/>
    <x v="4"/>
  </r>
  <r>
    <s v="ORD-10956"/>
    <s v="CUST1195"/>
    <d v="2025-03-16T00:00:00"/>
    <s v="P009"/>
    <s v="Water Bottle"/>
    <x v="2"/>
    <x v="3"/>
    <n v="4"/>
    <n v="699"/>
    <n v="0.15"/>
    <n v="0"/>
    <s v="Noida"/>
    <x v="5"/>
    <x v="0"/>
    <x v="2"/>
    <x v="0"/>
    <n v="3"/>
    <n v="2796"/>
    <n v="419.4"/>
    <n v="2376.6"/>
    <n v="419.40000000000009"/>
    <n v="0.17647058823529416"/>
    <x v="6"/>
  </r>
  <r>
    <s v="ORD-10957"/>
    <s v="CUST1130"/>
    <d v="2025-04-19T00:00:00"/>
    <s v="P007"/>
    <s v="Backpack"/>
    <x v="4"/>
    <x v="5"/>
    <n v="1"/>
    <n v="1499"/>
    <n v="0.1"/>
    <n v="59"/>
    <s v="Hyderabad"/>
    <x v="7"/>
    <x v="2"/>
    <x v="4"/>
    <x v="2"/>
    <n v="2"/>
    <n v="1499"/>
    <n v="149.9"/>
    <n v="1408.1"/>
    <n v="358.79999999999995"/>
    <n v="0.25481144805056455"/>
    <x v="1"/>
  </r>
  <r>
    <s v="ORD-10958"/>
    <s v="CUST1133"/>
    <d v="2025-06-02T00:00:00"/>
    <s v="P002"/>
    <s v="Mechanical Keyboard"/>
    <x v="1"/>
    <x v="1"/>
    <n v="1"/>
    <n v="2499"/>
    <n v="0.15"/>
    <n v="49"/>
    <s v="Mumbai"/>
    <x v="2"/>
    <x v="2"/>
    <x v="4"/>
    <x v="1"/>
    <n v="1"/>
    <n v="2499"/>
    <n v="374.84999999999997"/>
    <n v="2173.15"/>
    <n v="423.85000000000014"/>
    <n v="0.19503945885005641"/>
    <x v="3"/>
  </r>
  <r>
    <s v="ORD-10959"/>
    <s v="CUST1244"/>
    <d v="2025-06-02T00:00:00"/>
    <s v="P007"/>
    <s v="Backpack"/>
    <x v="4"/>
    <x v="5"/>
    <n v="4"/>
    <n v="1499"/>
    <n v="0.1"/>
    <n v="79"/>
    <s v="Pune"/>
    <x v="2"/>
    <x v="4"/>
    <x v="1"/>
    <x v="0"/>
    <n v="3"/>
    <n v="5996"/>
    <n v="599.6"/>
    <n v="5475.4"/>
    <n v="1278.1999999999998"/>
    <n v="0.23344413193556635"/>
    <x v="3"/>
  </r>
  <r>
    <s v="ORD-10960"/>
    <s v="CUST1102"/>
    <d v="2025-10-20T00:00:00"/>
    <s v="P007"/>
    <s v="Backpack"/>
    <x v="4"/>
    <x v="5"/>
    <n v="4"/>
    <n v="1499"/>
    <n v="0.15"/>
    <n v="99"/>
    <s v="Pune"/>
    <x v="2"/>
    <x v="0"/>
    <x v="0"/>
    <x v="0"/>
    <n v="5"/>
    <n v="5996"/>
    <n v="899.4"/>
    <n v="5195.6000000000004"/>
    <n v="998.40000000000055"/>
    <n v="0.19216259912233438"/>
    <x v="8"/>
  </r>
  <r>
    <s v="ORD-10961"/>
    <s v="CUST1163"/>
    <d v="2025-06-12T00:00:00"/>
    <s v="P003"/>
    <s v="Bluetooth Speaker"/>
    <x v="1"/>
    <x v="6"/>
    <n v="2"/>
    <n v="1799"/>
    <n v="0"/>
    <n v="79"/>
    <s v="Pune"/>
    <x v="2"/>
    <x v="0"/>
    <x v="3"/>
    <x v="1"/>
    <n v="3"/>
    <n v="3598"/>
    <n v="0"/>
    <n v="3677"/>
    <n v="1158.4000000000001"/>
    <n v="0.31503943432145776"/>
    <x v="3"/>
  </r>
  <r>
    <s v="ORD-10962"/>
    <s v="CUST1019"/>
    <d v="2025-03-06T00:00:00"/>
    <s v="P009"/>
    <s v="Water Bottle"/>
    <x v="2"/>
    <x v="3"/>
    <n v="5"/>
    <n v="699"/>
    <n v="0.15"/>
    <n v="0"/>
    <s v="Delhi"/>
    <x v="1"/>
    <x v="2"/>
    <x v="1"/>
    <x v="2"/>
    <n v="4"/>
    <n v="3495"/>
    <n v="524.25"/>
    <n v="2970.75"/>
    <n v="524.25"/>
    <n v="0.17647058823529413"/>
    <x v="6"/>
  </r>
  <r>
    <s v="ORD-10963"/>
    <s v="CUST1296"/>
    <d v="2025-11-04T00:00:00"/>
    <s v="P012"/>
    <s v="Office Chair"/>
    <x v="3"/>
    <x v="0"/>
    <n v="3"/>
    <n v="6499"/>
    <n v="0"/>
    <n v="49"/>
    <s v="Chennai"/>
    <x v="4"/>
    <x v="0"/>
    <x v="2"/>
    <x v="0"/>
    <n v="3"/>
    <n v="19497"/>
    <n v="0"/>
    <n v="19546"/>
    <n v="5898.1"/>
    <n v="0.30175483474879772"/>
    <x v="4"/>
  </r>
  <r>
    <s v="ORD-10964"/>
    <s v="CUST1234"/>
    <d v="2025-06-07T00:00:00"/>
    <s v="P006"/>
    <s v="Cotton T-Shirt"/>
    <x v="4"/>
    <x v="8"/>
    <n v="1"/>
    <n v="799"/>
    <n v="0.2"/>
    <n v="79"/>
    <s v="Delhi"/>
    <x v="1"/>
    <x v="1"/>
    <x v="3"/>
    <x v="0"/>
    <n v="3"/>
    <n v="799"/>
    <n v="159.80000000000001"/>
    <n v="718.2"/>
    <n v="158.90000000000009"/>
    <n v="0.22124756335282664"/>
    <x v="3"/>
  </r>
  <r>
    <s v="ORD-10965"/>
    <s v="CUST1192"/>
    <d v="2025-06-21T00:00:00"/>
    <s v="P006"/>
    <s v="Cotton T-Shirt"/>
    <x v="4"/>
    <x v="8"/>
    <n v="1"/>
    <n v="799"/>
    <n v="0.1"/>
    <n v="79"/>
    <s v="Chennai"/>
    <x v="4"/>
    <x v="2"/>
    <x v="0"/>
    <x v="0"/>
    <n v="5"/>
    <n v="799"/>
    <n v="79.900000000000006"/>
    <n v="798.1"/>
    <n v="238.80000000000007"/>
    <n v="0.29921062523493303"/>
    <x v="3"/>
  </r>
  <r>
    <s v="ORD-10966"/>
    <s v="CUST1051"/>
    <d v="2025-05-26T00:00:00"/>
    <s v="P003"/>
    <s v="Bluetooth Speaker"/>
    <x v="1"/>
    <x v="6"/>
    <n v="1"/>
    <n v="1799"/>
    <n v="0.1"/>
    <n v="59"/>
    <s v="Chennai"/>
    <x v="4"/>
    <x v="0"/>
    <x v="4"/>
    <x v="2"/>
    <n v="1"/>
    <n v="1799"/>
    <n v="179.9"/>
    <n v="1678.1"/>
    <n v="418.79999999999995"/>
    <n v="0.24956796376854776"/>
    <x v="0"/>
  </r>
  <r>
    <s v="ORD-10967"/>
    <s v="CUST1052"/>
    <d v="2025-07-30T00:00:00"/>
    <s v="P011"/>
    <s v="Notebook"/>
    <x v="0"/>
    <x v="0"/>
    <n v="2"/>
    <n v="249"/>
    <n v="0.15"/>
    <n v="99"/>
    <s v="Delhi"/>
    <x v="1"/>
    <x v="1"/>
    <x v="0"/>
    <x v="2"/>
    <n v="5"/>
    <n v="498"/>
    <n v="74.7"/>
    <n v="522.29999999999995"/>
    <n v="173.7"/>
    <n v="0.33256748994830559"/>
    <x v="10"/>
  </r>
  <r>
    <s v="ORD-10968"/>
    <s v="CUST1059"/>
    <d v="2025-04-19T00:00:00"/>
    <s v="P001"/>
    <s v="Wireless Mouse"/>
    <x v="1"/>
    <x v="1"/>
    <n v="3"/>
    <n v="599"/>
    <n v="0.15"/>
    <n v="79"/>
    <s v="Mumbai"/>
    <x v="2"/>
    <x v="2"/>
    <x v="3"/>
    <x v="1"/>
    <n v="1"/>
    <n v="1797"/>
    <n v="269.55"/>
    <n v="1606.45"/>
    <n v="348.55000000000018"/>
    <n v="0.21696909334246331"/>
    <x v="1"/>
  </r>
  <r>
    <s v="ORD-10969"/>
    <s v="CUST1192"/>
    <d v="2025-11-27T00:00:00"/>
    <s v="P006"/>
    <s v="Cotton T-Shirt"/>
    <x v="4"/>
    <x v="8"/>
    <n v="1"/>
    <n v="799"/>
    <n v="0.1"/>
    <n v="0"/>
    <s v="Hyderabad"/>
    <x v="7"/>
    <x v="2"/>
    <x v="0"/>
    <x v="2"/>
    <n v="3"/>
    <n v="799"/>
    <n v="79.900000000000006"/>
    <n v="719.1"/>
    <n v="159.80000000000007"/>
    <n v="0.22222222222222232"/>
    <x v="4"/>
  </r>
  <r>
    <s v="ORD-10970"/>
    <s v="CUST1008"/>
    <d v="2025-08-01T00:00:00"/>
    <s v="P005"/>
    <s v="Running Shoes"/>
    <x v="4"/>
    <x v="7"/>
    <n v="1"/>
    <n v="2999"/>
    <n v="0.1"/>
    <n v="0"/>
    <s v="Mumbai"/>
    <x v="2"/>
    <x v="0"/>
    <x v="1"/>
    <x v="0"/>
    <n v="3"/>
    <n v="2999"/>
    <n v="299.90000000000003"/>
    <n v="2699.1"/>
    <n v="599.80000000000018"/>
    <n v="0.22222222222222229"/>
    <x v="5"/>
  </r>
  <r>
    <s v="ORD-10971"/>
    <s v="CUST1124"/>
    <d v="2025-11-04T00:00:00"/>
    <s v="P006"/>
    <s v="Cotton T-Shirt"/>
    <x v="4"/>
    <x v="8"/>
    <n v="3"/>
    <n v="799"/>
    <n v="0.15"/>
    <n v="79"/>
    <s v="Chennai"/>
    <x v="4"/>
    <x v="4"/>
    <x v="3"/>
    <x v="0"/>
    <n v="2"/>
    <n v="2397"/>
    <n v="359.55"/>
    <n v="2116.4499999999998"/>
    <n v="438.54999999999995"/>
    <n v="0.20721018686952208"/>
    <x v="4"/>
  </r>
  <r>
    <s v="ORD-10972"/>
    <s v="CUST1207"/>
    <d v="2025-10-23T00:00:00"/>
    <s v="P010"/>
    <s v="Desk Lamp"/>
    <x v="2"/>
    <x v="2"/>
    <n v="3"/>
    <n v="1199"/>
    <n v="0.1"/>
    <n v="49"/>
    <s v="Bengaluru"/>
    <x v="3"/>
    <x v="3"/>
    <x v="0"/>
    <x v="2"/>
    <n v="2"/>
    <n v="3597"/>
    <n v="359.70000000000005"/>
    <n v="3286.3"/>
    <n v="768.40000000000055"/>
    <n v="0.23381918875330934"/>
    <x v="8"/>
  </r>
  <r>
    <s v="ORD-10973"/>
    <s v="CUST1134"/>
    <d v="2025-03-06T00:00:00"/>
    <s v="P007"/>
    <s v="Backpack"/>
    <x v="4"/>
    <x v="5"/>
    <n v="1"/>
    <n v="1499"/>
    <n v="0.15"/>
    <n v="79"/>
    <s v="Jaipur"/>
    <x v="6"/>
    <x v="4"/>
    <x v="1"/>
    <x v="2"/>
    <n v="3"/>
    <n v="1499"/>
    <n v="224.85"/>
    <n v="1353.15"/>
    <n v="303.85000000000014"/>
    <n v="0.22455012378524192"/>
    <x v="6"/>
  </r>
  <r>
    <s v="ORD-10974"/>
    <s v="Not Assigned"/>
    <d v="2025-08-12T00:00:00"/>
    <s v="P004"/>
    <s v="USB-C Hub"/>
    <x v="1"/>
    <x v="1"/>
    <n v="1"/>
    <n v="1299"/>
    <n v="0"/>
    <n v="0"/>
    <s v="Gurgaon"/>
    <x v="0"/>
    <x v="0"/>
    <x v="0"/>
    <x v="3"/>
    <n v="4"/>
    <n v="1299"/>
    <n v="0"/>
    <n v="1299"/>
    <n v="389.70000000000005"/>
    <n v="0.30000000000000004"/>
    <x v="5"/>
  </r>
  <r>
    <s v="ORD-10975"/>
    <s v="CUST1114"/>
    <d v="2025-11-21T00:00:00"/>
    <s v="P001"/>
    <s v="Wireless Mouse"/>
    <x v="1"/>
    <x v="1"/>
    <n v="5"/>
    <n v="599"/>
    <n v="0"/>
    <n v="49"/>
    <s v="Noida"/>
    <x v="5"/>
    <x v="3"/>
    <x v="1"/>
    <x v="0"/>
    <n v="5"/>
    <n v="2995"/>
    <n v="0"/>
    <n v="3044"/>
    <n v="947.5"/>
    <n v="0.31126806833114323"/>
    <x v="4"/>
  </r>
  <r>
    <s v="ORD-10976"/>
    <s v="CUST1297"/>
    <d v="2025-12-04T00:00:00"/>
    <s v="P004"/>
    <s v="USB-C Hub"/>
    <x v="1"/>
    <x v="1"/>
    <n v="3"/>
    <n v="1299"/>
    <n v="0"/>
    <n v="0"/>
    <s v="Bengaluru"/>
    <x v="3"/>
    <x v="0"/>
    <x v="4"/>
    <x v="0"/>
    <n v="4"/>
    <n v="3897"/>
    <n v="0"/>
    <n v="3897"/>
    <n v="1169.1000000000004"/>
    <n v="0.3000000000000001"/>
    <x v="11"/>
  </r>
  <r>
    <s v="ORD-10977"/>
    <s v="CUST1254"/>
    <d v="2025-05-25T00:00:00"/>
    <s v="P010"/>
    <s v="Desk Lamp"/>
    <x v="2"/>
    <x v="2"/>
    <n v="1"/>
    <n v="1199"/>
    <n v="0"/>
    <n v="0"/>
    <s v="Gurgaon"/>
    <x v="0"/>
    <x v="3"/>
    <x v="1"/>
    <x v="0"/>
    <n v="4"/>
    <n v="1199"/>
    <n v="0"/>
    <n v="1199"/>
    <n v="359.70000000000005"/>
    <n v="0.30000000000000004"/>
    <x v="0"/>
  </r>
  <r>
    <s v="ORD-10978"/>
    <s v="CUST1215"/>
    <d v="2025-07-31T00:00:00"/>
    <s v="P002"/>
    <s v="Mechanical Keyboard"/>
    <x v="1"/>
    <x v="1"/>
    <n v="3"/>
    <n v="2499"/>
    <n v="0"/>
    <n v="49"/>
    <s v="Hyderabad"/>
    <x v="7"/>
    <x v="1"/>
    <x v="2"/>
    <x v="2"/>
    <n v="3"/>
    <n v="7497"/>
    <n v="0"/>
    <n v="7546"/>
    <n v="2298.1000000000004"/>
    <n v="0.30454545454545462"/>
    <x v="10"/>
  </r>
  <r>
    <s v="ORD-10979"/>
    <s v="CUST1017"/>
    <d v="2025-01-06T00:00:00"/>
    <s v="P008"/>
    <s v="Smart Watch"/>
    <x v="1"/>
    <x v="4"/>
    <n v="1"/>
    <n v="3499"/>
    <n v="0.2"/>
    <n v="99"/>
    <s v="Noida"/>
    <x v="5"/>
    <x v="0"/>
    <x v="2"/>
    <x v="3"/>
    <n v="3"/>
    <n v="3499"/>
    <n v="699.80000000000007"/>
    <n v="2898.2"/>
    <n v="448.90000000000009"/>
    <n v="0.15488924159823342"/>
    <x v="2"/>
  </r>
  <r>
    <s v="ORD-10980"/>
    <s v="CUST1099"/>
    <d v="2025-01-03T00:00:00"/>
    <s v="P008"/>
    <s v="Smart Watch"/>
    <x v="1"/>
    <x v="4"/>
    <n v="2"/>
    <n v="3499"/>
    <n v="0.05"/>
    <n v="0"/>
    <s v="Kolkata"/>
    <x v="8"/>
    <x v="4"/>
    <x v="4"/>
    <x v="2"/>
    <n v="5"/>
    <n v="6998"/>
    <n v="349.90000000000003"/>
    <n v="6648.1"/>
    <n v="1749.5000000000009"/>
    <n v="0.2631578947368422"/>
    <x v="2"/>
  </r>
  <r>
    <s v="ORD-10981"/>
    <s v="CUST1016"/>
    <d v="2025-03-20T00:00:00"/>
    <s v="P001"/>
    <s v="Wireless Mouse"/>
    <x v="1"/>
    <x v="1"/>
    <n v="2"/>
    <n v="599"/>
    <n v="0"/>
    <n v="49"/>
    <s v="Chennai"/>
    <x v="4"/>
    <x v="3"/>
    <x v="1"/>
    <x v="0"/>
    <n v="2"/>
    <n v="1198"/>
    <n v="0"/>
    <n v="1247"/>
    <n v="408.40000000000009"/>
    <n v="0.32750601443464322"/>
    <x v="6"/>
  </r>
  <r>
    <s v="ORD-10982"/>
    <s v="CUST1151"/>
    <d v="2025-09-04T00:00:00"/>
    <s v="P002"/>
    <s v="Mechanical Keyboard"/>
    <x v="1"/>
    <x v="1"/>
    <n v="1"/>
    <n v="2499"/>
    <n v="0.2"/>
    <n v="99"/>
    <s v="Noida"/>
    <x v="5"/>
    <x v="1"/>
    <x v="3"/>
    <x v="0"/>
    <n v="4"/>
    <n v="2499"/>
    <n v="499.8"/>
    <n v="2098.1999999999998"/>
    <n v="348.89999999999986"/>
    <n v="0.16628538747497851"/>
    <x v="7"/>
  </r>
  <r>
    <s v="ORD-10983"/>
    <s v="CUST1202"/>
    <d v="2025-05-09T00:00:00"/>
    <s v="P009"/>
    <s v="Water Bottle"/>
    <x v="2"/>
    <x v="3"/>
    <n v="4"/>
    <n v="699"/>
    <n v="0.2"/>
    <n v="59"/>
    <s v="Bengaluru"/>
    <x v="3"/>
    <x v="0"/>
    <x v="0"/>
    <x v="2"/>
    <n v="3"/>
    <n v="2796"/>
    <n v="559.20000000000005"/>
    <n v="2295.8000000000002"/>
    <n v="338.60000000000036"/>
    <n v="0.14748671487063347"/>
    <x v="0"/>
  </r>
  <r>
    <s v="ORD-10984"/>
    <s v="CUST1140"/>
    <d v="2025-04-16T00:00:00"/>
    <s v="P010"/>
    <s v="Desk Lamp"/>
    <x v="2"/>
    <x v="2"/>
    <n v="1"/>
    <n v="1199"/>
    <n v="0.1"/>
    <n v="79"/>
    <s v="Mumbai"/>
    <x v="2"/>
    <x v="3"/>
    <x v="0"/>
    <x v="1"/>
    <n v="1"/>
    <n v="1199"/>
    <n v="119.9"/>
    <n v="1158.0999999999999"/>
    <n v="318.79999999999995"/>
    <n v="0.27527847336154043"/>
    <x v="1"/>
  </r>
  <r>
    <s v="ORD-10985"/>
    <s v="CUST1086"/>
    <d v="2025-10-18T00:00:00"/>
    <s v="P010"/>
    <s v="Desk Lamp"/>
    <x v="2"/>
    <x v="2"/>
    <n v="1"/>
    <n v="1199"/>
    <n v="0"/>
    <n v="79"/>
    <s v="Bengaluru"/>
    <x v="3"/>
    <x v="0"/>
    <x v="0"/>
    <x v="2"/>
    <n v="3"/>
    <n v="1199"/>
    <n v="0"/>
    <n v="1278"/>
    <n v="438.70000000000005"/>
    <n v="0.34327073552425669"/>
    <x v="8"/>
  </r>
  <r>
    <s v="ORD-10986"/>
    <s v="CUST1093"/>
    <d v="2025-11-27T00:00:00"/>
    <s v="P010"/>
    <s v="Desk Lamp"/>
    <x v="2"/>
    <x v="2"/>
    <n v="1"/>
    <n v="1199"/>
    <n v="0"/>
    <n v="0"/>
    <s v="Bengaluru"/>
    <x v="3"/>
    <x v="3"/>
    <x v="3"/>
    <x v="1"/>
    <n v="3"/>
    <n v="1199"/>
    <n v="0"/>
    <n v="1199"/>
    <n v="359.70000000000005"/>
    <n v="0.30000000000000004"/>
    <x v="4"/>
  </r>
  <r>
    <s v="ORD-10987"/>
    <s v="CUST1063"/>
    <d v="2025-04-21T00:00:00"/>
    <s v="P003"/>
    <s v="Bluetooth Speaker"/>
    <x v="1"/>
    <x v="6"/>
    <n v="1"/>
    <n v="1799"/>
    <n v="0"/>
    <n v="59"/>
    <s v="Pune"/>
    <x v="2"/>
    <x v="0"/>
    <x v="2"/>
    <x v="0"/>
    <n v="3"/>
    <n v="1799"/>
    <n v="0"/>
    <n v="1858"/>
    <n v="598.70000000000005"/>
    <n v="0.32222820236813782"/>
    <x v="1"/>
  </r>
  <r>
    <s v="ORD-10988"/>
    <s v="CUST1198"/>
    <d v="2025-10-18T00:00:00"/>
    <s v="P001"/>
    <s v="Wireless Mouse"/>
    <x v="1"/>
    <x v="1"/>
    <n v="1"/>
    <n v="599"/>
    <n v="0.15"/>
    <n v="0"/>
    <s v="Pune"/>
    <x v="2"/>
    <x v="3"/>
    <x v="0"/>
    <x v="0"/>
    <n v="2"/>
    <n v="599"/>
    <n v="89.85"/>
    <n v="509.15"/>
    <n v="89.850000000000023"/>
    <n v="0.17647058823529416"/>
    <x v="8"/>
  </r>
  <r>
    <s v="ORD-10989"/>
    <s v="CUST1216"/>
    <d v="2025-05-23T00:00:00"/>
    <s v="P009"/>
    <s v="Water Bottle"/>
    <x v="2"/>
    <x v="3"/>
    <n v="1"/>
    <n v="699"/>
    <n v="0"/>
    <n v="99"/>
    <s v="Jaipur"/>
    <x v="6"/>
    <x v="1"/>
    <x v="2"/>
    <x v="2"/>
    <n v="3"/>
    <n v="699"/>
    <n v="0"/>
    <n v="798"/>
    <n v="308.70000000000005"/>
    <n v="0.38684210526315793"/>
    <x v="0"/>
  </r>
  <r>
    <s v="ORD-10990"/>
    <s v="CUST1064"/>
    <d v="2025-09-10T00:00:00"/>
    <s v="P006"/>
    <s v="Cotton T-Shirt"/>
    <x v="4"/>
    <x v="8"/>
    <n v="1"/>
    <n v="799"/>
    <n v="0.1"/>
    <n v="0"/>
    <s v="Jaipur"/>
    <x v="6"/>
    <x v="1"/>
    <x v="1"/>
    <x v="0"/>
    <n v="5"/>
    <n v="799"/>
    <n v="79.900000000000006"/>
    <n v="719.1"/>
    <n v="159.80000000000007"/>
    <n v="0.22222222222222232"/>
    <x v="7"/>
  </r>
  <r>
    <s v="ORD-10991"/>
    <s v="CUST1003"/>
    <d v="2025-10-23T00:00:00"/>
    <s v="P006"/>
    <s v="Cotton T-Shirt"/>
    <x v="4"/>
    <x v="8"/>
    <n v="1"/>
    <n v="799"/>
    <n v="0.2"/>
    <n v="99"/>
    <s v="Kolkata"/>
    <x v="8"/>
    <x v="1"/>
    <x v="2"/>
    <x v="0"/>
    <n v="2"/>
    <n v="799"/>
    <n v="159.80000000000001"/>
    <n v="738.2"/>
    <n v="178.90000000000009"/>
    <n v="0.24234624762936885"/>
    <x v="8"/>
  </r>
  <r>
    <s v="ORD-10992"/>
    <s v="CUST1241"/>
    <d v="2025-09-28T00:00:00"/>
    <s v="P007"/>
    <s v="Backpack"/>
    <x v="4"/>
    <x v="5"/>
    <n v="3"/>
    <n v="1499"/>
    <n v="0"/>
    <n v="0"/>
    <s v="Delhi"/>
    <x v="1"/>
    <x v="0"/>
    <x v="3"/>
    <x v="2"/>
    <n v="3"/>
    <n v="4497"/>
    <n v="0"/>
    <n v="4497"/>
    <n v="1349.1000000000004"/>
    <n v="0.3000000000000001"/>
    <x v="7"/>
  </r>
  <r>
    <s v="ORD-10993"/>
    <s v="CUST1025"/>
    <d v="2025-06-27T00:00:00"/>
    <s v="P005"/>
    <s v="Running Shoes"/>
    <x v="4"/>
    <x v="7"/>
    <n v="1"/>
    <n v="2999"/>
    <n v="0.05"/>
    <n v="79"/>
    <s v="Mumbai"/>
    <x v="2"/>
    <x v="1"/>
    <x v="2"/>
    <x v="3"/>
    <n v="3"/>
    <n v="2999"/>
    <n v="149.95000000000002"/>
    <n v="2928.05"/>
    <n v="828.75000000000045"/>
    <n v="0.28303819948429854"/>
    <x v="3"/>
  </r>
  <r>
    <s v="ORD-10994"/>
    <s v="CUST1025"/>
    <d v="2025-03-04T00:00:00"/>
    <s v="P008"/>
    <s v="Smart Watch"/>
    <x v="1"/>
    <x v="4"/>
    <n v="3"/>
    <n v="3499"/>
    <n v="0"/>
    <n v="49"/>
    <s v="Hyderabad"/>
    <x v="7"/>
    <x v="0"/>
    <x v="1"/>
    <x v="0"/>
    <n v="1"/>
    <n v="10497"/>
    <n v="0"/>
    <n v="10546"/>
    <n v="3198.1000000000004"/>
    <n v="0.30325241797838048"/>
    <x v="6"/>
  </r>
  <r>
    <s v="ORD-10995"/>
    <s v="CUST1027"/>
    <d v="2025-02-15T00:00:00"/>
    <s v="P006"/>
    <s v="Cotton T-Shirt"/>
    <x v="4"/>
    <x v="8"/>
    <n v="1"/>
    <n v="799"/>
    <n v="0.15"/>
    <n v="0"/>
    <s v="Bengaluru"/>
    <x v="3"/>
    <x v="3"/>
    <x v="4"/>
    <x v="0"/>
    <n v="1"/>
    <n v="799"/>
    <n v="119.85"/>
    <n v="679.15"/>
    <n v="119.85000000000002"/>
    <n v="0.17647058823529416"/>
    <x v="9"/>
  </r>
  <r>
    <s v="ORD-10996"/>
    <s v="CUST1071"/>
    <d v="2025-06-18T00:00:00"/>
    <s v="P001"/>
    <s v="Wireless Mouse"/>
    <x v="1"/>
    <x v="1"/>
    <n v="1"/>
    <n v="599"/>
    <n v="0.05"/>
    <n v="49"/>
    <s v="Mumbai"/>
    <x v="2"/>
    <x v="4"/>
    <x v="3"/>
    <x v="1"/>
    <n v="1"/>
    <n v="599"/>
    <n v="29.950000000000003"/>
    <n v="618.04999999999995"/>
    <n v="198.75"/>
    <n v="0.32157592427797105"/>
    <x v="3"/>
  </r>
  <r>
    <s v="ORD-10997"/>
    <s v="CUST1268"/>
    <d v="2025-10-27T00:00:00"/>
    <s v="P003"/>
    <s v="Bluetooth Speaker"/>
    <x v="1"/>
    <x v="6"/>
    <n v="3"/>
    <n v="1799"/>
    <n v="0.2"/>
    <n v="0"/>
    <s v="Pune"/>
    <x v="2"/>
    <x v="4"/>
    <x v="1"/>
    <x v="1"/>
    <n v="5"/>
    <n v="5397"/>
    <n v="1079.4000000000001"/>
    <n v="4317.6000000000004"/>
    <n v="539.70000000000073"/>
    <n v="0.12500000000000017"/>
    <x v="8"/>
  </r>
  <r>
    <s v="ORD-10998"/>
    <s v="CUST1152"/>
    <d v="2025-06-14T00:00:00"/>
    <s v="P008"/>
    <s v="Smart Watch"/>
    <x v="1"/>
    <x v="4"/>
    <n v="5"/>
    <n v="2017"/>
    <n v="0"/>
    <n v="59"/>
    <s v="Hyderabad"/>
    <x v="7"/>
    <x v="0"/>
    <x v="2"/>
    <x v="0"/>
    <n v="5"/>
    <n v="10085"/>
    <n v="0"/>
    <n v="10144"/>
    <n v="3084.5"/>
    <n v="0.30407137223974762"/>
    <x v="3"/>
  </r>
  <r>
    <s v="ORD-10999"/>
    <s v="CUST1240"/>
    <d v="2025-02-08T00:00:00"/>
    <s v="P004"/>
    <s v="USB-C Hub"/>
    <x v="1"/>
    <x v="1"/>
    <n v="2"/>
    <n v="1299"/>
    <n v="0"/>
    <n v="49"/>
    <s v="Jaipur"/>
    <x v="6"/>
    <x v="1"/>
    <x v="1"/>
    <x v="0"/>
    <n v="4"/>
    <n v="2598"/>
    <n v="0"/>
    <n v="2647"/>
    <n v="828.40000000000009"/>
    <n v="0.31295806573479412"/>
    <x v="9"/>
  </r>
  <r>
    <s v="ORD-11000"/>
    <s v="CUST1079"/>
    <d v="2025-10-30T00:00:00"/>
    <s v="P002"/>
    <s v="Mechanical Keyboard"/>
    <x v="1"/>
    <x v="1"/>
    <n v="1"/>
    <n v="2499"/>
    <n v="0.05"/>
    <n v="79"/>
    <s v="Pune"/>
    <x v="2"/>
    <x v="4"/>
    <x v="4"/>
    <x v="0"/>
    <n v="2"/>
    <n v="2499"/>
    <n v="124.95"/>
    <n v="2453.0500000000002"/>
    <n v="703.75000000000023"/>
    <n v="0.28688775198222627"/>
    <x v="8"/>
  </r>
  <r>
    <s v="ORD-11001"/>
    <s v="CUST1036"/>
    <d v="2025-08-20T00:00:00"/>
    <s v="P004"/>
    <s v="USB-C Hub"/>
    <x v="1"/>
    <x v="1"/>
    <n v="1"/>
    <n v="1299"/>
    <n v="0.1"/>
    <n v="49"/>
    <s v="Pune"/>
    <x v="2"/>
    <x v="3"/>
    <x v="3"/>
    <x v="0"/>
    <n v="2"/>
    <n v="1299"/>
    <n v="129.9"/>
    <n v="1218.0999999999999"/>
    <n v="308.79999999999995"/>
    <n v="0.25350956407519909"/>
    <x v="5"/>
  </r>
  <r>
    <s v="ORD-11002"/>
    <s v="CUST1057"/>
    <d v="2025-10-23T00:00:00"/>
    <s v="P011"/>
    <s v="Notebook"/>
    <x v="0"/>
    <x v="0"/>
    <n v="4"/>
    <n v="249"/>
    <n v="0.1"/>
    <n v="0"/>
    <s v="Mumbai"/>
    <x v="2"/>
    <x v="2"/>
    <x v="4"/>
    <x v="0"/>
    <n v="4"/>
    <n v="996"/>
    <n v="99.600000000000009"/>
    <n v="896.4"/>
    <n v="199.20000000000005"/>
    <n v="0.22222222222222227"/>
    <x v="8"/>
  </r>
  <r>
    <s v="ORD-11003"/>
    <s v="CUST1282"/>
    <d v="2025-12-05T00:00:00"/>
    <s v="P003"/>
    <s v="Bluetooth Speaker"/>
    <x v="1"/>
    <x v="6"/>
    <n v="1"/>
    <n v="1799"/>
    <n v="0.05"/>
    <n v="0"/>
    <s v="Mumbai"/>
    <x v="2"/>
    <x v="0"/>
    <x v="2"/>
    <x v="0"/>
    <n v="4"/>
    <n v="1799"/>
    <n v="89.95"/>
    <n v="1709.05"/>
    <n v="449.75"/>
    <n v="0.26315789473684209"/>
    <x v="11"/>
  </r>
  <r>
    <s v="ORD-11004"/>
    <s v="CUST1190"/>
    <d v="2025-08-09T00:00:00"/>
    <s v="P004"/>
    <s v="USB-C Hub"/>
    <x v="1"/>
    <x v="1"/>
    <n v="1"/>
    <n v="1299"/>
    <n v="0.1"/>
    <n v="59"/>
    <s v="Noida"/>
    <x v="5"/>
    <x v="0"/>
    <x v="4"/>
    <x v="0"/>
    <n v="3"/>
    <n v="1299"/>
    <n v="129.9"/>
    <n v="1228.0999999999999"/>
    <n v="318.79999999999995"/>
    <n v="0.25958798143473655"/>
    <x v="5"/>
  </r>
  <r>
    <s v="ORD-11005"/>
    <s v="CUST1253"/>
    <d v="2025-04-07T00:00:00"/>
    <s v="P007"/>
    <s v="Backpack"/>
    <x v="4"/>
    <x v="5"/>
    <n v="1"/>
    <n v="1499"/>
    <n v="0.05"/>
    <n v="99"/>
    <s v="Bengaluru"/>
    <x v="3"/>
    <x v="4"/>
    <x v="3"/>
    <x v="3"/>
    <n v="1"/>
    <n v="1499"/>
    <n v="74.95"/>
    <n v="1523.05"/>
    <n v="473.75"/>
    <n v="0.3110534782180493"/>
    <x v="1"/>
  </r>
  <r>
    <s v="ORD-11006"/>
    <s v="CUST1137"/>
    <d v="2025-02-26T00:00:00"/>
    <s v="P011"/>
    <s v="Notebook"/>
    <x v="0"/>
    <x v="0"/>
    <n v="2"/>
    <n v="249"/>
    <n v="0"/>
    <n v="99"/>
    <s v="Delhi"/>
    <x v="1"/>
    <x v="2"/>
    <x v="4"/>
    <x v="0"/>
    <n v="5"/>
    <n v="498"/>
    <n v="0"/>
    <n v="597"/>
    <n v="248.40000000000003"/>
    <n v="0.41608040201005031"/>
    <x v="9"/>
  </r>
  <r>
    <s v="ORD-11007"/>
    <s v="CUST1052"/>
    <d v="2025-11-14T00:00:00"/>
    <s v="P002"/>
    <s v="Mechanical Keyboard"/>
    <x v="1"/>
    <x v="1"/>
    <n v="1"/>
    <n v="2499"/>
    <n v="0.1"/>
    <n v="79"/>
    <s v="Mumbai"/>
    <x v="2"/>
    <x v="2"/>
    <x v="2"/>
    <x v="1"/>
    <n v="4"/>
    <n v="2499"/>
    <n v="249.9"/>
    <n v="2328.1"/>
    <n v="578.79999999999995"/>
    <n v="0.24861475022550578"/>
    <x v="4"/>
  </r>
  <r>
    <s v="ORD-11008"/>
    <s v="CUST1002"/>
    <d v="2025-06-27T00:00:00"/>
    <s v="P004"/>
    <s v="USB-C Hub"/>
    <x v="1"/>
    <x v="1"/>
    <n v="3"/>
    <n v="1299"/>
    <n v="0"/>
    <n v="59"/>
    <s v="Noida"/>
    <x v="5"/>
    <x v="0"/>
    <x v="1"/>
    <x v="2"/>
    <n v="5"/>
    <n v="3897"/>
    <n v="0"/>
    <n v="3956"/>
    <n v="1228.1000000000004"/>
    <n v="0.31043983822042476"/>
    <x v="3"/>
  </r>
  <r>
    <s v="ORD-11009"/>
    <s v="CUST1086"/>
    <d v="2025-06-06T00:00:00"/>
    <s v="P012"/>
    <s v="Office Chair"/>
    <x v="3"/>
    <x v="0"/>
    <n v="2"/>
    <n v="6499"/>
    <n v="0.05"/>
    <n v="0"/>
    <s v="Kolkata"/>
    <x v="8"/>
    <x v="2"/>
    <x v="2"/>
    <x v="0"/>
    <n v="4"/>
    <n v="12998"/>
    <n v="649.90000000000009"/>
    <n v="12348.1"/>
    <n v="3249.5000000000018"/>
    <n v="0.26315789473684226"/>
    <x v="3"/>
  </r>
  <r>
    <s v="ORD-11010"/>
    <s v="CUST1088"/>
    <d v="2025-08-08T00:00:00"/>
    <s v="P003"/>
    <s v="Bluetooth Speaker"/>
    <x v="1"/>
    <x v="6"/>
    <n v="2"/>
    <n v="1799"/>
    <n v="0.05"/>
    <n v="0"/>
    <s v="Delhi"/>
    <x v="1"/>
    <x v="0"/>
    <x v="0"/>
    <x v="0"/>
    <n v="3"/>
    <n v="3598"/>
    <n v="179.9"/>
    <n v="3418.1"/>
    <n v="899.5"/>
    <n v="0.26315789473684209"/>
    <x v="5"/>
  </r>
  <r>
    <s v="ORD-11011"/>
    <s v="CUST1149"/>
    <d v="2025-05-07T00:00:00"/>
    <s v="P008"/>
    <s v="Smart Watch"/>
    <x v="1"/>
    <x v="4"/>
    <n v="1"/>
    <n v="3499"/>
    <n v="0"/>
    <n v="99"/>
    <s v="Kolkata"/>
    <x v="8"/>
    <x v="2"/>
    <x v="0"/>
    <x v="0"/>
    <n v="5"/>
    <n v="3499"/>
    <n v="0"/>
    <n v="3598"/>
    <n v="1148.7000000000003"/>
    <n v="0.31926070038910515"/>
    <x v="0"/>
  </r>
  <r>
    <s v="ORD-11012"/>
    <s v="CUST1252"/>
    <d v="2025-02-21T00:00:00"/>
    <s v="P003"/>
    <s v="Bluetooth Speaker"/>
    <x v="1"/>
    <x v="6"/>
    <n v="3"/>
    <n v="1799"/>
    <n v="0.05"/>
    <n v="79"/>
    <s v="Noida"/>
    <x v="5"/>
    <x v="3"/>
    <x v="0"/>
    <x v="2"/>
    <n v="3"/>
    <n v="5397"/>
    <n v="269.85000000000002"/>
    <n v="5206.1499999999996"/>
    <n v="1428.25"/>
    <n v="0.27433900291001989"/>
    <x v="9"/>
  </r>
  <r>
    <s v="ORD-11013"/>
    <s v="CUST1266"/>
    <d v="2025-08-23T00:00:00"/>
    <s v="P011"/>
    <s v="Notebook"/>
    <x v="0"/>
    <x v="0"/>
    <n v="1"/>
    <n v="249"/>
    <n v="0.05"/>
    <n v="59"/>
    <s v="Hyderabad"/>
    <x v="7"/>
    <x v="4"/>
    <x v="3"/>
    <x v="0"/>
    <n v="1"/>
    <n v="249"/>
    <n v="12.450000000000001"/>
    <n v="295.55"/>
    <n v="121.25000000000003"/>
    <n v="0.41025207240737616"/>
    <x v="5"/>
  </r>
  <r>
    <s v="ORD-11014"/>
    <s v="CUST1183"/>
    <d v="2025-01-11T00:00:00"/>
    <s v="P005"/>
    <s v="Running Shoes"/>
    <x v="4"/>
    <x v="7"/>
    <n v="2"/>
    <n v="2999"/>
    <n v="0.2"/>
    <n v="49"/>
    <s v="Chennai"/>
    <x v="4"/>
    <x v="1"/>
    <x v="4"/>
    <x v="0"/>
    <n v="2"/>
    <n v="5998"/>
    <n v="1199.6000000000001"/>
    <n v="4847.3999999999996"/>
    <n v="648.80000000000018"/>
    <n v="0.13384494780707187"/>
    <x v="2"/>
  </r>
  <r>
    <s v="ORD-11015"/>
    <s v="CUST1141"/>
    <d v="2025-02-15T00:00:00"/>
    <s v="P010"/>
    <s v="Desk Lamp"/>
    <x v="2"/>
    <x v="2"/>
    <n v="1"/>
    <n v="1199"/>
    <n v="0"/>
    <n v="0"/>
    <s v="Bengaluru"/>
    <x v="3"/>
    <x v="4"/>
    <x v="3"/>
    <x v="1"/>
    <n v="5"/>
    <n v="1199"/>
    <n v="0"/>
    <n v="1199"/>
    <n v="359.70000000000005"/>
    <n v="0.30000000000000004"/>
    <x v="9"/>
  </r>
  <r>
    <s v="ORD-11016"/>
    <s v="CUST1159"/>
    <d v="2025-06-28T00:00:00"/>
    <s v="P003"/>
    <s v="Bluetooth Speaker"/>
    <x v="1"/>
    <x v="6"/>
    <n v="4"/>
    <n v="1799"/>
    <n v="0.1"/>
    <n v="59"/>
    <s v="Mumbai"/>
    <x v="2"/>
    <x v="2"/>
    <x v="4"/>
    <x v="3"/>
    <n v="5"/>
    <n v="7196"/>
    <n v="719.6"/>
    <n v="6535.4"/>
    <n v="1498.1999999999998"/>
    <n v="0.2292438106313309"/>
    <x v="3"/>
  </r>
  <r>
    <s v="ORD-11017"/>
    <s v="CUST1148"/>
    <d v="2025-03-04T00:00:00"/>
    <s v="P009"/>
    <s v="Water Bottle"/>
    <x v="2"/>
    <x v="3"/>
    <n v="3"/>
    <n v="699"/>
    <n v="0.15"/>
    <n v="59"/>
    <s v="Pune"/>
    <x v="2"/>
    <x v="0"/>
    <x v="4"/>
    <x v="1"/>
    <n v="4"/>
    <n v="2097"/>
    <n v="314.55"/>
    <n v="1841.45"/>
    <n v="373.55000000000018"/>
    <n v="0.20285644464959687"/>
    <x v="6"/>
  </r>
  <r>
    <s v="ORD-11018"/>
    <s v="CUST1156"/>
    <d v="2025-03-18T00:00:00"/>
    <s v="P011"/>
    <s v="Notebook"/>
    <x v="0"/>
    <x v="0"/>
    <n v="2"/>
    <n v="249"/>
    <n v="0.15"/>
    <n v="49"/>
    <s v="Noida"/>
    <x v="5"/>
    <x v="1"/>
    <x v="2"/>
    <x v="3"/>
    <n v="1"/>
    <n v="498"/>
    <n v="74.7"/>
    <n v="472.3"/>
    <n v="123.70000000000005"/>
    <n v="0.26190980309125567"/>
    <x v="6"/>
  </r>
  <r>
    <s v="ORD-11019"/>
    <s v="CUST1251"/>
    <d v="2025-04-22T00:00:00"/>
    <s v="P005"/>
    <s v="Running Shoes"/>
    <x v="4"/>
    <x v="7"/>
    <n v="2"/>
    <n v="2999"/>
    <n v="0"/>
    <n v="0"/>
    <s v="Delhi"/>
    <x v="1"/>
    <x v="3"/>
    <x v="4"/>
    <x v="3"/>
    <n v="4"/>
    <n v="5998"/>
    <n v="0"/>
    <n v="5998"/>
    <n v="1799.4000000000005"/>
    <n v="0.3000000000000001"/>
    <x v="1"/>
  </r>
  <r>
    <s v="ORD-11020"/>
    <s v="CUST1080"/>
    <d v="2025-03-12T00:00:00"/>
    <s v="P006"/>
    <s v="Cotton T-Shirt"/>
    <x v="4"/>
    <x v="8"/>
    <n v="1"/>
    <n v="799"/>
    <n v="0"/>
    <n v="99"/>
    <s v="Delhi"/>
    <x v="1"/>
    <x v="0"/>
    <x v="2"/>
    <x v="0"/>
    <n v="2"/>
    <n v="799"/>
    <n v="0"/>
    <n v="898"/>
    <n v="338.70000000000005"/>
    <n v="0.37717149220489982"/>
    <x v="6"/>
  </r>
  <r>
    <s v="ORD-11021"/>
    <s v="CUST1128"/>
    <d v="2025-02-11T00:00:00"/>
    <s v="P012"/>
    <s v="Office Chair"/>
    <x v="3"/>
    <x v="0"/>
    <n v="1"/>
    <n v="6499"/>
    <n v="0.1"/>
    <n v="59"/>
    <s v="Jaipur"/>
    <x v="6"/>
    <x v="1"/>
    <x v="3"/>
    <x v="0"/>
    <n v="4"/>
    <n v="6499"/>
    <n v="649.90000000000009"/>
    <n v="5908.1"/>
    <n v="1358.8000000000011"/>
    <n v="0.22998933667338078"/>
    <x v="9"/>
  </r>
  <r>
    <s v="ORD-11022"/>
    <s v="CUST1297"/>
    <d v="2025-11-02T00:00:00"/>
    <s v="P002"/>
    <s v="Mechanical Keyboard"/>
    <x v="1"/>
    <x v="1"/>
    <n v="4"/>
    <n v="2499"/>
    <n v="0.1"/>
    <n v="59"/>
    <s v="Mumbai"/>
    <x v="2"/>
    <x v="2"/>
    <x v="1"/>
    <x v="3"/>
    <n v="3"/>
    <n v="9996"/>
    <n v="999.6"/>
    <n v="9055.4"/>
    <n v="2058.1999999999998"/>
    <n v="0.22728979393511053"/>
    <x v="4"/>
  </r>
  <r>
    <s v="ORD-11023"/>
    <s v="CUST1280"/>
    <d v="2025-06-04T00:00:00"/>
    <s v="P003"/>
    <s v="Bluetooth Speaker"/>
    <x v="1"/>
    <x v="6"/>
    <n v="2"/>
    <n v="1799"/>
    <n v="0.15"/>
    <n v="79"/>
    <s v="Bengaluru"/>
    <x v="3"/>
    <x v="2"/>
    <x v="3"/>
    <x v="0"/>
    <n v="3"/>
    <n v="3598"/>
    <n v="539.69999999999993"/>
    <n v="3137.3"/>
    <n v="618.70000000000027"/>
    <n v="0.19720779013801684"/>
    <x v="3"/>
  </r>
  <r>
    <s v="ORD-11024"/>
    <s v="CUST1240"/>
    <d v="2025-08-15T00:00:00"/>
    <s v="P007"/>
    <s v="Backpack"/>
    <x v="4"/>
    <x v="5"/>
    <n v="1"/>
    <n v="1499"/>
    <n v="0"/>
    <n v="59"/>
    <s v="Gurgaon"/>
    <x v="0"/>
    <x v="3"/>
    <x v="3"/>
    <x v="3"/>
    <n v="4"/>
    <n v="1499"/>
    <n v="0"/>
    <n v="1558"/>
    <n v="508.70000000000005"/>
    <n v="0.32650834403080875"/>
    <x v="5"/>
  </r>
  <r>
    <s v="ORD-11025"/>
    <s v="CUST1155"/>
    <d v="2025-10-14T00:00:00"/>
    <s v="P007"/>
    <s v="Backpack"/>
    <x v="4"/>
    <x v="5"/>
    <n v="2"/>
    <n v="1499"/>
    <n v="0"/>
    <n v="49"/>
    <s v="Bengaluru"/>
    <x v="3"/>
    <x v="2"/>
    <x v="0"/>
    <x v="1"/>
    <n v="5"/>
    <n v="2998"/>
    <n v="0"/>
    <n v="3047"/>
    <n v="948.40000000000009"/>
    <n v="0.31125697407285857"/>
    <x v="8"/>
  </r>
  <r>
    <s v="ORD-11026"/>
    <s v="CUST1004"/>
    <d v="2025-10-17T00:00:00"/>
    <s v="P006"/>
    <s v="Cotton T-Shirt"/>
    <x v="4"/>
    <x v="8"/>
    <n v="2"/>
    <n v="799"/>
    <n v="0"/>
    <n v="79"/>
    <s v="Noida"/>
    <x v="5"/>
    <x v="1"/>
    <x v="0"/>
    <x v="1"/>
    <n v="4"/>
    <n v="1598"/>
    <n v="0"/>
    <n v="1677"/>
    <n v="558.40000000000009"/>
    <n v="0.33297555158020281"/>
    <x v="8"/>
  </r>
  <r>
    <s v="ORD-11027"/>
    <s v="CUST1290"/>
    <d v="2025-11-29T00:00:00"/>
    <s v="P001"/>
    <s v="Wireless Mouse"/>
    <x v="1"/>
    <x v="1"/>
    <n v="1"/>
    <n v="599"/>
    <n v="0"/>
    <n v="59"/>
    <s v="Gurgaon"/>
    <x v="0"/>
    <x v="1"/>
    <x v="2"/>
    <x v="3"/>
    <n v="3"/>
    <n v="599"/>
    <n v="0"/>
    <n v="658"/>
    <n v="238.70000000000005"/>
    <n v="0.36276595744680856"/>
    <x v="4"/>
  </r>
  <r>
    <s v="ORD-11028"/>
    <s v="CUST1265"/>
    <d v="2025-12-12T00:00:00"/>
    <s v="P001"/>
    <s v="Wireless Mouse"/>
    <x v="1"/>
    <x v="1"/>
    <n v="2"/>
    <n v="599"/>
    <n v="0"/>
    <n v="49"/>
    <s v="Gurgaon"/>
    <x v="0"/>
    <x v="2"/>
    <x v="0"/>
    <x v="2"/>
    <n v="3"/>
    <n v="1198"/>
    <n v="0"/>
    <n v="1247"/>
    <n v="408.40000000000009"/>
    <n v="0.32750601443464322"/>
    <x v="11"/>
  </r>
  <r>
    <s v="ORD-11029"/>
    <s v="CUST1004"/>
    <d v="2025-12-12T00:00:00"/>
    <s v="P008"/>
    <s v="Smart Watch"/>
    <x v="1"/>
    <x v="4"/>
    <n v="1"/>
    <n v="3499"/>
    <n v="0.05"/>
    <n v="59"/>
    <s v="Noida"/>
    <x v="5"/>
    <x v="1"/>
    <x v="0"/>
    <x v="0"/>
    <n v="3"/>
    <n v="3499"/>
    <n v="174.95000000000002"/>
    <n v="3383.05"/>
    <n v="933.75000000000045"/>
    <n v="0.27600833567343092"/>
    <x v="11"/>
  </r>
  <r>
    <s v="ORD-11030"/>
    <s v="CUST1127"/>
    <d v="2025-03-20T00:00:00"/>
    <s v="P004"/>
    <s v="USB-C Hub"/>
    <x v="1"/>
    <x v="1"/>
    <n v="1"/>
    <n v="1299"/>
    <n v="0.15"/>
    <n v="0"/>
    <s v="Gurgaon"/>
    <x v="0"/>
    <x v="2"/>
    <x v="4"/>
    <x v="0"/>
    <n v="4"/>
    <n v="1299"/>
    <n v="194.85"/>
    <n v="1104.1500000000001"/>
    <n v="194.85000000000014"/>
    <n v="0.17647058823529424"/>
    <x v="6"/>
  </r>
  <r>
    <s v="ORD-11031"/>
    <s v="CUST1121"/>
    <d v="2025-01-29T00:00:00"/>
    <s v="P001"/>
    <s v="Wireless Mouse"/>
    <x v="1"/>
    <x v="1"/>
    <n v="1"/>
    <n v="599"/>
    <n v="0.1"/>
    <n v="49"/>
    <s v="Chennai"/>
    <x v="4"/>
    <x v="4"/>
    <x v="2"/>
    <x v="1"/>
    <n v="3"/>
    <n v="599"/>
    <n v="59.900000000000006"/>
    <n v="588.1"/>
    <n v="168.80000000000007"/>
    <n v="0.28702601598367633"/>
    <x v="2"/>
  </r>
  <r>
    <s v="ORD-11032"/>
    <s v="CUST1095"/>
    <d v="2025-11-12T00:00:00"/>
    <s v="P010"/>
    <s v="Desk Lamp"/>
    <x v="2"/>
    <x v="2"/>
    <n v="3"/>
    <n v="1199"/>
    <n v="0.2"/>
    <n v="0"/>
    <s v="Hyderabad"/>
    <x v="7"/>
    <x v="2"/>
    <x v="1"/>
    <x v="0"/>
    <n v="2"/>
    <n v="3597"/>
    <n v="719.40000000000009"/>
    <n v="2877.6"/>
    <n v="359.70000000000027"/>
    <n v="0.12500000000000011"/>
    <x v="4"/>
  </r>
  <r>
    <s v="ORD-11033"/>
    <s v="CUST1253"/>
    <d v="2025-09-03T00:00:00"/>
    <s v="P009"/>
    <s v="Water Bottle"/>
    <x v="2"/>
    <x v="3"/>
    <n v="1"/>
    <n v="699"/>
    <n v="0"/>
    <n v="99"/>
    <s v="Chennai"/>
    <x v="4"/>
    <x v="3"/>
    <x v="2"/>
    <x v="2"/>
    <n v="4"/>
    <n v="699"/>
    <n v="0"/>
    <n v="798"/>
    <n v="308.70000000000005"/>
    <n v="0.38684210526315793"/>
    <x v="7"/>
  </r>
  <r>
    <s v="ORD-11034"/>
    <s v="CUST1289"/>
    <d v="2025-08-06T00:00:00"/>
    <s v="P007"/>
    <s v="Backpack"/>
    <x v="4"/>
    <x v="5"/>
    <n v="2"/>
    <n v="1499"/>
    <n v="0.1"/>
    <n v="0"/>
    <s v="Gurgaon"/>
    <x v="0"/>
    <x v="1"/>
    <x v="4"/>
    <x v="0"/>
    <n v="5"/>
    <n v="2998"/>
    <n v="299.8"/>
    <n v="2698.2"/>
    <n v="599.59999999999991"/>
    <n v="0.22222222222222221"/>
    <x v="5"/>
  </r>
  <r>
    <s v="ORD-11035"/>
    <s v="CUST1240"/>
    <d v="2025-12-03T00:00:00"/>
    <s v="P005"/>
    <s v="Running Shoes"/>
    <x v="4"/>
    <x v="7"/>
    <n v="2"/>
    <n v="2999"/>
    <n v="0.05"/>
    <n v="49"/>
    <s v="Delhi"/>
    <x v="1"/>
    <x v="1"/>
    <x v="2"/>
    <x v="0"/>
    <n v="1"/>
    <n v="5998"/>
    <n v="299.90000000000003"/>
    <n v="5747.1"/>
    <n v="1548.5000000000009"/>
    <n v="0.26944023942510148"/>
    <x v="11"/>
  </r>
  <r>
    <s v="ORD-11036"/>
    <s v="CUST1263"/>
    <d v="2025-09-15T00:00:00"/>
    <s v="P003"/>
    <s v="Bluetooth Speaker"/>
    <x v="1"/>
    <x v="6"/>
    <n v="2"/>
    <n v="1799"/>
    <n v="0.15"/>
    <n v="79"/>
    <s v="Pune"/>
    <x v="2"/>
    <x v="0"/>
    <x v="1"/>
    <x v="2"/>
    <n v="3"/>
    <n v="3598"/>
    <n v="539.69999999999993"/>
    <n v="3137.3"/>
    <n v="618.70000000000027"/>
    <n v="0.19720779013801684"/>
    <x v="7"/>
  </r>
  <r>
    <s v="ORD-11037"/>
    <s v="CUST1156"/>
    <d v="2025-10-16T00:00:00"/>
    <s v="P003"/>
    <s v="Bluetooth Speaker"/>
    <x v="1"/>
    <x v="6"/>
    <n v="2"/>
    <n v="1799"/>
    <n v="0"/>
    <n v="59"/>
    <s v="Pune"/>
    <x v="2"/>
    <x v="1"/>
    <x v="4"/>
    <x v="2"/>
    <n v="3"/>
    <n v="3598"/>
    <n v="0"/>
    <n v="3657"/>
    <n v="1138.4000000000001"/>
    <n v="0.3112934098988242"/>
    <x v="8"/>
  </r>
  <r>
    <s v="ORD-11038"/>
    <s v="CUST1270"/>
    <d v="2025-08-30T00:00:00"/>
    <s v="P011"/>
    <s v="Notebook"/>
    <x v="0"/>
    <x v="0"/>
    <n v="1"/>
    <n v="249"/>
    <n v="0.15"/>
    <n v="99"/>
    <s v="Hyderabad"/>
    <x v="7"/>
    <x v="3"/>
    <x v="1"/>
    <x v="0"/>
    <n v="3"/>
    <n v="249"/>
    <n v="37.35"/>
    <n v="310.64999999999998"/>
    <n v="136.35"/>
    <n v="0.43891839690970547"/>
    <x v="5"/>
  </r>
  <r>
    <s v="ORD-11039"/>
    <s v="CUST1016"/>
    <d v="2025-06-28T00:00:00"/>
    <s v="P006"/>
    <s v="Cotton T-Shirt"/>
    <x v="4"/>
    <x v="8"/>
    <n v="4"/>
    <n v="799"/>
    <n v="0"/>
    <n v="0"/>
    <s v="Kolkata"/>
    <x v="8"/>
    <x v="2"/>
    <x v="1"/>
    <x v="1"/>
    <n v="1"/>
    <n v="3196"/>
    <n v="0"/>
    <n v="3196"/>
    <n v="958.80000000000018"/>
    <n v="0.30000000000000004"/>
    <x v="3"/>
  </r>
  <r>
    <s v="ORD-11040"/>
    <s v="CUST1054"/>
    <d v="2025-12-14T00:00:00"/>
    <s v="P011"/>
    <s v="Notebook"/>
    <x v="0"/>
    <x v="0"/>
    <n v="2"/>
    <n v="249"/>
    <n v="0.2"/>
    <n v="49"/>
    <s v="Gurgaon"/>
    <x v="0"/>
    <x v="2"/>
    <x v="3"/>
    <x v="0"/>
    <n v="3"/>
    <n v="498"/>
    <n v="99.600000000000009"/>
    <n v="447.4"/>
    <n v="98.800000000000011"/>
    <n v="0.22083147071971393"/>
    <x v="11"/>
  </r>
  <r>
    <s v="ORD-11041"/>
    <s v="CUST1192"/>
    <d v="2025-05-09T00:00:00"/>
    <s v="P007"/>
    <s v="Backpack"/>
    <x v="4"/>
    <x v="5"/>
    <n v="1"/>
    <n v="1499"/>
    <n v="0"/>
    <n v="79"/>
    <s v="Gurgaon"/>
    <x v="0"/>
    <x v="4"/>
    <x v="4"/>
    <x v="2"/>
    <n v="2"/>
    <n v="1499"/>
    <n v="0"/>
    <n v="1578"/>
    <n v="528.70000000000005"/>
    <n v="0.33504435994930293"/>
    <x v="0"/>
  </r>
  <r>
    <s v="ORD-11042"/>
    <s v="CUST1101"/>
    <d v="2025-07-13T00:00:00"/>
    <s v="P006"/>
    <s v="Cotton T-Shirt"/>
    <x v="4"/>
    <x v="8"/>
    <n v="2"/>
    <n v="799"/>
    <n v="0.15"/>
    <n v="49"/>
    <s v="Gurgaon"/>
    <x v="0"/>
    <x v="3"/>
    <x v="3"/>
    <x v="3"/>
    <n v="4"/>
    <n v="1598"/>
    <n v="239.7"/>
    <n v="1407.3"/>
    <n v="288.70000000000005"/>
    <n v="0.20514460314076605"/>
    <x v="10"/>
  </r>
  <r>
    <s v="ORD-11043"/>
    <s v="CUST1299"/>
    <d v="2025-03-24T00:00:00"/>
    <s v="P011"/>
    <s v="Notebook"/>
    <x v="0"/>
    <x v="0"/>
    <n v="1"/>
    <n v="249"/>
    <n v="0"/>
    <n v="0"/>
    <s v="Mumbai"/>
    <x v="2"/>
    <x v="0"/>
    <x v="4"/>
    <x v="3"/>
    <n v="2"/>
    <n v="249"/>
    <n v="0"/>
    <n v="249"/>
    <n v="74.700000000000017"/>
    <n v="0.30000000000000004"/>
    <x v="6"/>
  </r>
  <r>
    <s v="ORD-11044"/>
    <s v="CUST1095"/>
    <d v="2025-07-04T00:00:00"/>
    <s v="P001"/>
    <s v="Wireless Mouse"/>
    <x v="1"/>
    <x v="1"/>
    <n v="3"/>
    <n v="599"/>
    <n v="0"/>
    <n v="59"/>
    <s v="Noida"/>
    <x v="5"/>
    <x v="4"/>
    <x v="3"/>
    <x v="3"/>
    <n v="2"/>
    <n v="1797"/>
    <n v="0"/>
    <n v="1856"/>
    <n v="598.10000000000014"/>
    <n v="0.32225215517241385"/>
    <x v="10"/>
  </r>
  <r>
    <s v="ORD-11045"/>
    <s v="Not Assigned"/>
    <d v="2025-09-14T00:00:00"/>
    <s v="P004"/>
    <s v="USB-C Hub"/>
    <x v="1"/>
    <x v="1"/>
    <n v="3"/>
    <n v="1299"/>
    <n v="0.15"/>
    <n v="49"/>
    <s v="Kolkata"/>
    <x v="8"/>
    <x v="1"/>
    <x v="3"/>
    <x v="3"/>
    <n v="3"/>
    <n v="3897"/>
    <n v="584.54999999999995"/>
    <n v="3361.45"/>
    <n v="633.55000000000018"/>
    <n v="0.18847521159023642"/>
    <x v="7"/>
  </r>
  <r>
    <s v="ORD-11046"/>
    <s v="CUST1119"/>
    <d v="2025-03-07T00:00:00"/>
    <s v="P007"/>
    <s v="Backpack"/>
    <x v="4"/>
    <x v="5"/>
    <n v="2"/>
    <n v="1499"/>
    <n v="0"/>
    <n v="79"/>
    <s v="Gurgaon"/>
    <x v="0"/>
    <x v="0"/>
    <x v="0"/>
    <x v="0"/>
    <n v="5"/>
    <n v="2998"/>
    <n v="0"/>
    <n v="3077"/>
    <n v="978.40000000000009"/>
    <n v="0.31797205069873258"/>
    <x v="6"/>
  </r>
  <r>
    <s v="ORD-11047"/>
    <s v="CUST1081"/>
    <d v="2025-05-29T00:00:00"/>
    <s v="P006"/>
    <s v="Cotton T-Shirt"/>
    <x v="4"/>
    <x v="8"/>
    <n v="1"/>
    <n v="799"/>
    <n v="0.05"/>
    <n v="0"/>
    <s v="Delhi"/>
    <x v="1"/>
    <x v="3"/>
    <x v="4"/>
    <x v="2"/>
    <n v="5"/>
    <n v="799"/>
    <n v="39.950000000000003"/>
    <n v="759.05"/>
    <n v="199.75"/>
    <n v="0.26315789473684215"/>
    <x v="0"/>
  </r>
  <r>
    <s v="ORD-11048"/>
    <s v="CUST1280"/>
    <d v="2025-11-09T00:00:00"/>
    <s v="P010"/>
    <s v="Desk Lamp"/>
    <x v="2"/>
    <x v="2"/>
    <n v="3"/>
    <n v="1199"/>
    <n v="0.15"/>
    <n v="0"/>
    <s v="Jaipur"/>
    <x v="6"/>
    <x v="0"/>
    <x v="0"/>
    <x v="1"/>
    <n v="4"/>
    <n v="3597"/>
    <n v="539.54999999999995"/>
    <n v="3057.45"/>
    <n v="539.55000000000018"/>
    <n v="0.17647058823529418"/>
    <x v="4"/>
  </r>
  <r>
    <s v="ORD-11049"/>
    <s v="CUST1105"/>
    <d v="2025-08-04T00:00:00"/>
    <s v="P005"/>
    <s v="Running Shoes"/>
    <x v="4"/>
    <x v="7"/>
    <n v="1"/>
    <n v="2999"/>
    <n v="0"/>
    <n v="49"/>
    <s v="Delhi"/>
    <x v="1"/>
    <x v="4"/>
    <x v="2"/>
    <x v="0"/>
    <n v="3"/>
    <n v="2999"/>
    <n v="0"/>
    <n v="3048"/>
    <n v="948.70000000000027"/>
    <n v="0.31125328083989512"/>
    <x v="5"/>
  </r>
  <r>
    <s v="ORD-11050"/>
    <s v="Not Assigned"/>
    <d v="2025-02-07T00:00:00"/>
    <s v="P011"/>
    <s v="Notebook"/>
    <x v="0"/>
    <x v="0"/>
    <n v="1"/>
    <n v="249"/>
    <n v="0.2"/>
    <n v="0"/>
    <s v="Delhi"/>
    <x v="1"/>
    <x v="0"/>
    <x v="3"/>
    <x v="3"/>
    <n v="5"/>
    <n v="249"/>
    <n v="49.800000000000004"/>
    <n v="199.2"/>
    <n v="24.900000000000006"/>
    <n v="0.12500000000000003"/>
    <x v="9"/>
  </r>
  <r>
    <s v="ORD-11051"/>
    <s v="CUST1054"/>
    <d v="2025-10-10T00:00:00"/>
    <s v="P012"/>
    <s v="Office Chair"/>
    <x v="3"/>
    <x v="0"/>
    <n v="4"/>
    <n v="6499"/>
    <n v="0.2"/>
    <n v="0"/>
    <s v="Kolkata"/>
    <x v="8"/>
    <x v="0"/>
    <x v="3"/>
    <x v="0"/>
    <n v="5"/>
    <n v="25996"/>
    <n v="5199.2000000000007"/>
    <n v="20796.8"/>
    <n v="2599.6000000000022"/>
    <n v="0.12500000000000011"/>
    <x v="8"/>
  </r>
  <r>
    <s v="ORD-11052"/>
    <s v="CUST1274"/>
    <d v="2025-06-05T00:00:00"/>
    <s v="P004"/>
    <s v="USB-C Hub"/>
    <x v="1"/>
    <x v="1"/>
    <n v="1"/>
    <n v="1299"/>
    <n v="0"/>
    <n v="49"/>
    <s v="Pune"/>
    <x v="2"/>
    <x v="4"/>
    <x v="3"/>
    <x v="0"/>
    <n v="3"/>
    <n v="1299"/>
    <n v="0"/>
    <n v="1348"/>
    <n v="438.70000000000005"/>
    <n v="0.32544510385756681"/>
    <x v="3"/>
  </r>
  <r>
    <s v="ORD-11053"/>
    <s v="CUST1221"/>
    <d v="2025-01-27T00:00:00"/>
    <s v="P011"/>
    <s v="Notebook"/>
    <x v="0"/>
    <x v="0"/>
    <n v="2"/>
    <n v="249"/>
    <n v="0.2"/>
    <n v="49"/>
    <s v="Delhi"/>
    <x v="1"/>
    <x v="1"/>
    <x v="0"/>
    <x v="1"/>
    <n v="2"/>
    <n v="498"/>
    <n v="99.600000000000009"/>
    <n v="447.4"/>
    <n v="98.800000000000011"/>
    <n v="0.22083147071971393"/>
    <x v="2"/>
  </r>
  <r>
    <s v="ORD-11054"/>
    <s v="CUST1030"/>
    <d v="2025-11-12T00:00:00"/>
    <s v="P002"/>
    <s v="Mechanical Keyboard"/>
    <x v="1"/>
    <x v="1"/>
    <n v="1"/>
    <n v="2499"/>
    <n v="0.05"/>
    <n v="79"/>
    <s v="Hyderabad"/>
    <x v="7"/>
    <x v="2"/>
    <x v="1"/>
    <x v="0"/>
    <n v="1"/>
    <n v="2499"/>
    <n v="124.95"/>
    <n v="2453.0500000000002"/>
    <n v="703.75000000000023"/>
    <n v="0.28688775198222627"/>
    <x v="4"/>
  </r>
  <r>
    <s v="ORD-11055"/>
    <s v="CUST1030"/>
    <d v="2025-10-02T00:00:00"/>
    <s v="P010"/>
    <s v="Desk Lamp"/>
    <x v="2"/>
    <x v="2"/>
    <n v="1"/>
    <n v="1199"/>
    <n v="0.2"/>
    <n v="49"/>
    <s v="Delhi"/>
    <x v="1"/>
    <x v="0"/>
    <x v="4"/>
    <x v="0"/>
    <n v="2"/>
    <n v="1199"/>
    <n v="239.8"/>
    <n v="1008.2"/>
    <n v="168.90000000000009"/>
    <n v="0.16752628446736767"/>
    <x v="8"/>
  </r>
  <r>
    <s v="ORD-11056"/>
    <s v="CUST1067"/>
    <d v="2025-06-10T00:00:00"/>
    <s v="P008"/>
    <s v="Smart Watch"/>
    <x v="1"/>
    <x v="4"/>
    <n v="1"/>
    <n v="3499"/>
    <n v="0"/>
    <n v="59"/>
    <s v="Noida"/>
    <x v="5"/>
    <x v="4"/>
    <x v="3"/>
    <x v="2"/>
    <n v="4"/>
    <n v="3499"/>
    <n v="0"/>
    <n v="3558"/>
    <n v="1108.7000000000003"/>
    <n v="0.31160764474423841"/>
    <x v="3"/>
  </r>
  <r>
    <s v="ORD-11057"/>
    <s v="CUST1113"/>
    <d v="2025-02-09T00:00:00"/>
    <s v="P011"/>
    <s v="Notebook"/>
    <x v="0"/>
    <x v="0"/>
    <n v="2"/>
    <n v="249"/>
    <n v="0.1"/>
    <n v="59"/>
    <s v="Gurgaon"/>
    <x v="0"/>
    <x v="1"/>
    <x v="2"/>
    <x v="0"/>
    <n v="3"/>
    <n v="498"/>
    <n v="49.800000000000004"/>
    <n v="507.2"/>
    <n v="158.60000000000002"/>
    <n v="0.31269716088328081"/>
    <x v="9"/>
  </r>
  <r>
    <s v="ORD-11058"/>
    <s v="CUST1258"/>
    <d v="2025-05-06T00:00:00"/>
    <s v="P009"/>
    <s v="Water Bottle"/>
    <x v="2"/>
    <x v="3"/>
    <n v="3"/>
    <n v="699"/>
    <n v="0.05"/>
    <n v="99"/>
    <s v="Mumbai"/>
    <x v="2"/>
    <x v="0"/>
    <x v="4"/>
    <x v="0"/>
    <n v="3"/>
    <n v="2097"/>
    <n v="104.85000000000001"/>
    <n v="2091.15"/>
    <n v="623.25000000000023"/>
    <n v="0.29804174736389077"/>
    <x v="0"/>
  </r>
  <r>
    <s v="ORD-11059"/>
    <s v="CUST1157"/>
    <d v="2025-02-10T00:00:00"/>
    <s v="P007"/>
    <s v="Backpack"/>
    <x v="4"/>
    <x v="5"/>
    <n v="2"/>
    <n v="1499"/>
    <n v="0.15"/>
    <n v="49"/>
    <s v="Kolkata"/>
    <x v="8"/>
    <x v="4"/>
    <x v="1"/>
    <x v="0"/>
    <n v="1"/>
    <n v="2998"/>
    <n v="449.7"/>
    <n v="2597.3000000000002"/>
    <n v="498.70000000000027"/>
    <n v="0.19200708427982915"/>
    <x v="9"/>
  </r>
  <r>
    <s v="ORD-11060"/>
    <s v="CUST1011"/>
    <d v="2025-05-01T00:00:00"/>
    <s v="P006"/>
    <s v="Cotton T-Shirt"/>
    <x v="4"/>
    <x v="8"/>
    <n v="1"/>
    <n v="799"/>
    <n v="0.1"/>
    <n v="0"/>
    <s v="Noida"/>
    <x v="5"/>
    <x v="1"/>
    <x v="4"/>
    <x v="2"/>
    <n v="3"/>
    <n v="799"/>
    <n v="79.900000000000006"/>
    <n v="719.1"/>
    <n v="159.80000000000007"/>
    <n v="0.22222222222222232"/>
    <x v="0"/>
  </r>
  <r>
    <s v="ORD-11061"/>
    <s v="CUST1010"/>
    <d v="2025-02-13T00:00:00"/>
    <s v="P005"/>
    <s v="Running Shoes"/>
    <x v="4"/>
    <x v="7"/>
    <n v="1"/>
    <n v="2999"/>
    <n v="0.1"/>
    <n v="79"/>
    <s v="Kolkata"/>
    <x v="8"/>
    <x v="1"/>
    <x v="3"/>
    <x v="3"/>
    <n v="4"/>
    <n v="2999"/>
    <n v="299.90000000000003"/>
    <n v="2778.1"/>
    <n v="678.80000000000018"/>
    <n v="0.2443396565998345"/>
    <x v="9"/>
  </r>
  <r>
    <s v="ORD-11062"/>
    <s v="CUST1017"/>
    <d v="2025-04-05T00:00:00"/>
    <s v="P001"/>
    <s v="Wireless Mouse"/>
    <x v="1"/>
    <x v="1"/>
    <n v="1"/>
    <n v="599"/>
    <n v="0"/>
    <n v="59"/>
    <s v="Jaipur"/>
    <x v="6"/>
    <x v="4"/>
    <x v="2"/>
    <x v="3"/>
    <n v="1"/>
    <n v="599"/>
    <n v="0"/>
    <n v="658"/>
    <n v="238.70000000000005"/>
    <n v="0.36276595744680856"/>
    <x v="1"/>
  </r>
  <r>
    <s v="ORD-11063"/>
    <s v="CUST1223"/>
    <d v="2025-05-15T00:00:00"/>
    <s v="P010"/>
    <s v="Desk Lamp"/>
    <x v="2"/>
    <x v="2"/>
    <n v="4"/>
    <n v="1199"/>
    <n v="0.05"/>
    <n v="99"/>
    <s v="Pune"/>
    <x v="2"/>
    <x v="1"/>
    <x v="4"/>
    <x v="0"/>
    <n v="3"/>
    <n v="4796"/>
    <n v="239.8"/>
    <n v="4655.2"/>
    <n v="1298"/>
    <n v="0.27882797731568998"/>
    <x v="0"/>
  </r>
  <r>
    <s v="ORD-11064"/>
    <s v="CUST1294"/>
    <d v="2025-12-14T00:00:00"/>
    <s v="P002"/>
    <s v="Mechanical Keyboard"/>
    <x v="1"/>
    <x v="1"/>
    <n v="1"/>
    <n v="2499"/>
    <n v="0.1"/>
    <n v="79"/>
    <s v="Chennai"/>
    <x v="4"/>
    <x v="4"/>
    <x v="0"/>
    <x v="3"/>
    <n v="3"/>
    <n v="2499"/>
    <n v="249.9"/>
    <n v="2328.1"/>
    <n v="578.79999999999995"/>
    <n v="0.24861475022550578"/>
    <x v="11"/>
  </r>
  <r>
    <s v="ORD-11065"/>
    <s v="CUST1044"/>
    <d v="2025-05-02T00:00:00"/>
    <s v="P003"/>
    <s v="Bluetooth Speaker"/>
    <x v="1"/>
    <x v="6"/>
    <n v="2"/>
    <n v="1799"/>
    <n v="0.05"/>
    <n v="59"/>
    <s v="Bengaluru"/>
    <x v="3"/>
    <x v="2"/>
    <x v="0"/>
    <x v="0"/>
    <n v="3"/>
    <n v="3598"/>
    <n v="179.9"/>
    <n v="3477.1"/>
    <n v="958.5"/>
    <n v="0.27566075177590521"/>
    <x v="0"/>
  </r>
  <r>
    <s v="ORD-11066"/>
    <s v="CUST1007"/>
    <d v="2025-11-12T00:00:00"/>
    <s v="P006"/>
    <s v="Cotton T-Shirt"/>
    <x v="4"/>
    <x v="8"/>
    <n v="1"/>
    <n v="2017"/>
    <n v="0.2"/>
    <n v="59"/>
    <s v="Kolkata"/>
    <x v="8"/>
    <x v="0"/>
    <x v="2"/>
    <x v="0"/>
    <n v="5"/>
    <n v="2017"/>
    <n v="403.40000000000003"/>
    <n v="1672.6"/>
    <n v="260.70000000000005"/>
    <n v="0.15586512017218704"/>
    <x v="4"/>
  </r>
  <r>
    <s v="ORD-11067"/>
    <s v="CUST1239"/>
    <d v="2025-04-02T00:00:00"/>
    <s v="P011"/>
    <s v="Notebook"/>
    <x v="0"/>
    <x v="0"/>
    <n v="3"/>
    <n v="249"/>
    <n v="0.1"/>
    <n v="0"/>
    <s v="Pune"/>
    <x v="2"/>
    <x v="0"/>
    <x v="2"/>
    <x v="0"/>
    <n v="4"/>
    <n v="747"/>
    <n v="74.7"/>
    <n v="672.3"/>
    <n v="149.39999999999998"/>
    <n v="0.22222222222222221"/>
    <x v="1"/>
  </r>
  <r>
    <s v="ORD-11068"/>
    <s v="CUST1161"/>
    <d v="2025-01-30T00:00:00"/>
    <s v="P011"/>
    <s v="Notebook"/>
    <x v="0"/>
    <x v="0"/>
    <n v="1"/>
    <n v="249"/>
    <n v="0.15"/>
    <n v="99"/>
    <s v="Chennai"/>
    <x v="4"/>
    <x v="0"/>
    <x v="3"/>
    <x v="0"/>
    <n v="2"/>
    <n v="249"/>
    <n v="37.35"/>
    <n v="310.64999999999998"/>
    <n v="136.35"/>
    <n v="0.43891839690970547"/>
    <x v="2"/>
  </r>
  <r>
    <s v="ORD-11069"/>
    <s v="CUST1026"/>
    <d v="2025-09-11T00:00:00"/>
    <s v="P005"/>
    <s v="Running Shoes"/>
    <x v="4"/>
    <x v="7"/>
    <n v="1"/>
    <n v="2999"/>
    <n v="0"/>
    <n v="49"/>
    <s v="Mumbai"/>
    <x v="2"/>
    <x v="2"/>
    <x v="4"/>
    <x v="2"/>
    <n v="3"/>
    <n v="2999"/>
    <n v="0"/>
    <n v="3048"/>
    <n v="948.70000000000027"/>
    <n v="0.31125328083989512"/>
    <x v="7"/>
  </r>
  <r>
    <s v="ORD-11070"/>
    <s v="CUST1032"/>
    <d v="2025-08-14T00:00:00"/>
    <s v="P001"/>
    <s v="Wireless Mouse"/>
    <x v="1"/>
    <x v="1"/>
    <n v="2"/>
    <n v="599"/>
    <n v="0.15"/>
    <n v="49"/>
    <s v="Noida"/>
    <x v="5"/>
    <x v="3"/>
    <x v="2"/>
    <x v="0"/>
    <n v="1"/>
    <n v="1198"/>
    <n v="179.7"/>
    <n v="1067.3"/>
    <n v="228.70000000000005"/>
    <n v="0.21427902183078801"/>
    <x v="5"/>
  </r>
  <r>
    <s v="ORD-11071"/>
    <s v="CUST1260"/>
    <d v="2025-01-23T00:00:00"/>
    <s v="P011"/>
    <s v="Notebook"/>
    <x v="0"/>
    <x v="0"/>
    <n v="2"/>
    <n v="249"/>
    <n v="0"/>
    <n v="0"/>
    <s v="Pune"/>
    <x v="2"/>
    <x v="1"/>
    <x v="4"/>
    <x v="0"/>
    <n v="5"/>
    <n v="498"/>
    <n v="0"/>
    <n v="498"/>
    <n v="149.40000000000003"/>
    <n v="0.30000000000000004"/>
    <x v="2"/>
  </r>
  <r>
    <s v="ORD-11072"/>
    <s v="CUST1219"/>
    <d v="2025-10-20T00:00:00"/>
    <s v="P002"/>
    <s v="Mechanical Keyboard"/>
    <x v="1"/>
    <x v="1"/>
    <n v="1"/>
    <n v="2499"/>
    <n v="0.1"/>
    <n v="0"/>
    <s v="Jaipur"/>
    <x v="6"/>
    <x v="3"/>
    <x v="1"/>
    <x v="2"/>
    <n v="1"/>
    <n v="2499"/>
    <n v="249.9"/>
    <n v="2249.1"/>
    <n v="499.79999999999995"/>
    <n v="0.22222222222222221"/>
    <x v="8"/>
  </r>
  <r>
    <s v="ORD-11073"/>
    <s v="CUST1151"/>
    <d v="2025-06-21T00:00:00"/>
    <s v="P006"/>
    <s v="Cotton T-Shirt"/>
    <x v="4"/>
    <x v="8"/>
    <n v="3"/>
    <n v="799"/>
    <n v="0.05"/>
    <n v="79"/>
    <s v="Kolkata"/>
    <x v="8"/>
    <x v="4"/>
    <x v="4"/>
    <x v="2"/>
    <n v="2"/>
    <n v="2397"/>
    <n v="119.85000000000001"/>
    <n v="2356.15"/>
    <n v="678.25000000000023"/>
    <n v="0.28786367591197515"/>
    <x v="3"/>
  </r>
  <r>
    <s v="ORD-11074"/>
    <s v="CUST1161"/>
    <d v="2025-03-18T00:00:00"/>
    <s v="P006"/>
    <s v="Cotton T-Shirt"/>
    <x v="4"/>
    <x v="8"/>
    <n v="1"/>
    <n v="799"/>
    <n v="0.15"/>
    <n v="49"/>
    <s v="Delhi"/>
    <x v="1"/>
    <x v="4"/>
    <x v="0"/>
    <x v="0"/>
    <n v="3"/>
    <n v="799"/>
    <n v="119.85"/>
    <n v="728.15"/>
    <n v="168.85000000000002"/>
    <n v="0.23188903385291496"/>
    <x v="6"/>
  </r>
  <r>
    <s v="ORD-11075"/>
    <s v="CUST1196"/>
    <d v="2025-07-13T00:00:00"/>
    <s v="P010"/>
    <s v="Desk Lamp"/>
    <x v="2"/>
    <x v="2"/>
    <n v="4"/>
    <n v="1199"/>
    <n v="0.2"/>
    <n v="49"/>
    <s v="Pune"/>
    <x v="2"/>
    <x v="0"/>
    <x v="4"/>
    <x v="2"/>
    <n v="2"/>
    <n v="4796"/>
    <n v="959.2"/>
    <n v="3885.8"/>
    <n v="528.60000000000036"/>
    <n v="0.13603376396108918"/>
    <x v="10"/>
  </r>
  <r>
    <s v="ORD-11076"/>
    <s v="CUST1271"/>
    <d v="2025-11-19T00:00:00"/>
    <s v="P010"/>
    <s v="Desk Lamp"/>
    <x v="2"/>
    <x v="2"/>
    <n v="5"/>
    <n v="1199"/>
    <n v="0.15"/>
    <n v="0"/>
    <s v="Chennai"/>
    <x v="4"/>
    <x v="0"/>
    <x v="0"/>
    <x v="1"/>
    <n v="4"/>
    <n v="5995"/>
    <n v="899.25"/>
    <n v="5095.75"/>
    <n v="899.25"/>
    <n v="0.17647058823529413"/>
    <x v="4"/>
  </r>
  <r>
    <s v="ORD-11077"/>
    <s v="CUST1169"/>
    <d v="2025-06-12T00:00:00"/>
    <s v="P011"/>
    <s v="Notebook"/>
    <x v="0"/>
    <x v="0"/>
    <n v="2"/>
    <n v="249"/>
    <n v="0.05"/>
    <n v="49"/>
    <s v="Chennai"/>
    <x v="4"/>
    <x v="2"/>
    <x v="2"/>
    <x v="3"/>
    <n v="2"/>
    <n v="498"/>
    <n v="24.900000000000002"/>
    <n v="522.1"/>
    <n v="173.50000000000006"/>
    <n v="0.33231181765945228"/>
    <x v="3"/>
  </r>
  <r>
    <s v="ORD-11078"/>
    <s v="CUST1186"/>
    <d v="2025-03-01T00:00:00"/>
    <s v="P008"/>
    <s v="Smart Watch"/>
    <x v="1"/>
    <x v="4"/>
    <n v="2"/>
    <n v="3499"/>
    <n v="0.2"/>
    <n v="79"/>
    <s v="Pune"/>
    <x v="2"/>
    <x v="0"/>
    <x v="2"/>
    <x v="1"/>
    <n v="5"/>
    <n v="6998"/>
    <n v="1399.6000000000001"/>
    <n v="5677.4"/>
    <n v="778.80000000000018"/>
    <n v="0.13717546764363975"/>
    <x v="6"/>
  </r>
  <r>
    <s v="ORD-11079"/>
    <s v="CUST1118"/>
    <d v="2025-12-01T00:00:00"/>
    <s v="P009"/>
    <s v="Water Bottle"/>
    <x v="2"/>
    <x v="3"/>
    <n v="4"/>
    <n v="699"/>
    <n v="0.1"/>
    <n v="79"/>
    <s v="Gurgaon"/>
    <x v="0"/>
    <x v="4"/>
    <x v="1"/>
    <x v="0"/>
    <n v="5"/>
    <n v="2796"/>
    <n v="279.60000000000002"/>
    <n v="2595.4"/>
    <n v="638.20000000000027"/>
    <n v="0.24589658626801272"/>
    <x v="11"/>
  </r>
  <r>
    <s v="ORD-11080"/>
    <s v="CUST1161"/>
    <d v="2025-12-07T00:00:00"/>
    <s v="P004"/>
    <s v="USB-C Hub"/>
    <x v="1"/>
    <x v="1"/>
    <n v="2"/>
    <n v="1299"/>
    <n v="0.05"/>
    <n v="59"/>
    <s v="Bengaluru"/>
    <x v="3"/>
    <x v="0"/>
    <x v="4"/>
    <x v="0"/>
    <n v="4"/>
    <n v="2598"/>
    <n v="129.9"/>
    <n v="2527.1"/>
    <n v="708.5"/>
    <n v="0.28036088797435799"/>
    <x v="11"/>
  </r>
  <r>
    <s v="ORD-11081"/>
    <s v="CUST1008"/>
    <d v="2025-10-22T00:00:00"/>
    <s v="P007"/>
    <s v="Backpack"/>
    <x v="4"/>
    <x v="5"/>
    <n v="5"/>
    <n v="1499"/>
    <n v="0"/>
    <n v="79"/>
    <s v="Chennai"/>
    <x v="4"/>
    <x v="2"/>
    <x v="4"/>
    <x v="0"/>
    <n v="4"/>
    <n v="7495"/>
    <n v="0"/>
    <n v="7574"/>
    <n v="2327.5"/>
    <n v="0.30730129390018485"/>
    <x v="8"/>
  </r>
  <r>
    <s v="ORD-11082"/>
    <s v="CUST1013"/>
    <d v="2025-08-29T00:00:00"/>
    <s v="P005"/>
    <s v="Running Shoes"/>
    <x v="4"/>
    <x v="7"/>
    <n v="2"/>
    <n v="2999"/>
    <n v="0"/>
    <n v="79"/>
    <s v="Chennai"/>
    <x v="4"/>
    <x v="2"/>
    <x v="4"/>
    <x v="0"/>
    <n v="2"/>
    <n v="5998"/>
    <n v="0"/>
    <n v="6077"/>
    <n v="1878.4000000000005"/>
    <n v="0.30909988481158474"/>
    <x v="5"/>
  </r>
  <r>
    <s v="ORD-11083"/>
    <s v="CUST1124"/>
    <d v="2025-08-05T00:00:00"/>
    <s v="P009"/>
    <s v="Water Bottle"/>
    <x v="2"/>
    <x v="3"/>
    <n v="4"/>
    <n v="699"/>
    <n v="0.2"/>
    <n v="99"/>
    <s v="Chennai"/>
    <x v="4"/>
    <x v="3"/>
    <x v="4"/>
    <x v="1"/>
    <n v="3"/>
    <n v="2796"/>
    <n v="559.20000000000005"/>
    <n v="2335.8000000000002"/>
    <n v="378.60000000000036"/>
    <n v="0.16208579501669679"/>
    <x v="5"/>
  </r>
  <r>
    <s v="ORD-11084"/>
    <s v="CUST1230"/>
    <d v="2025-02-25T00:00:00"/>
    <s v="P006"/>
    <s v="Cotton T-Shirt"/>
    <x v="4"/>
    <x v="8"/>
    <n v="2"/>
    <n v="799"/>
    <n v="0.2"/>
    <n v="59"/>
    <s v="Kolkata"/>
    <x v="8"/>
    <x v="1"/>
    <x v="3"/>
    <x v="0"/>
    <n v="3"/>
    <n v="1598"/>
    <n v="319.60000000000002"/>
    <n v="1337.4"/>
    <n v="218.80000000000018"/>
    <n v="0.16360101689845982"/>
    <x v="9"/>
  </r>
  <r>
    <s v="ORD-11085"/>
    <s v="CUST1261"/>
    <d v="2025-12-25T00:00:00"/>
    <s v="P007"/>
    <s v="Backpack"/>
    <x v="4"/>
    <x v="5"/>
    <n v="3"/>
    <n v="1499"/>
    <n v="0.2"/>
    <n v="99"/>
    <s v="Mumbai"/>
    <x v="2"/>
    <x v="0"/>
    <x v="1"/>
    <x v="0"/>
    <n v="1"/>
    <n v="4497"/>
    <n v="899.40000000000009"/>
    <n v="3696.6"/>
    <n v="548.70000000000027"/>
    <n v="0.14843369582859933"/>
    <x v="11"/>
  </r>
  <r>
    <s v="ORD-11086"/>
    <s v="CUST1261"/>
    <d v="2025-11-29T00:00:00"/>
    <s v="P010"/>
    <s v="Desk Lamp"/>
    <x v="2"/>
    <x v="2"/>
    <n v="1"/>
    <n v="1199"/>
    <n v="0.1"/>
    <n v="49"/>
    <s v="Kolkata"/>
    <x v="8"/>
    <x v="4"/>
    <x v="2"/>
    <x v="0"/>
    <n v="3"/>
    <n v="1199"/>
    <n v="119.9"/>
    <n v="1128.0999999999999"/>
    <n v="288.79999999999995"/>
    <n v="0.256005673255917"/>
    <x v="4"/>
  </r>
  <r>
    <s v="ORD-11087"/>
    <s v="CUST1261"/>
    <d v="2025-06-24T00:00:00"/>
    <s v="P002"/>
    <s v="Mechanical Keyboard"/>
    <x v="1"/>
    <x v="1"/>
    <n v="1"/>
    <n v="2499"/>
    <n v="0.15"/>
    <n v="99"/>
    <s v="Jaipur"/>
    <x v="6"/>
    <x v="1"/>
    <x v="2"/>
    <x v="3"/>
    <n v="3"/>
    <n v="2499"/>
    <n v="374.84999999999997"/>
    <n v="2223.15"/>
    <n v="473.85000000000014"/>
    <n v="0.21314351258349645"/>
    <x v="3"/>
  </r>
  <r>
    <s v="ORD-11088"/>
    <s v="CUST1221"/>
    <d v="2025-03-15T00:00:00"/>
    <s v="P007"/>
    <s v="Backpack"/>
    <x v="4"/>
    <x v="5"/>
    <n v="3"/>
    <n v="1499"/>
    <n v="0.2"/>
    <n v="49"/>
    <s v="Pune"/>
    <x v="2"/>
    <x v="4"/>
    <x v="2"/>
    <x v="2"/>
    <n v="5"/>
    <n v="4497"/>
    <n v="899.40000000000009"/>
    <n v="3646.6"/>
    <n v="498.70000000000027"/>
    <n v="0.13675752755991891"/>
    <x v="6"/>
  </r>
  <r>
    <s v="ORD-11089"/>
    <s v="CUST1225"/>
    <d v="2025-05-26T00:00:00"/>
    <s v="P010"/>
    <s v="Desk Lamp"/>
    <x v="2"/>
    <x v="2"/>
    <n v="1"/>
    <n v="1199"/>
    <n v="0.05"/>
    <n v="79"/>
    <s v="Pune"/>
    <x v="2"/>
    <x v="2"/>
    <x v="1"/>
    <x v="0"/>
    <n v="3"/>
    <n v="1199"/>
    <n v="59.95"/>
    <n v="1218.05"/>
    <n v="378.75"/>
    <n v="0.31094782644390623"/>
    <x v="0"/>
  </r>
  <r>
    <s v="ORD-11090"/>
    <s v="CUST1283"/>
    <d v="2025-04-29T00:00:00"/>
    <s v="P005"/>
    <s v="Running Shoes"/>
    <x v="4"/>
    <x v="7"/>
    <n v="3"/>
    <n v="2999"/>
    <n v="0"/>
    <n v="49"/>
    <s v="Kolkata"/>
    <x v="8"/>
    <x v="4"/>
    <x v="1"/>
    <x v="0"/>
    <n v="1"/>
    <n v="8997"/>
    <n v="0"/>
    <n v="9046"/>
    <n v="2748.1000000000004"/>
    <n v="0.3037917311518904"/>
    <x v="1"/>
  </r>
  <r>
    <s v="ORD-11091"/>
    <s v="CUST1014"/>
    <d v="2025-10-04T00:00:00"/>
    <s v="P010"/>
    <s v="Desk Lamp"/>
    <x v="2"/>
    <x v="2"/>
    <n v="4"/>
    <n v="1199"/>
    <n v="0"/>
    <n v="79"/>
    <s v="Delhi"/>
    <x v="1"/>
    <x v="3"/>
    <x v="1"/>
    <x v="0"/>
    <n v="3"/>
    <n v="4796"/>
    <n v="0"/>
    <n v="4875"/>
    <n v="1517.8000000000002"/>
    <n v="0.31134358974358978"/>
    <x v="8"/>
  </r>
  <r>
    <s v="ORD-11092"/>
    <s v="Not Assigned"/>
    <d v="2025-09-24T00:00:00"/>
    <s v="P010"/>
    <s v="Desk Lamp"/>
    <x v="2"/>
    <x v="2"/>
    <n v="2"/>
    <n v="1199"/>
    <n v="0.05"/>
    <n v="0"/>
    <s v="Bengaluru"/>
    <x v="3"/>
    <x v="1"/>
    <x v="3"/>
    <x v="1"/>
    <n v="4"/>
    <n v="2398"/>
    <n v="119.9"/>
    <n v="2278.1"/>
    <n v="599.5"/>
    <n v="0.26315789473684209"/>
    <x v="7"/>
  </r>
  <r>
    <s v="ORD-11093"/>
    <s v="CUST1114"/>
    <d v="2025-05-23T00:00:00"/>
    <s v="P005"/>
    <s v="Running Shoes"/>
    <x v="4"/>
    <x v="7"/>
    <n v="3"/>
    <n v="2999"/>
    <n v="0.05"/>
    <n v="0"/>
    <s v="Gurgaon"/>
    <x v="0"/>
    <x v="0"/>
    <x v="2"/>
    <x v="0"/>
    <n v="2"/>
    <n v="8997"/>
    <n v="449.85"/>
    <n v="8547.15"/>
    <n v="2249.25"/>
    <n v="0.26315789473684209"/>
    <x v="0"/>
  </r>
  <r>
    <s v="ORD-11094"/>
    <s v="CUST1020"/>
    <d v="2025-11-19T00:00:00"/>
    <s v="P009"/>
    <s v="Water Bottle"/>
    <x v="2"/>
    <x v="3"/>
    <n v="1"/>
    <n v="699"/>
    <n v="0"/>
    <n v="59"/>
    <s v="Pune"/>
    <x v="2"/>
    <x v="1"/>
    <x v="4"/>
    <x v="2"/>
    <n v="3"/>
    <n v="699"/>
    <n v="0"/>
    <n v="758"/>
    <n v="268.70000000000005"/>
    <n v="0.35448548812664915"/>
    <x v="4"/>
  </r>
  <r>
    <s v="ORD-11095"/>
    <s v="CUST1126"/>
    <d v="2025-10-13T00:00:00"/>
    <s v="P009"/>
    <s v="Water Bottle"/>
    <x v="2"/>
    <x v="3"/>
    <n v="1"/>
    <n v="699"/>
    <n v="0"/>
    <n v="0"/>
    <s v="Pune"/>
    <x v="2"/>
    <x v="2"/>
    <x v="0"/>
    <x v="2"/>
    <n v="4"/>
    <n v="699"/>
    <n v="0"/>
    <n v="699"/>
    <n v="209.70000000000005"/>
    <n v="0.30000000000000004"/>
    <x v="8"/>
  </r>
  <r>
    <s v="ORD-11096"/>
    <s v="CUST1145"/>
    <d v="2025-03-19T00:00:00"/>
    <s v="P004"/>
    <s v="USB-C Hub"/>
    <x v="1"/>
    <x v="1"/>
    <n v="1"/>
    <n v="2017"/>
    <n v="0.2"/>
    <n v="79"/>
    <s v="Jaipur"/>
    <x v="6"/>
    <x v="2"/>
    <x v="1"/>
    <x v="0"/>
    <n v="3"/>
    <n v="2017"/>
    <n v="403.40000000000003"/>
    <n v="1692.6"/>
    <n v="280.70000000000005"/>
    <n v="0.16583953680727878"/>
    <x v="6"/>
  </r>
  <r>
    <s v="ORD-11097"/>
    <s v="CUST1107"/>
    <d v="2025-04-20T00:00:00"/>
    <s v="P002"/>
    <s v="Mechanical Keyboard"/>
    <x v="1"/>
    <x v="1"/>
    <n v="3"/>
    <n v="2499"/>
    <n v="0.1"/>
    <n v="99"/>
    <s v="Chennai"/>
    <x v="4"/>
    <x v="2"/>
    <x v="4"/>
    <x v="0"/>
    <n v="4"/>
    <n v="7497"/>
    <n v="749.7"/>
    <n v="6846.3"/>
    <n v="1598.4000000000005"/>
    <n v="0.23346917313001189"/>
    <x v="1"/>
  </r>
  <r>
    <s v="ORD-11098"/>
    <s v="CUST1272"/>
    <d v="2025-11-20T00:00:00"/>
    <s v="P012"/>
    <s v="Office Chair"/>
    <x v="3"/>
    <x v="0"/>
    <n v="2"/>
    <n v="6499"/>
    <n v="0.05"/>
    <n v="79"/>
    <s v="Mumbai"/>
    <x v="2"/>
    <x v="2"/>
    <x v="2"/>
    <x v="2"/>
    <n v="3"/>
    <n v="12998"/>
    <n v="649.90000000000009"/>
    <n v="12427.1"/>
    <n v="3328.5000000000018"/>
    <n v="0.26784205486396678"/>
    <x v="4"/>
  </r>
  <r>
    <s v="ORD-11099"/>
    <s v="CUST1247"/>
    <d v="2025-09-08T00:00:00"/>
    <s v="P004"/>
    <s v="USB-C Hub"/>
    <x v="1"/>
    <x v="1"/>
    <n v="2"/>
    <n v="1299"/>
    <n v="0.05"/>
    <n v="99"/>
    <s v="Mumbai"/>
    <x v="2"/>
    <x v="3"/>
    <x v="4"/>
    <x v="3"/>
    <n v="2"/>
    <n v="2598"/>
    <n v="129.9"/>
    <n v="2567.1"/>
    <n v="748.5"/>
    <n v="0.29157414981886176"/>
    <x v="7"/>
  </r>
  <r>
    <s v="ORD-11100"/>
    <s v="CUST1091"/>
    <d v="2025-08-17T00:00:00"/>
    <s v="P002"/>
    <s v="Mechanical Keyboard"/>
    <x v="1"/>
    <x v="1"/>
    <n v="1"/>
    <n v="2499"/>
    <n v="0.1"/>
    <n v="0"/>
    <s v="Mumbai"/>
    <x v="2"/>
    <x v="1"/>
    <x v="2"/>
    <x v="2"/>
    <n v="3"/>
    <n v="2499"/>
    <n v="249.9"/>
    <n v="2249.1"/>
    <n v="499.79999999999995"/>
    <n v="0.22222222222222221"/>
    <x v="5"/>
  </r>
  <r>
    <s v="ORD-11101"/>
    <s v="CUST1211"/>
    <d v="2025-12-27T00:00:00"/>
    <s v="P002"/>
    <s v="Mechanical Keyboard"/>
    <x v="1"/>
    <x v="1"/>
    <n v="2"/>
    <n v="2499"/>
    <n v="0.1"/>
    <n v="99"/>
    <s v="Pune"/>
    <x v="2"/>
    <x v="2"/>
    <x v="4"/>
    <x v="1"/>
    <n v="3"/>
    <n v="4998"/>
    <n v="499.8"/>
    <n v="4597.2"/>
    <n v="1098.5999999999999"/>
    <n v="0.23897154789872094"/>
    <x v="11"/>
  </r>
  <r>
    <s v="ORD-11102"/>
    <s v="CUST1211"/>
    <d v="2025-07-29T00:00:00"/>
    <s v="P005"/>
    <s v="Running Shoes"/>
    <x v="4"/>
    <x v="7"/>
    <n v="1"/>
    <n v="2999"/>
    <n v="0.05"/>
    <n v="59"/>
    <s v="Chennai"/>
    <x v="4"/>
    <x v="1"/>
    <x v="3"/>
    <x v="0"/>
    <n v="4"/>
    <n v="2999"/>
    <n v="149.95000000000002"/>
    <n v="2908.05"/>
    <n v="808.75000000000045"/>
    <n v="0.27810732277643108"/>
    <x v="10"/>
  </r>
  <r>
    <s v="ORD-11103"/>
    <s v="CUST1158"/>
    <d v="2025-05-18T00:00:00"/>
    <s v="P007"/>
    <s v="Backpack"/>
    <x v="4"/>
    <x v="5"/>
    <n v="4"/>
    <n v="1499"/>
    <n v="0.05"/>
    <n v="0"/>
    <s v="Mumbai"/>
    <x v="2"/>
    <x v="1"/>
    <x v="3"/>
    <x v="0"/>
    <n v="2"/>
    <n v="5996"/>
    <n v="299.8"/>
    <n v="5696.2"/>
    <n v="1499"/>
    <n v="0.26315789473684209"/>
    <x v="0"/>
  </r>
  <r>
    <s v="ORD-11104"/>
    <s v="CUST1277"/>
    <d v="2025-11-17T00:00:00"/>
    <s v="P010"/>
    <s v="Desk Lamp"/>
    <x v="2"/>
    <x v="2"/>
    <n v="2"/>
    <n v="1199"/>
    <n v="0.05"/>
    <n v="49"/>
    <s v="Noida"/>
    <x v="5"/>
    <x v="0"/>
    <x v="4"/>
    <x v="3"/>
    <n v="3"/>
    <n v="2398"/>
    <n v="119.9"/>
    <n v="2327.1"/>
    <n v="648.5"/>
    <n v="0.27867302651368658"/>
    <x v="4"/>
  </r>
  <r>
    <s v="ORD-11105"/>
    <s v="CUST1266"/>
    <d v="2025-06-20T00:00:00"/>
    <s v="P007"/>
    <s v="Backpack"/>
    <x v="4"/>
    <x v="5"/>
    <n v="3"/>
    <n v="1499"/>
    <n v="0"/>
    <n v="0"/>
    <s v="Gurgaon"/>
    <x v="0"/>
    <x v="2"/>
    <x v="2"/>
    <x v="3"/>
    <n v="5"/>
    <n v="4497"/>
    <n v="0"/>
    <n v="4497"/>
    <n v="1349.1000000000004"/>
    <n v="0.3000000000000001"/>
    <x v="3"/>
  </r>
  <r>
    <s v="ORD-11106"/>
    <s v="CUST1170"/>
    <d v="2025-07-22T00:00:00"/>
    <s v="P004"/>
    <s v="USB-C Hub"/>
    <x v="1"/>
    <x v="1"/>
    <n v="3"/>
    <n v="1299"/>
    <n v="0"/>
    <n v="59"/>
    <s v="Noida"/>
    <x v="5"/>
    <x v="1"/>
    <x v="1"/>
    <x v="0"/>
    <n v="5"/>
    <n v="3897"/>
    <n v="0"/>
    <n v="3956"/>
    <n v="1228.1000000000004"/>
    <n v="0.31043983822042476"/>
    <x v="10"/>
  </r>
  <r>
    <s v="ORD-11107"/>
    <s v="CUST1204"/>
    <d v="2025-01-19T00:00:00"/>
    <s v="P012"/>
    <s v="Office Chair"/>
    <x v="3"/>
    <x v="0"/>
    <n v="4"/>
    <n v="6499"/>
    <n v="0"/>
    <n v="99"/>
    <s v="Jaipur"/>
    <x v="6"/>
    <x v="1"/>
    <x v="4"/>
    <x v="3"/>
    <n v="2"/>
    <n v="25996"/>
    <n v="0"/>
    <n v="26095"/>
    <n v="7897.8000000000029"/>
    <n v="0.30265568116497427"/>
    <x v="2"/>
  </r>
  <r>
    <s v="ORD-11108"/>
    <s v="CUST1194"/>
    <d v="2025-11-20T00:00:00"/>
    <s v="P005"/>
    <s v="Running Shoes"/>
    <x v="4"/>
    <x v="7"/>
    <n v="1"/>
    <n v="2999"/>
    <n v="0.05"/>
    <n v="0"/>
    <s v="Mumbai"/>
    <x v="2"/>
    <x v="1"/>
    <x v="1"/>
    <x v="0"/>
    <n v="3"/>
    <n v="2999"/>
    <n v="149.95000000000002"/>
    <n v="2849.05"/>
    <n v="749.75000000000045"/>
    <n v="0.26315789473684226"/>
    <x v="4"/>
  </r>
  <r>
    <s v="ORD-11109"/>
    <s v="CUST1011"/>
    <d v="2025-02-09T00:00:00"/>
    <s v="P012"/>
    <s v="Office Chair"/>
    <x v="3"/>
    <x v="0"/>
    <n v="3"/>
    <n v="6499"/>
    <n v="0.2"/>
    <n v="79"/>
    <s v="Mumbai"/>
    <x v="2"/>
    <x v="0"/>
    <x v="0"/>
    <x v="2"/>
    <n v="5"/>
    <n v="19497"/>
    <n v="3899.4"/>
    <n v="15676.6"/>
    <n v="2028.7000000000007"/>
    <n v="0.12940943827105372"/>
    <x v="9"/>
  </r>
  <r>
    <s v="ORD-11110"/>
    <s v="CUST1218"/>
    <d v="2025-07-20T00:00:00"/>
    <s v="P003"/>
    <s v="Bluetooth Speaker"/>
    <x v="1"/>
    <x v="6"/>
    <n v="2"/>
    <n v="2017"/>
    <n v="0.05"/>
    <n v="59"/>
    <s v="Gurgaon"/>
    <x v="0"/>
    <x v="4"/>
    <x v="4"/>
    <x v="3"/>
    <n v="3"/>
    <n v="4034"/>
    <n v="201.70000000000002"/>
    <n v="3891.3"/>
    <n v="1067.5000000000005"/>
    <n v="0.27432991545241958"/>
    <x v="10"/>
  </r>
  <r>
    <s v="ORD-11111"/>
    <s v="CUST1220"/>
    <d v="2025-05-16T00:00:00"/>
    <s v="P005"/>
    <s v="Running Shoes"/>
    <x v="4"/>
    <x v="7"/>
    <n v="1"/>
    <n v="2999"/>
    <n v="0.1"/>
    <n v="59"/>
    <s v="Hyderabad"/>
    <x v="7"/>
    <x v="0"/>
    <x v="1"/>
    <x v="1"/>
    <n v="4"/>
    <n v="2999"/>
    <n v="299.90000000000003"/>
    <n v="2758.1"/>
    <n v="658.80000000000018"/>
    <n v="0.23886008484101381"/>
    <x v="0"/>
  </r>
  <r>
    <s v="ORD-11112"/>
    <s v="CUST1255"/>
    <d v="2025-12-26T00:00:00"/>
    <s v="P009"/>
    <s v="Water Bottle"/>
    <x v="2"/>
    <x v="3"/>
    <n v="2"/>
    <n v="699"/>
    <n v="0.1"/>
    <n v="0"/>
    <s v="Mumbai"/>
    <x v="2"/>
    <x v="1"/>
    <x v="2"/>
    <x v="0"/>
    <n v="3"/>
    <n v="1398"/>
    <n v="139.80000000000001"/>
    <n v="1258.2"/>
    <n v="279.60000000000014"/>
    <n v="0.22222222222222232"/>
    <x v="11"/>
  </r>
  <r>
    <s v="ORD-11113"/>
    <s v="CUST1245"/>
    <d v="2025-10-23T00:00:00"/>
    <s v="P009"/>
    <s v="Water Bottle"/>
    <x v="2"/>
    <x v="3"/>
    <n v="2"/>
    <n v="699"/>
    <n v="0.1"/>
    <n v="59"/>
    <s v="Gurgaon"/>
    <x v="0"/>
    <x v="4"/>
    <x v="4"/>
    <x v="0"/>
    <n v="3"/>
    <n v="1398"/>
    <n v="139.80000000000001"/>
    <n v="1317.2"/>
    <n v="338.60000000000014"/>
    <n v="0.2570604312177347"/>
    <x v="8"/>
  </r>
  <r>
    <s v="ORD-11114"/>
    <s v="CUST1251"/>
    <d v="2025-11-19T00:00:00"/>
    <s v="P005"/>
    <s v="Running Shoes"/>
    <x v="4"/>
    <x v="7"/>
    <n v="1"/>
    <n v="2999"/>
    <n v="0"/>
    <n v="49"/>
    <s v="Pune"/>
    <x v="2"/>
    <x v="4"/>
    <x v="1"/>
    <x v="3"/>
    <n v="1"/>
    <n v="2999"/>
    <n v="0"/>
    <n v="3048"/>
    <n v="948.70000000000027"/>
    <n v="0.31125328083989512"/>
    <x v="4"/>
  </r>
  <r>
    <s v="ORD-11115"/>
    <s v="CUST1253"/>
    <d v="2025-08-31T00:00:00"/>
    <s v="P003"/>
    <s v="Bluetooth Speaker"/>
    <x v="1"/>
    <x v="6"/>
    <n v="2"/>
    <n v="1799"/>
    <n v="0"/>
    <n v="0"/>
    <s v="Bengaluru"/>
    <x v="3"/>
    <x v="3"/>
    <x v="3"/>
    <x v="3"/>
    <n v="3"/>
    <n v="3598"/>
    <n v="0"/>
    <n v="3598"/>
    <n v="1079.4000000000001"/>
    <n v="0.30000000000000004"/>
    <x v="5"/>
  </r>
  <r>
    <s v="ORD-11116"/>
    <s v="CUST1003"/>
    <d v="2025-01-19T00:00:00"/>
    <s v="P012"/>
    <s v="Office Chair"/>
    <x v="3"/>
    <x v="0"/>
    <n v="3"/>
    <n v="6499"/>
    <n v="0.15"/>
    <n v="79"/>
    <s v="Pune"/>
    <x v="2"/>
    <x v="3"/>
    <x v="1"/>
    <x v="3"/>
    <n v="3"/>
    <n v="19497"/>
    <n v="2924.5499999999997"/>
    <n v="16651.45"/>
    <n v="3003.5500000000011"/>
    <n v="0.18037768482624641"/>
    <x v="2"/>
  </r>
  <r>
    <s v="ORD-11117"/>
    <s v="CUST1264"/>
    <d v="2025-06-10T00:00:00"/>
    <s v="P009"/>
    <s v="Water Bottle"/>
    <x v="2"/>
    <x v="3"/>
    <n v="2"/>
    <n v="699"/>
    <n v="0.1"/>
    <n v="79"/>
    <s v="Hyderabad"/>
    <x v="7"/>
    <x v="4"/>
    <x v="4"/>
    <x v="0"/>
    <n v="1"/>
    <n v="1398"/>
    <n v="139.80000000000001"/>
    <n v="1337.2"/>
    <n v="358.60000000000014"/>
    <n v="0.26817230032904588"/>
    <x v="3"/>
  </r>
  <r>
    <s v="ORD-11118"/>
    <s v="CUST1102"/>
    <d v="2025-01-07T00:00:00"/>
    <s v="P007"/>
    <s v="Backpack"/>
    <x v="4"/>
    <x v="5"/>
    <n v="1"/>
    <n v="1499"/>
    <n v="0"/>
    <n v="49"/>
    <s v="Gurgaon"/>
    <x v="0"/>
    <x v="1"/>
    <x v="4"/>
    <x v="2"/>
    <n v="1"/>
    <n v="1499"/>
    <n v="0"/>
    <n v="1548"/>
    <n v="498.70000000000005"/>
    <n v="0.3221576227390181"/>
    <x v="2"/>
  </r>
  <r>
    <s v="ORD-11119"/>
    <s v="CUST1205"/>
    <d v="2025-09-26T00:00:00"/>
    <s v="P007"/>
    <s v="Backpack"/>
    <x v="4"/>
    <x v="5"/>
    <n v="1"/>
    <n v="1499"/>
    <n v="0.15"/>
    <n v="79"/>
    <s v="Hyderabad"/>
    <x v="7"/>
    <x v="0"/>
    <x v="2"/>
    <x v="2"/>
    <n v="1"/>
    <n v="1499"/>
    <n v="224.85"/>
    <n v="1353.15"/>
    <n v="303.85000000000014"/>
    <n v="0.22455012378524192"/>
    <x v="7"/>
  </r>
  <r>
    <s v="ORD-11120"/>
    <s v="CUST1289"/>
    <d v="2025-12-13T00:00:00"/>
    <s v="P007"/>
    <s v="Backpack"/>
    <x v="4"/>
    <x v="5"/>
    <n v="2"/>
    <n v="1499"/>
    <n v="0"/>
    <n v="59"/>
    <s v="Mumbai"/>
    <x v="2"/>
    <x v="2"/>
    <x v="1"/>
    <x v="0"/>
    <n v="3"/>
    <n v="2998"/>
    <n v="0"/>
    <n v="3057"/>
    <n v="958.40000000000009"/>
    <n v="0.31350997710173378"/>
    <x v="11"/>
  </r>
  <r>
    <s v="ORD-11121"/>
    <s v="CUST1108"/>
    <d v="2025-07-10T00:00:00"/>
    <s v="P009"/>
    <s v="Water Bottle"/>
    <x v="2"/>
    <x v="3"/>
    <n v="3"/>
    <n v="699"/>
    <n v="0.1"/>
    <n v="79"/>
    <s v="Jaipur"/>
    <x v="6"/>
    <x v="3"/>
    <x v="1"/>
    <x v="0"/>
    <n v="2"/>
    <n v="2097"/>
    <n v="209.70000000000002"/>
    <n v="1966.3"/>
    <n v="498.40000000000009"/>
    <n v="0.25347098611605556"/>
    <x v="10"/>
  </r>
  <r>
    <s v="ORD-11122"/>
    <s v="CUST1160"/>
    <d v="2025-08-02T00:00:00"/>
    <s v="P009"/>
    <s v="Water Bottle"/>
    <x v="2"/>
    <x v="3"/>
    <n v="1"/>
    <n v="699"/>
    <n v="0"/>
    <n v="0"/>
    <s v="Hyderabad"/>
    <x v="7"/>
    <x v="2"/>
    <x v="1"/>
    <x v="1"/>
    <n v="3"/>
    <n v="699"/>
    <n v="0"/>
    <n v="699"/>
    <n v="209.70000000000005"/>
    <n v="0.30000000000000004"/>
    <x v="5"/>
  </r>
  <r>
    <s v="ORD-11123"/>
    <s v="CUST1035"/>
    <d v="2025-02-18T00:00:00"/>
    <s v="P002"/>
    <s v="Mechanical Keyboard"/>
    <x v="1"/>
    <x v="1"/>
    <n v="2"/>
    <n v="2499"/>
    <n v="0.15"/>
    <n v="49"/>
    <s v="Chennai"/>
    <x v="4"/>
    <x v="3"/>
    <x v="0"/>
    <x v="1"/>
    <n v="2"/>
    <n v="4998"/>
    <n v="749.69999999999993"/>
    <n v="4297.3"/>
    <n v="798.70000000000027"/>
    <n v="0.18586088939566711"/>
    <x v="9"/>
  </r>
  <r>
    <s v="ORD-11124"/>
    <s v="CUST1189"/>
    <d v="2025-05-21T00:00:00"/>
    <s v="P006"/>
    <s v="Cotton T-Shirt"/>
    <x v="4"/>
    <x v="8"/>
    <n v="4"/>
    <n v="799"/>
    <n v="0.15"/>
    <n v="59"/>
    <s v="Delhi"/>
    <x v="1"/>
    <x v="4"/>
    <x v="3"/>
    <x v="1"/>
    <n v="3"/>
    <n v="3196"/>
    <n v="479.4"/>
    <n v="2775.6"/>
    <n v="538.40000000000009"/>
    <n v="0.19397607724455979"/>
    <x v="0"/>
  </r>
  <r>
    <s v="ORD-11125"/>
    <s v="CUST1144"/>
    <d v="2025-04-14T00:00:00"/>
    <s v="P009"/>
    <s v="Water Bottle"/>
    <x v="2"/>
    <x v="3"/>
    <n v="2"/>
    <n v="699"/>
    <n v="0"/>
    <n v="49"/>
    <s v="Chennai"/>
    <x v="4"/>
    <x v="2"/>
    <x v="2"/>
    <x v="0"/>
    <n v="5"/>
    <n v="1398"/>
    <n v="0"/>
    <n v="1447"/>
    <n v="468.40000000000009"/>
    <n v="0.32370421561852114"/>
    <x v="1"/>
  </r>
  <r>
    <s v="ORD-11126"/>
    <s v="CUST1142"/>
    <d v="2025-10-28T00:00:00"/>
    <s v="P002"/>
    <s v="Mechanical Keyboard"/>
    <x v="1"/>
    <x v="1"/>
    <n v="3"/>
    <n v="2499"/>
    <n v="0.05"/>
    <n v="99"/>
    <s v="Noida"/>
    <x v="5"/>
    <x v="4"/>
    <x v="3"/>
    <x v="1"/>
    <n v="2"/>
    <n v="7497"/>
    <n v="374.85"/>
    <n v="7221.15"/>
    <n v="1973.25"/>
    <n v="0.27325979933944039"/>
    <x v="8"/>
  </r>
  <r>
    <s v="ORD-11127"/>
    <s v="CUST1085"/>
    <d v="2025-04-21T00:00:00"/>
    <s v="P003"/>
    <s v="Bluetooth Speaker"/>
    <x v="1"/>
    <x v="6"/>
    <n v="3"/>
    <n v="1799"/>
    <n v="0"/>
    <n v="49"/>
    <s v="Delhi"/>
    <x v="1"/>
    <x v="1"/>
    <x v="4"/>
    <x v="3"/>
    <n v="3"/>
    <n v="5397"/>
    <n v="0"/>
    <n v="5446"/>
    <n v="1668.1000000000004"/>
    <n v="0.30629820051413886"/>
    <x v="1"/>
  </r>
  <r>
    <s v="ORD-11128"/>
    <s v="CUST1257"/>
    <d v="2025-08-14T00:00:00"/>
    <s v="P002"/>
    <s v="Mechanical Keyboard"/>
    <x v="1"/>
    <x v="1"/>
    <n v="1"/>
    <n v="2499"/>
    <n v="0.05"/>
    <n v="59"/>
    <s v="Delhi"/>
    <x v="1"/>
    <x v="0"/>
    <x v="1"/>
    <x v="1"/>
    <n v="5"/>
    <n v="2499"/>
    <n v="124.95"/>
    <n v="2433.0500000000002"/>
    <n v="683.75000000000023"/>
    <n v="0.28102587287560887"/>
    <x v="5"/>
  </r>
  <r>
    <s v="ORD-11129"/>
    <s v="CUST1272"/>
    <d v="2025-12-28T00:00:00"/>
    <s v="P007"/>
    <s v="Backpack"/>
    <x v="4"/>
    <x v="5"/>
    <n v="1"/>
    <n v="1499"/>
    <n v="0.15"/>
    <n v="59"/>
    <s v="Bengaluru"/>
    <x v="3"/>
    <x v="0"/>
    <x v="0"/>
    <x v="0"/>
    <n v="3"/>
    <n v="1499"/>
    <n v="224.85"/>
    <n v="1333.15"/>
    <n v="283.85000000000014"/>
    <n v="0.21291677605670789"/>
    <x v="11"/>
  </r>
  <r>
    <s v="ORD-11130"/>
    <s v="CUST1251"/>
    <d v="2025-05-23T00:00:00"/>
    <s v="P004"/>
    <s v="USB-C Hub"/>
    <x v="1"/>
    <x v="1"/>
    <n v="4"/>
    <n v="1299"/>
    <n v="0.15"/>
    <n v="79"/>
    <s v="Noida"/>
    <x v="5"/>
    <x v="3"/>
    <x v="4"/>
    <x v="1"/>
    <n v="5"/>
    <n v="5196"/>
    <n v="779.4"/>
    <n v="4495.6000000000004"/>
    <n v="858.40000000000055"/>
    <n v="0.19094225464899023"/>
    <x v="0"/>
  </r>
  <r>
    <s v="ORD-11131"/>
    <s v="CUST1110"/>
    <d v="2025-07-07T00:00:00"/>
    <s v="P007"/>
    <s v="Backpack"/>
    <x v="4"/>
    <x v="5"/>
    <n v="1"/>
    <n v="1499"/>
    <n v="0.05"/>
    <n v="79"/>
    <s v="Pune"/>
    <x v="2"/>
    <x v="4"/>
    <x v="0"/>
    <x v="2"/>
    <n v="2"/>
    <n v="1499"/>
    <n v="74.95"/>
    <n v="1503.05"/>
    <n v="453.75"/>
    <n v="0.30188616479824359"/>
    <x v="10"/>
  </r>
  <r>
    <s v="ORD-11132"/>
    <s v="CUST1003"/>
    <d v="2025-01-06T00:00:00"/>
    <s v="P007"/>
    <s v="Backpack"/>
    <x v="4"/>
    <x v="5"/>
    <n v="1"/>
    <n v="1499"/>
    <n v="0.15"/>
    <n v="49"/>
    <s v="Pune"/>
    <x v="2"/>
    <x v="4"/>
    <x v="2"/>
    <x v="0"/>
    <n v="3"/>
    <n v="1499"/>
    <n v="224.85"/>
    <n v="1323.15"/>
    <n v="273.85000000000014"/>
    <n v="0.20696821977855884"/>
    <x v="2"/>
  </r>
  <r>
    <s v="ORD-11133"/>
    <s v="CUST1246"/>
    <d v="2025-09-15T00:00:00"/>
    <s v="P002"/>
    <s v="Mechanical Keyboard"/>
    <x v="1"/>
    <x v="1"/>
    <n v="4"/>
    <n v="2499"/>
    <n v="0"/>
    <n v="59"/>
    <s v="Pune"/>
    <x v="2"/>
    <x v="1"/>
    <x v="4"/>
    <x v="0"/>
    <n v="3"/>
    <n v="9996"/>
    <n v="0"/>
    <n v="10055"/>
    <n v="3057.8"/>
    <n v="0.30410740924912982"/>
    <x v="7"/>
  </r>
  <r>
    <s v="ORD-11134"/>
    <s v="CUST1233"/>
    <d v="2025-01-30T00:00:00"/>
    <s v="P012"/>
    <s v="Office Chair"/>
    <x v="3"/>
    <x v="0"/>
    <n v="1"/>
    <n v="6499"/>
    <n v="0.2"/>
    <n v="79"/>
    <s v="Mumbai"/>
    <x v="2"/>
    <x v="1"/>
    <x v="1"/>
    <x v="0"/>
    <n v="4"/>
    <n v="6499"/>
    <n v="1299.8000000000002"/>
    <n v="5278.2"/>
    <n v="728.90000000000055"/>
    <n v="0.13809632071539552"/>
    <x v="2"/>
  </r>
  <r>
    <s v="ORD-11135"/>
    <s v="CUST1091"/>
    <d v="2025-01-20T00:00:00"/>
    <s v="P012"/>
    <s v="Office Chair"/>
    <x v="3"/>
    <x v="0"/>
    <n v="3"/>
    <n v="6499"/>
    <n v="0.2"/>
    <n v="49"/>
    <s v="Chennai"/>
    <x v="4"/>
    <x v="2"/>
    <x v="4"/>
    <x v="3"/>
    <n v="4"/>
    <n v="19497"/>
    <n v="3899.4"/>
    <n v="15646.6"/>
    <n v="1998.7000000000007"/>
    <n v="0.12774021193102658"/>
    <x v="2"/>
  </r>
  <r>
    <s v="ORD-11136"/>
    <s v="CUST1100"/>
    <d v="2025-12-30T00:00:00"/>
    <s v="P002"/>
    <s v="Mechanical Keyboard"/>
    <x v="1"/>
    <x v="1"/>
    <n v="1"/>
    <n v="2499"/>
    <n v="0.15"/>
    <n v="59"/>
    <s v="Delhi"/>
    <x v="1"/>
    <x v="4"/>
    <x v="4"/>
    <x v="0"/>
    <n v="3"/>
    <n v="2499"/>
    <n v="374.84999999999997"/>
    <n v="2183.15"/>
    <n v="433.85000000000014"/>
    <n v="0.19872661063142713"/>
    <x v="11"/>
  </r>
  <r>
    <s v="ORD-11137"/>
    <s v="CUST1207"/>
    <d v="2025-03-28T00:00:00"/>
    <s v="P011"/>
    <s v="Notebook"/>
    <x v="0"/>
    <x v="0"/>
    <n v="3"/>
    <n v="249"/>
    <n v="0.15"/>
    <n v="0"/>
    <s v="Pune"/>
    <x v="2"/>
    <x v="1"/>
    <x v="4"/>
    <x v="0"/>
    <n v="1"/>
    <n v="747"/>
    <n v="112.05"/>
    <n v="634.95000000000005"/>
    <n v="112.05000000000007"/>
    <n v="0.17647058823529421"/>
    <x v="6"/>
  </r>
  <r>
    <s v="ORD-11138"/>
    <s v="CUST1102"/>
    <d v="2025-05-17T00:00:00"/>
    <s v="P004"/>
    <s v="USB-C Hub"/>
    <x v="1"/>
    <x v="1"/>
    <n v="1"/>
    <n v="1299"/>
    <n v="0"/>
    <n v="59"/>
    <s v="Chennai"/>
    <x v="4"/>
    <x v="4"/>
    <x v="3"/>
    <x v="1"/>
    <n v="2"/>
    <n v="1299"/>
    <n v="0"/>
    <n v="1358"/>
    <n v="448.70000000000005"/>
    <n v="0.33041237113402067"/>
    <x v="0"/>
  </r>
  <r>
    <s v="ORD-11139"/>
    <s v="CUST1045"/>
    <d v="2025-10-15T00:00:00"/>
    <s v="P011"/>
    <s v="Notebook"/>
    <x v="0"/>
    <x v="0"/>
    <n v="1"/>
    <n v="249"/>
    <n v="0.1"/>
    <n v="99"/>
    <s v="Delhi"/>
    <x v="1"/>
    <x v="4"/>
    <x v="3"/>
    <x v="0"/>
    <n v="1"/>
    <n v="249"/>
    <n v="24.900000000000002"/>
    <n v="323.10000000000002"/>
    <n v="148.80000000000004"/>
    <n v="0.46053853296193137"/>
    <x v="8"/>
  </r>
  <r>
    <s v="ORD-11140"/>
    <s v="CUST1087"/>
    <d v="2025-02-14T00:00:00"/>
    <s v="P002"/>
    <s v="Mechanical Keyboard"/>
    <x v="1"/>
    <x v="1"/>
    <n v="1"/>
    <n v="2499"/>
    <n v="0.2"/>
    <n v="0"/>
    <s v="Gurgaon"/>
    <x v="0"/>
    <x v="0"/>
    <x v="1"/>
    <x v="3"/>
    <n v="3"/>
    <n v="2499"/>
    <n v="499.8"/>
    <n v="1999.2"/>
    <n v="249.90000000000009"/>
    <n v="0.12500000000000006"/>
    <x v="9"/>
  </r>
  <r>
    <s v="ORD-11141"/>
    <s v="CUST1068"/>
    <d v="2025-05-07T00:00:00"/>
    <s v="P006"/>
    <s v="Cotton T-Shirt"/>
    <x v="4"/>
    <x v="8"/>
    <n v="1"/>
    <n v="799"/>
    <n v="0.2"/>
    <n v="49"/>
    <s v="Hyderabad"/>
    <x v="7"/>
    <x v="3"/>
    <x v="4"/>
    <x v="2"/>
    <n v="4"/>
    <n v="799"/>
    <n v="159.80000000000001"/>
    <n v="688.2"/>
    <n v="128.90000000000009"/>
    <n v="0.18730020342923581"/>
    <x v="0"/>
  </r>
  <r>
    <s v="ORD-11142"/>
    <s v="CUST1140"/>
    <d v="2025-03-13T00:00:00"/>
    <s v="P012"/>
    <s v="Office Chair"/>
    <x v="3"/>
    <x v="0"/>
    <n v="1"/>
    <n v="6499"/>
    <n v="0"/>
    <n v="49"/>
    <s v="Mumbai"/>
    <x v="2"/>
    <x v="2"/>
    <x v="1"/>
    <x v="1"/>
    <n v="3"/>
    <n v="6499"/>
    <n v="0"/>
    <n v="6548"/>
    <n v="1998.7000000000007"/>
    <n v="0.30523824068417849"/>
    <x v="6"/>
  </r>
  <r>
    <s v="ORD-11143"/>
    <s v="CUST1231"/>
    <d v="2025-09-08T00:00:00"/>
    <s v="P005"/>
    <s v="Running Shoes"/>
    <x v="4"/>
    <x v="7"/>
    <n v="1"/>
    <n v="2999"/>
    <n v="0.05"/>
    <n v="99"/>
    <s v="Hyderabad"/>
    <x v="7"/>
    <x v="2"/>
    <x v="4"/>
    <x v="0"/>
    <n v="3"/>
    <n v="2999"/>
    <n v="149.95000000000002"/>
    <n v="2948.05"/>
    <n v="848.75000000000045"/>
    <n v="0.28790217262258117"/>
    <x v="7"/>
  </r>
  <r>
    <s v="ORD-11144"/>
    <s v="CUST1107"/>
    <d v="2025-10-19T00:00:00"/>
    <s v="P010"/>
    <s v="Desk Lamp"/>
    <x v="2"/>
    <x v="2"/>
    <n v="1"/>
    <n v="1199"/>
    <n v="0.05"/>
    <n v="59"/>
    <s v="Bengaluru"/>
    <x v="3"/>
    <x v="3"/>
    <x v="0"/>
    <x v="1"/>
    <n v="5"/>
    <n v="1199"/>
    <n v="59.95"/>
    <n v="1198.05"/>
    <n v="358.75"/>
    <n v="0.29944493134677186"/>
    <x v="8"/>
  </r>
  <r>
    <s v="ORD-11145"/>
    <s v="CUST1060"/>
    <d v="2025-04-18T00:00:00"/>
    <s v="P012"/>
    <s v="Office Chair"/>
    <x v="3"/>
    <x v="0"/>
    <n v="1"/>
    <n v="6499"/>
    <n v="0.05"/>
    <n v="0"/>
    <s v="Mumbai"/>
    <x v="2"/>
    <x v="4"/>
    <x v="1"/>
    <x v="1"/>
    <n v="4"/>
    <n v="6499"/>
    <n v="324.95000000000005"/>
    <n v="6174.05"/>
    <n v="1624.7500000000009"/>
    <n v="0.26315789473684226"/>
    <x v="1"/>
  </r>
  <r>
    <s v="ORD-11146"/>
    <s v="CUST1166"/>
    <d v="2025-07-10T00:00:00"/>
    <s v="P003"/>
    <s v="Bluetooth Speaker"/>
    <x v="1"/>
    <x v="6"/>
    <n v="2"/>
    <n v="1799"/>
    <n v="0.15"/>
    <n v="0"/>
    <s v="Hyderabad"/>
    <x v="7"/>
    <x v="0"/>
    <x v="2"/>
    <x v="2"/>
    <n v="3"/>
    <n v="3598"/>
    <n v="539.69999999999993"/>
    <n v="3058.3"/>
    <n v="539.70000000000027"/>
    <n v="0.17647058823529418"/>
    <x v="10"/>
  </r>
  <r>
    <s v="ORD-11147"/>
    <s v="CUST1157"/>
    <d v="2025-06-21T00:00:00"/>
    <s v="P001"/>
    <s v="Wireless Mouse"/>
    <x v="1"/>
    <x v="1"/>
    <n v="1"/>
    <n v="599"/>
    <n v="0"/>
    <n v="59"/>
    <s v="Noida"/>
    <x v="5"/>
    <x v="2"/>
    <x v="3"/>
    <x v="0"/>
    <n v="5"/>
    <n v="599"/>
    <n v="0"/>
    <n v="658"/>
    <n v="238.70000000000005"/>
    <n v="0.36276595744680856"/>
    <x v="3"/>
  </r>
  <r>
    <s v="ORD-11148"/>
    <s v="CUST1205"/>
    <d v="2025-11-12T00:00:00"/>
    <s v="P003"/>
    <s v="Bluetooth Speaker"/>
    <x v="1"/>
    <x v="6"/>
    <n v="1"/>
    <n v="1799"/>
    <n v="0.2"/>
    <n v="79"/>
    <s v="Delhi"/>
    <x v="1"/>
    <x v="1"/>
    <x v="1"/>
    <x v="3"/>
    <n v="3"/>
    <n v="1799"/>
    <n v="359.8"/>
    <n v="1518.2"/>
    <n v="258.90000000000009"/>
    <n v="0.17053089184560669"/>
    <x v="4"/>
  </r>
  <r>
    <s v="ORD-11149"/>
    <s v="CUST1260"/>
    <d v="2025-09-05T00:00:00"/>
    <s v="P012"/>
    <s v="Office Chair"/>
    <x v="3"/>
    <x v="0"/>
    <n v="2"/>
    <n v="6499"/>
    <n v="0"/>
    <n v="49"/>
    <s v="Pune"/>
    <x v="2"/>
    <x v="0"/>
    <x v="3"/>
    <x v="0"/>
    <n v="4"/>
    <n v="12998"/>
    <n v="0"/>
    <n v="13047"/>
    <n v="3948.4000000000015"/>
    <n v="0.30262895684831775"/>
    <x v="7"/>
  </r>
  <r>
    <s v="ORD-11150"/>
    <s v="CUST1269"/>
    <d v="2025-01-15T00:00:00"/>
    <s v="P005"/>
    <s v="Running Shoes"/>
    <x v="4"/>
    <x v="7"/>
    <n v="1"/>
    <n v="2999"/>
    <n v="0.05"/>
    <n v="99"/>
    <s v="Kolkata"/>
    <x v="8"/>
    <x v="2"/>
    <x v="0"/>
    <x v="0"/>
    <n v="3"/>
    <n v="2999"/>
    <n v="149.95000000000002"/>
    <n v="2948.05"/>
    <n v="848.75000000000045"/>
    <n v="0.28790217262258117"/>
    <x v="2"/>
  </r>
  <r>
    <s v="ORD-11151"/>
    <s v="CUST1203"/>
    <d v="2025-01-28T00:00:00"/>
    <s v="P003"/>
    <s v="Bluetooth Speaker"/>
    <x v="1"/>
    <x v="6"/>
    <n v="2"/>
    <n v="1799"/>
    <n v="0.05"/>
    <n v="79"/>
    <s v="Noida"/>
    <x v="5"/>
    <x v="2"/>
    <x v="3"/>
    <x v="0"/>
    <n v="1"/>
    <n v="3598"/>
    <n v="179.9"/>
    <n v="3497.1"/>
    <n v="978.5"/>
    <n v="0.27980326556289498"/>
    <x v="2"/>
  </r>
  <r>
    <s v="ORD-11152"/>
    <s v="CUST1105"/>
    <d v="2025-03-30T00:00:00"/>
    <s v="P011"/>
    <s v="Notebook"/>
    <x v="0"/>
    <x v="0"/>
    <n v="1"/>
    <n v="249"/>
    <n v="0"/>
    <n v="49"/>
    <s v="Noida"/>
    <x v="5"/>
    <x v="1"/>
    <x v="4"/>
    <x v="0"/>
    <n v="3"/>
    <n v="249"/>
    <n v="0"/>
    <n v="298"/>
    <n v="123.70000000000002"/>
    <n v="0.41510067114093968"/>
    <x v="6"/>
  </r>
  <r>
    <s v="ORD-11153"/>
    <s v="CUST1242"/>
    <d v="2025-07-11T00:00:00"/>
    <s v="P004"/>
    <s v="USB-C Hub"/>
    <x v="1"/>
    <x v="1"/>
    <n v="2"/>
    <n v="1299"/>
    <n v="0.05"/>
    <n v="0"/>
    <s v="Noida"/>
    <x v="5"/>
    <x v="4"/>
    <x v="3"/>
    <x v="0"/>
    <n v="3"/>
    <n v="2598"/>
    <n v="129.9"/>
    <n v="2468.1"/>
    <n v="649.5"/>
    <n v="0.26315789473684209"/>
    <x v="10"/>
  </r>
  <r>
    <s v="ORD-11154"/>
    <s v="CUST1163"/>
    <d v="2025-08-26T00:00:00"/>
    <s v="P004"/>
    <s v="USB-C Hub"/>
    <x v="1"/>
    <x v="1"/>
    <n v="2"/>
    <n v="1299"/>
    <n v="0.1"/>
    <n v="49"/>
    <s v="Hyderabad"/>
    <x v="7"/>
    <x v="2"/>
    <x v="3"/>
    <x v="0"/>
    <n v="3"/>
    <n v="2598"/>
    <n v="259.8"/>
    <n v="2387.1999999999998"/>
    <n v="568.59999999999991"/>
    <n v="0.23818699731903484"/>
    <x v="5"/>
  </r>
  <r>
    <s v="ORD-11155"/>
    <s v="CUST1251"/>
    <d v="2025-08-06T00:00:00"/>
    <s v="P006"/>
    <s v="Cotton T-Shirt"/>
    <x v="4"/>
    <x v="8"/>
    <n v="3"/>
    <n v="799"/>
    <n v="0"/>
    <n v="59"/>
    <s v="Mumbai"/>
    <x v="2"/>
    <x v="4"/>
    <x v="4"/>
    <x v="3"/>
    <n v="2"/>
    <n v="2397"/>
    <n v="0"/>
    <n v="2456"/>
    <n v="778.10000000000014"/>
    <n v="0.31681596091205216"/>
    <x v="5"/>
  </r>
  <r>
    <s v="ORD-11156"/>
    <s v="CUST1204"/>
    <d v="2025-07-08T00:00:00"/>
    <s v="P010"/>
    <s v="Desk Lamp"/>
    <x v="2"/>
    <x v="2"/>
    <n v="3"/>
    <n v="1199"/>
    <n v="0"/>
    <n v="99"/>
    <s v="Noida"/>
    <x v="5"/>
    <x v="0"/>
    <x v="1"/>
    <x v="3"/>
    <n v="2"/>
    <n v="3597"/>
    <n v="0"/>
    <n v="3696"/>
    <n v="1178.1000000000004"/>
    <n v="0.31875000000000009"/>
    <x v="10"/>
  </r>
  <r>
    <s v="ORD-11157"/>
    <s v="CUST1218"/>
    <d v="2025-06-04T00:00:00"/>
    <s v="P008"/>
    <s v="Smart Watch"/>
    <x v="1"/>
    <x v="4"/>
    <n v="1"/>
    <n v="3499"/>
    <n v="0.1"/>
    <n v="49"/>
    <s v="Jaipur"/>
    <x v="6"/>
    <x v="2"/>
    <x v="2"/>
    <x v="0"/>
    <n v="3"/>
    <n v="3499"/>
    <n v="349.90000000000003"/>
    <n v="3198.1"/>
    <n v="748.80000000000018"/>
    <n v="0.23413902004315068"/>
    <x v="3"/>
  </r>
  <r>
    <s v="ORD-11158"/>
    <s v="CUST1055"/>
    <d v="2025-08-04T00:00:00"/>
    <s v="P007"/>
    <s v="Backpack"/>
    <x v="4"/>
    <x v="5"/>
    <n v="1"/>
    <n v="1499"/>
    <n v="0.2"/>
    <n v="99"/>
    <s v="Hyderabad"/>
    <x v="7"/>
    <x v="1"/>
    <x v="4"/>
    <x v="1"/>
    <n v="3"/>
    <n v="1499"/>
    <n v="299.8"/>
    <n v="1298.2"/>
    <n v="248.90000000000009"/>
    <n v="0.19172700662455713"/>
    <x v="5"/>
  </r>
  <r>
    <s v="ORD-11159"/>
    <s v="CUST1260"/>
    <d v="2025-07-27T00:00:00"/>
    <s v="P011"/>
    <s v="Notebook"/>
    <x v="0"/>
    <x v="0"/>
    <n v="2"/>
    <n v="249"/>
    <n v="0"/>
    <n v="99"/>
    <s v="Gurgaon"/>
    <x v="0"/>
    <x v="1"/>
    <x v="3"/>
    <x v="0"/>
    <n v="1"/>
    <n v="498"/>
    <n v="0"/>
    <n v="597"/>
    <n v="248.40000000000003"/>
    <n v="0.41608040201005031"/>
    <x v="10"/>
  </r>
  <r>
    <s v="ORD-11160"/>
    <s v="CUST1231"/>
    <d v="2025-01-28T00:00:00"/>
    <s v="P008"/>
    <s v="Smart Watch"/>
    <x v="1"/>
    <x v="4"/>
    <n v="1"/>
    <n v="3499"/>
    <n v="0.2"/>
    <n v="0"/>
    <s v="Bengaluru"/>
    <x v="3"/>
    <x v="4"/>
    <x v="2"/>
    <x v="0"/>
    <n v="3"/>
    <n v="3499"/>
    <n v="699.80000000000007"/>
    <n v="2799.2"/>
    <n v="349.90000000000009"/>
    <n v="0.12500000000000003"/>
    <x v="2"/>
  </r>
  <r>
    <s v="ORD-11161"/>
    <s v="CUST1197"/>
    <d v="2025-07-06T00:00:00"/>
    <s v="P008"/>
    <s v="Smart Watch"/>
    <x v="1"/>
    <x v="4"/>
    <n v="3"/>
    <n v="3499"/>
    <n v="0.1"/>
    <n v="99"/>
    <s v="Pune"/>
    <x v="2"/>
    <x v="0"/>
    <x v="1"/>
    <x v="0"/>
    <n v="1"/>
    <n v="10497"/>
    <n v="1049.7"/>
    <n v="9546.2999999999993"/>
    <n v="2198.3999999999996"/>
    <n v="0.23028817447597497"/>
    <x v="10"/>
  </r>
  <r>
    <s v="ORD-11162"/>
    <s v="CUST1238"/>
    <d v="2025-09-21T00:00:00"/>
    <s v="P006"/>
    <s v="Cotton T-Shirt"/>
    <x v="4"/>
    <x v="8"/>
    <n v="1"/>
    <n v="799"/>
    <n v="0.1"/>
    <n v="0"/>
    <s v="Kolkata"/>
    <x v="8"/>
    <x v="3"/>
    <x v="4"/>
    <x v="1"/>
    <n v="1"/>
    <n v="799"/>
    <n v="79.900000000000006"/>
    <n v="719.1"/>
    <n v="159.80000000000007"/>
    <n v="0.22222222222222232"/>
    <x v="7"/>
  </r>
  <r>
    <s v="ORD-11163"/>
    <s v="CUST1152"/>
    <d v="2025-11-03T00:00:00"/>
    <s v="P008"/>
    <s v="Smart Watch"/>
    <x v="1"/>
    <x v="4"/>
    <n v="1"/>
    <n v="3499"/>
    <n v="0.1"/>
    <n v="59"/>
    <s v="Hyderabad"/>
    <x v="7"/>
    <x v="0"/>
    <x v="0"/>
    <x v="0"/>
    <n v="3"/>
    <n v="3499"/>
    <n v="349.90000000000003"/>
    <n v="3208.1"/>
    <n v="758.80000000000018"/>
    <n v="0.23652629282129617"/>
    <x v="4"/>
  </r>
  <r>
    <s v="ORD-11164"/>
    <s v="CUST1058"/>
    <d v="2025-01-09T00:00:00"/>
    <s v="P003"/>
    <s v="Bluetooth Speaker"/>
    <x v="1"/>
    <x v="6"/>
    <n v="1"/>
    <n v="1799"/>
    <n v="0.2"/>
    <n v="0"/>
    <s v="Mumbai"/>
    <x v="2"/>
    <x v="3"/>
    <x v="4"/>
    <x v="0"/>
    <n v="5"/>
    <n v="1799"/>
    <n v="359.8"/>
    <n v="1439.2"/>
    <n v="179.90000000000009"/>
    <n v="0.12500000000000006"/>
    <x v="2"/>
  </r>
  <r>
    <s v="ORD-11165"/>
    <s v="CUST1253"/>
    <d v="2025-02-13T00:00:00"/>
    <s v="P012"/>
    <s v="Office Chair"/>
    <x v="3"/>
    <x v="0"/>
    <n v="1"/>
    <n v="6499"/>
    <n v="0.2"/>
    <n v="49"/>
    <s v="Bengaluru"/>
    <x v="3"/>
    <x v="1"/>
    <x v="2"/>
    <x v="0"/>
    <n v="3"/>
    <n v="6499"/>
    <n v="1299.8000000000002"/>
    <n v="5248.2"/>
    <n v="698.90000000000055"/>
    <n v="0.13316946762699602"/>
    <x v="9"/>
  </r>
  <r>
    <s v="ORD-11166"/>
    <s v="CUST1191"/>
    <d v="2025-09-26T00:00:00"/>
    <s v="P008"/>
    <s v="Smart Watch"/>
    <x v="1"/>
    <x v="4"/>
    <n v="1"/>
    <n v="3499"/>
    <n v="0"/>
    <n v="59"/>
    <s v="Kolkata"/>
    <x v="8"/>
    <x v="0"/>
    <x v="1"/>
    <x v="0"/>
    <n v="5"/>
    <n v="3499"/>
    <n v="0"/>
    <n v="3558"/>
    <n v="1108.7000000000003"/>
    <n v="0.31160764474423841"/>
    <x v="7"/>
  </r>
  <r>
    <s v="ORD-11167"/>
    <s v="CUST1217"/>
    <d v="2025-02-10T00:00:00"/>
    <s v="P012"/>
    <s v="Office Chair"/>
    <x v="3"/>
    <x v="0"/>
    <n v="1"/>
    <n v="6499"/>
    <n v="0.2"/>
    <n v="59"/>
    <s v="Gurgaon"/>
    <x v="0"/>
    <x v="1"/>
    <x v="4"/>
    <x v="2"/>
    <n v="2"/>
    <n v="6499"/>
    <n v="1299.8000000000002"/>
    <n v="5258.2"/>
    <n v="708.90000000000055"/>
    <n v="0.13481799855463858"/>
    <x v="9"/>
  </r>
  <r>
    <s v="ORD-11168"/>
    <s v="CUST1156"/>
    <d v="2025-02-10T00:00:00"/>
    <s v="P012"/>
    <s v="Office Chair"/>
    <x v="3"/>
    <x v="0"/>
    <n v="2"/>
    <n v="6499"/>
    <n v="0.15"/>
    <n v="59"/>
    <s v="Mumbai"/>
    <x v="2"/>
    <x v="4"/>
    <x v="0"/>
    <x v="0"/>
    <n v="5"/>
    <n v="12998"/>
    <n v="1949.6999999999998"/>
    <n v="11107.3"/>
    <n v="2008.7000000000007"/>
    <n v="0.18084502984523698"/>
    <x v="9"/>
  </r>
  <r>
    <s v="ORD-11169"/>
    <s v="CUST1142"/>
    <d v="2025-08-31T00:00:00"/>
    <s v="P004"/>
    <s v="USB-C Hub"/>
    <x v="1"/>
    <x v="1"/>
    <n v="1"/>
    <n v="1299"/>
    <n v="0.05"/>
    <n v="49"/>
    <s v="Delhi"/>
    <x v="1"/>
    <x v="4"/>
    <x v="4"/>
    <x v="1"/>
    <n v="5"/>
    <n v="1299"/>
    <n v="64.95"/>
    <n v="1283.05"/>
    <n v="373.75"/>
    <n v="0.29129807879661745"/>
    <x v="5"/>
  </r>
  <r>
    <s v="ORD-11170"/>
    <s v="CUST1067"/>
    <d v="2025-05-20T00:00:00"/>
    <s v="P007"/>
    <s v="Backpack"/>
    <x v="4"/>
    <x v="5"/>
    <n v="2"/>
    <n v="1499"/>
    <n v="0"/>
    <n v="79"/>
    <s v="Noida"/>
    <x v="5"/>
    <x v="3"/>
    <x v="2"/>
    <x v="0"/>
    <n v="4"/>
    <n v="2998"/>
    <n v="0"/>
    <n v="3077"/>
    <n v="978.40000000000009"/>
    <n v="0.31797205069873258"/>
    <x v="0"/>
  </r>
  <r>
    <s v="ORD-11171"/>
    <s v="CUST1148"/>
    <d v="2025-04-26T00:00:00"/>
    <s v="P010"/>
    <s v="Desk Lamp"/>
    <x v="2"/>
    <x v="2"/>
    <n v="1"/>
    <n v="1199"/>
    <n v="0"/>
    <n v="0"/>
    <s v="Pune"/>
    <x v="2"/>
    <x v="4"/>
    <x v="3"/>
    <x v="0"/>
    <n v="5"/>
    <n v="1199"/>
    <n v="0"/>
    <n v="1199"/>
    <n v="359.70000000000005"/>
    <n v="0.30000000000000004"/>
    <x v="1"/>
  </r>
  <r>
    <s v="ORD-11172"/>
    <s v="CUST1175"/>
    <d v="2025-07-19T00:00:00"/>
    <s v="P007"/>
    <s v="Backpack"/>
    <x v="4"/>
    <x v="5"/>
    <n v="1"/>
    <n v="1499"/>
    <n v="0"/>
    <n v="59"/>
    <s v="Kolkata"/>
    <x v="8"/>
    <x v="3"/>
    <x v="2"/>
    <x v="3"/>
    <n v="3"/>
    <n v="1499"/>
    <n v="0"/>
    <n v="1558"/>
    <n v="508.70000000000005"/>
    <n v="0.32650834403080875"/>
    <x v="10"/>
  </r>
  <r>
    <s v="ORD-11173"/>
    <s v="CUST1131"/>
    <d v="2025-09-13T00:00:00"/>
    <s v="P008"/>
    <s v="Smart Watch"/>
    <x v="1"/>
    <x v="4"/>
    <n v="2"/>
    <n v="3499"/>
    <n v="0"/>
    <n v="79"/>
    <s v="Noida"/>
    <x v="5"/>
    <x v="1"/>
    <x v="4"/>
    <x v="2"/>
    <n v="3"/>
    <n v="6998"/>
    <n v="0"/>
    <n v="7077"/>
    <n v="2178.4000000000005"/>
    <n v="0.30781404549950553"/>
    <x v="7"/>
  </r>
  <r>
    <s v="ORD-11174"/>
    <s v="CUST1190"/>
    <d v="2025-10-15T00:00:00"/>
    <s v="P010"/>
    <s v="Desk Lamp"/>
    <x v="2"/>
    <x v="2"/>
    <n v="2"/>
    <n v="1199"/>
    <n v="0.2"/>
    <n v="99"/>
    <s v="Gurgaon"/>
    <x v="0"/>
    <x v="3"/>
    <x v="2"/>
    <x v="0"/>
    <n v="3"/>
    <n v="2398"/>
    <n v="479.6"/>
    <n v="2017.4"/>
    <n v="338.80000000000018"/>
    <n v="0.16793893129771001"/>
    <x v="8"/>
  </r>
  <r>
    <s v="ORD-11175"/>
    <s v="CUST1181"/>
    <d v="2025-01-16T00:00:00"/>
    <s v="P006"/>
    <s v="Cotton T-Shirt"/>
    <x v="4"/>
    <x v="8"/>
    <n v="2"/>
    <n v="799"/>
    <n v="0"/>
    <n v="99"/>
    <s v="Hyderabad"/>
    <x v="7"/>
    <x v="4"/>
    <x v="3"/>
    <x v="3"/>
    <n v="4"/>
    <n v="1598"/>
    <n v="0"/>
    <n v="1697"/>
    <n v="578.40000000000009"/>
    <n v="0.34083677077195057"/>
    <x v="2"/>
  </r>
  <r>
    <s v="ORD-11176"/>
    <s v="CUST1064"/>
    <d v="2025-09-09T00:00:00"/>
    <s v="P001"/>
    <s v="Wireless Mouse"/>
    <x v="1"/>
    <x v="1"/>
    <n v="2"/>
    <n v="599"/>
    <n v="0"/>
    <n v="79"/>
    <s v="Mumbai"/>
    <x v="2"/>
    <x v="0"/>
    <x v="3"/>
    <x v="3"/>
    <n v="2"/>
    <n v="1198"/>
    <n v="0"/>
    <n v="1277"/>
    <n v="438.40000000000009"/>
    <n v="0.34330462020360225"/>
    <x v="7"/>
  </r>
  <r>
    <s v="ORD-11177"/>
    <s v="CUST1210"/>
    <d v="2025-04-02T00:00:00"/>
    <s v="P004"/>
    <s v="USB-C Hub"/>
    <x v="1"/>
    <x v="1"/>
    <n v="2"/>
    <n v="1299"/>
    <n v="0.1"/>
    <n v="99"/>
    <s v="Gurgaon"/>
    <x v="0"/>
    <x v="3"/>
    <x v="1"/>
    <x v="2"/>
    <n v="4"/>
    <n v="2598"/>
    <n v="259.8"/>
    <n v="2437.1999999999998"/>
    <n v="618.59999999999991"/>
    <n v="0.25381585425898573"/>
    <x v="1"/>
  </r>
  <r>
    <s v="ORD-11178"/>
    <s v="CUST1258"/>
    <d v="2025-07-05T00:00:00"/>
    <s v="P010"/>
    <s v="Desk Lamp"/>
    <x v="2"/>
    <x v="2"/>
    <n v="1"/>
    <n v="1199"/>
    <n v="0.2"/>
    <n v="59"/>
    <s v="Mumbai"/>
    <x v="2"/>
    <x v="4"/>
    <x v="0"/>
    <x v="2"/>
    <n v="4"/>
    <n v="1199"/>
    <n v="239.8"/>
    <n v="1018.2"/>
    <n v="178.90000000000009"/>
    <n v="0.17570221960322147"/>
    <x v="10"/>
  </r>
  <r>
    <s v="ORD-11179"/>
    <s v="CUST1205"/>
    <d v="2025-08-26T00:00:00"/>
    <s v="P004"/>
    <s v="USB-C Hub"/>
    <x v="1"/>
    <x v="1"/>
    <n v="2"/>
    <n v="1299"/>
    <n v="0"/>
    <n v="49"/>
    <s v="Bengaluru"/>
    <x v="3"/>
    <x v="3"/>
    <x v="4"/>
    <x v="1"/>
    <n v="5"/>
    <n v="2598"/>
    <n v="0"/>
    <n v="2647"/>
    <n v="828.40000000000009"/>
    <n v="0.31295806573479412"/>
    <x v="5"/>
  </r>
  <r>
    <s v="ORD-11180"/>
    <s v="CUST1215"/>
    <d v="2025-12-16T00:00:00"/>
    <s v="P006"/>
    <s v="Cotton T-Shirt"/>
    <x v="4"/>
    <x v="8"/>
    <n v="1"/>
    <n v="799"/>
    <n v="0.2"/>
    <n v="79"/>
    <s v="Hyderabad"/>
    <x v="7"/>
    <x v="1"/>
    <x v="1"/>
    <x v="3"/>
    <n v="3"/>
    <n v="799"/>
    <n v="159.80000000000001"/>
    <n v="718.2"/>
    <n v="158.90000000000009"/>
    <n v="0.22124756335282664"/>
    <x v="11"/>
  </r>
  <r>
    <s v="ORD-11181"/>
    <s v="CUST1210"/>
    <d v="2025-11-09T00:00:00"/>
    <s v="P001"/>
    <s v="Wireless Mouse"/>
    <x v="1"/>
    <x v="1"/>
    <n v="1"/>
    <n v="599"/>
    <n v="0.15"/>
    <n v="99"/>
    <s v="Kolkata"/>
    <x v="8"/>
    <x v="0"/>
    <x v="2"/>
    <x v="0"/>
    <n v="5"/>
    <n v="599"/>
    <n v="89.85"/>
    <n v="608.15"/>
    <n v="188.85000000000002"/>
    <n v="0.31053194113294424"/>
    <x v="4"/>
  </r>
  <r>
    <s v="ORD-11182"/>
    <s v="CUST1200"/>
    <d v="2025-08-30T00:00:00"/>
    <s v="P004"/>
    <s v="USB-C Hub"/>
    <x v="1"/>
    <x v="1"/>
    <n v="2"/>
    <n v="1299"/>
    <n v="0"/>
    <n v="99"/>
    <s v="Noida"/>
    <x v="5"/>
    <x v="4"/>
    <x v="0"/>
    <x v="0"/>
    <n v="3"/>
    <n v="2598"/>
    <n v="0"/>
    <n v="2697"/>
    <n v="878.40000000000009"/>
    <n v="0.32569521690767522"/>
    <x v="5"/>
  </r>
  <r>
    <s v="ORD-11183"/>
    <s v="CUST1068"/>
    <d v="2025-05-03T00:00:00"/>
    <s v="P004"/>
    <s v="USB-C Hub"/>
    <x v="1"/>
    <x v="1"/>
    <n v="2"/>
    <n v="2017"/>
    <n v="0"/>
    <n v="59"/>
    <s v="Noida"/>
    <x v="5"/>
    <x v="3"/>
    <x v="4"/>
    <x v="2"/>
    <n v="1"/>
    <n v="4034"/>
    <n v="0"/>
    <n v="4093"/>
    <n v="1269.2000000000003"/>
    <n v="0.31009039824089918"/>
    <x v="0"/>
  </r>
  <r>
    <s v="ORD-11184"/>
    <s v="CUST1237"/>
    <d v="2025-05-06T00:00:00"/>
    <s v="P004"/>
    <s v="USB-C Hub"/>
    <x v="1"/>
    <x v="1"/>
    <n v="2"/>
    <n v="1299"/>
    <n v="0"/>
    <n v="49"/>
    <s v="Kolkata"/>
    <x v="8"/>
    <x v="4"/>
    <x v="4"/>
    <x v="1"/>
    <n v="3"/>
    <n v="2598"/>
    <n v="0"/>
    <n v="2647"/>
    <n v="828.40000000000009"/>
    <n v="0.31295806573479412"/>
    <x v="0"/>
  </r>
  <r>
    <s v="ORD-11185"/>
    <s v="CUST1017"/>
    <d v="2025-03-23T00:00:00"/>
    <s v="P010"/>
    <s v="Desk Lamp"/>
    <x v="2"/>
    <x v="2"/>
    <n v="3"/>
    <n v="1199"/>
    <n v="0"/>
    <n v="0"/>
    <s v="Pune"/>
    <x v="2"/>
    <x v="1"/>
    <x v="0"/>
    <x v="2"/>
    <n v="4"/>
    <n v="3597"/>
    <n v="0"/>
    <n v="3597"/>
    <n v="1079.1000000000004"/>
    <n v="0.3000000000000001"/>
    <x v="6"/>
  </r>
  <r>
    <s v="ORD-11186"/>
    <s v="CUST1274"/>
    <d v="2025-05-14T00:00:00"/>
    <s v="P007"/>
    <s v="Backpack"/>
    <x v="4"/>
    <x v="5"/>
    <n v="3"/>
    <n v="1499"/>
    <n v="0.2"/>
    <n v="99"/>
    <s v="Gurgaon"/>
    <x v="0"/>
    <x v="0"/>
    <x v="3"/>
    <x v="0"/>
    <n v="4"/>
    <n v="4497"/>
    <n v="899.40000000000009"/>
    <n v="3696.6"/>
    <n v="548.70000000000027"/>
    <n v="0.14843369582859933"/>
    <x v="0"/>
  </r>
  <r>
    <s v="ORD-11187"/>
    <s v="CUST1262"/>
    <d v="2025-07-23T00:00:00"/>
    <s v="P012"/>
    <s v="Office Chair"/>
    <x v="3"/>
    <x v="0"/>
    <n v="1"/>
    <n v="6499"/>
    <n v="0.05"/>
    <n v="79"/>
    <s v="Delhi"/>
    <x v="1"/>
    <x v="1"/>
    <x v="3"/>
    <x v="0"/>
    <n v="3"/>
    <n v="6499"/>
    <n v="324.95000000000005"/>
    <n v="6253.05"/>
    <n v="1703.7500000000009"/>
    <n v="0.27246703608639"/>
    <x v="10"/>
  </r>
  <r>
    <s v="ORD-11188"/>
    <s v="CUST1188"/>
    <d v="2025-05-15T00:00:00"/>
    <s v="P002"/>
    <s v="Mechanical Keyboard"/>
    <x v="1"/>
    <x v="1"/>
    <n v="1"/>
    <n v="2499"/>
    <n v="0.2"/>
    <n v="49"/>
    <s v="Gurgaon"/>
    <x v="0"/>
    <x v="1"/>
    <x v="2"/>
    <x v="0"/>
    <n v="2"/>
    <n v="2499"/>
    <n v="499.8"/>
    <n v="2048.1999999999998"/>
    <n v="298.89999999999986"/>
    <n v="0.14593301435406694"/>
    <x v="0"/>
  </r>
  <r>
    <s v="ORD-11189"/>
    <s v="CUST1252"/>
    <d v="2025-02-19T00:00:00"/>
    <s v="P004"/>
    <s v="USB-C Hub"/>
    <x v="1"/>
    <x v="1"/>
    <n v="1"/>
    <n v="1299"/>
    <n v="0"/>
    <n v="79"/>
    <s v="Hyderabad"/>
    <x v="7"/>
    <x v="2"/>
    <x v="2"/>
    <x v="2"/>
    <n v="3"/>
    <n v="1299"/>
    <n v="0"/>
    <n v="1378"/>
    <n v="468.70000000000005"/>
    <n v="0.3401306240928883"/>
    <x v="9"/>
  </r>
  <r>
    <s v="ORD-11190"/>
    <s v="CUST1019"/>
    <d v="2025-08-19T00:00:00"/>
    <s v="P005"/>
    <s v="Running Shoes"/>
    <x v="4"/>
    <x v="7"/>
    <n v="1"/>
    <n v="2999"/>
    <n v="0.05"/>
    <n v="99"/>
    <s v="Hyderabad"/>
    <x v="7"/>
    <x v="2"/>
    <x v="1"/>
    <x v="3"/>
    <n v="5"/>
    <n v="2999"/>
    <n v="149.95000000000002"/>
    <n v="2948.05"/>
    <n v="848.75000000000045"/>
    <n v="0.28790217262258117"/>
    <x v="5"/>
  </r>
  <r>
    <s v="ORD-11191"/>
    <s v="CUST1082"/>
    <d v="2025-07-09T00:00:00"/>
    <s v="P005"/>
    <s v="Running Shoes"/>
    <x v="4"/>
    <x v="7"/>
    <n v="1"/>
    <n v="2999"/>
    <n v="0.05"/>
    <n v="59"/>
    <s v="Delhi"/>
    <x v="1"/>
    <x v="4"/>
    <x v="2"/>
    <x v="2"/>
    <n v="4"/>
    <n v="2999"/>
    <n v="149.95000000000002"/>
    <n v="2908.05"/>
    <n v="808.75000000000045"/>
    <n v="0.27810732277643108"/>
    <x v="10"/>
  </r>
  <r>
    <s v="ORD-11192"/>
    <s v="CUST1150"/>
    <d v="2025-03-21T00:00:00"/>
    <s v="P012"/>
    <s v="Office Chair"/>
    <x v="3"/>
    <x v="0"/>
    <n v="2"/>
    <n v="6499"/>
    <n v="0"/>
    <n v="49"/>
    <s v="Hyderabad"/>
    <x v="7"/>
    <x v="1"/>
    <x v="2"/>
    <x v="2"/>
    <n v="3"/>
    <n v="12998"/>
    <n v="0"/>
    <n v="13047"/>
    <n v="3948.4000000000015"/>
    <n v="0.30262895684831775"/>
    <x v="6"/>
  </r>
  <r>
    <s v="ORD-11193"/>
    <s v="CUST1187"/>
    <d v="2025-10-26T00:00:00"/>
    <s v="P004"/>
    <s v="USB-C Hub"/>
    <x v="1"/>
    <x v="1"/>
    <n v="3"/>
    <n v="1299"/>
    <n v="0"/>
    <n v="59"/>
    <s v="Delhi"/>
    <x v="1"/>
    <x v="4"/>
    <x v="0"/>
    <x v="3"/>
    <n v="4"/>
    <n v="3897"/>
    <n v="0"/>
    <n v="3956"/>
    <n v="1228.1000000000004"/>
    <n v="0.31043983822042476"/>
    <x v="8"/>
  </r>
  <r>
    <s v="ORD-11194"/>
    <s v="CUST1268"/>
    <d v="2025-06-26T00:00:00"/>
    <s v="P008"/>
    <s v="Smart Watch"/>
    <x v="1"/>
    <x v="4"/>
    <n v="4"/>
    <n v="3499"/>
    <n v="0.15"/>
    <n v="59"/>
    <s v="Kolkata"/>
    <x v="8"/>
    <x v="3"/>
    <x v="3"/>
    <x v="3"/>
    <n v="3"/>
    <n v="13996"/>
    <n v="2099.4"/>
    <n v="11955.6"/>
    <n v="2158.4000000000015"/>
    <n v="0.1805346448526215"/>
    <x v="3"/>
  </r>
  <r>
    <s v="ORD-11195"/>
    <s v="CUST1176"/>
    <d v="2025-09-04T00:00:00"/>
    <s v="P008"/>
    <s v="Smart Watch"/>
    <x v="1"/>
    <x v="4"/>
    <n v="3"/>
    <n v="3499"/>
    <n v="0"/>
    <n v="0"/>
    <s v="Noida"/>
    <x v="5"/>
    <x v="2"/>
    <x v="2"/>
    <x v="1"/>
    <n v="2"/>
    <n v="10497"/>
    <n v="0"/>
    <n v="10497"/>
    <n v="3149.1000000000004"/>
    <n v="0.30000000000000004"/>
    <x v="7"/>
  </r>
  <r>
    <s v="ORD-11196"/>
    <s v="CUST1292"/>
    <d v="2025-03-03T00:00:00"/>
    <s v="P004"/>
    <s v="USB-C Hub"/>
    <x v="1"/>
    <x v="1"/>
    <n v="1"/>
    <n v="1299"/>
    <n v="0.1"/>
    <n v="79"/>
    <s v="Noida"/>
    <x v="5"/>
    <x v="0"/>
    <x v="0"/>
    <x v="0"/>
    <n v="2"/>
    <n v="1299"/>
    <n v="129.9"/>
    <n v="1248.0999999999999"/>
    <n v="338.79999999999995"/>
    <n v="0.27145260796410542"/>
    <x v="6"/>
  </r>
  <r>
    <s v="ORD-11197"/>
    <s v="CUST1035"/>
    <d v="2025-01-17T00:00:00"/>
    <s v="P012"/>
    <s v="Office Chair"/>
    <x v="3"/>
    <x v="0"/>
    <n v="1"/>
    <n v="6499"/>
    <n v="0.05"/>
    <n v="99"/>
    <s v="Jaipur"/>
    <x v="6"/>
    <x v="3"/>
    <x v="0"/>
    <x v="0"/>
    <n v="5"/>
    <n v="6499"/>
    <n v="324.95000000000005"/>
    <n v="6273.05"/>
    <n v="1723.7500000000009"/>
    <n v="0.2747865870668974"/>
    <x v="2"/>
  </r>
  <r>
    <s v="ORD-11198"/>
    <s v="CUST1132"/>
    <d v="2025-01-29T00:00:00"/>
    <s v="P012"/>
    <s v="Office Chair"/>
    <x v="3"/>
    <x v="0"/>
    <n v="3"/>
    <n v="6499"/>
    <n v="0"/>
    <n v="49"/>
    <s v="Chennai"/>
    <x v="4"/>
    <x v="2"/>
    <x v="1"/>
    <x v="3"/>
    <n v="2"/>
    <n v="19497"/>
    <n v="0"/>
    <n v="19546"/>
    <n v="5898.1"/>
    <n v="0.30175483474879772"/>
    <x v="2"/>
  </r>
  <r>
    <s v="ORD-11199"/>
    <s v="CUST1033"/>
    <d v="2025-11-08T00:00:00"/>
    <s v="P012"/>
    <s v="Office Chair"/>
    <x v="3"/>
    <x v="0"/>
    <n v="1"/>
    <n v="6499"/>
    <n v="0"/>
    <n v="49"/>
    <s v="Hyderabad"/>
    <x v="7"/>
    <x v="2"/>
    <x v="0"/>
    <x v="0"/>
    <n v="3"/>
    <n v="6499"/>
    <n v="0"/>
    <n v="6548"/>
    <n v="1998.7000000000007"/>
    <n v="0.30523824068417849"/>
    <x v="4"/>
  </r>
  <r>
    <s v="ORD-11200"/>
    <s v="CUST1027"/>
    <d v="2025-10-27T00:00:00"/>
    <s v="P001"/>
    <s v="Wireless Mouse"/>
    <x v="1"/>
    <x v="1"/>
    <n v="1"/>
    <n v="599"/>
    <n v="0"/>
    <n v="99"/>
    <s v="Jaipur"/>
    <x v="6"/>
    <x v="3"/>
    <x v="4"/>
    <x v="1"/>
    <n v="2"/>
    <n v="599"/>
    <n v="0"/>
    <n v="698"/>
    <n v="278.70000000000005"/>
    <n v="0.3992836676217765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00526A-4807-47F1-B46C-1BE668194EE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5">
  <location ref="A52:F58" firstHeaderRow="1" firstDataRow="2" firstDataCol="1"/>
  <pivotFields count="23">
    <pivotField dataField="1"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showAll="0">
      <items count="11">
        <item x="1"/>
        <item x="0"/>
        <item x="3"/>
        <item x="2"/>
        <item x="6"/>
        <item x="4"/>
        <item x="7"/>
        <item x="5"/>
        <item x="8"/>
        <item m="1" x="9"/>
        <item t="default"/>
      </items>
    </pivotField>
    <pivotField axis="axisRow" showAll="0">
      <items count="7">
        <item x="2"/>
        <item x="3"/>
        <item x="1"/>
        <item x="4"/>
        <item x="0"/>
        <item m="1" x="5"/>
        <item t="default"/>
      </items>
    </pivotField>
    <pivotField axis="axisCol" showAll="0">
      <items count="7">
        <item x="3"/>
        <item x="1"/>
        <item x="2"/>
        <item x="0"/>
        <item x="4"/>
        <item m="1" x="5"/>
        <item t="default"/>
      </items>
    </pivotField>
    <pivotField showAll="0">
      <items count="6">
        <item x="3"/>
        <item x="0"/>
        <item x="2"/>
        <item x="1"/>
        <item m="1" x="4"/>
        <item t="default"/>
      </items>
    </pivotField>
    <pivotField showAll="0"/>
    <pivotField showAll="0"/>
    <pivotField showAll="0"/>
    <pivotField showAll="0"/>
    <pivotField showAll="0"/>
    <pivotField numFmtId="166" showAll="0"/>
    <pivotField showAll="0">
      <items count="13">
        <item x="2"/>
        <item x="9"/>
        <item x="6"/>
        <item x="1"/>
        <item x="0"/>
        <item x="3"/>
        <item x="10"/>
        <item x="5"/>
        <item x="7"/>
        <item x="8"/>
        <item x="4"/>
        <item x="11"/>
        <item t="default"/>
      </items>
    </pivotField>
  </pivotFields>
  <rowFields count="1">
    <field x="13"/>
  </rowFields>
  <rowItems count="5">
    <i>
      <x/>
    </i>
    <i>
      <x v="1"/>
    </i>
    <i>
      <x v="2"/>
    </i>
    <i>
      <x v="3"/>
    </i>
    <i>
      <x v="4"/>
    </i>
  </rowItems>
  <colFields count="1">
    <field x="14"/>
  </colFields>
  <colItems count="5">
    <i>
      <x/>
    </i>
    <i>
      <x v="1"/>
    </i>
    <i>
      <x v="2"/>
    </i>
    <i>
      <x v="3"/>
    </i>
    <i>
      <x v="4"/>
    </i>
  </colItems>
  <dataFields count="1">
    <dataField name="Count of Order_ID" fld="0" subtotal="count" baseField="0" baseItem="0"/>
  </dataFields>
  <chartFormats count="11">
    <chartFormat chart="59" format="0" series="1">
      <pivotArea type="data" outline="0" fieldPosition="0">
        <references count="2">
          <reference field="4294967294" count="1" selected="0">
            <x v="0"/>
          </reference>
          <reference field="14" count="1" selected="0">
            <x v="0"/>
          </reference>
        </references>
      </pivotArea>
    </chartFormat>
    <chartFormat chart="59" format="1" series="1">
      <pivotArea type="data" outline="0" fieldPosition="0">
        <references count="2">
          <reference field="4294967294" count="1" selected="0">
            <x v="0"/>
          </reference>
          <reference field="14" count="1" selected="0">
            <x v="1"/>
          </reference>
        </references>
      </pivotArea>
    </chartFormat>
    <chartFormat chart="59" format="2" series="1">
      <pivotArea type="data" outline="0" fieldPosition="0">
        <references count="2">
          <reference field="4294967294" count="1" selected="0">
            <x v="0"/>
          </reference>
          <reference field="14" count="1" selected="0">
            <x v="2"/>
          </reference>
        </references>
      </pivotArea>
    </chartFormat>
    <chartFormat chart="59" format="3" series="1">
      <pivotArea type="data" outline="0" fieldPosition="0">
        <references count="2">
          <reference field="4294967294" count="1" selected="0">
            <x v="0"/>
          </reference>
          <reference field="14" count="1" selected="0">
            <x v="3"/>
          </reference>
        </references>
      </pivotArea>
    </chartFormat>
    <chartFormat chart="59" format="4" series="1">
      <pivotArea type="data" outline="0" fieldPosition="0">
        <references count="2">
          <reference field="4294967294" count="1" selected="0">
            <x v="0"/>
          </reference>
          <reference field="14" count="1" selected="0">
            <x v="4"/>
          </reference>
        </references>
      </pivotArea>
    </chartFormat>
    <chartFormat chart="64" format="10" series="1">
      <pivotArea type="data" outline="0" fieldPosition="0">
        <references count="2">
          <reference field="4294967294" count="1" selected="0">
            <x v="0"/>
          </reference>
          <reference field="14" count="1" selected="0">
            <x v="0"/>
          </reference>
        </references>
      </pivotArea>
    </chartFormat>
    <chartFormat chart="64" format="11" series="1">
      <pivotArea type="data" outline="0" fieldPosition="0">
        <references count="2">
          <reference field="4294967294" count="1" selected="0">
            <x v="0"/>
          </reference>
          <reference field="14" count="1" selected="0">
            <x v="1"/>
          </reference>
        </references>
      </pivotArea>
    </chartFormat>
    <chartFormat chart="64" format="12" series="1">
      <pivotArea type="data" outline="0" fieldPosition="0">
        <references count="2">
          <reference field="4294967294" count="1" selected="0">
            <x v="0"/>
          </reference>
          <reference field="14" count="1" selected="0">
            <x v="2"/>
          </reference>
        </references>
      </pivotArea>
    </chartFormat>
    <chartFormat chart="64" format="13" series="1">
      <pivotArea type="data" outline="0" fieldPosition="0">
        <references count="2">
          <reference field="4294967294" count="1" selected="0">
            <x v="0"/>
          </reference>
          <reference field="14" count="1" selected="0">
            <x v="3"/>
          </reference>
        </references>
      </pivotArea>
    </chartFormat>
    <chartFormat chart="64" format="14" series="1">
      <pivotArea type="data" outline="0" fieldPosition="0">
        <references count="2">
          <reference field="4294967294" count="1" selected="0">
            <x v="0"/>
          </reference>
          <reference field="14" count="1" selected="0">
            <x v="4"/>
          </reference>
        </references>
      </pivotArea>
    </chartFormat>
    <chartFormat chart="64" format="15" series="1">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368575-893B-4043-A2DF-F306DBF4805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4">
  <location ref="F38:G42" firstHeaderRow="1" firstDataRow="1" firstDataCol="1"/>
  <pivotFields count="23">
    <pivotField dataField="1"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showAll="0">
      <items count="11">
        <item x="1"/>
        <item x="0"/>
        <item x="3"/>
        <item x="2"/>
        <item x="6"/>
        <item x="4"/>
        <item x="7"/>
        <item x="5"/>
        <item x="8"/>
        <item m="1" x="9"/>
        <item t="default"/>
      </items>
    </pivotField>
    <pivotField showAll="0"/>
    <pivotField showAll="0"/>
    <pivotField axis="axisRow" showAll="0">
      <items count="6">
        <item x="3"/>
        <item x="0"/>
        <item x="2"/>
        <item x="1"/>
        <item m="1" x="4"/>
        <item t="default"/>
      </items>
    </pivotField>
    <pivotField showAll="0"/>
    <pivotField showAll="0"/>
    <pivotField showAll="0"/>
    <pivotField showAll="0"/>
    <pivotField showAll="0"/>
    <pivotField numFmtId="166" showAll="0"/>
    <pivotField showAll="0">
      <items count="13">
        <item x="2"/>
        <item x="9"/>
        <item x="6"/>
        <item x="1"/>
        <item x="0"/>
        <item x="3"/>
        <item x="10"/>
        <item x="5"/>
        <item x="7"/>
        <item x="8"/>
        <item x="4"/>
        <item x="11"/>
        <item t="default"/>
      </items>
    </pivotField>
  </pivotFields>
  <rowFields count="1">
    <field x="15"/>
  </rowFields>
  <rowItems count="4">
    <i>
      <x/>
    </i>
    <i>
      <x v="1"/>
    </i>
    <i>
      <x v="2"/>
    </i>
    <i>
      <x v="3"/>
    </i>
  </rowItems>
  <colItems count="1">
    <i/>
  </colItems>
  <dataFields count="1">
    <dataField name="Count of Order_ID" fld="0" subtotal="count" baseField="0" baseItem="0"/>
  </dataFields>
  <chartFormats count="11">
    <chartFormat chart="34" format="3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4" format="1">
      <pivotArea type="data" outline="0" fieldPosition="0">
        <references count="2">
          <reference field="4294967294" count="1" selected="0">
            <x v="0"/>
          </reference>
          <reference field="15" count="1" selected="0">
            <x v="1"/>
          </reference>
        </references>
      </pivotArea>
    </chartFormat>
    <chartFormat chart="64" format="2">
      <pivotArea type="data" outline="0" fieldPosition="0">
        <references count="2">
          <reference field="4294967294" count="1" selected="0">
            <x v="0"/>
          </reference>
          <reference field="15" count="1" selected="0">
            <x v="0"/>
          </reference>
        </references>
      </pivotArea>
    </chartFormat>
    <chartFormat chart="64" format="3">
      <pivotArea type="data" outline="0" fieldPosition="0">
        <references count="2">
          <reference field="4294967294" count="1" selected="0">
            <x v="0"/>
          </reference>
          <reference field="15" count="1" selected="0">
            <x v="3"/>
          </reference>
        </references>
      </pivotArea>
    </chartFormat>
    <chartFormat chart="64" format="4">
      <pivotArea type="data" outline="0" fieldPosition="0">
        <references count="2">
          <reference field="4294967294" count="1" selected="0">
            <x v="0"/>
          </reference>
          <reference field="15" count="1" selected="0">
            <x v="2"/>
          </reference>
        </references>
      </pivotArea>
    </chartFormat>
    <chartFormat chart="67" format="10" series="1">
      <pivotArea type="data" outline="0" fieldPosition="0">
        <references count="1">
          <reference field="4294967294" count="1" selected="0">
            <x v="0"/>
          </reference>
        </references>
      </pivotArea>
    </chartFormat>
    <chartFormat chart="67" format="11">
      <pivotArea type="data" outline="0" fieldPosition="0">
        <references count="2">
          <reference field="4294967294" count="1" selected="0">
            <x v="0"/>
          </reference>
          <reference field="15" count="1" selected="0">
            <x v="0"/>
          </reference>
        </references>
      </pivotArea>
    </chartFormat>
    <chartFormat chart="67" format="12">
      <pivotArea type="data" outline="0" fieldPosition="0">
        <references count="2">
          <reference field="4294967294" count="1" selected="0">
            <x v="0"/>
          </reference>
          <reference field="15" count="1" selected="0">
            <x v="1"/>
          </reference>
        </references>
      </pivotArea>
    </chartFormat>
    <chartFormat chart="67" format="13">
      <pivotArea type="data" outline="0" fieldPosition="0">
        <references count="2">
          <reference field="4294967294" count="1" selected="0">
            <x v="0"/>
          </reference>
          <reference field="15" count="1" selected="0">
            <x v="2"/>
          </reference>
        </references>
      </pivotArea>
    </chartFormat>
    <chartFormat chart="67"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FE555D-2DBA-430F-9FA0-11C839D62CA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G7:H19" firstHeaderRow="1" firstDataRow="1" firstDataCol="1"/>
  <pivotFields count="23">
    <pivotField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showAll="0">
      <items count="11">
        <item x="1"/>
        <item x="0"/>
        <item x="3"/>
        <item x="2"/>
        <item x="6"/>
        <item x="4"/>
        <item x="7"/>
        <item x="5"/>
        <item x="8"/>
        <item m="1" x="9"/>
        <item t="default"/>
      </items>
    </pivotField>
    <pivotField showAll="0"/>
    <pivotField showAll="0"/>
    <pivotField showAll="0">
      <items count="6">
        <item x="3"/>
        <item x="0"/>
        <item x="2"/>
        <item x="1"/>
        <item m="1" x="4"/>
        <item t="default"/>
      </items>
    </pivotField>
    <pivotField showAll="0"/>
    <pivotField showAll="0"/>
    <pivotField showAll="0"/>
    <pivotField showAll="0"/>
    <pivotField dataField="1" showAll="0"/>
    <pivotField numFmtId="166" showAll="0"/>
    <pivotField axis="axisRow" showAll="0">
      <items count="13">
        <item x="2"/>
        <item x="9"/>
        <item x="6"/>
        <item x="1"/>
        <item x="0"/>
        <item x="3"/>
        <item x="10"/>
        <item x="5"/>
        <item x="7"/>
        <item x="8"/>
        <item x="4"/>
        <item x="11"/>
        <item t="default"/>
      </items>
    </pivotField>
  </pivotFields>
  <rowFields count="1">
    <field x="22"/>
  </rowFields>
  <rowItems count="12">
    <i>
      <x/>
    </i>
    <i>
      <x v="1"/>
    </i>
    <i>
      <x v="2"/>
    </i>
    <i>
      <x v="3"/>
    </i>
    <i>
      <x v="4"/>
    </i>
    <i>
      <x v="5"/>
    </i>
    <i>
      <x v="6"/>
    </i>
    <i>
      <x v="7"/>
    </i>
    <i>
      <x v="8"/>
    </i>
    <i>
      <x v="9"/>
    </i>
    <i>
      <x v="10"/>
    </i>
    <i>
      <x v="11"/>
    </i>
  </rowItems>
  <colItems count="1">
    <i/>
  </colItems>
  <dataFields count="1">
    <dataField name="Sum of Profit" fld="20" baseField="0" baseItem="0" numFmtId="1"/>
  </dataFields>
  <formats count="1">
    <format dxfId="0">
      <pivotArea outline="0" fieldPosition="0">
        <references count="1">
          <reference field="4294967294" count="1">
            <x v="0"/>
          </reference>
        </references>
      </pivotArea>
    </format>
  </formats>
  <chartFormats count="4">
    <chartFormat chart="17"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A9ABA9-1FD1-4748-96FC-643A22631B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23">
    <pivotField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showAll="0">
      <items count="11">
        <item x="1"/>
        <item x="0"/>
        <item x="3"/>
        <item x="2"/>
        <item x="6"/>
        <item x="4"/>
        <item x="7"/>
        <item x="5"/>
        <item x="8"/>
        <item m="1" x="9"/>
        <item t="default"/>
      </items>
    </pivotField>
    <pivotField showAll="0"/>
    <pivotField showAll="0"/>
    <pivotField showAll="0">
      <items count="6">
        <item x="3"/>
        <item x="0"/>
        <item x="2"/>
        <item x="1"/>
        <item m="1" x="4"/>
        <item t="default"/>
      </items>
    </pivotField>
    <pivotField showAll="0"/>
    <pivotField showAll="0"/>
    <pivotField showAll="0"/>
    <pivotField dataField="1" showAll="0"/>
    <pivotField dataField="1" showAll="0"/>
    <pivotField dataField="1" numFmtId="166" showAll="0"/>
    <pivotField showAll="0">
      <items count="13">
        <item x="2"/>
        <item x="9"/>
        <item x="6"/>
        <item x="1"/>
        <item x="0"/>
        <item x="3"/>
        <item x="10"/>
        <item x="5"/>
        <item x="7"/>
        <item x="8"/>
        <item x="4"/>
        <item x="11"/>
        <item t="default"/>
      </items>
    </pivotField>
  </pivotFields>
  <rowItems count="1">
    <i/>
  </rowItems>
  <colFields count="1">
    <field x="-2"/>
  </colFields>
  <colItems count="3">
    <i>
      <x/>
    </i>
    <i i="1">
      <x v="1"/>
    </i>
    <i i="2">
      <x v="2"/>
    </i>
  </colItems>
  <dataFields count="3">
    <dataField name="Sum of Net_Sale" fld="19" baseField="0" baseItem="0"/>
    <dataField name="Sum of Profit" fld="20" baseField="0" baseItem="0"/>
    <dataField name="Sum of Profit_Margin" fld="2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5598E9-6753-4AFA-9E22-387AFDA987F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24:C29" firstHeaderRow="0" firstDataRow="1" firstDataCol="1"/>
  <pivotFields count="23">
    <pivotField showAll="0"/>
    <pivotField showAll="0"/>
    <pivotField numFmtId="14" showAll="0"/>
    <pivotField showAll="0"/>
    <pivotField showAll="0"/>
    <pivotField axis="axisRow" showAll="0">
      <items count="7">
        <item sd="0" x="1"/>
        <item sd="0" x="4"/>
        <item sd="0" x="3"/>
        <item sd="0" x="2"/>
        <item sd="0" x="0"/>
        <item m="1" x="5"/>
        <item t="default" sd="0"/>
      </items>
    </pivotField>
    <pivotField axis="axisRow" showAll="0">
      <items count="11">
        <item x="1"/>
        <item x="6"/>
        <item x="5"/>
        <item x="8"/>
        <item x="7"/>
        <item x="2"/>
        <item x="3"/>
        <item x="0"/>
        <item x="4"/>
        <item m="1" x="9"/>
        <item t="default"/>
      </items>
    </pivotField>
    <pivotField showAll="0"/>
    <pivotField showAll="0"/>
    <pivotField showAll="0"/>
    <pivotField showAll="0"/>
    <pivotField showAll="0"/>
    <pivotField showAll="0">
      <items count="11">
        <item x="1"/>
        <item x="0"/>
        <item x="3"/>
        <item x="2"/>
        <item x="6"/>
        <item x="4"/>
        <item x="7"/>
        <item x="5"/>
        <item x="8"/>
        <item m="1" x="9"/>
        <item t="default"/>
      </items>
    </pivotField>
    <pivotField showAll="0"/>
    <pivotField showAll="0"/>
    <pivotField showAll="0">
      <items count="6">
        <item x="3"/>
        <item x="0"/>
        <item x="2"/>
        <item x="1"/>
        <item m="1" x="4"/>
        <item t="default"/>
      </items>
    </pivotField>
    <pivotField showAll="0"/>
    <pivotField showAll="0"/>
    <pivotField showAll="0"/>
    <pivotField dataField="1" showAll="0"/>
    <pivotField showAll="0"/>
    <pivotField dataField="1" numFmtId="166" showAll="0"/>
    <pivotField showAll="0">
      <items count="13">
        <item x="2"/>
        <item x="9"/>
        <item x="6"/>
        <item x="1"/>
        <item x="0"/>
        <item x="3"/>
        <item x="10"/>
        <item x="5"/>
        <item x="7"/>
        <item x="8"/>
        <item x="4"/>
        <item x="11"/>
        <item t="default"/>
      </items>
    </pivotField>
  </pivotFields>
  <rowFields count="2">
    <field x="5"/>
    <field x="6"/>
  </rowFields>
  <rowItems count="5">
    <i>
      <x/>
    </i>
    <i>
      <x v="1"/>
    </i>
    <i>
      <x v="2"/>
    </i>
    <i>
      <x v="3"/>
    </i>
    <i>
      <x v="4"/>
    </i>
  </rowItems>
  <colFields count="1">
    <field x="-2"/>
  </colFields>
  <colItems count="2">
    <i>
      <x/>
    </i>
    <i i="1">
      <x v="1"/>
    </i>
  </colItems>
  <dataFields count="2">
    <dataField name="Sum of Net_Sale" fld="19" baseField="0" baseItem="0"/>
    <dataField name="Average of Profit_Margin" fld="21" subtotal="average" baseField="0" baseItem="0" numFmtId="166"/>
  </dataFields>
  <chartFormats count="36">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0"/>
          </reference>
          <reference field="5" count="1" selected="0">
            <x v="4"/>
          </reference>
        </references>
      </pivotArea>
    </chartFormat>
    <chartFormat chart="20" format="3">
      <pivotArea type="data" outline="0" fieldPosition="0">
        <references count="2">
          <reference field="4294967294" count="1" selected="0">
            <x v="0"/>
          </reference>
          <reference field="5" count="1" selected="0">
            <x v="3"/>
          </reference>
        </references>
      </pivotArea>
    </chartFormat>
    <chartFormat chart="20" format="4">
      <pivotArea type="data" outline="0" fieldPosition="0">
        <references count="2">
          <reference field="4294967294" count="1" selected="0">
            <x v="0"/>
          </reference>
          <reference field="5" count="1" selected="0">
            <x v="2"/>
          </reference>
        </references>
      </pivotArea>
    </chartFormat>
    <chartFormat chart="20" format="5">
      <pivotArea type="data" outline="0" fieldPosition="0">
        <references count="2">
          <reference field="4294967294" count="1" selected="0">
            <x v="0"/>
          </reference>
          <reference field="5" count="1" selected="0">
            <x v="1"/>
          </reference>
        </references>
      </pivotArea>
    </chartFormat>
    <chartFormat chart="20" format="6">
      <pivotArea type="data" outline="0" fieldPosition="0">
        <references count="2">
          <reference field="4294967294" count="1" selected="0">
            <x v="0"/>
          </reference>
          <reference field="5" count="1" selected="0">
            <x v="0"/>
          </reference>
        </references>
      </pivotArea>
    </chartFormat>
    <chartFormat chart="20" format="7">
      <pivotArea type="data" outline="0" fieldPosition="0">
        <references count="2">
          <reference field="4294967294" count="1" selected="0">
            <x v="1"/>
          </reference>
          <reference field="5" count="1" selected="0">
            <x v="4"/>
          </reference>
        </references>
      </pivotArea>
    </chartFormat>
    <chartFormat chart="20" format="8">
      <pivotArea type="data" outline="0" fieldPosition="0">
        <references count="2">
          <reference field="4294967294" count="1" selected="0">
            <x v="1"/>
          </reference>
          <reference field="5" count="1" selected="0">
            <x v="3"/>
          </reference>
        </references>
      </pivotArea>
    </chartFormat>
    <chartFormat chart="20" format="9">
      <pivotArea type="data" outline="0" fieldPosition="0">
        <references count="2">
          <reference field="4294967294" count="1" selected="0">
            <x v="1"/>
          </reference>
          <reference field="5" count="1" selected="0">
            <x v="2"/>
          </reference>
        </references>
      </pivotArea>
    </chartFormat>
    <chartFormat chart="20" format="10">
      <pivotArea type="data" outline="0" fieldPosition="0">
        <references count="2">
          <reference field="4294967294" count="1" selected="0">
            <x v="1"/>
          </reference>
          <reference field="5" count="1" selected="0">
            <x v="1"/>
          </reference>
        </references>
      </pivotArea>
    </chartFormat>
    <chartFormat chart="20" format="11">
      <pivotArea type="data" outline="0" fieldPosition="0">
        <references count="2">
          <reference field="4294967294" count="1" selected="0">
            <x v="1"/>
          </reference>
          <reference field="5" count="1" selected="0">
            <x v="0"/>
          </reference>
        </references>
      </pivotArea>
    </chartFormat>
    <chartFormat chart="39" format="24" series="1">
      <pivotArea type="data" outline="0" fieldPosition="0">
        <references count="1">
          <reference field="4294967294" count="1" selected="0">
            <x v="0"/>
          </reference>
        </references>
      </pivotArea>
    </chartFormat>
    <chartFormat chart="39" format="25">
      <pivotArea type="data" outline="0" fieldPosition="0">
        <references count="2">
          <reference field="4294967294" count="1" selected="0">
            <x v="0"/>
          </reference>
          <reference field="5" count="1" selected="0">
            <x v="0"/>
          </reference>
        </references>
      </pivotArea>
    </chartFormat>
    <chartFormat chart="39" format="26">
      <pivotArea type="data" outline="0" fieldPosition="0">
        <references count="2">
          <reference field="4294967294" count="1" selected="0">
            <x v="0"/>
          </reference>
          <reference field="5" count="1" selected="0">
            <x v="1"/>
          </reference>
        </references>
      </pivotArea>
    </chartFormat>
    <chartFormat chart="39" format="27">
      <pivotArea type="data" outline="0" fieldPosition="0">
        <references count="2">
          <reference field="4294967294" count="1" selected="0">
            <x v="0"/>
          </reference>
          <reference field="5" count="1" selected="0">
            <x v="2"/>
          </reference>
        </references>
      </pivotArea>
    </chartFormat>
    <chartFormat chart="39" format="28">
      <pivotArea type="data" outline="0" fieldPosition="0">
        <references count="2">
          <reference field="4294967294" count="1" selected="0">
            <x v="0"/>
          </reference>
          <reference field="5" count="1" selected="0">
            <x v="3"/>
          </reference>
        </references>
      </pivotArea>
    </chartFormat>
    <chartFormat chart="39" format="29">
      <pivotArea type="data" outline="0" fieldPosition="0">
        <references count="2">
          <reference field="4294967294" count="1" selected="0">
            <x v="0"/>
          </reference>
          <reference field="5" count="1" selected="0">
            <x v="4"/>
          </reference>
        </references>
      </pivotArea>
    </chartFormat>
    <chartFormat chart="39" format="30" series="1">
      <pivotArea type="data" outline="0" fieldPosition="0">
        <references count="1">
          <reference field="4294967294" count="1" selected="0">
            <x v="1"/>
          </reference>
        </references>
      </pivotArea>
    </chartFormat>
    <chartFormat chart="39" format="31">
      <pivotArea type="data" outline="0" fieldPosition="0">
        <references count="2">
          <reference field="4294967294" count="1" selected="0">
            <x v="1"/>
          </reference>
          <reference field="5" count="1" selected="0">
            <x v="0"/>
          </reference>
        </references>
      </pivotArea>
    </chartFormat>
    <chartFormat chart="39" format="32">
      <pivotArea type="data" outline="0" fieldPosition="0">
        <references count="2">
          <reference field="4294967294" count="1" selected="0">
            <x v="1"/>
          </reference>
          <reference field="5" count="1" selected="0">
            <x v="1"/>
          </reference>
        </references>
      </pivotArea>
    </chartFormat>
    <chartFormat chart="39" format="33">
      <pivotArea type="data" outline="0" fieldPosition="0">
        <references count="2">
          <reference field="4294967294" count="1" selected="0">
            <x v="1"/>
          </reference>
          <reference field="5" count="1" selected="0">
            <x v="2"/>
          </reference>
        </references>
      </pivotArea>
    </chartFormat>
    <chartFormat chart="39" format="34">
      <pivotArea type="data" outline="0" fieldPosition="0">
        <references count="2">
          <reference field="4294967294" count="1" selected="0">
            <x v="1"/>
          </reference>
          <reference field="5" count="1" selected="0">
            <x v="3"/>
          </reference>
        </references>
      </pivotArea>
    </chartFormat>
    <chartFormat chart="39" format="35">
      <pivotArea type="data" outline="0" fieldPosition="0">
        <references count="2">
          <reference field="4294967294" count="1" selected="0">
            <x v="1"/>
          </reference>
          <reference field="5" count="1" selected="0">
            <x v="4"/>
          </reference>
        </references>
      </pivotArea>
    </chartFormat>
    <chartFormat chart="42" format="48" series="1">
      <pivotArea type="data" outline="0" fieldPosition="0">
        <references count="1">
          <reference field="4294967294" count="1" selected="0">
            <x v="0"/>
          </reference>
        </references>
      </pivotArea>
    </chartFormat>
    <chartFormat chart="42" format="49">
      <pivotArea type="data" outline="0" fieldPosition="0">
        <references count="2">
          <reference field="4294967294" count="1" selected="0">
            <x v="0"/>
          </reference>
          <reference field="5" count="1" selected="0">
            <x v="0"/>
          </reference>
        </references>
      </pivotArea>
    </chartFormat>
    <chartFormat chart="42" format="50">
      <pivotArea type="data" outline="0" fieldPosition="0">
        <references count="2">
          <reference field="4294967294" count="1" selected="0">
            <x v="0"/>
          </reference>
          <reference field="5" count="1" selected="0">
            <x v="1"/>
          </reference>
        </references>
      </pivotArea>
    </chartFormat>
    <chartFormat chart="42" format="51">
      <pivotArea type="data" outline="0" fieldPosition="0">
        <references count="2">
          <reference field="4294967294" count="1" selected="0">
            <x v="0"/>
          </reference>
          <reference field="5" count="1" selected="0">
            <x v="2"/>
          </reference>
        </references>
      </pivotArea>
    </chartFormat>
    <chartFormat chart="42" format="52">
      <pivotArea type="data" outline="0" fieldPosition="0">
        <references count="2">
          <reference field="4294967294" count="1" selected="0">
            <x v="0"/>
          </reference>
          <reference field="5" count="1" selected="0">
            <x v="3"/>
          </reference>
        </references>
      </pivotArea>
    </chartFormat>
    <chartFormat chart="42" format="53">
      <pivotArea type="data" outline="0" fieldPosition="0">
        <references count="2">
          <reference field="4294967294" count="1" selected="0">
            <x v="0"/>
          </reference>
          <reference field="5" count="1" selected="0">
            <x v="4"/>
          </reference>
        </references>
      </pivotArea>
    </chartFormat>
    <chartFormat chart="42" format="54" series="1">
      <pivotArea type="data" outline="0" fieldPosition="0">
        <references count="1">
          <reference field="4294967294" count="1" selected="0">
            <x v="1"/>
          </reference>
        </references>
      </pivotArea>
    </chartFormat>
    <chartFormat chart="42" format="55">
      <pivotArea type="data" outline="0" fieldPosition="0">
        <references count="2">
          <reference field="4294967294" count="1" selected="0">
            <x v="1"/>
          </reference>
          <reference field="5" count="1" selected="0">
            <x v="0"/>
          </reference>
        </references>
      </pivotArea>
    </chartFormat>
    <chartFormat chart="42" format="56">
      <pivotArea type="data" outline="0" fieldPosition="0">
        <references count="2">
          <reference field="4294967294" count="1" selected="0">
            <x v="1"/>
          </reference>
          <reference field="5" count="1" selected="0">
            <x v="1"/>
          </reference>
        </references>
      </pivotArea>
    </chartFormat>
    <chartFormat chart="42" format="57">
      <pivotArea type="data" outline="0" fieldPosition="0">
        <references count="2">
          <reference field="4294967294" count="1" selected="0">
            <x v="1"/>
          </reference>
          <reference field="5" count="1" selected="0">
            <x v="2"/>
          </reference>
        </references>
      </pivotArea>
    </chartFormat>
    <chartFormat chart="42" format="58">
      <pivotArea type="data" outline="0" fieldPosition="0">
        <references count="2">
          <reference field="4294967294" count="1" selected="0">
            <x v="1"/>
          </reference>
          <reference field="5" count="1" selected="0">
            <x v="3"/>
          </reference>
        </references>
      </pivotArea>
    </chartFormat>
    <chartFormat chart="42" format="59">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85A619-39FD-4627-A870-E4B6ED3B44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3">
    <pivotField dataField="1"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showAll="0">
      <items count="11">
        <item x="1"/>
        <item x="0"/>
        <item x="3"/>
        <item x="2"/>
        <item x="6"/>
        <item x="4"/>
        <item x="7"/>
        <item x="5"/>
        <item x="8"/>
        <item m="1" x="9"/>
        <item t="default"/>
      </items>
    </pivotField>
    <pivotField showAll="0"/>
    <pivotField showAll="0"/>
    <pivotField showAll="0">
      <items count="6">
        <item x="3"/>
        <item x="0"/>
        <item x="2"/>
        <item x="1"/>
        <item m="1" x="4"/>
        <item t="default"/>
      </items>
    </pivotField>
    <pivotField showAll="0"/>
    <pivotField showAll="0"/>
    <pivotField showAll="0"/>
    <pivotField showAll="0"/>
    <pivotField showAll="0"/>
    <pivotField numFmtId="166" showAll="0"/>
    <pivotField showAll="0">
      <items count="13">
        <item x="2"/>
        <item x="9"/>
        <item x="6"/>
        <item x="1"/>
        <item x="0"/>
        <item x="3"/>
        <item x="10"/>
        <item x="5"/>
        <item x="7"/>
        <item x="8"/>
        <item x="4"/>
        <item x="11"/>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5C7D23-30E7-45EA-A734-1854CB29047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7:B19" firstHeaderRow="1" firstDataRow="1" firstDataCol="1"/>
  <pivotFields count="23">
    <pivotField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showAll="0">
      <items count="11">
        <item x="1"/>
        <item x="0"/>
        <item x="3"/>
        <item x="2"/>
        <item x="6"/>
        <item x="4"/>
        <item x="7"/>
        <item x="5"/>
        <item x="8"/>
        <item m="1" x="9"/>
        <item t="default"/>
      </items>
    </pivotField>
    <pivotField showAll="0"/>
    <pivotField showAll="0"/>
    <pivotField showAll="0">
      <items count="6">
        <item x="3"/>
        <item x="0"/>
        <item x="2"/>
        <item x="1"/>
        <item m="1" x="4"/>
        <item t="default"/>
      </items>
    </pivotField>
    <pivotField showAll="0"/>
    <pivotField showAll="0"/>
    <pivotField showAll="0"/>
    <pivotField dataField="1" showAll="0"/>
    <pivotField showAll="0"/>
    <pivotField numFmtId="166" showAll="0"/>
    <pivotField axis="axisRow" showAll="0">
      <items count="13">
        <item x="2"/>
        <item x="9"/>
        <item x="6"/>
        <item x="1"/>
        <item x="0"/>
        <item x="3"/>
        <item x="10"/>
        <item x="5"/>
        <item x="7"/>
        <item x="8"/>
        <item x="4"/>
        <item x="11"/>
        <item t="default"/>
      </items>
    </pivotField>
  </pivotFields>
  <rowFields count="1">
    <field x="22"/>
  </rowFields>
  <rowItems count="12">
    <i>
      <x/>
    </i>
    <i>
      <x v="1"/>
    </i>
    <i>
      <x v="2"/>
    </i>
    <i>
      <x v="3"/>
    </i>
    <i>
      <x v="4"/>
    </i>
    <i>
      <x v="5"/>
    </i>
    <i>
      <x v="6"/>
    </i>
    <i>
      <x v="7"/>
    </i>
    <i>
      <x v="8"/>
    </i>
    <i>
      <x v="9"/>
    </i>
    <i>
      <x v="10"/>
    </i>
    <i>
      <x v="11"/>
    </i>
  </rowItems>
  <colItems count="1">
    <i/>
  </colItems>
  <dataFields count="1">
    <dataField name="Sum of Net_Sale" fld="19" baseField="0" baseItem="0" numFmtId="1"/>
  </dataFields>
  <formats count="2">
    <format dxfId="3">
      <pivotArea collapsedLevelsAreSubtotals="1" fieldPosition="0">
        <references count="2">
          <reference field="4294967294" count="1" selected="0">
            <x v="0"/>
          </reference>
          <reference field="22" count="1">
            <x v="0"/>
          </reference>
        </references>
      </pivotArea>
    </format>
    <format dxfId="2">
      <pivotArea outline="0" fieldPosition="0">
        <references count="1">
          <reference field="4294967294" count="1">
            <x v="0"/>
          </reference>
        </references>
      </pivotArea>
    </format>
  </formats>
  <chartFormats count="39">
    <chartFormat chart="17" format="0"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22" count="1" selected="0">
            <x v="0"/>
          </reference>
        </references>
      </pivotArea>
    </chartFormat>
    <chartFormat chart="17" format="3">
      <pivotArea type="data" outline="0" fieldPosition="0">
        <references count="2">
          <reference field="4294967294" count="1" selected="0">
            <x v="0"/>
          </reference>
          <reference field="22" count="1" selected="0">
            <x v="1"/>
          </reference>
        </references>
      </pivotArea>
    </chartFormat>
    <chartFormat chart="17" format="4">
      <pivotArea type="data" outline="0" fieldPosition="0">
        <references count="2">
          <reference field="4294967294" count="1" selected="0">
            <x v="0"/>
          </reference>
          <reference field="22" count="1" selected="0">
            <x v="2"/>
          </reference>
        </references>
      </pivotArea>
    </chartFormat>
    <chartFormat chart="17" format="5">
      <pivotArea type="data" outline="0" fieldPosition="0">
        <references count="2">
          <reference field="4294967294" count="1" selected="0">
            <x v="0"/>
          </reference>
          <reference field="22" count="1" selected="0">
            <x v="3"/>
          </reference>
        </references>
      </pivotArea>
    </chartFormat>
    <chartFormat chart="17" format="6">
      <pivotArea type="data" outline="0" fieldPosition="0">
        <references count="2">
          <reference field="4294967294" count="1" selected="0">
            <x v="0"/>
          </reference>
          <reference field="22" count="1" selected="0">
            <x v="4"/>
          </reference>
        </references>
      </pivotArea>
    </chartFormat>
    <chartFormat chart="17" format="7">
      <pivotArea type="data" outline="0" fieldPosition="0">
        <references count="2">
          <reference field="4294967294" count="1" selected="0">
            <x v="0"/>
          </reference>
          <reference field="22" count="1" selected="0">
            <x v="5"/>
          </reference>
        </references>
      </pivotArea>
    </chartFormat>
    <chartFormat chart="17" format="8">
      <pivotArea type="data" outline="0" fieldPosition="0">
        <references count="2">
          <reference field="4294967294" count="1" selected="0">
            <x v="0"/>
          </reference>
          <reference field="22" count="1" selected="0">
            <x v="6"/>
          </reference>
        </references>
      </pivotArea>
    </chartFormat>
    <chartFormat chart="17" format="9">
      <pivotArea type="data" outline="0" fieldPosition="0">
        <references count="2">
          <reference field="4294967294" count="1" selected="0">
            <x v="0"/>
          </reference>
          <reference field="22" count="1" selected="0">
            <x v="7"/>
          </reference>
        </references>
      </pivotArea>
    </chartFormat>
    <chartFormat chart="17" format="10">
      <pivotArea type="data" outline="0" fieldPosition="0">
        <references count="2">
          <reference field="4294967294" count="1" selected="0">
            <x v="0"/>
          </reference>
          <reference field="22" count="1" selected="0">
            <x v="8"/>
          </reference>
        </references>
      </pivotArea>
    </chartFormat>
    <chartFormat chart="17" format="11">
      <pivotArea type="data" outline="0" fieldPosition="0">
        <references count="2">
          <reference field="4294967294" count="1" selected="0">
            <x v="0"/>
          </reference>
          <reference field="22" count="1" selected="0">
            <x v="9"/>
          </reference>
        </references>
      </pivotArea>
    </chartFormat>
    <chartFormat chart="17" format="12">
      <pivotArea type="data" outline="0" fieldPosition="0">
        <references count="2">
          <reference field="4294967294" count="1" selected="0">
            <x v="0"/>
          </reference>
          <reference field="22" count="1" selected="0">
            <x v="10"/>
          </reference>
        </references>
      </pivotArea>
    </chartFormat>
    <chartFormat chart="17" format="13">
      <pivotArea type="data" outline="0" fieldPosition="0">
        <references count="2">
          <reference field="4294967294" count="1" selected="0">
            <x v="0"/>
          </reference>
          <reference field="22" count="1" selected="0">
            <x v="11"/>
          </reference>
        </references>
      </pivotArea>
    </chartFormat>
    <chartFormat chart="29" format="27" series="1">
      <pivotArea type="data" outline="0" fieldPosition="0">
        <references count="1">
          <reference field="4294967294" count="1" selected="0">
            <x v="0"/>
          </reference>
        </references>
      </pivotArea>
    </chartFormat>
    <chartFormat chart="29" format="28">
      <pivotArea type="data" outline="0" fieldPosition="0">
        <references count="2">
          <reference field="4294967294" count="1" selected="0">
            <x v="0"/>
          </reference>
          <reference field="22" count="1" selected="0">
            <x v="0"/>
          </reference>
        </references>
      </pivotArea>
    </chartFormat>
    <chartFormat chart="29" format="29">
      <pivotArea type="data" outline="0" fieldPosition="0">
        <references count="2">
          <reference field="4294967294" count="1" selected="0">
            <x v="0"/>
          </reference>
          <reference field="22" count="1" selected="0">
            <x v="1"/>
          </reference>
        </references>
      </pivotArea>
    </chartFormat>
    <chartFormat chart="29" format="30">
      <pivotArea type="data" outline="0" fieldPosition="0">
        <references count="2">
          <reference field="4294967294" count="1" selected="0">
            <x v="0"/>
          </reference>
          <reference field="22" count="1" selected="0">
            <x v="2"/>
          </reference>
        </references>
      </pivotArea>
    </chartFormat>
    <chartFormat chart="29" format="31">
      <pivotArea type="data" outline="0" fieldPosition="0">
        <references count="2">
          <reference field="4294967294" count="1" selected="0">
            <x v="0"/>
          </reference>
          <reference field="22" count="1" selected="0">
            <x v="3"/>
          </reference>
        </references>
      </pivotArea>
    </chartFormat>
    <chartFormat chart="29" format="32">
      <pivotArea type="data" outline="0" fieldPosition="0">
        <references count="2">
          <reference field="4294967294" count="1" selected="0">
            <x v="0"/>
          </reference>
          <reference field="22" count="1" selected="0">
            <x v="4"/>
          </reference>
        </references>
      </pivotArea>
    </chartFormat>
    <chartFormat chart="29" format="33">
      <pivotArea type="data" outline="0" fieldPosition="0">
        <references count="2">
          <reference field="4294967294" count="1" selected="0">
            <x v="0"/>
          </reference>
          <reference field="22" count="1" selected="0">
            <x v="5"/>
          </reference>
        </references>
      </pivotArea>
    </chartFormat>
    <chartFormat chart="29" format="34">
      <pivotArea type="data" outline="0" fieldPosition="0">
        <references count="2">
          <reference field="4294967294" count="1" selected="0">
            <x v="0"/>
          </reference>
          <reference field="22" count="1" selected="0">
            <x v="6"/>
          </reference>
        </references>
      </pivotArea>
    </chartFormat>
    <chartFormat chart="29" format="35">
      <pivotArea type="data" outline="0" fieldPosition="0">
        <references count="2">
          <reference field="4294967294" count="1" selected="0">
            <x v="0"/>
          </reference>
          <reference field="22" count="1" selected="0">
            <x v="7"/>
          </reference>
        </references>
      </pivotArea>
    </chartFormat>
    <chartFormat chart="29" format="36">
      <pivotArea type="data" outline="0" fieldPosition="0">
        <references count="2">
          <reference field="4294967294" count="1" selected="0">
            <x v="0"/>
          </reference>
          <reference field="22" count="1" selected="0">
            <x v="8"/>
          </reference>
        </references>
      </pivotArea>
    </chartFormat>
    <chartFormat chart="29" format="37">
      <pivotArea type="data" outline="0" fieldPosition="0">
        <references count="2">
          <reference field="4294967294" count="1" selected="0">
            <x v="0"/>
          </reference>
          <reference field="22" count="1" selected="0">
            <x v="9"/>
          </reference>
        </references>
      </pivotArea>
    </chartFormat>
    <chartFormat chart="29" format="38">
      <pivotArea type="data" outline="0" fieldPosition="0">
        <references count="2">
          <reference field="4294967294" count="1" selected="0">
            <x v="0"/>
          </reference>
          <reference field="22" count="1" selected="0">
            <x v="10"/>
          </reference>
        </references>
      </pivotArea>
    </chartFormat>
    <chartFormat chart="29" format="39">
      <pivotArea type="data" outline="0" fieldPosition="0">
        <references count="2">
          <reference field="4294967294" count="1" selected="0">
            <x v="0"/>
          </reference>
          <reference field="22" count="1" selected="0">
            <x v="11"/>
          </reference>
        </references>
      </pivotArea>
    </chartFormat>
    <chartFormat chart="33" format="53" series="1">
      <pivotArea type="data" outline="0" fieldPosition="0">
        <references count="1">
          <reference field="4294967294" count="1" selected="0">
            <x v="0"/>
          </reference>
        </references>
      </pivotArea>
    </chartFormat>
    <chartFormat chart="33" format="54">
      <pivotArea type="data" outline="0" fieldPosition="0">
        <references count="2">
          <reference field="4294967294" count="1" selected="0">
            <x v="0"/>
          </reference>
          <reference field="22" count="1" selected="0">
            <x v="0"/>
          </reference>
        </references>
      </pivotArea>
    </chartFormat>
    <chartFormat chart="33" format="55">
      <pivotArea type="data" outline="0" fieldPosition="0">
        <references count="2">
          <reference field="4294967294" count="1" selected="0">
            <x v="0"/>
          </reference>
          <reference field="22" count="1" selected="0">
            <x v="1"/>
          </reference>
        </references>
      </pivotArea>
    </chartFormat>
    <chartFormat chart="33" format="56">
      <pivotArea type="data" outline="0" fieldPosition="0">
        <references count="2">
          <reference field="4294967294" count="1" selected="0">
            <x v="0"/>
          </reference>
          <reference field="22" count="1" selected="0">
            <x v="2"/>
          </reference>
        </references>
      </pivotArea>
    </chartFormat>
    <chartFormat chart="33" format="57">
      <pivotArea type="data" outline="0" fieldPosition="0">
        <references count="2">
          <reference field="4294967294" count="1" selected="0">
            <x v="0"/>
          </reference>
          <reference field="22" count="1" selected="0">
            <x v="3"/>
          </reference>
        </references>
      </pivotArea>
    </chartFormat>
    <chartFormat chart="33" format="58">
      <pivotArea type="data" outline="0" fieldPosition="0">
        <references count="2">
          <reference field="4294967294" count="1" selected="0">
            <x v="0"/>
          </reference>
          <reference field="22" count="1" selected="0">
            <x v="4"/>
          </reference>
        </references>
      </pivotArea>
    </chartFormat>
    <chartFormat chart="33" format="59">
      <pivotArea type="data" outline="0" fieldPosition="0">
        <references count="2">
          <reference field="4294967294" count="1" selected="0">
            <x v="0"/>
          </reference>
          <reference field="22" count="1" selected="0">
            <x v="5"/>
          </reference>
        </references>
      </pivotArea>
    </chartFormat>
    <chartFormat chart="33" format="60">
      <pivotArea type="data" outline="0" fieldPosition="0">
        <references count="2">
          <reference field="4294967294" count="1" selected="0">
            <x v="0"/>
          </reference>
          <reference field="22" count="1" selected="0">
            <x v="6"/>
          </reference>
        </references>
      </pivotArea>
    </chartFormat>
    <chartFormat chart="33" format="61">
      <pivotArea type="data" outline="0" fieldPosition="0">
        <references count="2">
          <reference field="4294967294" count="1" selected="0">
            <x v="0"/>
          </reference>
          <reference field="22" count="1" selected="0">
            <x v="7"/>
          </reference>
        </references>
      </pivotArea>
    </chartFormat>
    <chartFormat chart="33" format="62">
      <pivotArea type="data" outline="0" fieldPosition="0">
        <references count="2">
          <reference field="4294967294" count="1" selected="0">
            <x v="0"/>
          </reference>
          <reference field="22" count="1" selected="0">
            <x v="8"/>
          </reference>
        </references>
      </pivotArea>
    </chartFormat>
    <chartFormat chart="33" format="63">
      <pivotArea type="data" outline="0" fieldPosition="0">
        <references count="2">
          <reference field="4294967294" count="1" selected="0">
            <x v="0"/>
          </reference>
          <reference field="22" count="1" selected="0">
            <x v="9"/>
          </reference>
        </references>
      </pivotArea>
    </chartFormat>
    <chartFormat chart="33" format="64">
      <pivotArea type="data" outline="0" fieldPosition="0">
        <references count="2">
          <reference field="4294967294" count="1" selected="0">
            <x v="0"/>
          </reference>
          <reference field="22" count="1" selected="0">
            <x v="10"/>
          </reference>
        </references>
      </pivotArea>
    </chartFormat>
    <chartFormat chart="33" format="65">
      <pivotArea type="data" outline="0" fieldPosition="0">
        <references count="2">
          <reference field="4294967294" count="1" selected="0">
            <x v="0"/>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C3A57F-73FB-4BAD-9BB1-FD732022971C}"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4">
  <location ref="A36:B45" firstHeaderRow="1" firstDataRow="1" firstDataCol="1"/>
  <pivotFields count="23">
    <pivotField showAll="0"/>
    <pivotField showAll="0"/>
    <pivotField numFmtId="14" showAll="0"/>
    <pivotField showAll="0"/>
    <pivotField showAll="0"/>
    <pivotField showAll="0">
      <items count="7">
        <item x="1"/>
        <item x="4"/>
        <item x="3"/>
        <item x="2"/>
        <item x="0"/>
        <item m="1" x="5"/>
        <item t="default"/>
      </items>
    </pivotField>
    <pivotField showAll="0"/>
    <pivotField showAll="0"/>
    <pivotField showAll="0"/>
    <pivotField showAll="0"/>
    <pivotField showAll="0"/>
    <pivotField showAll="0"/>
    <pivotField axis="axisRow" showAll="0">
      <items count="11">
        <item x="1"/>
        <item x="0"/>
        <item x="3"/>
        <item x="2"/>
        <item x="6"/>
        <item x="4"/>
        <item x="7"/>
        <item x="5"/>
        <item x="8"/>
        <item m="1" x="9"/>
        <item t="default"/>
      </items>
    </pivotField>
    <pivotField showAll="0"/>
    <pivotField showAll="0"/>
    <pivotField showAll="0">
      <items count="6">
        <item x="3"/>
        <item x="0"/>
        <item x="2"/>
        <item x="1"/>
        <item m="1" x="4"/>
        <item t="default"/>
      </items>
    </pivotField>
    <pivotField showAll="0"/>
    <pivotField showAll="0"/>
    <pivotField showAll="0"/>
    <pivotField dataField="1" showAll="0"/>
    <pivotField showAll="0"/>
    <pivotField numFmtId="166" showAll="0"/>
    <pivotField showAll="0">
      <items count="13">
        <item x="2"/>
        <item x="9"/>
        <item x="6"/>
        <item x="1"/>
        <item x="0"/>
        <item x="3"/>
        <item x="10"/>
        <item x="5"/>
        <item x="7"/>
        <item x="8"/>
        <item x="4"/>
        <item x="11"/>
        <item t="default"/>
      </items>
    </pivotField>
  </pivotFields>
  <rowFields count="1">
    <field x="12"/>
  </rowFields>
  <rowItems count="9">
    <i>
      <x/>
    </i>
    <i>
      <x v="1"/>
    </i>
    <i>
      <x v="2"/>
    </i>
    <i>
      <x v="3"/>
    </i>
    <i>
      <x v="4"/>
    </i>
    <i>
      <x v="5"/>
    </i>
    <i>
      <x v="6"/>
    </i>
    <i>
      <x v="7"/>
    </i>
    <i>
      <x v="8"/>
    </i>
  </rowItems>
  <colItems count="1">
    <i/>
  </colItems>
  <dataFields count="1">
    <dataField name="Sum of Net_Sale" fld="19" baseField="0" baseItem="0" numFmtId="1"/>
  </dataFields>
  <formats count="1">
    <format dxfId="4">
      <pivotArea outline="0" collapsedLevelsAreSubtotals="1" fieldPosition="0"/>
    </format>
  </formats>
  <chartFormats count="1">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DA1325-1C99-4522-88E1-DC23DAD99A71}" autoFormatId="16" applyNumberFormats="0" applyBorderFormats="0" applyFontFormats="0" applyPatternFormats="0" applyAlignmentFormats="0" applyWidthHeightFormats="0">
  <queryTableRefresh nextId="24" unboundColumnsRight="6">
    <queryTableFields count="23">
      <queryTableField id="1" name="Order_ID" tableColumnId="1"/>
      <queryTableField id="2" name="Customer_ID" tableColumnId="2"/>
      <queryTableField id="3" name="Order_Date" tableColumnId="3"/>
      <queryTableField id="4" name="Product_ID" tableColumnId="4"/>
      <queryTableField id="5" name="Product_Name" tableColumnId="5"/>
      <queryTableField id="6" name="Category" tableColumnId="6"/>
      <queryTableField id="7" name="Sub_Category" tableColumnId="7"/>
      <queryTableField id="8" name="Quantity" tableColumnId="8"/>
      <queryTableField id="9" name="Unit_Price" tableColumnId="9"/>
      <queryTableField id="10" name="Discount_%" tableColumnId="10"/>
      <queryTableField id="11" name="Shipping_Cost" tableColumnId="11"/>
      <queryTableField id="12" name="City" tableColumnId="12"/>
      <queryTableField id="13" name="State" tableColumnId="13"/>
      <queryTableField id="14" name="Sales_Channel" tableColumnId="14"/>
      <queryTableField id="15" name="Payment_Method" tableColumnId="15"/>
      <queryTableField id="16" name="Order_Status" tableColumnId="16"/>
      <queryTableField id="17" name="Customer_Rating"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610378-2A0D-44A0-B254-903CC489DE24}" sourceName="Category">
  <pivotTables>
    <pivotTable tabId="5" name="PivotTable1"/>
    <pivotTable tabId="5" name="PivotTable2"/>
    <pivotTable tabId="5" name="PivotTable3"/>
    <pivotTable tabId="5" name="PivotTable6"/>
    <pivotTable tabId="5" name="PivotTable4"/>
    <pivotTable tabId="5" name="PivotTable8"/>
    <pivotTable tabId="5" name="PivotTable10"/>
    <pivotTable tabId="5" name="PivotTable12"/>
  </pivotTables>
  <data>
    <tabular pivotCacheId="461427643">
      <items count="6">
        <i x="1" s="1"/>
        <i x="4" s="1"/>
        <i x="3" s="1"/>
        <i x="2"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77F0640-52E6-474E-AB48-34263C10855F}" sourceName="State">
  <pivotTables>
    <pivotTable tabId="5" name="PivotTable1"/>
    <pivotTable tabId="5" name="PivotTable2"/>
    <pivotTable tabId="5" name="PivotTable3"/>
    <pivotTable tabId="5" name="PivotTable6"/>
    <pivotTable tabId="5" name="PivotTable4"/>
    <pivotTable tabId="5" name="PivotTable8"/>
    <pivotTable tabId="5" name="PivotTable10"/>
    <pivotTable tabId="5" name="PivotTable12"/>
  </pivotTables>
  <data>
    <tabular pivotCacheId="461427643">
      <items count="10">
        <i x="1" s="1"/>
        <i x="0" s="1"/>
        <i x="3" s="1"/>
        <i x="2" s="1"/>
        <i x="6" s="1"/>
        <i x="4" s="1"/>
        <i x="7" s="1"/>
        <i x="5" s="1"/>
        <i x="8" s="1"/>
        <i x="9"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8655A6FB-3379-4FFC-B24F-D1676752B9E4}" sourceName="Order_Status">
  <pivotTables>
    <pivotTable tabId="5" name="PivotTable1"/>
    <pivotTable tabId="5" name="PivotTable2"/>
    <pivotTable tabId="5" name="PivotTable3"/>
    <pivotTable tabId="5" name="PivotTable4"/>
    <pivotTable tabId="5" name="PivotTable6"/>
    <pivotTable tabId="5" name="PivotTable8"/>
    <pivotTable tabId="5" name="PivotTable10"/>
    <pivotTable tabId="5" name="PivotTable12"/>
  </pivotTables>
  <data>
    <tabular pivotCacheId="461427643">
      <items count="5">
        <i x="3" s="1"/>
        <i x="0" s="1"/>
        <i x="2" s="1"/>
        <i x="1" s="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387CB01-78C0-4CBA-8226-79775B605787}" sourceName="Month">
  <pivotTables>
    <pivotTable tabId="5" name="PivotTable1"/>
    <pivotTable tabId="5" name="PivotTable2"/>
    <pivotTable tabId="5" name="PivotTable3"/>
    <pivotTable tabId="5" name="PivotTable6"/>
    <pivotTable tabId="5" name="PivotTable4"/>
    <pivotTable tabId="5" name="PivotTable8"/>
    <pivotTable tabId="5" name="PivotTable10"/>
    <pivotTable tabId="5" name="PivotTable12"/>
  </pivotTables>
  <data>
    <tabular pivotCacheId="461427643">
      <items count="12">
        <i x="2" s="1"/>
        <i x="9" s="1"/>
        <i x="6" s="1"/>
        <i x="1" s="1"/>
        <i x="0" s="1"/>
        <i x="3" s="1"/>
        <i x="10" s="1"/>
        <i x="5" s="1"/>
        <i x="7" s="1"/>
        <i x="8" s="1"/>
        <i x="4"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403911C-00E0-42B1-946B-878C84B8CC40}" cache="Slicer_Category" caption="Category" style="My Dark Theme " rowHeight="241300"/>
  <slicer name="State 2" xr10:uid="{1BFCE949-F7BD-4106-8F3C-07DF5211A416}" cache="Slicer_State" caption="State" style="My Dark Theme " rowHeight="241300"/>
  <slicer name="Order_Status 2" xr10:uid="{DCB4F750-7972-4A32-BFA0-B2505CA6FAB5}" cache="Slicer_Order_Status" caption="Order_Status" style="My Dark Theme " rowHeight="241300"/>
  <slicer name="Month 2" xr10:uid="{AC004996-E862-47A5-BF82-2EFA82F918E4}" cache="Slicer_Month" caption="Month" columnCount="2" style="My Dark Theme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E975E79-3CF9-49FD-9833-3EBCBEDE9D8A}" cache="Slicer_Category" caption="Category" style="My Dark Theme " rowHeight="241300"/>
  <slicer name="State 1" xr10:uid="{A0DEF608-6A3D-49E9-B4A5-658C9BA84E89}" cache="Slicer_State" caption="State" style="My Dark Theme " rowHeight="241300"/>
  <slicer name="Order_Status 1" xr10:uid="{FAF43AFF-6848-4169-A42F-E99AB248FDBC}" cache="Slicer_Order_Status" caption="Order_Status" style="My Dark Theme " rowHeight="241300"/>
  <slicer name="Month 1" xr10:uid="{32724286-7D50-4CA0-9A0F-D6B25B1845D1}" cache="Slicer_Month" caption="Month" columnCount="2" style="My Dark Theme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597593-5BA7-4709-942F-6E337FD38906}" name="Table1_1" displayName="Table1_1" ref="A1:W1201" tableType="queryTable" totalsRowShown="0">
  <autoFilter ref="A1:W1201" xr:uid="{A4597593-5BA7-4709-942F-6E337FD38906}"/>
  <tableColumns count="23">
    <tableColumn id="1" xr3:uid="{CF1F47DE-D971-4241-9ACA-9DC43EE2D047}" uniqueName="1" name="Order_ID" queryTableFieldId="1" dataDxfId="22"/>
    <tableColumn id="2" xr3:uid="{A10EE003-D7BF-473B-A35A-4E5E529325F0}" uniqueName="2" name="Customer_ID" queryTableFieldId="2" dataDxfId="21"/>
    <tableColumn id="3" xr3:uid="{21D559F4-0358-418F-9B10-D67C4A98245B}" uniqueName="3" name="Order_Date" queryTableFieldId="3" dataDxfId="20"/>
    <tableColumn id="4" xr3:uid="{C9C7AB51-7A63-4A90-845B-734B931D9162}" uniqueName="4" name="Product_ID" queryTableFieldId="4" dataDxfId="19"/>
    <tableColumn id="5" xr3:uid="{7001C0DF-CFF2-40CF-9A19-F4FE053EDAD5}" uniqueName="5" name="Product_Name" queryTableFieldId="5" dataDxfId="18"/>
    <tableColumn id="6" xr3:uid="{DA755310-DE21-41DD-B322-EA9BE731AE3B}" uniqueName="6" name="Category" queryTableFieldId="6" dataDxfId="17"/>
    <tableColumn id="7" xr3:uid="{4809381C-FEBA-4F04-86DB-F7EFF5CBF23E}" uniqueName="7" name="Sub_Category" queryTableFieldId="7" dataDxfId="16"/>
    <tableColumn id="8" xr3:uid="{600BC11B-F86A-4A5E-A132-619482520016}" uniqueName="8" name="Quantity" queryTableFieldId="8"/>
    <tableColumn id="9" xr3:uid="{4BBEF9A5-DB96-44B0-987A-0CF6E0D866EF}" uniqueName="9" name="Unit_Price" queryTableFieldId="9"/>
    <tableColumn id="10" xr3:uid="{64C94517-B8F3-4CAE-9737-54449B7E1C4D}" uniqueName="10" name="Discount_%" queryTableFieldId="10"/>
    <tableColumn id="11" xr3:uid="{D0956193-B1BB-4EFE-BD13-3A009CF2F81C}" uniqueName="11" name="Shipping_Cost" queryTableFieldId="11"/>
    <tableColumn id="12" xr3:uid="{E3FF511E-0E0C-4AD8-A9DE-E74DD9205148}" uniqueName="12" name="City" queryTableFieldId="12" dataDxfId="15"/>
    <tableColumn id="13" xr3:uid="{C3152718-0698-467C-B44B-3556D6939506}" uniqueName="13" name="State" queryTableFieldId="13" dataDxfId="14"/>
    <tableColumn id="14" xr3:uid="{EC62B134-C888-4854-80DF-3481E35BDA62}" uniqueName="14" name="Sales_Channel" queryTableFieldId="14" dataDxfId="13"/>
    <tableColumn id="15" xr3:uid="{513E2FE7-81F6-406B-811D-A09D03B088F6}" uniqueName="15" name="Payment_Method" queryTableFieldId="15" dataDxfId="12"/>
    <tableColumn id="16" xr3:uid="{0E13E1FB-DCA3-4722-8009-2B48C48D1B61}" uniqueName="16" name="Order_Status" queryTableFieldId="16" dataDxfId="11"/>
    <tableColumn id="17" xr3:uid="{77D3FFF8-3E97-443F-958D-1842749ECD6F}" uniqueName="17" name="Customer_Rating" queryTableFieldId="17"/>
    <tableColumn id="18" xr3:uid="{E7D83A54-6D72-49A2-86CB-7DD023202706}" uniqueName="18" name="Gross_Sales" queryTableFieldId="18" dataDxfId="10">
      <calculatedColumnFormula>IFERROR(Table1_1[[#This Row],[Unit_Price]]*Table1_1[[#This Row],[Quantity]],"")</calculatedColumnFormula>
    </tableColumn>
    <tableColumn id="19" xr3:uid="{580836C1-A773-48CE-B2FE-AEE7FC804787}" uniqueName="19" name="Discount_amount" queryTableFieldId="19" dataDxfId="9">
      <calculatedColumnFormula>IFERROR(Table1_1[[#This Row],[Gross_Sales]]*Table1_1[[#This Row],[Discount_%]],"")</calculatedColumnFormula>
    </tableColumn>
    <tableColumn id="20" xr3:uid="{C1720061-2C46-4824-923F-9EB1D0A9DD4A}" uniqueName="20" name="Net_Sale" queryTableFieldId="20" dataDxfId="8">
      <calculatedColumnFormula>IFERROR(Table1_1[[#This Row],[Gross_Sales]]-Table1_1[[#This Row],[Discount_amount]]+Table1_1[[#This Row],[Shipping_Cost]],"")</calculatedColumnFormula>
    </tableColumn>
    <tableColumn id="21" xr3:uid="{D0D15225-6CF6-4BFF-83FC-C61D0E1DFFE5}" uniqueName="21" name="Profit" queryTableFieldId="21" dataDxfId="7">
      <calculatedColumnFormula>IFERROR(Table1_1[[#This Row],[Net_Sale]]-(Table1_1[[#This Row],[Gross_Sales]]*70%),"")</calculatedColumnFormula>
    </tableColumn>
    <tableColumn id="22" xr3:uid="{F6A41C28-A159-4EEE-8831-95BE5D48413E}" uniqueName="22" name="Profit_Margin" queryTableFieldId="22" dataDxfId="6" dataCellStyle="Percent">
      <calculatedColumnFormula>IFERROR(Table1_1[[#This Row],[Profit]]/Table1_1[[#This Row],[Net_Sale]],"")</calculatedColumnFormula>
    </tableColumn>
    <tableColumn id="23" xr3:uid="{54FD0BD1-1979-4571-8833-A1553E54A79B}" uniqueName="23" name="Month" queryTableFieldId="23" dataDxfId="5">
      <calculatedColumnFormula>TEXT(Table1_1[[#This Row],[Order_Date]],"mmm")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6D97-B0B0-421F-B976-8DECE839C79C}">
  <dimension ref="A1"/>
  <sheetViews>
    <sheetView showGridLines="0" workbookViewId="0">
      <selection activeCell="G21" sqref="G21"/>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213"/>
  <sheetViews>
    <sheetView zoomScaleNormal="100" workbookViewId="0">
      <pane ySplit="1" topLeftCell="A2" activePane="bottomLeft" state="frozen"/>
      <selection pane="bottomLeft"/>
    </sheetView>
  </sheetViews>
  <sheetFormatPr defaultRowHeight="15" x14ac:dyDescent="0.25"/>
  <cols>
    <col min="1" max="1" width="15" bestFit="1" customWidth="1"/>
    <col min="2" max="2" width="18.42578125" bestFit="1" customWidth="1"/>
    <col min="3" max="3" width="17.28515625" bestFit="1" customWidth="1"/>
    <col min="4" max="4" width="16.5703125" bestFit="1" customWidth="1"/>
    <col min="5" max="5" width="22.28515625" bestFit="1" customWidth="1"/>
    <col min="6" max="6" width="16.7109375" bestFit="1" customWidth="1"/>
    <col min="7" max="7" width="19.140625" bestFit="1" customWidth="1"/>
    <col min="8" max="8" width="14.5703125" bestFit="1" customWidth="1"/>
    <col min="9" max="9" width="16" bestFit="1" customWidth="1"/>
    <col min="10" max="10" width="17.28515625" bestFit="1" customWidth="1"/>
    <col min="11" max="11" width="19.28515625" bestFit="1" customWidth="1"/>
    <col min="12" max="12" width="12.85546875" bestFit="1" customWidth="1"/>
    <col min="13" max="13" width="14.5703125" bestFit="1" customWidth="1"/>
    <col min="14" max="14" width="19.5703125" bestFit="1" customWidth="1"/>
    <col min="15" max="15" width="22.85546875" bestFit="1" customWidth="1"/>
    <col min="16" max="16" width="18.5703125" bestFit="1" customWidth="1"/>
    <col min="17" max="17" width="22.28515625" bestFit="1" customWidth="1"/>
    <col min="18" max="18" width="17.7109375" bestFit="1" customWidth="1"/>
    <col min="19" max="19" width="22.85546875" bestFit="1" customWidth="1"/>
    <col min="20" max="20" width="15.85546875" bestFit="1" customWidth="1"/>
    <col min="21" max="21" width="11.7109375" bestFit="1" customWidth="1"/>
    <col min="22" max="22" width="22" bestFit="1" customWidth="1"/>
    <col min="23" max="23" width="12.7109375" bestFit="1" customWidth="1"/>
    <col min="24" max="24" width="17.85546875" customWidth="1"/>
    <col min="25" max="25" width="18.7109375" customWidth="1"/>
    <col min="26" max="26" width="17.42578125"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5" x14ac:dyDescent="0.25">
      <c r="A2" t="s">
        <v>23</v>
      </c>
      <c r="B2" t="s">
        <v>24</v>
      </c>
      <c r="C2" s="2">
        <v>45798.301388888889</v>
      </c>
      <c r="D2" t="s">
        <v>25</v>
      </c>
      <c r="E2" t="s">
        <v>26</v>
      </c>
      <c r="F2" t="s">
        <v>27</v>
      </c>
      <c r="G2" t="s">
        <v>28</v>
      </c>
      <c r="H2">
        <v>1</v>
      </c>
      <c r="I2" s="3">
        <v>249</v>
      </c>
      <c r="J2" s="4">
        <v>0.2</v>
      </c>
      <c r="K2" s="3">
        <v>0</v>
      </c>
      <c r="L2" t="s">
        <v>29</v>
      </c>
      <c r="M2" t="s">
        <v>30</v>
      </c>
      <c r="N2" t="s">
        <v>31</v>
      </c>
      <c r="O2" t="s">
        <v>32</v>
      </c>
      <c r="P2" t="s">
        <v>33</v>
      </c>
      <c r="Q2">
        <v>4</v>
      </c>
      <c r="R2" s="3">
        <f t="shared" ref="R2:R65" si="0">IFERROR(H2*I2,"")</f>
        <v>249</v>
      </c>
      <c r="S2" s="3">
        <f t="shared" ref="S2:S65" si="1">IFERROR(R2*J2,"")</f>
        <v>49.800000000000004</v>
      </c>
      <c r="T2" s="3">
        <f t="shared" ref="T2:T65" si="2">IFERROR(R2-S2+K2,"")</f>
        <v>199.2</v>
      </c>
      <c r="U2" s="3">
        <f t="shared" ref="U2:U65" si="3">IFERROR(T2-(R2*70%),"")</f>
        <v>24.900000000000006</v>
      </c>
      <c r="V2" s="4">
        <f t="shared" ref="V2:V65" si="4">IFERROR(U2/T2,"")</f>
        <v>0.12500000000000003</v>
      </c>
      <c r="W2" t="str">
        <f>IFERROR(TEXT(C2,"mmm"),"")</f>
        <v>May</v>
      </c>
      <c r="Y2" s="5" t="s">
        <v>1617</v>
      </c>
    </row>
    <row r="3" spans="1:25" x14ac:dyDescent="0.25">
      <c r="A3" t="s">
        <v>34</v>
      </c>
      <c r="B3" t="s">
        <v>24</v>
      </c>
      <c r="C3" s="2">
        <v>45777.693055555559</v>
      </c>
      <c r="D3" t="s">
        <v>35</v>
      </c>
      <c r="E3" t="s">
        <v>36</v>
      </c>
      <c r="F3" t="s">
        <v>37</v>
      </c>
      <c r="G3" t="s">
        <v>38</v>
      </c>
      <c r="H3">
        <v>1</v>
      </c>
      <c r="I3" s="3">
        <v>599</v>
      </c>
      <c r="J3" s="4">
        <v>0.15</v>
      </c>
      <c r="K3" s="3">
        <v>49</v>
      </c>
      <c r="L3" t="s">
        <v>39</v>
      </c>
      <c r="M3" t="s">
        <v>39</v>
      </c>
      <c r="N3" t="s">
        <v>40</v>
      </c>
      <c r="O3" t="s">
        <v>41</v>
      </c>
      <c r="P3" t="s">
        <v>33</v>
      </c>
      <c r="Q3">
        <v>4</v>
      </c>
      <c r="R3" s="3">
        <f t="shared" si="0"/>
        <v>599</v>
      </c>
      <c r="S3" s="3">
        <f t="shared" si="1"/>
        <v>89.85</v>
      </c>
      <c r="T3" s="3">
        <f t="shared" si="2"/>
        <v>558.15</v>
      </c>
      <c r="U3" s="3">
        <f t="shared" si="3"/>
        <v>138.85000000000002</v>
      </c>
      <c r="V3" s="4">
        <f t="shared" si="4"/>
        <v>0.2487682522619368</v>
      </c>
      <c r="W3" t="str">
        <f t="shared" ref="W3:W65" si="5">IFERROR(TEXT(C3,"mmm"),"")</f>
        <v>Apr</v>
      </c>
      <c r="Y3" t="s">
        <v>0</v>
      </c>
    </row>
    <row r="4" spans="1:25" x14ac:dyDescent="0.25">
      <c r="A4" t="s">
        <v>42</v>
      </c>
      <c r="B4" t="s">
        <v>43</v>
      </c>
      <c r="C4" s="2">
        <v>45661.238888888889</v>
      </c>
      <c r="D4" t="s">
        <v>44</v>
      </c>
      <c r="E4" t="s">
        <v>45</v>
      </c>
      <c r="F4" t="s">
        <v>46</v>
      </c>
      <c r="G4" t="s">
        <v>47</v>
      </c>
      <c r="H4">
        <v>3</v>
      </c>
      <c r="I4" s="3">
        <v>1199</v>
      </c>
      <c r="J4" s="4">
        <v>0.05</v>
      </c>
      <c r="K4" s="3">
        <v>59</v>
      </c>
      <c r="L4" t="s">
        <v>48</v>
      </c>
      <c r="M4" t="s">
        <v>49</v>
      </c>
      <c r="N4" t="s">
        <v>50</v>
      </c>
      <c r="O4" t="s">
        <v>51</v>
      </c>
      <c r="P4" t="s">
        <v>52</v>
      </c>
      <c r="Q4">
        <v>1</v>
      </c>
      <c r="R4" s="3">
        <f t="shared" si="0"/>
        <v>3597</v>
      </c>
      <c r="S4" s="3">
        <f t="shared" si="1"/>
        <v>179.85000000000002</v>
      </c>
      <c r="T4" s="3">
        <f t="shared" si="2"/>
        <v>3476.15</v>
      </c>
      <c r="U4" s="3">
        <f t="shared" si="3"/>
        <v>958.25000000000045</v>
      </c>
      <c r="V4" s="4">
        <f t="shared" si="4"/>
        <v>0.27566416869237531</v>
      </c>
      <c r="W4" t="str">
        <f t="shared" si="5"/>
        <v>Jan</v>
      </c>
      <c r="Y4" t="s">
        <v>1</v>
      </c>
    </row>
    <row r="5" spans="1:25" x14ac:dyDescent="0.25">
      <c r="A5" t="s">
        <v>53</v>
      </c>
      <c r="B5" t="s">
        <v>54</v>
      </c>
      <c r="C5" s="2">
        <v>45834.802777777782</v>
      </c>
      <c r="D5" t="s">
        <v>55</v>
      </c>
      <c r="E5" t="s">
        <v>56</v>
      </c>
      <c r="F5" t="s">
        <v>37</v>
      </c>
      <c r="G5" t="s">
        <v>38</v>
      </c>
      <c r="H5">
        <v>1</v>
      </c>
      <c r="I5" s="3">
        <v>2499</v>
      </c>
      <c r="J5" s="4">
        <v>0.2</v>
      </c>
      <c r="K5" s="3">
        <v>79</v>
      </c>
      <c r="L5" t="s">
        <v>57</v>
      </c>
      <c r="M5" t="s">
        <v>58</v>
      </c>
      <c r="N5" t="s">
        <v>31</v>
      </c>
      <c r="O5" t="s">
        <v>59</v>
      </c>
      <c r="P5" t="s">
        <v>33</v>
      </c>
      <c r="Q5">
        <v>1</v>
      </c>
      <c r="R5" s="3">
        <f t="shared" si="0"/>
        <v>2499</v>
      </c>
      <c r="S5" s="3">
        <f t="shared" si="1"/>
        <v>499.8</v>
      </c>
      <c r="T5" s="3">
        <f t="shared" si="2"/>
        <v>2078.1999999999998</v>
      </c>
      <c r="U5" s="3">
        <f t="shared" si="3"/>
        <v>328.89999999999986</v>
      </c>
      <c r="V5" s="4">
        <f t="shared" si="4"/>
        <v>0.15826195746318925</v>
      </c>
      <c r="W5" t="str">
        <f t="shared" si="5"/>
        <v>Jun</v>
      </c>
      <c r="Y5" t="s">
        <v>2</v>
      </c>
    </row>
    <row r="6" spans="1:25" x14ac:dyDescent="0.25">
      <c r="A6" t="s">
        <v>60</v>
      </c>
      <c r="B6" t="s">
        <v>61</v>
      </c>
      <c r="C6" s="2">
        <v>45974.48333333333</v>
      </c>
      <c r="D6" t="s">
        <v>62</v>
      </c>
      <c r="E6" t="s">
        <v>63</v>
      </c>
      <c r="F6" t="s">
        <v>46</v>
      </c>
      <c r="G6" t="s">
        <v>64</v>
      </c>
      <c r="H6">
        <v>3</v>
      </c>
      <c r="I6" s="3">
        <v>699</v>
      </c>
      <c r="J6" s="4">
        <v>0.2</v>
      </c>
      <c r="K6" s="3">
        <v>0</v>
      </c>
      <c r="L6" t="s">
        <v>48</v>
      </c>
      <c r="M6" t="s">
        <v>49</v>
      </c>
      <c r="N6" t="s">
        <v>50</v>
      </c>
      <c r="O6" t="s">
        <v>51</v>
      </c>
      <c r="P6" t="s">
        <v>33</v>
      </c>
      <c r="Q6">
        <v>1</v>
      </c>
      <c r="R6" s="3">
        <f t="shared" si="0"/>
        <v>2097</v>
      </c>
      <c r="S6" s="3">
        <f t="shared" si="1"/>
        <v>419.40000000000003</v>
      </c>
      <c r="T6" s="3">
        <f t="shared" si="2"/>
        <v>1677.6</v>
      </c>
      <c r="U6" s="3">
        <f t="shared" si="3"/>
        <v>209.70000000000005</v>
      </c>
      <c r="V6" s="4">
        <f t="shared" si="4"/>
        <v>0.12500000000000003</v>
      </c>
      <c r="W6" t="str">
        <f t="shared" si="5"/>
        <v>Nov</v>
      </c>
      <c r="Y6" t="s">
        <v>3</v>
      </c>
    </row>
    <row r="7" spans="1:25" x14ac:dyDescent="0.25">
      <c r="A7" t="s">
        <v>65</v>
      </c>
      <c r="B7" t="s">
        <v>66</v>
      </c>
      <c r="C7" s="2">
        <v>45890.870138888888</v>
      </c>
      <c r="D7" t="s">
        <v>67</v>
      </c>
      <c r="E7" t="s">
        <v>68</v>
      </c>
      <c r="F7" t="s">
        <v>37</v>
      </c>
      <c r="G7" t="s">
        <v>38</v>
      </c>
      <c r="H7">
        <v>1</v>
      </c>
      <c r="I7" s="3"/>
      <c r="J7" s="4">
        <v>0</v>
      </c>
      <c r="K7" s="3">
        <v>59</v>
      </c>
      <c r="L7" t="s">
        <v>29</v>
      </c>
      <c r="M7" t="s">
        <v>30</v>
      </c>
      <c r="N7" t="s">
        <v>50</v>
      </c>
      <c r="O7" t="s">
        <v>51</v>
      </c>
      <c r="P7" t="s">
        <v>33</v>
      </c>
      <c r="R7" s="3">
        <f t="shared" si="0"/>
        <v>0</v>
      </c>
      <c r="S7" s="3">
        <f t="shared" si="1"/>
        <v>0</v>
      </c>
      <c r="T7" s="3">
        <f t="shared" si="2"/>
        <v>59</v>
      </c>
      <c r="U7" s="3">
        <f t="shared" si="3"/>
        <v>59</v>
      </c>
      <c r="V7" s="4">
        <f t="shared" si="4"/>
        <v>1</v>
      </c>
      <c r="W7" t="str">
        <f t="shared" si="5"/>
        <v>Aug</v>
      </c>
      <c r="Y7" t="s">
        <v>4</v>
      </c>
    </row>
    <row r="8" spans="1:25" x14ac:dyDescent="0.25">
      <c r="A8" t="s">
        <v>69</v>
      </c>
      <c r="B8" t="s">
        <v>70</v>
      </c>
      <c r="C8" s="2">
        <v>45745.740277777782</v>
      </c>
      <c r="D8" t="s">
        <v>25</v>
      </c>
      <c r="E8" t="s">
        <v>26</v>
      </c>
      <c r="F8" t="s">
        <v>27</v>
      </c>
      <c r="G8" t="s">
        <v>28</v>
      </c>
      <c r="H8">
        <v>2</v>
      </c>
      <c r="I8" s="3">
        <v>249</v>
      </c>
      <c r="J8" s="4">
        <v>0</v>
      </c>
      <c r="K8" s="3">
        <v>79</v>
      </c>
      <c r="L8" t="s">
        <v>29</v>
      </c>
      <c r="M8" t="s">
        <v>30</v>
      </c>
      <c r="N8" t="s">
        <v>71</v>
      </c>
      <c r="O8" t="s">
        <v>32</v>
      </c>
      <c r="P8" t="s">
        <v>33</v>
      </c>
      <c r="Q8">
        <v>2</v>
      </c>
      <c r="R8" s="3">
        <f t="shared" si="0"/>
        <v>498</v>
      </c>
      <c r="S8" s="3">
        <f t="shared" si="1"/>
        <v>0</v>
      </c>
      <c r="T8" s="3">
        <f t="shared" si="2"/>
        <v>577</v>
      </c>
      <c r="U8" s="3">
        <f t="shared" si="3"/>
        <v>228.40000000000003</v>
      </c>
      <c r="V8" s="4">
        <f t="shared" si="4"/>
        <v>0.39584055459272105</v>
      </c>
      <c r="W8" t="str">
        <f t="shared" si="5"/>
        <v>Mar</v>
      </c>
      <c r="Y8" t="s">
        <v>5</v>
      </c>
    </row>
    <row r="9" spans="1:25" x14ac:dyDescent="0.25">
      <c r="A9" t="s">
        <v>72</v>
      </c>
      <c r="B9" t="s">
        <v>73</v>
      </c>
      <c r="C9" s="2">
        <v>45686.327777777777</v>
      </c>
      <c r="D9" t="s">
        <v>25</v>
      </c>
      <c r="E9" t="s">
        <v>26</v>
      </c>
      <c r="F9" t="s">
        <v>27</v>
      </c>
      <c r="G9" t="s">
        <v>28</v>
      </c>
      <c r="H9">
        <v>3</v>
      </c>
      <c r="I9" s="3">
        <v>249</v>
      </c>
      <c r="J9" s="4">
        <v>0.05</v>
      </c>
      <c r="K9" s="3">
        <v>79</v>
      </c>
      <c r="L9" t="s">
        <v>74</v>
      </c>
      <c r="M9" t="s">
        <v>49</v>
      </c>
      <c r="N9" t="s">
        <v>31</v>
      </c>
      <c r="O9" t="s">
        <v>41</v>
      </c>
      <c r="P9" t="s">
        <v>33</v>
      </c>
      <c r="Q9">
        <v>5</v>
      </c>
      <c r="R9" s="3">
        <f t="shared" si="0"/>
        <v>747</v>
      </c>
      <c r="S9" s="3">
        <f t="shared" si="1"/>
        <v>37.35</v>
      </c>
      <c r="T9" s="3">
        <f t="shared" si="2"/>
        <v>788.65</v>
      </c>
      <c r="U9" s="3">
        <f t="shared" si="3"/>
        <v>265.75</v>
      </c>
      <c r="V9" s="4">
        <f t="shared" si="4"/>
        <v>0.33696823686045774</v>
      </c>
      <c r="W9" t="str">
        <f t="shared" si="5"/>
        <v>Jan</v>
      </c>
      <c r="Y9" t="s">
        <v>6</v>
      </c>
    </row>
    <row r="10" spans="1:25" x14ac:dyDescent="0.25">
      <c r="A10" t="s">
        <v>75</v>
      </c>
      <c r="B10" t="s">
        <v>76</v>
      </c>
      <c r="C10" s="2">
        <v>45913.538888888892</v>
      </c>
      <c r="D10" t="s">
        <v>77</v>
      </c>
      <c r="E10" t="s">
        <v>78</v>
      </c>
      <c r="F10" t="s">
        <v>79</v>
      </c>
      <c r="G10" t="s">
        <v>28</v>
      </c>
      <c r="H10">
        <v>1</v>
      </c>
      <c r="I10" s="3">
        <v>6499</v>
      </c>
      <c r="J10" s="4">
        <v>0.1</v>
      </c>
      <c r="K10" s="3">
        <v>49</v>
      </c>
      <c r="L10" t="s">
        <v>74</v>
      </c>
      <c r="M10" t="s">
        <v>49</v>
      </c>
      <c r="N10" t="s">
        <v>50</v>
      </c>
      <c r="O10" t="s">
        <v>41</v>
      </c>
      <c r="P10" t="s">
        <v>80</v>
      </c>
      <c r="R10" s="3">
        <f t="shared" si="0"/>
        <v>6499</v>
      </c>
      <c r="S10" s="3">
        <f t="shared" si="1"/>
        <v>649.90000000000009</v>
      </c>
      <c r="T10" s="3">
        <f t="shared" si="2"/>
        <v>5898.1</v>
      </c>
      <c r="U10" s="3">
        <f t="shared" si="3"/>
        <v>1348.8000000000011</v>
      </c>
      <c r="V10" s="4">
        <f t="shared" si="4"/>
        <v>0.2286838134314442</v>
      </c>
      <c r="W10" t="str">
        <f t="shared" si="5"/>
        <v>Sep</v>
      </c>
      <c r="Y10" t="s">
        <v>7</v>
      </c>
    </row>
    <row r="11" spans="1:25" x14ac:dyDescent="0.25">
      <c r="A11" t="s">
        <v>81</v>
      </c>
      <c r="B11" t="s">
        <v>82</v>
      </c>
      <c r="C11" s="2">
        <v>45957.581250000003</v>
      </c>
      <c r="D11" t="s">
        <v>62</v>
      </c>
      <c r="E11" t="s">
        <v>63</v>
      </c>
      <c r="F11" t="s">
        <v>46</v>
      </c>
      <c r="G11" t="s">
        <v>64</v>
      </c>
      <c r="H11">
        <v>1</v>
      </c>
      <c r="I11" s="3">
        <v>699</v>
      </c>
      <c r="J11" s="4">
        <v>0.1</v>
      </c>
      <c r="K11" s="3">
        <v>59</v>
      </c>
      <c r="L11" t="s">
        <v>83</v>
      </c>
      <c r="M11" t="s">
        <v>84</v>
      </c>
      <c r="N11" t="s">
        <v>50</v>
      </c>
      <c r="O11" t="s">
        <v>32</v>
      </c>
      <c r="P11" t="s">
        <v>85</v>
      </c>
      <c r="Q11">
        <v>4</v>
      </c>
      <c r="R11" s="3">
        <f t="shared" si="0"/>
        <v>699</v>
      </c>
      <c r="S11" s="3">
        <f t="shared" si="1"/>
        <v>69.900000000000006</v>
      </c>
      <c r="T11" s="3">
        <f t="shared" si="2"/>
        <v>688.1</v>
      </c>
      <c r="U11" s="3">
        <f t="shared" si="3"/>
        <v>198.80000000000007</v>
      </c>
      <c r="V11" s="4">
        <f t="shared" si="4"/>
        <v>0.28891149542217709</v>
      </c>
      <c r="W11" t="str">
        <f t="shared" si="5"/>
        <v>Oct</v>
      </c>
      <c r="Y11" t="s">
        <v>8</v>
      </c>
    </row>
    <row r="12" spans="1:25" x14ac:dyDescent="0.25">
      <c r="A12" t="s">
        <v>86</v>
      </c>
      <c r="B12" t="s">
        <v>87</v>
      </c>
      <c r="C12" s="2">
        <v>45736.840277777781</v>
      </c>
      <c r="D12" t="s">
        <v>55</v>
      </c>
      <c r="E12" t="s">
        <v>56</v>
      </c>
      <c r="F12" t="s">
        <v>37</v>
      </c>
      <c r="G12" t="s">
        <v>38</v>
      </c>
      <c r="H12">
        <v>3</v>
      </c>
      <c r="I12" s="3">
        <v>2499</v>
      </c>
      <c r="J12" s="4">
        <v>0.1</v>
      </c>
      <c r="K12" s="3">
        <v>99</v>
      </c>
      <c r="L12" t="s">
        <v>39</v>
      </c>
      <c r="M12" t="s">
        <v>39</v>
      </c>
      <c r="N12" t="s">
        <v>40</v>
      </c>
      <c r="O12" t="s">
        <v>59</v>
      </c>
      <c r="P12" t="s">
        <v>80</v>
      </c>
      <c r="Q12">
        <v>5</v>
      </c>
      <c r="R12" s="3">
        <f t="shared" si="0"/>
        <v>7497</v>
      </c>
      <c r="S12" s="3">
        <f t="shared" si="1"/>
        <v>749.7</v>
      </c>
      <c r="T12" s="3">
        <f t="shared" si="2"/>
        <v>6846.3</v>
      </c>
      <c r="U12" s="3">
        <f t="shared" si="3"/>
        <v>1598.4000000000005</v>
      </c>
      <c r="V12" s="4">
        <f t="shared" si="4"/>
        <v>0.23346917313001189</v>
      </c>
      <c r="W12" t="str">
        <f t="shared" si="5"/>
        <v>Mar</v>
      </c>
      <c r="Y12" t="s">
        <v>9</v>
      </c>
    </row>
    <row r="13" spans="1:25" x14ac:dyDescent="0.25">
      <c r="A13" t="s">
        <v>88</v>
      </c>
      <c r="B13" t="s">
        <v>89</v>
      </c>
      <c r="C13" s="2">
        <v>45941.029861111107</v>
      </c>
      <c r="D13" t="s">
        <v>90</v>
      </c>
      <c r="E13" t="s">
        <v>91</v>
      </c>
      <c r="F13" t="s">
        <v>37</v>
      </c>
      <c r="G13" t="s">
        <v>92</v>
      </c>
      <c r="H13">
        <v>1</v>
      </c>
      <c r="I13" s="3">
        <v>3499</v>
      </c>
      <c r="J13" s="4">
        <v>0</v>
      </c>
      <c r="K13" s="3">
        <v>99</v>
      </c>
      <c r="L13" t="s">
        <v>83</v>
      </c>
      <c r="M13" t="s">
        <v>84</v>
      </c>
      <c r="N13" t="s">
        <v>71</v>
      </c>
      <c r="O13" t="s">
        <v>93</v>
      </c>
      <c r="P13" t="s">
        <v>80</v>
      </c>
      <c r="Q13">
        <v>3</v>
      </c>
      <c r="R13" s="3">
        <f t="shared" si="0"/>
        <v>3499</v>
      </c>
      <c r="S13" s="3">
        <f t="shared" si="1"/>
        <v>0</v>
      </c>
      <c r="T13" s="3">
        <f t="shared" si="2"/>
        <v>3598</v>
      </c>
      <c r="U13" s="3">
        <f t="shared" si="3"/>
        <v>1148.7000000000003</v>
      </c>
      <c r="V13" s="4">
        <f t="shared" si="4"/>
        <v>0.31926070038910515</v>
      </c>
      <c r="W13" t="str">
        <f t="shared" si="5"/>
        <v>Oct</v>
      </c>
      <c r="Y13" t="s">
        <v>10</v>
      </c>
    </row>
    <row r="14" spans="1:25" x14ac:dyDescent="0.25">
      <c r="A14" t="s">
        <v>94</v>
      </c>
      <c r="B14" t="s">
        <v>95</v>
      </c>
      <c r="C14" s="2">
        <v>45792.7</v>
      </c>
      <c r="D14" t="s">
        <v>96</v>
      </c>
      <c r="E14" t="s">
        <v>97</v>
      </c>
      <c r="F14" t="s">
        <v>98</v>
      </c>
      <c r="G14" t="s">
        <v>99</v>
      </c>
      <c r="H14">
        <v>2</v>
      </c>
      <c r="I14" s="3">
        <v>1499</v>
      </c>
      <c r="J14" s="4">
        <v>0.15</v>
      </c>
      <c r="K14" s="3">
        <v>0</v>
      </c>
      <c r="L14" t="s">
        <v>100</v>
      </c>
      <c r="M14" t="s">
        <v>101</v>
      </c>
      <c r="N14" t="s">
        <v>102</v>
      </c>
      <c r="O14" t="s">
        <v>32</v>
      </c>
      <c r="P14" t="s">
        <v>33</v>
      </c>
      <c r="Q14">
        <v>2</v>
      </c>
      <c r="R14" s="3">
        <f t="shared" si="0"/>
        <v>2998</v>
      </c>
      <c r="S14" s="3">
        <f t="shared" si="1"/>
        <v>449.7</v>
      </c>
      <c r="T14" s="3">
        <f t="shared" si="2"/>
        <v>2548.3000000000002</v>
      </c>
      <c r="U14" s="3">
        <f t="shared" si="3"/>
        <v>449.70000000000027</v>
      </c>
      <c r="V14" s="4">
        <f t="shared" si="4"/>
        <v>0.17647058823529421</v>
      </c>
      <c r="W14" t="str">
        <f t="shared" si="5"/>
        <v>May</v>
      </c>
      <c r="Y14" t="s">
        <v>11</v>
      </c>
    </row>
    <row r="15" spans="1:25" x14ac:dyDescent="0.25">
      <c r="A15" t="s">
        <v>103</v>
      </c>
      <c r="B15" t="s">
        <v>104</v>
      </c>
      <c r="C15" s="2">
        <v>45934.706944444442</v>
      </c>
      <c r="D15" t="s">
        <v>105</v>
      </c>
      <c r="E15" t="s">
        <v>106</v>
      </c>
      <c r="F15" t="s">
        <v>37</v>
      </c>
      <c r="G15" t="s">
        <v>107</v>
      </c>
      <c r="H15">
        <v>3</v>
      </c>
      <c r="I15" s="3">
        <v>1799</v>
      </c>
      <c r="J15" s="4">
        <v>0.15</v>
      </c>
      <c r="K15" s="3">
        <v>59</v>
      </c>
      <c r="L15" t="s">
        <v>74</v>
      </c>
      <c r="M15" t="s">
        <v>49</v>
      </c>
      <c r="N15" t="s">
        <v>31</v>
      </c>
      <c r="O15" t="s">
        <v>93</v>
      </c>
      <c r="P15" t="s">
        <v>33</v>
      </c>
      <c r="Q15">
        <v>3</v>
      </c>
      <c r="R15" s="3">
        <f t="shared" si="0"/>
        <v>5397</v>
      </c>
      <c r="S15" s="3">
        <f t="shared" si="1"/>
        <v>809.55</v>
      </c>
      <c r="T15" s="3">
        <f t="shared" si="2"/>
        <v>4646.45</v>
      </c>
      <c r="U15" s="3">
        <f t="shared" si="3"/>
        <v>868.55000000000018</v>
      </c>
      <c r="V15" s="4">
        <f t="shared" si="4"/>
        <v>0.18692765444586731</v>
      </c>
      <c r="W15" t="str">
        <f t="shared" si="5"/>
        <v>Oct</v>
      </c>
      <c r="Y15" t="s">
        <v>12</v>
      </c>
    </row>
    <row r="16" spans="1:25" x14ac:dyDescent="0.25">
      <c r="A16" t="s">
        <v>108</v>
      </c>
      <c r="B16" t="s">
        <v>109</v>
      </c>
      <c r="C16" s="2">
        <v>45948.086805555547</v>
      </c>
      <c r="D16" t="s">
        <v>110</v>
      </c>
      <c r="E16" t="s">
        <v>111</v>
      </c>
      <c r="F16" t="s">
        <v>98</v>
      </c>
      <c r="G16" t="s">
        <v>112</v>
      </c>
      <c r="H16">
        <v>1</v>
      </c>
      <c r="I16" s="3">
        <v>2999</v>
      </c>
      <c r="J16" s="4">
        <v>0.1</v>
      </c>
      <c r="K16" s="3">
        <v>0</v>
      </c>
      <c r="L16" t="s">
        <v>113</v>
      </c>
      <c r="M16" t="s">
        <v>114</v>
      </c>
      <c r="N16" t="s">
        <v>50</v>
      </c>
      <c r="O16" t="s">
        <v>41</v>
      </c>
      <c r="P16" t="s">
        <v>80</v>
      </c>
      <c r="R16" s="3">
        <f t="shared" si="0"/>
        <v>2999</v>
      </c>
      <c r="S16" s="3">
        <f t="shared" si="1"/>
        <v>299.90000000000003</v>
      </c>
      <c r="T16" s="3">
        <f t="shared" si="2"/>
        <v>2699.1</v>
      </c>
      <c r="U16" s="3">
        <f t="shared" si="3"/>
        <v>599.80000000000018</v>
      </c>
      <c r="V16" s="4">
        <f t="shared" si="4"/>
        <v>0.22222222222222229</v>
      </c>
      <c r="W16" t="str">
        <f t="shared" si="5"/>
        <v>Oct</v>
      </c>
      <c r="Y16" t="s">
        <v>13</v>
      </c>
    </row>
    <row r="17" spans="1:25" x14ac:dyDescent="0.25">
      <c r="A17" t="s">
        <v>115</v>
      </c>
      <c r="B17" t="s">
        <v>116</v>
      </c>
      <c r="C17" s="2">
        <v>45928.810416666667</v>
      </c>
      <c r="D17" t="s">
        <v>90</v>
      </c>
      <c r="E17" t="s">
        <v>91</v>
      </c>
      <c r="F17" t="s">
        <v>37</v>
      </c>
      <c r="G17" t="s">
        <v>92</v>
      </c>
      <c r="H17">
        <v>1</v>
      </c>
      <c r="I17" s="3">
        <v>3499</v>
      </c>
      <c r="J17" s="4">
        <v>0.15</v>
      </c>
      <c r="K17" s="3">
        <v>49</v>
      </c>
      <c r="L17" t="s">
        <v>83</v>
      </c>
      <c r="M17" t="s">
        <v>84</v>
      </c>
      <c r="N17" t="s">
        <v>40</v>
      </c>
      <c r="O17" t="s">
        <v>51</v>
      </c>
      <c r="P17" t="s">
        <v>33</v>
      </c>
      <c r="Q17">
        <v>4</v>
      </c>
      <c r="R17" s="3">
        <f t="shared" si="0"/>
        <v>3499</v>
      </c>
      <c r="S17" s="3">
        <f t="shared" si="1"/>
        <v>524.85</v>
      </c>
      <c r="T17" s="3">
        <f t="shared" si="2"/>
        <v>3023.15</v>
      </c>
      <c r="U17" s="3">
        <f t="shared" si="3"/>
        <v>573.85000000000036</v>
      </c>
      <c r="V17" s="4">
        <f t="shared" si="4"/>
        <v>0.18981856672675862</v>
      </c>
      <c r="W17" t="str">
        <f t="shared" si="5"/>
        <v>Sep</v>
      </c>
      <c r="Y17" t="s">
        <v>14</v>
      </c>
    </row>
    <row r="18" spans="1:25" x14ac:dyDescent="0.25">
      <c r="A18" t="s">
        <v>117</v>
      </c>
      <c r="B18" t="s">
        <v>118</v>
      </c>
      <c r="C18" s="2">
        <v>45773.097916666673</v>
      </c>
      <c r="D18" t="s">
        <v>62</v>
      </c>
      <c r="E18" t="s">
        <v>63</v>
      </c>
      <c r="F18" t="s">
        <v>46</v>
      </c>
      <c r="G18" t="s">
        <v>64</v>
      </c>
      <c r="H18">
        <v>1</v>
      </c>
      <c r="I18" s="3">
        <v>699</v>
      </c>
      <c r="J18" s="4">
        <v>0.15</v>
      </c>
      <c r="K18" s="3">
        <v>99</v>
      </c>
      <c r="L18" t="s">
        <v>119</v>
      </c>
      <c r="M18" t="s">
        <v>120</v>
      </c>
      <c r="N18" t="s">
        <v>102</v>
      </c>
      <c r="O18" t="s">
        <v>41</v>
      </c>
      <c r="P18" t="s">
        <v>33</v>
      </c>
      <c r="Q18">
        <v>1</v>
      </c>
      <c r="R18" s="3">
        <f t="shared" si="0"/>
        <v>699</v>
      </c>
      <c r="S18" s="3">
        <f t="shared" si="1"/>
        <v>104.85</v>
      </c>
      <c r="T18" s="3">
        <f t="shared" si="2"/>
        <v>693.15</v>
      </c>
      <c r="U18" s="3">
        <f t="shared" si="3"/>
        <v>203.85000000000002</v>
      </c>
      <c r="V18" s="4">
        <f t="shared" si="4"/>
        <v>0.29409218783813029</v>
      </c>
      <c r="W18" t="str">
        <f t="shared" si="5"/>
        <v>Apr</v>
      </c>
      <c r="Y18" t="s">
        <v>15</v>
      </c>
    </row>
    <row r="19" spans="1:25" x14ac:dyDescent="0.25">
      <c r="A19" t="s">
        <v>121</v>
      </c>
      <c r="B19" t="s">
        <v>122</v>
      </c>
      <c r="C19" s="2">
        <v>45674.419444444437</v>
      </c>
      <c r="D19" t="s">
        <v>55</v>
      </c>
      <c r="E19" t="s">
        <v>56</v>
      </c>
      <c r="F19" t="s">
        <v>37</v>
      </c>
      <c r="G19" t="s">
        <v>38</v>
      </c>
      <c r="H19">
        <v>1</v>
      </c>
      <c r="I19" s="3">
        <v>2499</v>
      </c>
      <c r="J19" s="4">
        <v>0</v>
      </c>
      <c r="K19" s="3">
        <v>59</v>
      </c>
      <c r="L19" t="s">
        <v>39</v>
      </c>
      <c r="M19" t="s">
        <v>39</v>
      </c>
      <c r="N19" t="s">
        <v>50</v>
      </c>
      <c r="O19" t="s">
        <v>32</v>
      </c>
      <c r="P19" t="s">
        <v>85</v>
      </c>
      <c r="Q19">
        <v>2</v>
      </c>
      <c r="R19" s="3">
        <f t="shared" si="0"/>
        <v>2499</v>
      </c>
      <c r="S19" s="3">
        <f t="shared" si="1"/>
        <v>0</v>
      </c>
      <c r="T19" s="3">
        <f t="shared" si="2"/>
        <v>2558</v>
      </c>
      <c r="U19" s="3">
        <f t="shared" si="3"/>
        <v>808.7</v>
      </c>
      <c r="V19" s="4">
        <f t="shared" si="4"/>
        <v>0.3161454261141517</v>
      </c>
      <c r="W19" t="str">
        <f t="shared" si="5"/>
        <v>Jan</v>
      </c>
      <c r="Y19" t="s">
        <v>16</v>
      </c>
    </row>
    <row r="20" spans="1:25" x14ac:dyDescent="0.25">
      <c r="A20" t="s">
        <v>123</v>
      </c>
      <c r="B20" t="s">
        <v>124</v>
      </c>
      <c r="C20" s="2">
        <v>45782.660416666673</v>
      </c>
      <c r="D20" t="s">
        <v>77</v>
      </c>
      <c r="E20" t="s">
        <v>78</v>
      </c>
      <c r="F20" t="s">
        <v>79</v>
      </c>
      <c r="G20" t="s">
        <v>28</v>
      </c>
      <c r="H20">
        <v>2</v>
      </c>
      <c r="I20" s="3">
        <v>6499</v>
      </c>
      <c r="J20" s="4">
        <v>0</v>
      </c>
      <c r="K20" s="3">
        <v>0</v>
      </c>
      <c r="L20" t="s">
        <v>125</v>
      </c>
      <c r="M20" t="s">
        <v>126</v>
      </c>
      <c r="N20" t="s">
        <v>40</v>
      </c>
      <c r="O20" t="s">
        <v>51</v>
      </c>
      <c r="P20" t="s">
        <v>52</v>
      </c>
      <c r="Q20">
        <v>4</v>
      </c>
      <c r="R20" s="3">
        <f t="shared" si="0"/>
        <v>12998</v>
      </c>
      <c r="S20" s="3">
        <f t="shared" si="1"/>
        <v>0</v>
      </c>
      <c r="T20" s="3">
        <f t="shared" si="2"/>
        <v>12998</v>
      </c>
      <c r="U20" s="3">
        <f t="shared" si="3"/>
        <v>3899.4000000000015</v>
      </c>
      <c r="V20" s="4">
        <f t="shared" si="4"/>
        <v>0.3000000000000001</v>
      </c>
      <c r="W20" t="str">
        <f t="shared" si="5"/>
        <v>May</v>
      </c>
      <c r="Y20" t="s">
        <v>17</v>
      </c>
    </row>
    <row r="21" spans="1:25" x14ac:dyDescent="0.25">
      <c r="A21" t="s">
        <v>127</v>
      </c>
      <c r="B21" t="s">
        <v>128</v>
      </c>
      <c r="C21" s="2">
        <v>45685.90347222222</v>
      </c>
      <c r="D21" t="s">
        <v>96</v>
      </c>
      <c r="E21" t="s">
        <v>97</v>
      </c>
      <c r="F21" t="s">
        <v>98</v>
      </c>
      <c r="G21" t="s">
        <v>99</v>
      </c>
      <c r="H21">
        <v>3</v>
      </c>
      <c r="I21" s="3">
        <v>1499</v>
      </c>
      <c r="J21" s="4">
        <v>0</v>
      </c>
      <c r="K21" s="3">
        <v>0</v>
      </c>
      <c r="L21" t="s">
        <v>119</v>
      </c>
      <c r="M21" t="s">
        <v>120</v>
      </c>
      <c r="N21" t="s">
        <v>71</v>
      </c>
      <c r="O21" t="s">
        <v>93</v>
      </c>
      <c r="P21" t="s">
        <v>80</v>
      </c>
      <c r="Q21">
        <v>2</v>
      </c>
      <c r="R21" s="3">
        <f t="shared" si="0"/>
        <v>4497</v>
      </c>
      <c r="S21" s="3">
        <f t="shared" si="1"/>
        <v>0</v>
      </c>
      <c r="T21" s="3">
        <f t="shared" si="2"/>
        <v>4497</v>
      </c>
      <c r="U21" s="3">
        <f t="shared" si="3"/>
        <v>1349.1000000000004</v>
      </c>
      <c r="V21" s="4">
        <f t="shared" si="4"/>
        <v>0.3000000000000001</v>
      </c>
      <c r="W21" t="str">
        <f t="shared" si="5"/>
        <v>Jan</v>
      </c>
      <c r="Y21" t="s">
        <v>18</v>
      </c>
    </row>
    <row r="22" spans="1:25" x14ac:dyDescent="0.25">
      <c r="A22" t="s">
        <v>129</v>
      </c>
      <c r="B22" t="s">
        <v>130</v>
      </c>
      <c r="C22" s="2">
        <v>45729.549305555563</v>
      </c>
      <c r="D22" t="s">
        <v>67</v>
      </c>
      <c r="E22" t="s">
        <v>68</v>
      </c>
      <c r="F22" t="s">
        <v>37</v>
      </c>
      <c r="G22" t="s">
        <v>38</v>
      </c>
      <c r="H22">
        <v>2</v>
      </c>
      <c r="I22" s="3">
        <v>1299</v>
      </c>
      <c r="J22" s="4">
        <v>0.1</v>
      </c>
      <c r="K22" s="3">
        <v>49</v>
      </c>
      <c r="L22" t="s">
        <v>113</v>
      </c>
      <c r="M22" t="s">
        <v>114</v>
      </c>
      <c r="N22" t="s">
        <v>40</v>
      </c>
      <c r="O22" t="s">
        <v>32</v>
      </c>
      <c r="P22" t="s">
        <v>33</v>
      </c>
      <c r="Q22">
        <v>1</v>
      </c>
      <c r="R22" s="3">
        <f t="shared" si="0"/>
        <v>2598</v>
      </c>
      <c r="S22" s="3">
        <f t="shared" si="1"/>
        <v>259.8</v>
      </c>
      <c r="T22" s="3">
        <f t="shared" si="2"/>
        <v>2387.1999999999998</v>
      </c>
      <c r="U22" s="3">
        <f t="shared" si="3"/>
        <v>568.59999999999991</v>
      </c>
      <c r="V22" s="4">
        <f t="shared" si="4"/>
        <v>0.23818699731903484</v>
      </c>
      <c r="W22" t="str">
        <f t="shared" si="5"/>
        <v>Mar</v>
      </c>
      <c r="Y22" t="s">
        <v>19</v>
      </c>
    </row>
    <row r="23" spans="1:25" x14ac:dyDescent="0.25">
      <c r="A23" t="s">
        <v>131</v>
      </c>
      <c r="B23" t="s">
        <v>132</v>
      </c>
      <c r="C23" s="2">
        <v>45705.298611111109</v>
      </c>
      <c r="D23" t="s">
        <v>35</v>
      </c>
      <c r="E23" t="s">
        <v>36</v>
      </c>
      <c r="F23" t="s">
        <v>37</v>
      </c>
      <c r="G23" t="s">
        <v>38</v>
      </c>
      <c r="H23">
        <v>3</v>
      </c>
      <c r="I23" s="3">
        <v>599</v>
      </c>
      <c r="J23" s="4">
        <v>0.1</v>
      </c>
      <c r="K23" s="3">
        <v>79</v>
      </c>
      <c r="L23" t="s">
        <v>83</v>
      </c>
      <c r="M23" t="s">
        <v>84</v>
      </c>
      <c r="N23" t="s">
        <v>40</v>
      </c>
      <c r="O23" t="s">
        <v>93</v>
      </c>
      <c r="P23" t="s">
        <v>52</v>
      </c>
      <c r="Q23">
        <v>2</v>
      </c>
      <c r="R23" s="3">
        <f t="shared" si="0"/>
        <v>1797</v>
      </c>
      <c r="S23" s="3">
        <f t="shared" si="1"/>
        <v>179.70000000000002</v>
      </c>
      <c r="T23" s="3">
        <f t="shared" si="2"/>
        <v>1696.3</v>
      </c>
      <c r="U23" s="3">
        <f t="shared" si="3"/>
        <v>438.40000000000009</v>
      </c>
      <c r="V23" s="4">
        <f t="shared" si="4"/>
        <v>0.25844485055709493</v>
      </c>
      <c r="W23" t="str">
        <f t="shared" si="5"/>
        <v>Feb</v>
      </c>
      <c r="Y23" t="s">
        <v>20</v>
      </c>
    </row>
    <row r="24" spans="1:25" x14ac:dyDescent="0.25">
      <c r="A24" t="s">
        <v>133</v>
      </c>
      <c r="B24" t="s">
        <v>134</v>
      </c>
      <c r="C24" s="2">
        <v>45793.595833333333</v>
      </c>
      <c r="D24" t="s">
        <v>96</v>
      </c>
      <c r="E24" t="s">
        <v>97</v>
      </c>
      <c r="F24" t="s">
        <v>98</v>
      </c>
      <c r="G24" t="s">
        <v>99</v>
      </c>
      <c r="H24">
        <v>5</v>
      </c>
      <c r="I24" s="3">
        <v>1499</v>
      </c>
      <c r="J24" s="4">
        <v>0.2</v>
      </c>
      <c r="K24" s="3">
        <v>99</v>
      </c>
      <c r="L24" t="s">
        <v>39</v>
      </c>
      <c r="M24" t="s">
        <v>39</v>
      </c>
      <c r="N24" t="s">
        <v>50</v>
      </c>
      <c r="O24" t="s">
        <v>41</v>
      </c>
      <c r="P24" t="s">
        <v>52</v>
      </c>
      <c r="Q24">
        <v>3</v>
      </c>
      <c r="R24" s="3">
        <f t="shared" si="0"/>
        <v>7495</v>
      </c>
      <c r="S24" s="3">
        <f t="shared" si="1"/>
        <v>1499</v>
      </c>
      <c r="T24" s="3">
        <f t="shared" si="2"/>
        <v>6095</v>
      </c>
      <c r="U24" s="3">
        <f t="shared" si="3"/>
        <v>848.5</v>
      </c>
      <c r="V24" s="4">
        <f t="shared" si="4"/>
        <v>0.13921246923707958</v>
      </c>
      <c r="W24" t="str">
        <f t="shared" si="5"/>
        <v>May</v>
      </c>
      <c r="Y24" t="s">
        <v>21</v>
      </c>
    </row>
    <row r="25" spans="1:25" x14ac:dyDescent="0.25">
      <c r="A25" t="s">
        <v>135</v>
      </c>
      <c r="B25" t="s">
        <v>136</v>
      </c>
      <c r="C25" s="2">
        <v>45935.074305555558</v>
      </c>
      <c r="D25" t="s">
        <v>67</v>
      </c>
      <c r="E25" t="s">
        <v>68</v>
      </c>
      <c r="F25" t="s">
        <v>37</v>
      </c>
      <c r="G25" t="s">
        <v>38</v>
      </c>
      <c r="H25">
        <v>2</v>
      </c>
      <c r="I25" s="3">
        <v>1299</v>
      </c>
      <c r="J25" s="4">
        <v>0</v>
      </c>
      <c r="K25" s="3">
        <v>0</v>
      </c>
      <c r="L25" t="s">
        <v>39</v>
      </c>
      <c r="M25" t="s">
        <v>39</v>
      </c>
      <c r="N25" t="s">
        <v>40</v>
      </c>
      <c r="O25" t="s">
        <v>32</v>
      </c>
      <c r="P25" t="s">
        <v>33</v>
      </c>
      <c r="R25" s="3">
        <f t="shared" si="0"/>
        <v>2598</v>
      </c>
      <c r="S25" s="3">
        <f t="shared" si="1"/>
        <v>0</v>
      </c>
      <c r="T25" s="3">
        <f t="shared" si="2"/>
        <v>2598</v>
      </c>
      <c r="U25" s="3">
        <f t="shared" si="3"/>
        <v>779.40000000000009</v>
      </c>
      <c r="V25" s="4">
        <f t="shared" si="4"/>
        <v>0.30000000000000004</v>
      </c>
      <c r="W25" t="str">
        <f t="shared" si="5"/>
        <v>Oct</v>
      </c>
      <c r="Y25" t="s">
        <v>22</v>
      </c>
    </row>
    <row r="26" spans="1:25" x14ac:dyDescent="0.25">
      <c r="A26" t="s">
        <v>137</v>
      </c>
      <c r="B26" t="s">
        <v>138</v>
      </c>
      <c r="C26" s="2">
        <v>45918.120833333327</v>
      </c>
      <c r="D26" t="s">
        <v>62</v>
      </c>
      <c r="E26" t="s">
        <v>63</v>
      </c>
      <c r="F26" t="s">
        <v>46</v>
      </c>
      <c r="G26" t="s">
        <v>64</v>
      </c>
      <c r="H26">
        <v>1</v>
      </c>
      <c r="I26" s="3">
        <v>699</v>
      </c>
      <c r="J26" s="4">
        <v>0</v>
      </c>
      <c r="K26" s="3">
        <v>99</v>
      </c>
      <c r="L26" t="s">
        <v>100</v>
      </c>
      <c r="M26" t="s">
        <v>101</v>
      </c>
      <c r="N26" t="s">
        <v>50</v>
      </c>
      <c r="O26" t="s">
        <v>59</v>
      </c>
      <c r="P26" t="s">
        <v>33</v>
      </c>
      <c r="Q26">
        <v>1</v>
      </c>
      <c r="R26" s="3">
        <f t="shared" si="0"/>
        <v>699</v>
      </c>
      <c r="S26" s="3">
        <f t="shared" si="1"/>
        <v>0</v>
      </c>
      <c r="T26" s="3">
        <f t="shared" si="2"/>
        <v>798</v>
      </c>
      <c r="U26" s="3">
        <f t="shared" si="3"/>
        <v>308.70000000000005</v>
      </c>
      <c r="V26" s="4">
        <f t="shared" si="4"/>
        <v>0.38684210526315793</v>
      </c>
      <c r="W26" t="str">
        <f t="shared" si="5"/>
        <v>Sep</v>
      </c>
    </row>
    <row r="27" spans="1:25" x14ac:dyDescent="0.25">
      <c r="A27" t="s">
        <v>139</v>
      </c>
      <c r="B27" t="s">
        <v>140</v>
      </c>
      <c r="C27" s="2">
        <v>45678.795138888891</v>
      </c>
      <c r="D27" t="s">
        <v>44</v>
      </c>
      <c r="E27" t="s">
        <v>45</v>
      </c>
      <c r="F27" t="s">
        <v>46</v>
      </c>
      <c r="G27" t="s">
        <v>47</v>
      </c>
      <c r="H27">
        <v>2</v>
      </c>
      <c r="I27" s="3">
        <v>1199</v>
      </c>
      <c r="J27" s="4">
        <v>0.2</v>
      </c>
      <c r="K27" s="3">
        <v>99</v>
      </c>
      <c r="L27" t="s">
        <v>113</v>
      </c>
      <c r="M27" t="s">
        <v>114</v>
      </c>
      <c r="N27" t="s">
        <v>102</v>
      </c>
      <c r="O27" t="s">
        <v>51</v>
      </c>
      <c r="P27" t="s">
        <v>52</v>
      </c>
      <c r="Q27">
        <v>3</v>
      </c>
      <c r="R27" s="3">
        <f t="shared" si="0"/>
        <v>2398</v>
      </c>
      <c r="S27" s="3">
        <f t="shared" si="1"/>
        <v>479.6</v>
      </c>
      <c r="T27" s="3">
        <f t="shared" si="2"/>
        <v>2017.4</v>
      </c>
      <c r="U27" s="3">
        <f t="shared" si="3"/>
        <v>338.80000000000018</v>
      </c>
      <c r="V27" s="4">
        <f t="shared" si="4"/>
        <v>0.16793893129771001</v>
      </c>
      <c r="W27" t="str">
        <f t="shared" si="5"/>
        <v>Jan</v>
      </c>
    </row>
    <row r="28" spans="1:25" x14ac:dyDescent="0.25">
      <c r="A28" t="s">
        <v>141</v>
      </c>
      <c r="B28" t="s">
        <v>142</v>
      </c>
      <c r="C28" s="2">
        <v>45860.195833333331</v>
      </c>
      <c r="D28" t="s">
        <v>67</v>
      </c>
      <c r="E28" t="s">
        <v>68</v>
      </c>
      <c r="F28" t="s">
        <v>37</v>
      </c>
      <c r="G28" t="s">
        <v>38</v>
      </c>
      <c r="H28">
        <v>1</v>
      </c>
      <c r="I28" s="3">
        <v>1299</v>
      </c>
      <c r="J28" s="4">
        <v>0.05</v>
      </c>
      <c r="K28" s="3">
        <v>79</v>
      </c>
      <c r="L28" t="s">
        <v>74</v>
      </c>
      <c r="M28" t="s">
        <v>49</v>
      </c>
      <c r="N28" t="s">
        <v>31</v>
      </c>
      <c r="O28" t="s">
        <v>93</v>
      </c>
      <c r="P28" t="s">
        <v>80</v>
      </c>
      <c r="Q28">
        <v>4</v>
      </c>
      <c r="R28" s="3">
        <f t="shared" si="0"/>
        <v>1299</v>
      </c>
      <c r="S28" s="3">
        <f t="shared" si="1"/>
        <v>64.95</v>
      </c>
      <c r="T28" s="3">
        <f t="shared" si="2"/>
        <v>1313.05</v>
      </c>
      <c r="U28" s="3">
        <f t="shared" si="3"/>
        <v>403.75</v>
      </c>
      <c r="V28" s="4">
        <f t="shared" si="4"/>
        <v>0.30749019458512622</v>
      </c>
      <c r="W28" t="str">
        <f t="shared" si="5"/>
        <v>Jul</v>
      </c>
    </row>
    <row r="29" spans="1:25" x14ac:dyDescent="0.25">
      <c r="A29" t="s">
        <v>143</v>
      </c>
      <c r="B29" t="s">
        <v>144</v>
      </c>
      <c r="C29" s="2">
        <v>45695.717361111107</v>
      </c>
      <c r="D29" t="s">
        <v>44</v>
      </c>
      <c r="E29" t="s">
        <v>45</v>
      </c>
      <c r="F29" t="s">
        <v>46</v>
      </c>
      <c r="G29" t="s">
        <v>47</v>
      </c>
      <c r="H29">
        <v>5</v>
      </c>
      <c r="I29" s="3">
        <v>1199</v>
      </c>
      <c r="J29" s="4">
        <v>0.05</v>
      </c>
      <c r="K29" s="3">
        <v>49</v>
      </c>
      <c r="L29" t="s">
        <v>125</v>
      </c>
      <c r="M29" t="s">
        <v>126</v>
      </c>
      <c r="N29" t="s">
        <v>31</v>
      </c>
      <c r="O29" t="s">
        <v>41</v>
      </c>
      <c r="P29" t="s">
        <v>85</v>
      </c>
      <c r="Q29">
        <v>3</v>
      </c>
      <c r="R29" s="3">
        <f t="shared" si="0"/>
        <v>5995</v>
      </c>
      <c r="S29" s="3">
        <f t="shared" si="1"/>
        <v>299.75</v>
      </c>
      <c r="T29" s="3">
        <f t="shared" si="2"/>
        <v>5744.25</v>
      </c>
      <c r="U29" s="3">
        <f t="shared" si="3"/>
        <v>1547.75</v>
      </c>
      <c r="V29" s="4">
        <f t="shared" si="4"/>
        <v>0.26944335639987815</v>
      </c>
      <c r="W29" t="str">
        <f t="shared" si="5"/>
        <v>Feb</v>
      </c>
    </row>
    <row r="30" spans="1:25" x14ac:dyDescent="0.25">
      <c r="A30" t="s">
        <v>145</v>
      </c>
      <c r="B30" t="s">
        <v>146</v>
      </c>
      <c r="C30" s="2">
        <v>45936.929861111108</v>
      </c>
      <c r="D30" t="s">
        <v>110</v>
      </c>
      <c r="E30" t="s">
        <v>111</v>
      </c>
      <c r="F30" t="s">
        <v>98</v>
      </c>
      <c r="G30" t="s">
        <v>112</v>
      </c>
      <c r="H30">
        <v>1</v>
      </c>
      <c r="I30" s="3">
        <v>2999</v>
      </c>
      <c r="J30" s="4">
        <v>0.2</v>
      </c>
      <c r="K30" s="3">
        <v>99</v>
      </c>
      <c r="L30" t="s">
        <v>100</v>
      </c>
      <c r="M30" t="s">
        <v>101</v>
      </c>
      <c r="N30" t="s">
        <v>102</v>
      </c>
      <c r="O30" t="s">
        <v>51</v>
      </c>
      <c r="P30" t="s">
        <v>85</v>
      </c>
      <c r="R30" s="3">
        <f t="shared" si="0"/>
        <v>2999</v>
      </c>
      <c r="S30" s="3">
        <f t="shared" si="1"/>
        <v>599.80000000000007</v>
      </c>
      <c r="T30" s="3">
        <f t="shared" si="2"/>
        <v>2498.1999999999998</v>
      </c>
      <c r="U30" s="3">
        <f t="shared" si="3"/>
        <v>398.90000000000009</v>
      </c>
      <c r="V30" s="4">
        <f t="shared" si="4"/>
        <v>0.1596749659755024</v>
      </c>
      <c r="W30" t="str">
        <f t="shared" si="5"/>
        <v>Oct</v>
      </c>
    </row>
    <row r="31" spans="1:25" x14ac:dyDescent="0.25">
      <c r="A31" t="s">
        <v>147</v>
      </c>
      <c r="B31" t="s">
        <v>148</v>
      </c>
      <c r="C31" s="2">
        <v>45712.982638888891</v>
      </c>
      <c r="D31" t="s">
        <v>55</v>
      </c>
      <c r="E31" t="s">
        <v>56</v>
      </c>
      <c r="F31" t="s">
        <v>37</v>
      </c>
      <c r="G31" t="s">
        <v>38</v>
      </c>
      <c r="H31">
        <v>1</v>
      </c>
      <c r="I31" s="3">
        <v>2499</v>
      </c>
      <c r="J31" s="4">
        <v>0.05</v>
      </c>
      <c r="K31" s="3">
        <v>59</v>
      </c>
      <c r="L31" t="s">
        <v>100</v>
      </c>
      <c r="M31" t="s">
        <v>101</v>
      </c>
      <c r="N31" t="s">
        <v>71</v>
      </c>
      <c r="O31" t="s">
        <v>41</v>
      </c>
      <c r="P31" t="s">
        <v>33</v>
      </c>
      <c r="R31" s="3">
        <f t="shared" si="0"/>
        <v>2499</v>
      </c>
      <c r="S31" s="3">
        <f t="shared" si="1"/>
        <v>124.95</v>
      </c>
      <c r="T31" s="3">
        <f t="shared" si="2"/>
        <v>2433.0500000000002</v>
      </c>
      <c r="U31" s="3">
        <f t="shared" si="3"/>
        <v>683.75000000000023</v>
      </c>
      <c r="V31" s="4">
        <f t="shared" si="4"/>
        <v>0.28102587287560887</v>
      </c>
      <c r="W31" t="str">
        <f t="shared" si="5"/>
        <v>Feb</v>
      </c>
    </row>
    <row r="32" spans="1:25" x14ac:dyDescent="0.25">
      <c r="A32" t="s">
        <v>149</v>
      </c>
      <c r="B32" t="s">
        <v>150</v>
      </c>
      <c r="C32" s="2">
        <v>45786.045138888891</v>
      </c>
      <c r="D32" t="s">
        <v>25</v>
      </c>
      <c r="E32" t="s">
        <v>26</v>
      </c>
      <c r="F32" t="s">
        <v>27</v>
      </c>
      <c r="G32" t="s">
        <v>28</v>
      </c>
      <c r="H32">
        <v>2</v>
      </c>
      <c r="I32" s="3">
        <v>249</v>
      </c>
      <c r="J32" s="4">
        <v>0.1</v>
      </c>
      <c r="K32" s="3">
        <v>59</v>
      </c>
      <c r="L32" t="s">
        <v>48</v>
      </c>
      <c r="M32" t="s">
        <v>49</v>
      </c>
      <c r="N32" t="s">
        <v>31</v>
      </c>
      <c r="O32" t="s">
        <v>51</v>
      </c>
      <c r="P32" t="s">
        <v>80</v>
      </c>
      <c r="R32" s="3">
        <f t="shared" si="0"/>
        <v>498</v>
      </c>
      <c r="S32" s="3">
        <f t="shared" si="1"/>
        <v>49.800000000000004</v>
      </c>
      <c r="T32" s="3">
        <f t="shared" si="2"/>
        <v>507.2</v>
      </c>
      <c r="U32" s="3">
        <f t="shared" si="3"/>
        <v>158.60000000000002</v>
      </c>
      <c r="V32" s="4">
        <f t="shared" si="4"/>
        <v>0.31269716088328081</v>
      </c>
      <c r="W32" t="str">
        <f t="shared" si="5"/>
        <v>May</v>
      </c>
    </row>
    <row r="33" spans="1:23" x14ac:dyDescent="0.25">
      <c r="A33" t="s">
        <v>151</v>
      </c>
      <c r="B33" t="s">
        <v>152</v>
      </c>
      <c r="C33" s="2">
        <v>45884.739583333343</v>
      </c>
      <c r="D33" t="s">
        <v>105</v>
      </c>
      <c r="E33" t="s">
        <v>106</v>
      </c>
      <c r="F33" t="s">
        <v>37</v>
      </c>
      <c r="G33" t="s">
        <v>107</v>
      </c>
      <c r="H33">
        <v>1</v>
      </c>
      <c r="I33" s="3">
        <v>1799</v>
      </c>
      <c r="J33" s="4">
        <v>0.15</v>
      </c>
      <c r="K33" s="3">
        <v>0</v>
      </c>
      <c r="L33" t="s">
        <v>48</v>
      </c>
      <c r="M33" t="s">
        <v>49</v>
      </c>
      <c r="N33" t="s">
        <v>31</v>
      </c>
      <c r="O33" t="s">
        <v>41</v>
      </c>
      <c r="P33" t="s">
        <v>52</v>
      </c>
      <c r="Q33">
        <v>5</v>
      </c>
      <c r="R33" s="3">
        <f t="shared" si="0"/>
        <v>1799</v>
      </c>
      <c r="S33" s="3">
        <f t="shared" si="1"/>
        <v>269.84999999999997</v>
      </c>
      <c r="T33" s="3">
        <f t="shared" si="2"/>
        <v>1529.15</v>
      </c>
      <c r="U33" s="3">
        <f t="shared" si="3"/>
        <v>269.85000000000014</v>
      </c>
      <c r="V33" s="4">
        <f t="shared" si="4"/>
        <v>0.17647058823529418</v>
      </c>
      <c r="W33" t="str">
        <f t="shared" si="5"/>
        <v>Aug</v>
      </c>
    </row>
    <row r="34" spans="1:23" x14ac:dyDescent="0.25">
      <c r="A34" t="s">
        <v>153</v>
      </c>
      <c r="B34" t="s">
        <v>154</v>
      </c>
      <c r="C34" s="2">
        <v>45733.547222222223</v>
      </c>
      <c r="D34" t="s">
        <v>35</v>
      </c>
      <c r="E34" t="s">
        <v>36</v>
      </c>
      <c r="F34" t="s">
        <v>37</v>
      </c>
      <c r="G34" t="s">
        <v>38</v>
      </c>
      <c r="H34">
        <v>2</v>
      </c>
      <c r="I34" s="3">
        <v>599</v>
      </c>
      <c r="J34" s="4">
        <v>0.05</v>
      </c>
      <c r="K34" s="3">
        <v>59</v>
      </c>
      <c r="L34" t="s">
        <v>74</v>
      </c>
      <c r="M34" t="s">
        <v>49</v>
      </c>
      <c r="N34" t="s">
        <v>71</v>
      </c>
      <c r="O34" t="s">
        <v>41</v>
      </c>
      <c r="P34" t="s">
        <v>33</v>
      </c>
      <c r="R34" s="3">
        <f t="shared" si="0"/>
        <v>1198</v>
      </c>
      <c r="S34" s="3">
        <f t="shared" si="1"/>
        <v>59.900000000000006</v>
      </c>
      <c r="T34" s="3">
        <f t="shared" si="2"/>
        <v>1197.0999999999999</v>
      </c>
      <c r="U34" s="3">
        <f t="shared" si="3"/>
        <v>358.5</v>
      </c>
      <c r="V34" s="4">
        <f t="shared" si="4"/>
        <v>0.29947372817642637</v>
      </c>
      <c r="W34" t="str">
        <f t="shared" si="5"/>
        <v>Mar</v>
      </c>
    </row>
    <row r="35" spans="1:23" x14ac:dyDescent="0.25">
      <c r="A35" t="s">
        <v>155</v>
      </c>
      <c r="B35" t="s">
        <v>156</v>
      </c>
      <c r="C35" s="2">
        <v>45944.568749999999</v>
      </c>
      <c r="D35" t="s">
        <v>67</v>
      </c>
      <c r="E35" t="s">
        <v>68</v>
      </c>
      <c r="F35" t="s">
        <v>37</v>
      </c>
      <c r="G35" t="s">
        <v>38</v>
      </c>
      <c r="H35">
        <v>1</v>
      </c>
      <c r="I35" s="3">
        <v>1299</v>
      </c>
      <c r="J35" s="4">
        <v>0</v>
      </c>
      <c r="K35" s="3">
        <v>49</v>
      </c>
      <c r="L35" t="s">
        <v>29</v>
      </c>
      <c r="M35" t="s">
        <v>30</v>
      </c>
      <c r="N35" t="s">
        <v>50</v>
      </c>
      <c r="O35" t="s">
        <v>59</v>
      </c>
      <c r="P35" t="s">
        <v>80</v>
      </c>
      <c r="Q35">
        <v>1</v>
      </c>
      <c r="R35" s="3">
        <f t="shared" si="0"/>
        <v>1299</v>
      </c>
      <c r="S35" s="3">
        <f t="shared" si="1"/>
        <v>0</v>
      </c>
      <c r="T35" s="3">
        <f t="shared" si="2"/>
        <v>1348</v>
      </c>
      <c r="U35" s="3">
        <f t="shared" si="3"/>
        <v>438.70000000000005</v>
      </c>
      <c r="V35" s="4">
        <f t="shared" si="4"/>
        <v>0.32544510385756681</v>
      </c>
      <c r="W35" t="str">
        <f t="shared" si="5"/>
        <v>Oct</v>
      </c>
    </row>
    <row r="36" spans="1:23" x14ac:dyDescent="0.25">
      <c r="A36" t="s">
        <v>157</v>
      </c>
      <c r="B36" t="s">
        <v>158</v>
      </c>
      <c r="C36" s="2">
        <v>45868.913194444453</v>
      </c>
      <c r="D36" t="s">
        <v>105</v>
      </c>
      <c r="E36" t="s">
        <v>106</v>
      </c>
      <c r="F36" t="s">
        <v>37</v>
      </c>
      <c r="G36" t="s">
        <v>107</v>
      </c>
      <c r="H36">
        <v>3</v>
      </c>
      <c r="I36" s="3">
        <v>1799</v>
      </c>
      <c r="J36" s="4">
        <v>0</v>
      </c>
      <c r="K36" s="3">
        <v>59</v>
      </c>
      <c r="L36" t="s">
        <v>74</v>
      </c>
      <c r="M36" t="s">
        <v>49</v>
      </c>
      <c r="N36" t="s">
        <v>31</v>
      </c>
      <c r="O36" t="s">
        <v>59</v>
      </c>
      <c r="P36" t="s">
        <v>80</v>
      </c>
      <c r="R36" s="3">
        <f t="shared" si="0"/>
        <v>5397</v>
      </c>
      <c r="S36" s="3">
        <f t="shared" si="1"/>
        <v>0</v>
      </c>
      <c r="T36" s="3">
        <f t="shared" si="2"/>
        <v>5456</v>
      </c>
      <c r="U36" s="3">
        <f t="shared" si="3"/>
        <v>1678.1000000000004</v>
      </c>
      <c r="V36" s="4">
        <f t="shared" si="4"/>
        <v>0.30756964809384169</v>
      </c>
      <c r="W36" t="str">
        <f t="shared" si="5"/>
        <v>Jul</v>
      </c>
    </row>
    <row r="37" spans="1:23" x14ac:dyDescent="0.25">
      <c r="A37" t="s">
        <v>159</v>
      </c>
      <c r="B37" t="s">
        <v>160</v>
      </c>
      <c r="C37" s="2">
        <v>45893.47152777778</v>
      </c>
      <c r="D37" t="s">
        <v>35</v>
      </c>
      <c r="E37" t="s">
        <v>36</v>
      </c>
      <c r="F37" t="s">
        <v>37</v>
      </c>
      <c r="G37" t="s">
        <v>38</v>
      </c>
      <c r="H37">
        <v>1</v>
      </c>
      <c r="I37" s="3">
        <v>599</v>
      </c>
      <c r="J37" s="4">
        <v>0</v>
      </c>
      <c r="K37" s="3">
        <v>0</v>
      </c>
      <c r="L37" t="s">
        <v>119</v>
      </c>
      <c r="M37" t="s">
        <v>120</v>
      </c>
      <c r="N37" t="s">
        <v>40</v>
      </c>
      <c r="O37" t="s">
        <v>51</v>
      </c>
      <c r="P37" t="s">
        <v>33</v>
      </c>
      <c r="Q37">
        <v>3</v>
      </c>
      <c r="R37" s="3">
        <f t="shared" si="0"/>
        <v>599</v>
      </c>
      <c r="S37" s="3">
        <f t="shared" si="1"/>
        <v>0</v>
      </c>
      <c r="T37" s="3">
        <f t="shared" si="2"/>
        <v>599</v>
      </c>
      <c r="U37" s="3">
        <f t="shared" si="3"/>
        <v>179.70000000000005</v>
      </c>
      <c r="V37" s="4">
        <f t="shared" si="4"/>
        <v>0.3000000000000001</v>
      </c>
      <c r="W37" t="str">
        <f t="shared" si="5"/>
        <v>Aug</v>
      </c>
    </row>
    <row r="38" spans="1:23" x14ac:dyDescent="0.25">
      <c r="A38" t="s">
        <v>161</v>
      </c>
      <c r="B38" t="s">
        <v>162</v>
      </c>
      <c r="C38" s="2">
        <v>45918.529861111107</v>
      </c>
      <c r="D38" t="s">
        <v>55</v>
      </c>
      <c r="E38" t="s">
        <v>56</v>
      </c>
      <c r="F38" t="s">
        <v>37</v>
      </c>
      <c r="G38" t="s">
        <v>38</v>
      </c>
      <c r="H38">
        <v>1</v>
      </c>
      <c r="I38" s="3">
        <v>2499</v>
      </c>
      <c r="J38" s="4">
        <v>0.05</v>
      </c>
      <c r="K38" s="3">
        <v>0</v>
      </c>
      <c r="L38" t="s">
        <v>48</v>
      </c>
      <c r="M38" t="s">
        <v>49</v>
      </c>
      <c r="N38" t="s">
        <v>71</v>
      </c>
      <c r="O38" t="s">
        <v>41</v>
      </c>
      <c r="P38" t="s">
        <v>85</v>
      </c>
      <c r="Q38">
        <v>5</v>
      </c>
      <c r="R38" s="3">
        <f t="shared" si="0"/>
        <v>2499</v>
      </c>
      <c r="S38" s="3">
        <f t="shared" si="1"/>
        <v>124.95</v>
      </c>
      <c r="T38" s="3">
        <f t="shared" si="2"/>
        <v>2374.0500000000002</v>
      </c>
      <c r="U38" s="3">
        <f t="shared" si="3"/>
        <v>624.75000000000023</v>
      </c>
      <c r="V38" s="4">
        <f t="shared" si="4"/>
        <v>0.2631578947368422</v>
      </c>
      <c r="W38" t="str">
        <f t="shared" si="5"/>
        <v>Sep</v>
      </c>
    </row>
    <row r="39" spans="1:23" x14ac:dyDescent="0.25">
      <c r="A39" t="s">
        <v>163</v>
      </c>
      <c r="B39" t="s">
        <v>164</v>
      </c>
      <c r="C39" s="2">
        <v>45880.490277777782</v>
      </c>
      <c r="D39" t="s">
        <v>110</v>
      </c>
      <c r="E39" t="s">
        <v>111</v>
      </c>
      <c r="F39" t="s">
        <v>98</v>
      </c>
      <c r="G39" t="s">
        <v>112</v>
      </c>
      <c r="H39">
        <v>1</v>
      </c>
      <c r="I39" s="3">
        <v>2999</v>
      </c>
      <c r="J39" s="4">
        <v>0.1</v>
      </c>
      <c r="K39" s="3">
        <v>99</v>
      </c>
      <c r="L39" t="s">
        <v>39</v>
      </c>
      <c r="M39" t="s">
        <v>39</v>
      </c>
      <c r="N39" t="s">
        <v>31</v>
      </c>
      <c r="O39" t="s">
        <v>59</v>
      </c>
      <c r="P39" t="s">
        <v>33</v>
      </c>
      <c r="Q39">
        <v>5</v>
      </c>
      <c r="R39" s="3">
        <f t="shared" si="0"/>
        <v>2999</v>
      </c>
      <c r="S39" s="3">
        <f t="shared" si="1"/>
        <v>299.90000000000003</v>
      </c>
      <c r="T39" s="3">
        <f t="shared" si="2"/>
        <v>2798.1</v>
      </c>
      <c r="U39" s="3">
        <f t="shared" si="3"/>
        <v>698.80000000000018</v>
      </c>
      <c r="V39" s="4">
        <f t="shared" si="4"/>
        <v>0.24974089560773388</v>
      </c>
      <c r="W39" t="str">
        <f t="shared" si="5"/>
        <v>Aug</v>
      </c>
    </row>
    <row r="40" spans="1:23" x14ac:dyDescent="0.25">
      <c r="A40" t="s">
        <v>165</v>
      </c>
      <c r="B40" t="s">
        <v>166</v>
      </c>
      <c r="C40" s="2">
        <v>45881.022916666669</v>
      </c>
      <c r="D40" t="s">
        <v>67</v>
      </c>
      <c r="E40" t="s">
        <v>68</v>
      </c>
      <c r="F40" t="s">
        <v>37</v>
      </c>
      <c r="G40" t="s">
        <v>38</v>
      </c>
      <c r="H40">
        <v>1</v>
      </c>
      <c r="I40" s="3">
        <v>1299</v>
      </c>
      <c r="J40" s="4">
        <v>0.2</v>
      </c>
      <c r="K40" s="3">
        <v>49</v>
      </c>
      <c r="L40" t="s">
        <v>48</v>
      </c>
      <c r="M40" t="s">
        <v>49</v>
      </c>
      <c r="N40" t="s">
        <v>40</v>
      </c>
      <c r="O40" t="s">
        <v>93</v>
      </c>
      <c r="P40" t="s">
        <v>85</v>
      </c>
      <c r="R40" s="3">
        <f t="shared" si="0"/>
        <v>1299</v>
      </c>
      <c r="S40" s="3">
        <f t="shared" si="1"/>
        <v>259.8</v>
      </c>
      <c r="T40" s="3">
        <f t="shared" si="2"/>
        <v>1088.2</v>
      </c>
      <c r="U40" s="3">
        <f t="shared" si="3"/>
        <v>178.90000000000009</v>
      </c>
      <c r="V40" s="4">
        <f t="shared" si="4"/>
        <v>0.16439992648410226</v>
      </c>
      <c r="W40" t="str">
        <f t="shared" si="5"/>
        <v>Aug</v>
      </c>
    </row>
    <row r="41" spans="1:23" x14ac:dyDescent="0.25">
      <c r="A41" t="s">
        <v>167</v>
      </c>
      <c r="B41" t="s">
        <v>168</v>
      </c>
      <c r="C41" s="2">
        <v>45721.997916666667</v>
      </c>
      <c r="D41" t="s">
        <v>169</v>
      </c>
      <c r="E41" t="s">
        <v>170</v>
      </c>
      <c r="F41" t="s">
        <v>98</v>
      </c>
      <c r="G41" t="s">
        <v>171</v>
      </c>
      <c r="H41">
        <v>1</v>
      </c>
      <c r="I41" s="3">
        <v>799</v>
      </c>
      <c r="J41" s="4">
        <v>0.15</v>
      </c>
      <c r="K41" s="3">
        <v>59</v>
      </c>
      <c r="L41" t="s">
        <v>125</v>
      </c>
      <c r="M41" t="s">
        <v>126</v>
      </c>
      <c r="N41" t="s">
        <v>71</v>
      </c>
      <c r="O41" t="s">
        <v>59</v>
      </c>
      <c r="P41" t="s">
        <v>33</v>
      </c>
      <c r="R41" s="3">
        <f t="shared" si="0"/>
        <v>799</v>
      </c>
      <c r="S41" s="3">
        <f t="shared" si="1"/>
        <v>119.85</v>
      </c>
      <c r="T41" s="3">
        <f t="shared" si="2"/>
        <v>738.15</v>
      </c>
      <c r="U41" s="3">
        <f t="shared" si="3"/>
        <v>178.85000000000002</v>
      </c>
      <c r="V41" s="4">
        <f t="shared" si="4"/>
        <v>0.24229492650545287</v>
      </c>
      <c r="W41" t="str">
        <f t="shared" si="5"/>
        <v>Mar</v>
      </c>
    </row>
    <row r="42" spans="1:23" x14ac:dyDescent="0.25">
      <c r="A42" t="s">
        <v>172</v>
      </c>
      <c r="B42" t="s">
        <v>173</v>
      </c>
      <c r="C42" s="2">
        <v>45873.89166666667</v>
      </c>
      <c r="D42" t="s">
        <v>110</v>
      </c>
      <c r="E42" t="s">
        <v>111</v>
      </c>
      <c r="F42" t="s">
        <v>98</v>
      </c>
      <c r="G42" t="s">
        <v>112</v>
      </c>
      <c r="H42">
        <v>1</v>
      </c>
      <c r="I42" s="3">
        <v>2999</v>
      </c>
      <c r="J42" s="4">
        <v>0.2</v>
      </c>
      <c r="K42" s="3">
        <v>49</v>
      </c>
      <c r="L42" t="s">
        <v>83</v>
      </c>
      <c r="M42" t="s">
        <v>84</v>
      </c>
      <c r="N42" t="s">
        <v>71</v>
      </c>
      <c r="O42" t="s">
        <v>59</v>
      </c>
      <c r="P42" t="s">
        <v>80</v>
      </c>
      <c r="Q42">
        <v>5</v>
      </c>
      <c r="R42" s="3">
        <f t="shared" si="0"/>
        <v>2999</v>
      </c>
      <c r="S42" s="3">
        <f t="shared" si="1"/>
        <v>599.80000000000007</v>
      </c>
      <c r="T42" s="3">
        <f t="shared" si="2"/>
        <v>2448.1999999999998</v>
      </c>
      <c r="U42" s="3">
        <f t="shared" si="3"/>
        <v>348.90000000000009</v>
      </c>
      <c r="V42" s="4">
        <f t="shared" si="4"/>
        <v>0.1425128665958664</v>
      </c>
      <c r="W42" t="str">
        <f t="shared" si="5"/>
        <v>Aug</v>
      </c>
    </row>
    <row r="43" spans="1:23" x14ac:dyDescent="0.25">
      <c r="A43" t="s">
        <v>174</v>
      </c>
      <c r="B43" t="s">
        <v>175</v>
      </c>
      <c r="C43" s="2">
        <v>45878.776388888888</v>
      </c>
      <c r="D43" t="s">
        <v>35</v>
      </c>
      <c r="E43" t="s">
        <v>36</v>
      </c>
      <c r="F43" t="s">
        <v>37</v>
      </c>
      <c r="G43" t="s">
        <v>38</v>
      </c>
      <c r="H43">
        <v>1</v>
      </c>
      <c r="I43" s="3">
        <v>599</v>
      </c>
      <c r="J43" s="4">
        <v>0.05</v>
      </c>
      <c r="K43" s="3">
        <v>79</v>
      </c>
      <c r="L43" t="s">
        <v>48</v>
      </c>
      <c r="M43" t="s">
        <v>49</v>
      </c>
      <c r="N43" t="s">
        <v>40</v>
      </c>
      <c r="O43" t="s">
        <v>41</v>
      </c>
      <c r="P43" t="s">
        <v>80</v>
      </c>
      <c r="Q43">
        <v>5</v>
      </c>
      <c r="R43" s="3">
        <f t="shared" si="0"/>
        <v>599</v>
      </c>
      <c r="S43" s="3">
        <f t="shared" si="1"/>
        <v>29.950000000000003</v>
      </c>
      <c r="T43" s="3">
        <f t="shared" si="2"/>
        <v>648.04999999999995</v>
      </c>
      <c r="U43" s="3">
        <f t="shared" si="3"/>
        <v>228.75</v>
      </c>
      <c r="V43" s="4">
        <f t="shared" si="4"/>
        <v>0.35298202299205311</v>
      </c>
      <c r="W43" t="str">
        <f t="shared" si="5"/>
        <v>Aug</v>
      </c>
    </row>
    <row r="44" spans="1:23" x14ac:dyDescent="0.25">
      <c r="A44" t="s">
        <v>176</v>
      </c>
      <c r="B44" t="s">
        <v>177</v>
      </c>
      <c r="C44" s="2">
        <v>45803.695833333331</v>
      </c>
      <c r="D44" t="s">
        <v>90</v>
      </c>
      <c r="E44" t="s">
        <v>91</v>
      </c>
      <c r="F44" t="s">
        <v>37</v>
      </c>
      <c r="G44" t="s">
        <v>92</v>
      </c>
      <c r="H44">
        <v>2</v>
      </c>
      <c r="I44" s="3">
        <v>3499</v>
      </c>
      <c r="J44" s="4">
        <v>0.15</v>
      </c>
      <c r="K44" s="3">
        <v>59</v>
      </c>
      <c r="L44" t="s">
        <v>100</v>
      </c>
      <c r="M44" t="s">
        <v>101</v>
      </c>
      <c r="N44" t="s">
        <v>50</v>
      </c>
      <c r="O44" t="s">
        <v>51</v>
      </c>
      <c r="P44" t="s">
        <v>80</v>
      </c>
      <c r="Q44">
        <v>2</v>
      </c>
      <c r="R44" s="3">
        <f t="shared" si="0"/>
        <v>6998</v>
      </c>
      <c r="S44" s="3">
        <f t="shared" si="1"/>
        <v>1049.7</v>
      </c>
      <c r="T44" s="3">
        <f t="shared" si="2"/>
        <v>6007.3</v>
      </c>
      <c r="U44" s="3">
        <f t="shared" si="3"/>
        <v>1108.7000000000007</v>
      </c>
      <c r="V44" s="4">
        <f t="shared" si="4"/>
        <v>0.18455878680938204</v>
      </c>
      <c r="W44" t="str">
        <f t="shared" si="5"/>
        <v>May</v>
      </c>
    </row>
    <row r="45" spans="1:23" x14ac:dyDescent="0.25">
      <c r="A45" t="s">
        <v>178</v>
      </c>
      <c r="B45" t="s">
        <v>179</v>
      </c>
      <c r="C45" s="2">
        <v>45783.652083333327</v>
      </c>
      <c r="D45" t="s">
        <v>67</v>
      </c>
      <c r="E45" t="s">
        <v>68</v>
      </c>
      <c r="F45" t="s">
        <v>37</v>
      </c>
      <c r="G45" t="s">
        <v>38</v>
      </c>
      <c r="H45">
        <v>1</v>
      </c>
      <c r="I45" s="3">
        <v>1299</v>
      </c>
      <c r="J45" s="4">
        <v>0.1</v>
      </c>
      <c r="K45" s="3">
        <v>79</v>
      </c>
      <c r="L45" t="s">
        <v>100</v>
      </c>
      <c r="M45" t="s">
        <v>101</v>
      </c>
      <c r="N45" t="s">
        <v>50</v>
      </c>
      <c r="O45" t="s">
        <v>59</v>
      </c>
      <c r="P45" t="s">
        <v>33</v>
      </c>
      <c r="Q45">
        <v>4</v>
      </c>
      <c r="R45" s="3">
        <f t="shared" si="0"/>
        <v>1299</v>
      </c>
      <c r="S45" s="3">
        <f t="shared" si="1"/>
        <v>129.9</v>
      </c>
      <c r="T45" s="3">
        <f t="shared" si="2"/>
        <v>1248.0999999999999</v>
      </c>
      <c r="U45" s="3">
        <f t="shared" si="3"/>
        <v>338.79999999999995</v>
      </c>
      <c r="V45" s="4">
        <f t="shared" si="4"/>
        <v>0.27145260796410542</v>
      </c>
      <c r="W45" t="str">
        <f t="shared" si="5"/>
        <v>May</v>
      </c>
    </row>
    <row r="46" spans="1:23" x14ac:dyDescent="0.25">
      <c r="A46" t="s">
        <v>180</v>
      </c>
      <c r="B46" t="s">
        <v>181</v>
      </c>
      <c r="C46" s="2">
        <v>46010.039583333331</v>
      </c>
      <c r="D46" t="s">
        <v>96</v>
      </c>
      <c r="E46" t="s">
        <v>97</v>
      </c>
      <c r="F46" t="s">
        <v>98</v>
      </c>
      <c r="G46" t="s">
        <v>99</v>
      </c>
      <c r="H46">
        <v>1</v>
      </c>
      <c r="I46" s="3">
        <v>1499</v>
      </c>
      <c r="J46" s="4">
        <v>0.1</v>
      </c>
      <c r="K46" s="3">
        <v>49</v>
      </c>
      <c r="L46" t="s">
        <v>182</v>
      </c>
      <c r="M46" t="s">
        <v>114</v>
      </c>
      <c r="N46" t="s">
        <v>102</v>
      </c>
      <c r="O46" t="s">
        <v>59</v>
      </c>
      <c r="P46" t="s">
        <v>33</v>
      </c>
      <c r="Q46">
        <v>1</v>
      </c>
      <c r="R46" s="3">
        <f t="shared" si="0"/>
        <v>1499</v>
      </c>
      <c r="S46" s="3">
        <f t="shared" si="1"/>
        <v>149.9</v>
      </c>
      <c r="T46" s="3">
        <f t="shared" si="2"/>
        <v>1398.1</v>
      </c>
      <c r="U46" s="3">
        <f t="shared" si="3"/>
        <v>348.79999999999995</v>
      </c>
      <c r="V46" s="4">
        <f t="shared" si="4"/>
        <v>0.24948143909591586</v>
      </c>
      <c r="W46" t="str">
        <f t="shared" si="5"/>
        <v>Dec</v>
      </c>
    </row>
    <row r="47" spans="1:23" x14ac:dyDescent="0.25">
      <c r="A47" t="s">
        <v>183</v>
      </c>
      <c r="B47" t="s">
        <v>184</v>
      </c>
      <c r="C47" s="2">
        <v>45720.588888888888</v>
      </c>
      <c r="D47" t="s">
        <v>62</v>
      </c>
      <c r="E47" t="s">
        <v>63</v>
      </c>
      <c r="F47" t="s">
        <v>46</v>
      </c>
      <c r="G47" t="s">
        <v>64</v>
      </c>
      <c r="H47">
        <v>4</v>
      </c>
      <c r="I47" s="3">
        <v>699</v>
      </c>
      <c r="J47" s="4">
        <v>0.2</v>
      </c>
      <c r="K47" s="3">
        <v>99</v>
      </c>
      <c r="L47" t="s">
        <v>113</v>
      </c>
      <c r="M47" t="s">
        <v>114</v>
      </c>
      <c r="N47" t="s">
        <v>102</v>
      </c>
      <c r="O47" t="s">
        <v>51</v>
      </c>
      <c r="P47" t="s">
        <v>52</v>
      </c>
      <c r="R47" s="3">
        <f t="shared" si="0"/>
        <v>2796</v>
      </c>
      <c r="S47" s="3">
        <f t="shared" si="1"/>
        <v>559.20000000000005</v>
      </c>
      <c r="T47" s="3">
        <f t="shared" si="2"/>
        <v>2335.8000000000002</v>
      </c>
      <c r="U47" s="3">
        <f t="shared" si="3"/>
        <v>378.60000000000036</v>
      </c>
      <c r="V47" s="4">
        <f t="shared" si="4"/>
        <v>0.16208579501669679</v>
      </c>
      <c r="W47" t="str">
        <f t="shared" si="5"/>
        <v>Mar</v>
      </c>
    </row>
    <row r="48" spans="1:23" x14ac:dyDescent="0.25">
      <c r="A48" t="s">
        <v>185</v>
      </c>
      <c r="B48" t="s">
        <v>186</v>
      </c>
      <c r="C48" s="2">
        <v>45916.578472222223</v>
      </c>
      <c r="D48" t="s">
        <v>90</v>
      </c>
      <c r="E48" t="s">
        <v>91</v>
      </c>
      <c r="F48" t="s">
        <v>37</v>
      </c>
      <c r="G48" t="s">
        <v>92</v>
      </c>
      <c r="H48">
        <v>3</v>
      </c>
      <c r="I48" s="3">
        <v>3499</v>
      </c>
      <c r="J48" s="4">
        <v>0.1</v>
      </c>
      <c r="K48" s="3">
        <v>49</v>
      </c>
      <c r="L48" t="s">
        <v>125</v>
      </c>
      <c r="M48" t="s">
        <v>126</v>
      </c>
      <c r="N48" t="s">
        <v>40</v>
      </c>
      <c r="O48" t="s">
        <v>51</v>
      </c>
      <c r="P48" t="s">
        <v>85</v>
      </c>
      <c r="R48" s="3">
        <f t="shared" si="0"/>
        <v>10497</v>
      </c>
      <c r="S48" s="3">
        <f t="shared" si="1"/>
        <v>1049.7</v>
      </c>
      <c r="T48" s="3">
        <f t="shared" si="2"/>
        <v>9496.2999999999993</v>
      </c>
      <c r="U48" s="3">
        <f t="shared" si="3"/>
        <v>2148.3999999999996</v>
      </c>
      <c r="V48" s="4">
        <f t="shared" si="4"/>
        <v>0.22623548118740983</v>
      </c>
      <c r="W48" t="str">
        <f t="shared" si="5"/>
        <v>Sep</v>
      </c>
    </row>
    <row r="49" spans="1:23" x14ac:dyDescent="0.25">
      <c r="A49" t="s">
        <v>187</v>
      </c>
      <c r="B49" t="s">
        <v>188</v>
      </c>
      <c r="C49" s="2">
        <v>45924.652777777781</v>
      </c>
      <c r="D49" t="s">
        <v>67</v>
      </c>
      <c r="E49" t="s">
        <v>68</v>
      </c>
      <c r="F49" t="s">
        <v>37</v>
      </c>
      <c r="G49" t="s">
        <v>38</v>
      </c>
      <c r="H49">
        <v>3</v>
      </c>
      <c r="I49" s="3">
        <v>1299</v>
      </c>
      <c r="J49" s="4">
        <v>0.05</v>
      </c>
      <c r="K49" s="3">
        <v>79</v>
      </c>
      <c r="L49" t="s">
        <v>48</v>
      </c>
      <c r="M49" t="s">
        <v>49</v>
      </c>
      <c r="N49" t="s">
        <v>189</v>
      </c>
      <c r="O49" t="s">
        <v>41</v>
      </c>
      <c r="P49" t="s">
        <v>33</v>
      </c>
      <c r="Q49">
        <v>3</v>
      </c>
      <c r="R49" s="3">
        <f t="shared" si="0"/>
        <v>3897</v>
      </c>
      <c r="S49" s="3">
        <f t="shared" si="1"/>
        <v>194.85000000000002</v>
      </c>
      <c r="T49" s="3">
        <f t="shared" si="2"/>
        <v>3781.15</v>
      </c>
      <c r="U49" s="3">
        <f t="shared" si="3"/>
        <v>1053.2500000000005</v>
      </c>
      <c r="V49" s="4">
        <f t="shared" si="4"/>
        <v>0.27855282123163599</v>
      </c>
      <c r="W49" t="str">
        <f t="shared" si="5"/>
        <v>Sep</v>
      </c>
    </row>
    <row r="50" spans="1:23" x14ac:dyDescent="0.25">
      <c r="A50" t="s">
        <v>190</v>
      </c>
      <c r="B50" t="s">
        <v>132</v>
      </c>
      <c r="C50" s="2">
        <v>45699.17291666667</v>
      </c>
      <c r="D50" t="s">
        <v>169</v>
      </c>
      <c r="E50" t="s">
        <v>170</v>
      </c>
      <c r="F50" t="s">
        <v>98</v>
      </c>
      <c r="G50" t="s">
        <v>171</v>
      </c>
      <c r="H50">
        <v>3</v>
      </c>
      <c r="I50" s="3">
        <v>799</v>
      </c>
      <c r="J50" s="4">
        <v>0.1</v>
      </c>
      <c r="K50" s="3">
        <v>49</v>
      </c>
      <c r="L50" t="s">
        <v>74</v>
      </c>
      <c r="M50" t="s">
        <v>49</v>
      </c>
      <c r="N50" t="s">
        <v>31</v>
      </c>
      <c r="O50" t="s">
        <v>59</v>
      </c>
      <c r="P50" t="s">
        <v>33</v>
      </c>
      <c r="Q50">
        <v>4</v>
      </c>
      <c r="R50" s="3">
        <f t="shared" si="0"/>
        <v>2397</v>
      </c>
      <c r="S50" s="3">
        <f t="shared" si="1"/>
        <v>239.70000000000002</v>
      </c>
      <c r="T50" s="3">
        <f t="shared" si="2"/>
        <v>2206.3000000000002</v>
      </c>
      <c r="U50" s="3">
        <f t="shared" si="3"/>
        <v>528.40000000000032</v>
      </c>
      <c r="V50" s="4">
        <f t="shared" si="4"/>
        <v>0.23949598875946165</v>
      </c>
      <c r="W50" t="str">
        <f t="shared" si="5"/>
        <v>Feb</v>
      </c>
    </row>
    <row r="51" spans="1:23" x14ac:dyDescent="0.25">
      <c r="A51" t="s">
        <v>191</v>
      </c>
      <c r="B51" t="s">
        <v>192</v>
      </c>
      <c r="C51" s="2">
        <v>45689.286805555559</v>
      </c>
      <c r="D51" t="s">
        <v>169</v>
      </c>
      <c r="E51" t="s">
        <v>170</v>
      </c>
      <c r="F51" t="s">
        <v>98</v>
      </c>
      <c r="G51" t="s">
        <v>171</v>
      </c>
      <c r="H51">
        <v>2</v>
      </c>
      <c r="I51" s="3">
        <v>799</v>
      </c>
      <c r="J51" s="4">
        <v>0.1</v>
      </c>
      <c r="K51" s="3">
        <v>99</v>
      </c>
      <c r="L51" t="s">
        <v>193</v>
      </c>
      <c r="M51" t="s">
        <v>84</v>
      </c>
      <c r="N51" t="s">
        <v>102</v>
      </c>
      <c r="O51" t="s">
        <v>59</v>
      </c>
      <c r="P51" t="s">
        <v>52</v>
      </c>
      <c r="Q51">
        <v>4</v>
      </c>
      <c r="R51" s="3">
        <f t="shared" si="0"/>
        <v>1598</v>
      </c>
      <c r="S51" s="3">
        <f t="shared" si="1"/>
        <v>159.80000000000001</v>
      </c>
      <c r="T51" s="3">
        <f t="shared" si="2"/>
        <v>1537.2</v>
      </c>
      <c r="U51" s="3">
        <f t="shared" si="3"/>
        <v>418.60000000000014</v>
      </c>
      <c r="V51" s="4">
        <f t="shared" si="4"/>
        <v>0.2723132969034609</v>
      </c>
      <c r="W51" t="str">
        <f t="shared" si="5"/>
        <v>Feb</v>
      </c>
    </row>
    <row r="52" spans="1:23" x14ac:dyDescent="0.25">
      <c r="A52" t="s">
        <v>194</v>
      </c>
      <c r="B52" t="s">
        <v>82</v>
      </c>
      <c r="C52" s="2">
        <v>45857.56527777778</v>
      </c>
      <c r="D52" t="s">
        <v>35</v>
      </c>
      <c r="E52" t="s">
        <v>36</v>
      </c>
      <c r="F52" t="s">
        <v>37</v>
      </c>
      <c r="G52" t="s">
        <v>38</v>
      </c>
      <c r="H52">
        <v>1</v>
      </c>
      <c r="I52" s="3">
        <v>599</v>
      </c>
      <c r="J52" s="4">
        <v>0.2</v>
      </c>
      <c r="K52" s="3">
        <v>99</v>
      </c>
      <c r="L52" t="s">
        <v>74</v>
      </c>
      <c r="M52" t="s">
        <v>49</v>
      </c>
      <c r="N52" t="s">
        <v>40</v>
      </c>
      <c r="O52" t="s">
        <v>41</v>
      </c>
      <c r="P52" t="s">
        <v>80</v>
      </c>
      <c r="Q52">
        <v>3</v>
      </c>
      <c r="R52" s="3">
        <f t="shared" si="0"/>
        <v>599</v>
      </c>
      <c r="S52" s="3">
        <f t="shared" si="1"/>
        <v>119.80000000000001</v>
      </c>
      <c r="T52" s="3">
        <f t="shared" si="2"/>
        <v>578.20000000000005</v>
      </c>
      <c r="U52" s="3">
        <f t="shared" si="3"/>
        <v>158.90000000000009</v>
      </c>
      <c r="V52" s="4">
        <f t="shared" si="4"/>
        <v>0.27481840193704615</v>
      </c>
      <c r="W52" t="str">
        <f t="shared" si="5"/>
        <v>Jul</v>
      </c>
    </row>
    <row r="53" spans="1:23" x14ac:dyDescent="0.25">
      <c r="A53" t="s">
        <v>195</v>
      </c>
      <c r="B53" t="s">
        <v>196</v>
      </c>
      <c r="C53" s="2">
        <v>45830.904861111107</v>
      </c>
      <c r="D53" t="s">
        <v>96</v>
      </c>
      <c r="E53" t="s">
        <v>97</v>
      </c>
      <c r="F53" t="s">
        <v>98</v>
      </c>
      <c r="G53" t="s">
        <v>99</v>
      </c>
      <c r="H53">
        <v>1</v>
      </c>
      <c r="I53" s="3">
        <v>1499</v>
      </c>
      <c r="J53" s="4">
        <v>0.2</v>
      </c>
      <c r="K53" s="3">
        <v>49</v>
      </c>
      <c r="L53" t="s">
        <v>119</v>
      </c>
      <c r="M53" t="s">
        <v>120</v>
      </c>
      <c r="N53" t="s">
        <v>50</v>
      </c>
      <c r="O53" t="s">
        <v>32</v>
      </c>
      <c r="P53" t="s">
        <v>52</v>
      </c>
      <c r="Q53">
        <v>5</v>
      </c>
      <c r="R53" s="3">
        <f t="shared" si="0"/>
        <v>1499</v>
      </c>
      <c r="S53" s="3">
        <f t="shared" si="1"/>
        <v>299.8</v>
      </c>
      <c r="T53" s="3">
        <f t="shared" si="2"/>
        <v>1248.2</v>
      </c>
      <c r="U53" s="3">
        <f t="shared" si="3"/>
        <v>198.90000000000009</v>
      </c>
      <c r="V53" s="4">
        <f t="shared" si="4"/>
        <v>0.15934946322704702</v>
      </c>
      <c r="W53" t="str">
        <f t="shared" si="5"/>
        <v>Jun</v>
      </c>
    </row>
    <row r="54" spans="1:23" x14ac:dyDescent="0.25">
      <c r="A54" t="s">
        <v>197</v>
      </c>
      <c r="B54" t="s">
        <v>198</v>
      </c>
      <c r="C54" s="2">
        <v>45997.003472222219</v>
      </c>
      <c r="D54" t="s">
        <v>35</v>
      </c>
      <c r="E54" t="s">
        <v>36</v>
      </c>
      <c r="F54" t="s">
        <v>37</v>
      </c>
      <c r="G54" t="s">
        <v>38</v>
      </c>
      <c r="H54">
        <v>2</v>
      </c>
      <c r="I54" s="3">
        <v>599</v>
      </c>
      <c r="J54" s="4">
        <v>0.1</v>
      </c>
      <c r="K54" s="3">
        <v>49</v>
      </c>
      <c r="L54" t="s">
        <v>57</v>
      </c>
      <c r="M54" t="s">
        <v>58</v>
      </c>
      <c r="N54" t="s">
        <v>50</v>
      </c>
      <c r="O54" t="s">
        <v>93</v>
      </c>
      <c r="P54" t="s">
        <v>80</v>
      </c>
      <c r="Q54">
        <v>3</v>
      </c>
      <c r="R54" s="3">
        <f t="shared" si="0"/>
        <v>1198</v>
      </c>
      <c r="S54" s="3">
        <f t="shared" si="1"/>
        <v>119.80000000000001</v>
      </c>
      <c r="T54" s="3">
        <f t="shared" si="2"/>
        <v>1127.2</v>
      </c>
      <c r="U54" s="3">
        <f t="shared" si="3"/>
        <v>288.60000000000014</v>
      </c>
      <c r="V54" s="4">
        <f t="shared" si="4"/>
        <v>0.25603264726756575</v>
      </c>
      <c r="W54" t="str">
        <f t="shared" si="5"/>
        <v>Dec</v>
      </c>
    </row>
    <row r="55" spans="1:23" x14ac:dyDescent="0.25">
      <c r="A55" t="s">
        <v>199</v>
      </c>
      <c r="B55" t="s">
        <v>200</v>
      </c>
      <c r="C55" s="2">
        <v>45825.45</v>
      </c>
      <c r="D55" t="s">
        <v>96</v>
      </c>
      <c r="E55" t="s">
        <v>97</v>
      </c>
      <c r="F55" t="s">
        <v>98</v>
      </c>
      <c r="G55" t="s">
        <v>99</v>
      </c>
      <c r="H55">
        <v>1</v>
      </c>
      <c r="I55" s="3">
        <v>1499</v>
      </c>
      <c r="J55" s="4">
        <v>0.05</v>
      </c>
      <c r="K55" s="3">
        <v>79</v>
      </c>
      <c r="L55" t="s">
        <v>74</v>
      </c>
      <c r="M55" t="s">
        <v>49</v>
      </c>
      <c r="N55" t="s">
        <v>31</v>
      </c>
      <c r="O55" t="s">
        <v>59</v>
      </c>
      <c r="P55" t="s">
        <v>52</v>
      </c>
      <c r="Q55">
        <v>1</v>
      </c>
      <c r="R55" s="3">
        <f t="shared" si="0"/>
        <v>1499</v>
      </c>
      <c r="S55" s="3">
        <f t="shared" si="1"/>
        <v>74.95</v>
      </c>
      <c r="T55" s="3">
        <f t="shared" si="2"/>
        <v>1503.05</v>
      </c>
      <c r="U55" s="3">
        <f t="shared" si="3"/>
        <v>453.75</v>
      </c>
      <c r="V55" s="4">
        <f t="shared" si="4"/>
        <v>0.30188616479824359</v>
      </c>
      <c r="W55" t="str">
        <f t="shared" si="5"/>
        <v>Jun</v>
      </c>
    </row>
    <row r="56" spans="1:23" x14ac:dyDescent="0.25">
      <c r="A56" t="s">
        <v>201</v>
      </c>
      <c r="B56" t="s">
        <v>202</v>
      </c>
      <c r="C56" s="2">
        <v>45837.320138888892</v>
      </c>
      <c r="D56" t="s">
        <v>77</v>
      </c>
      <c r="E56" t="s">
        <v>78</v>
      </c>
      <c r="F56" t="s">
        <v>79</v>
      </c>
      <c r="G56" t="s">
        <v>28</v>
      </c>
      <c r="H56">
        <v>1</v>
      </c>
      <c r="I56" s="3">
        <v>6499</v>
      </c>
      <c r="J56" s="4">
        <v>0.2</v>
      </c>
      <c r="K56" s="3">
        <v>0</v>
      </c>
      <c r="L56" t="s">
        <v>83</v>
      </c>
      <c r="M56" t="s">
        <v>84</v>
      </c>
      <c r="N56" t="s">
        <v>50</v>
      </c>
      <c r="O56" t="s">
        <v>41</v>
      </c>
      <c r="P56" t="s">
        <v>33</v>
      </c>
      <c r="R56" s="3">
        <f t="shared" si="0"/>
        <v>6499</v>
      </c>
      <c r="S56" s="3">
        <f t="shared" si="1"/>
        <v>1299.8000000000002</v>
      </c>
      <c r="T56" s="3">
        <f t="shared" si="2"/>
        <v>5199.2</v>
      </c>
      <c r="U56" s="3">
        <f t="shared" si="3"/>
        <v>649.90000000000055</v>
      </c>
      <c r="V56" s="4">
        <f t="shared" si="4"/>
        <v>0.12500000000000011</v>
      </c>
      <c r="W56" t="str">
        <f t="shared" si="5"/>
        <v>Jun</v>
      </c>
    </row>
    <row r="57" spans="1:23" x14ac:dyDescent="0.25">
      <c r="A57" t="s">
        <v>203</v>
      </c>
      <c r="B57" t="s">
        <v>204</v>
      </c>
      <c r="C57" s="2">
        <v>45722.654166666667</v>
      </c>
      <c r="D57" t="s">
        <v>35</v>
      </c>
      <c r="E57" t="s">
        <v>36</v>
      </c>
      <c r="F57" t="s">
        <v>37</v>
      </c>
      <c r="G57" t="s">
        <v>38</v>
      </c>
      <c r="H57">
        <v>1</v>
      </c>
      <c r="I57" s="3">
        <v>599</v>
      </c>
      <c r="J57" s="4">
        <v>0.15</v>
      </c>
      <c r="K57" s="3">
        <v>49</v>
      </c>
      <c r="L57" t="s">
        <v>125</v>
      </c>
      <c r="M57" t="s">
        <v>126</v>
      </c>
      <c r="N57" t="s">
        <v>71</v>
      </c>
      <c r="O57" t="s">
        <v>51</v>
      </c>
      <c r="P57" t="s">
        <v>33</v>
      </c>
      <c r="Q57">
        <v>2</v>
      </c>
      <c r="R57" s="3">
        <f t="shared" si="0"/>
        <v>599</v>
      </c>
      <c r="S57" s="3">
        <f t="shared" si="1"/>
        <v>89.85</v>
      </c>
      <c r="T57" s="3">
        <f t="shared" si="2"/>
        <v>558.15</v>
      </c>
      <c r="U57" s="3">
        <f t="shared" si="3"/>
        <v>138.85000000000002</v>
      </c>
      <c r="V57" s="4">
        <f t="shared" si="4"/>
        <v>0.2487682522619368</v>
      </c>
      <c r="W57" t="str">
        <f t="shared" si="5"/>
        <v>Mar</v>
      </c>
    </row>
    <row r="58" spans="1:23" x14ac:dyDescent="0.25">
      <c r="A58" t="s">
        <v>205</v>
      </c>
      <c r="B58" t="s">
        <v>116</v>
      </c>
      <c r="C58" s="2">
        <v>45716.22152777778</v>
      </c>
      <c r="D58" t="s">
        <v>44</v>
      </c>
      <c r="E58" t="s">
        <v>45</v>
      </c>
      <c r="F58" t="s">
        <v>46</v>
      </c>
      <c r="G58" t="s">
        <v>47</v>
      </c>
      <c r="H58">
        <v>4</v>
      </c>
      <c r="I58" s="3">
        <v>1199</v>
      </c>
      <c r="J58" s="4">
        <v>0.15</v>
      </c>
      <c r="K58" s="3">
        <v>0</v>
      </c>
      <c r="L58" t="s">
        <v>125</v>
      </c>
      <c r="M58" t="s">
        <v>126</v>
      </c>
      <c r="N58" t="s">
        <v>102</v>
      </c>
      <c r="O58" t="s">
        <v>59</v>
      </c>
      <c r="P58" t="s">
        <v>33</v>
      </c>
      <c r="Q58">
        <v>4</v>
      </c>
      <c r="R58" s="3">
        <f t="shared" si="0"/>
        <v>4796</v>
      </c>
      <c r="S58" s="3">
        <f t="shared" si="1"/>
        <v>719.4</v>
      </c>
      <c r="T58" s="3">
        <f t="shared" si="2"/>
        <v>4076.6</v>
      </c>
      <c r="U58" s="3">
        <f t="shared" si="3"/>
        <v>719.40000000000009</v>
      </c>
      <c r="V58" s="4">
        <f t="shared" si="4"/>
        <v>0.17647058823529416</v>
      </c>
      <c r="W58" t="str">
        <f t="shared" si="5"/>
        <v>Feb</v>
      </c>
    </row>
    <row r="59" spans="1:23" x14ac:dyDescent="0.25">
      <c r="A59" t="s">
        <v>206</v>
      </c>
      <c r="B59" t="s">
        <v>207</v>
      </c>
      <c r="C59" s="2">
        <v>46011.84375</v>
      </c>
      <c r="D59" t="s">
        <v>77</v>
      </c>
      <c r="E59" t="s">
        <v>78</v>
      </c>
      <c r="F59" t="s">
        <v>79</v>
      </c>
      <c r="G59" t="s">
        <v>28</v>
      </c>
      <c r="H59">
        <v>1</v>
      </c>
      <c r="I59" s="3">
        <v>6499</v>
      </c>
      <c r="J59" s="4">
        <v>0.2</v>
      </c>
      <c r="K59" s="3">
        <v>59</v>
      </c>
      <c r="L59" t="s">
        <v>113</v>
      </c>
      <c r="M59" t="s">
        <v>114</v>
      </c>
      <c r="N59" t="s">
        <v>102</v>
      </c>
      <c r="O59" t="s">
        <v>93</v>
      </c>
      <c r="P59" t="s">
        <v>33</v>
      </c>
      <c r="Q59">
        <v>3</v>
      </c>
      <c r="R59" s="3">
        <f t="shared" si="0"/>
        <v>6499</v>
      </c>
      <c r="S59" s="3">
        <f t="shared" si="1"/>
        <v>1299.8000000000002</v>
      </c>
      <c r="T59" s="3">
        <f t="shared" si="2"/>
        <v>5258.2</v>
      </c>
      <c r="U59" s="3">
        <f t="shared" si="3"/>
        <v>708.90000000000055</v>
      </c>
      <c r="V59" s="4">
        <f t="shared" si="4"/>
        <v>0.13481799855463858</v>
      </c>
      <c r="W59" t="str">
        <f t="shared" si="5"/>
        <v>Dec</v>
      </c>
    </row>
    <row r="60" spans="1:23" x14ac:dyDescent="0.25">
      <c r="A60" t="s">
        <v>208</v>
      </c>
      <c r="B60" t="s">
        <v>104</v>
      </c>
      <c r="C60" s="2">
        <v>45693.695138888892</v>
      </c>
      <c r="D60" t="s">
        <v>62</v>
      </c>
      <c r="E60" t="s">
        <v>63</v>
      </c>
      <c r="F60" t="s">
        <v>46</v>
      </c>
      <c r="G60" t="s">
        <v>64</v>
      </c>
      <c r="H60">
        <v>2</v>
      </c>
      <c r="I60" s="3">
        <v>699</v>
      </c>
      <c r="J60" s="4">
        <v>0</v>
      </c>
      <c r="K60" s="3">
        <v>79</v>
      </c>
      <c r="L60" t="s">
        <v>209</v>
      </c>
      <c r="M60" t="s">
        <v>58</v>
      </c>
      <c r="N60" t="s">
        <v>31</v>
      </c>
      <c r="O60" t="s">
        <v>59</v>
      </c>
      <c r="P60" t="s">
        <v>33</v>
      </c>
      <c r="Q60">
        <v>3</v>
      </c>
      <c r="R60" s="3">
        <f t="shared" si="0"/>
        <v>1398</v>
      </c>
      <c r="S60" s="3">
        <f t="shared" si="1"/>
        <v>0</v>
      </c>
      <c r="T60" s="3">
        <f t="shared" si="2"/>
        <v>1477</v>
      </c>
      <c r="U60" s="3">
        <f t="shared" si="3"/>
        <v>498.40000000000009</v>
      </c>
      <c r="V60" s="4">
        <f t="shared" si="4"/>
        <v>0.3374407582938389</v>
      </c>
      <c r="W60" t="str">
        <f t="shared" si="5"/>
        <v>Feb</v>
      </c>
    </row>
    <row r="61" spans="1:23" x14ac:dyDescent="0.25">
      <c r="A61" t="s">
        <v>210</v>
      </c>
      <c r="B61" t="s">
        <v>211</v>
      </c>
      <c r="C61" s="2">
        <v>45880.240277777782</v>
      </c>
      <c r="D61" t="s">
        <v>25</v>
      </c>
      <c r="E61" t="s">
        <v>26</v>
      </c>
      <c r="F61" t="s">
        <v>27</v>
      </c>
      <c r="G61" t="s">
        <v>28</v>
      </c>
      <c r="H61">
        <v>2</v>
      </c>
      <c r="I61" s="3">
        <v>249</v>
      </c>
      <c r="J61" s="4">
        <v>0.2</v>
      </c>
      <c r="K61" s="3">
        <v>59</v>
      </c>
      <c r="L61" t="s">
        <v>119</v>
      </c>
      <c r="M61" t="s">
        <v>120</v>
      </c>
      <c r="N61" t="s">
        <v>40</v>
      </c>
      <c r="O61" t="s">
        <v>59</v>
      </c>
      <c r="P61" t="s">
        <v>85</v>
      </c>
      <c r="Q61">
        <v>4</v>
      </c>
      <c r="R61" s="3">
        <f t="shared" si="0"/>
        <v>498</v>
      </c>
      <c r="S61" s="3">
        <f t="shared" si="1"/>
        <v>99.600000000000009</v>
      </c>
      <c r="T61" s="3">
        <f t="shared" si="2"/>
        <v>457.4</v>
      </c>
      <c r="U61" s="3">
        <f t="shared" si="3"/>
        <v>108.80000000000001</v>
      </c>
      <c r="V61" s="4">
        <f t="shared" si="4"/>
        <v>0.23786620026235247</v>
      </c>
      <c r="W61" t="str">
        <f t="shared" si="5"/>
        <v>Aug</v>
      </c>
    </row>
    <row r="62" spans="1:23" x14ac:dyDescent="0.25">
      <c r="A62" t="s">
        <v>212</v>
      </c>
      <c r="B62" t="s">
        <v>173</v>
      </c>
      <c r="C62" s="2">
        <v>45783.095138888893</v>
      </c>
      <c r="D62" t="s">
        <v>77</v>
      </c>
      <c r="E62" t="s">
        <v>78</v>
      </c>
      <c r="F62" t="s">
        <v>79</v>
      </c>
      <c r="G62" t="s">
        <v>28</v>
      </c>
      <c r="H62">
        <v>1</v>
      </c>
      <c r="I62" s="3">
        <v>6499</v>
      </c>
      <c r="J62" s="4">
        <v>0</v>
      </c>
      <c r="K62" s="3">
        <v>79</v>
      </c>
      <c r="L62" t="s">
        <v>125</v>
      </c>
      <c r="M62" t="s">
        <v>126</v>
      </c>
      <c r="N62" t="s">
        <v>102</v>
      </c>
      <c r="O62" t="s">
        <v>59</v>
      </c>
      <c r="P62" t="s">
        <v>52</v>
      </c>
      <c r="Q62">
        <v>3</v>
      </c>
      <c r="R62" s="3">
        <f t="shared" si="0"/>
        <v>6499</v>
      </c>
      <c r="S62" s="3">
        <f t="shared" si="1"/>
        <v>0</v>
      </c>
      <c r="T62" s="3">
        <f t="shared" si="2"/>
        <v>6578</v>
      </c>
      <c r="U62" s="3">
        <f t="shared" si="3"/>
        <v>2028.7000000000007</v>
      </c>
      <c r="V62" s="4">
        <f t="shared" si="4"/>
        <v>0.30840681058072372</v>
      </c>
      <c r="W62" t="str">
        <f t="shared" si="5"/>
        <v>May</v>
      </c>
    </row>
    <row r="63" spans="1:23" x14ac:dyDescent="0.25">
      <c r="A63" t="s">
        <v>213</v>
      </c>
      <c r="B63" t="s">
        <v>214</v>
      </c>
      <c r="C63" s="2">
        <v>45751.634027777778</v>
      </c>
      <c r="D63" t="s">
        <v>35</v>
      </c>
      <c r="E63" t="s">
        <v>36</v>
      </c>
      <c r="F63" t="s">
        <v>37</v>
      </c>
      <c r="G63" t="s">
        <v>38</v>
      </c>
      <c r="H63">
        <v>3</v>
      </c>
      <c r="I63" s="3">
        <v>599</v>
      </c>
      <c r="J63" s="4">
        <v>0.05</v>
      </c>
      <c r="K63" s="3">
        <v>59</v>
      </c>
      <c r="L63" t="s">
        <v>119</v>
      </c>
      <c r="M63" t="s">
        <v>120</v>
      </c>
      <c r="N63" t="s">
        <v>102</v>
      </c>
      <c r="O63" t="s">
        <v>51</v>
      </c>
      <c r="P63" t="s">
        <v>33</v>
      </c>
      <c r="Q63">
        <v>5</v>
      </c>
      <c r="R63" s="3">
        <f t="shared" si="0"/>
        <v>1797</v>
      </c>
      <c r="S63" s="3">
        <f t="shared" si="1"/>
        <v>89.850000000000009</v>
      </c>
      <c r="T63" s="3">
        <f t="shared" si="2"/>
        <v>1766.15</v>
      </c>
      <c r="U63" s="3">
        <f t="shared" si="3"/>
        <v>508.25000000000023</v>
      </c>
      <c r="V63" s="4">
        <f t="shared" si="4"/>
        <v>0.28777283922656638</v>
      </c>
      <c r="W63" t="str">
        <f t="shared" si="5"/>
        <v>Apr</v>
      </c>
    </row>
    <row r="64" spans="1:23" x14ac:dyDescent="0.25">
      <c r="A64" t="s">
        <v>215</v>
      </c>
      <c r="B64" t="s">
        <v>216</v>
      </c>
      <c r="C64" s="2">
        <v>45701.323611111111</v>
      </c>
      <c r="D64" t="s">
        <v>35</v>
      </c>
      <c r="E64" t="s">
        <v>36</v>
      </c>
      <c r="F64" t="s">
        <v>37</v>
      </c>
      <c r="G64" t="s">
        <v>38</v>
      </c>
      <c r="H64">
        <v>4</v>
      </c>
      <c r="I64" s="3">
        <v>599</v>
      </c>
      <c r="J64" s="4">
        <v>0.1</v>
      </c>
      <c r="K64" s="3">
        <v>99</v>
      </c>
      <c r="L64" t="s">
        <v>83</v>
      </c>
      <c r="M64" t="s">
        <v>84</v>
      </c>
      <c r="N64" t="s">
        <v>40</v>
      </c>
      <c r="O64" t="s">
        <v>59</v>
      </c>
      <c r="P64" t="s">
        <v>52</v>
      </c>
      <c r="Q64">
        <v>4</v>
      </c>
      <c r="R64" s="3">
        <f t="shared" si="0"/>
        <v>2396</v>
      </c>
      <c r="S64" s="3">
        <f t="shared" si="1"/>
        <v>239.60000000000002</v>
      </c>
      <c r="T64" s="3">
        <f t="shared" si="2"/>
        <v>2255.4</v>
      </c>
      <c r="U64" s="3">
        <f t="shared" si="3"/>
        <v>578.20000000000027</v>
      </c>
      <c r="V64" s="4">
        <f t="shared" si="4"/>
        <v>0.25636250775915592</v>
      </c>
      <c r="W64" t="str">
        <f t="shared" si="5"/>
        <v>Feb</v>
      </c>
    </row>
    <row r="65" spans="1:23" x14ac:dyDescent="0.25">
      <c r="A65" t="s">
        <v>217</v>
      </c>
      <c r="B65" t="s">
        <v>218</v>
      </c>
      <c r="C65" s="2">
        <v>45865.927083333343</v>
      </c>
      <c r="D65" t="s">
        <v>35</v>
      </c>
      <c r="E65" t="s">
        <v>36</v>
      </c>
      <c r="F65" t="s">
        <v>37</v>
      </c>
      <c r="G65" t="s">
        <v>38</v>
      </c>
      <c r="H65">
        <v>1</v>
      </c>
      <c r="I65" s="3">
        <v>599</v>
      </c>
      <c r="J65" s="4">
        <v>0.2</v>
      </c>
      <c r="K65" s="3">
        <v>99</v>
      </c>
      <c r="L65" t="s">
        <v>29</v>
      </c>
      <c r="M65" t="s">
        <v>30</v>
      </c>
      <c r="N65" t="s">
        <v>40</v>
      </c>
      <c r="O65" t="s">
        <v>32</v>
      </c>
      <c r="P65" t="s">
        <v>33</v>
      </c>
      <c r="Q65">
        <v>5</v>
      </c>
      <c r="R65" s="3">
        <f t="shared" si="0"/>
        <v>599</v>
      </c>
      <c r="S65" s="3">
        <f t="shared" si="1"/>
        <v>119.80000000000001</v>
      </c>
      <c r="T65" s="3">
        <f t="shared" si="2"/>
        <v>578.20000000000005</v>
      </c>
      <c r="U65" s="3">
        <f t="shared" si="3"/>
        <v>158.90000000000009</v>
      </c>
      <c r="V65" s="4">
        <f t="shared" si="4"/>
        <v>0.27481840193704615</v>
      </c>
      <c r="W65" t="str">
        <f t="shared" si="5"/>
        <v>Jul</v>
      </c>
    </row>
    <row r="66" spans="1:23" x14ac:dyDescent="0.25">
      <c r="A66" t="s">
        <v>219</v>
      </c>
      <c r="B66" t="s">
        <v>220</v>
      </c>
      <c r="C66" s="2">
        <v>45939.431944444441</v>
      </c>
      <c r="D66" t="s">
        <v>169</v>
      </c>
      <c r="E66" t="s">
        <v>170</v>
      </c>
      <c r="F66" t="s">
        <v>98</v>
      </c>
      <c r="G66" t="s">
        <v>171</v>
      </c>
      <c r="H66">
        <v>5</v>
      </c>
      <c r="I66" s="3">
        <v>799</v>
      </c>
      <c r="J66" s="4">
        <v>0.1</v>
      </c>
      <c r="K66" s="3">
        <v>59</v>
      </c>
      <c r="L66" t="s">
        <v>57</v>
      </c>
      <c r="M66" t="s">
        <v>58</v>
      </c>
      <c r="N66" t="s">
        <v>71</v>
      </c>
      <c r="O66" t="s">
        <v>41</v>
      </c>
      <c r="P66" t="s">
        <v>80</v>
      </c>
      <c r="Q66">
        <v>1</v>
      </c>
      <c r="R66" s="3">
        <f t="shared" ref="R66:R129" si="6">IFERROR(H66*I66,"")</f>
        <v>3995</v>
      </c>
      <c r="S66" s="3">
        <f t="shared" ref="S66:S129" si="7">IFERROR(R66*J66,"")</f>
        <v>399.5</v>
      </c>
      <c r="T66" s="3">
        <f t="shared" ref="T66:T129" si="8">IFERROR(R66-S66+K66,"")</f>
        <v>3654.5</v>
      </c>
      <c r="U66" s="3">
        <f t="shared" ref="U66:U129" si="9">IFERROR(T66-(R66*70%),"")</f>
        <v>858</v>
      </c>
      <c r="V66" s="4">
        <f t="shared" ref="V66:V129" si="10">IFERROR(U66/T66,"")</f>
        <v>0.23477903954029278</v>
      </c>
      <c r="W66" t="str">
        <f t="shared" ref="W66:W129" si="11">IFERROR(TEXT(C66,"mmm"),"")</f>
        <v>Oct</v>
      </c>
    </row>
    <row r="67" spans="1:23" x14ac:dyDescent="0.25">
      <c r="A67" t="s">
        <v>221</v>
      </c>
      <c r="B67" t="s">
        <v>222</v>
      </c>
      <c r="C67" s="2">
        <v>45932.924305555563</v>
      </c>
      <c r="D67" t="s">
        <v>77</v>
      </c>
      <c r="E67" t="s">
        <v>78</v>
      </c>
      <c r="F67" t="s">
        <v>79</v>
      </c>
      <c r="G67" t="s">
        <v>28</v>
      </c>
      <c r="H67">
        <v>1</v>
      </c>
      <c r="I67" s="3">
        <v>6499</v>
      </c>
      <c r="J67" s="4">
        <v>0</v>
      </c>
      <c r="K67" s="3">
        <v>79</v>
      </c>
      <c r="L67" t="s">
        <v>113</v>
      </c>
      <c r="M67" t="s">
        <v>114</v>
      </c>
      <c r="N67" t="s">
        <v>102</v>
      </c>
      <c r="O67" t="s">
        <v>32</v>
      </c>
      <c r="P67" t="s">
        <v>33</v>
      </c>
      <c r="Q67">
        <v>5</v>
      </c>
      <c r="R67" s="3">
        <f t="shared" si="6"/>
        <v>6499</v>
      </c>
      <c r="S67" s="3">
        <f t="shared" si="7"/>
        <v>0</v>
      </c>
      <c r="T67" s="3">
        <f t="shared" si="8"/>
        <v>6578</v>
      </c>
      <c r="U67" s="3">
        <f t="shared" si="9"/>
        <v>2028.7000000000007</v>
      </c>
      <c r="V67" s="4">
        <f t="shared" si="10"/>
        <v>0.30840681058072372</v>
      </c>
      <c r="W67" t="str">
        <f t="shared" si="11"/>
        <v>Oct</v>
      </c>
    </row>
    <row r="68" spans="1:23" x14ac:dyDescent="0.25">
      <c r="A68" t="s">
        <v>223</v>
      </c>
      <c r="B68" t="s">
        <v>224</v>
      </c>
      <c r="C68" s="2">
        <v>45809.307638888888</v>
      </c>
      <c r="D68" t="s">
        <v>110</v>
      </c>
      <c r="E68" t="s">
        <v>111</v>
      </c>
      <c r="F68" t="s">
        <v>98</v>
      </c>
      <c r="G68" t="s">
        <v>112</v>
      </c>
      <c r="H68">
        <v>3</v>
      </c>
      <c r="I68" s="3">
        <v>2999</v>
      </c>
      <c r="J68" s="4">
        <v>0.05</v>
      </c>
      <c r="K68" s="3">
        <v>0</v>
      </c>
      <c r="L68" t="s">
        <v>29</v>
      </c>
      <c r="M68" t="s">
        <v>30</v>
      </c>
      <c r="N68" t="s">
        <v>50</v>
      </c>
      <c r="O68" t="s">
        <v>51</v>
      </c>
      <c r="P68" t="s">
        <v>33</v>
      </c>
      <c r="Q68">
        <v>1</v>
      </c>
      <c r="R68" s="3">
        <f t="shared" si="6"/>
        <v>8997</v>
      </c>
      <c r="S68" s="3">
        <f t="shared" si="7"/>
        <v>449.85</v>
      </c>
      <c r="T68" s="3">
        <f t="shared" si="8"/>
        <v>8547.15</v>
      </c>
      <c r="U68" s="3">
        <f t="shared" si="9"/>
        <v>2249.25</v>
      </c>
      <c r="V68" s="4">
        <f t="shared" si="10"/>
        <v>0.26315789473684209</v>
      </c>
      <c r="W68" t="str">
        <f t="shared" si="11"/>
        <v>Jun</v>
      </c>
    </row>
    <row r="69" spans="1:23" x14ac:dyDescent="0.25">
      <c r="A69" t="s">
        <v>225</v>
      </c>
      <c r="B69" t="s">
        <v>226</v>
      </c>
      <c r="C69" s="2">
        <v>45722.871527777781</v>
      </c>
      <c r="D69" t="s">
        <v>35</v>
      </c>
      <c r="E69" t="s">
        <v>36</v>
      </c>
      <c r="F69" t="s">
        <v>37</v>
      </c>
      <c r="G69" t="s">
        <v>38</v>
      </c>
      <c r="H69">
        <v>1</v>
      </c>
      <c r="I69" s="3">
        <v>599</v>
      </c>
      <c r="J69" s="4">
        <v>0</v>
      </c>
      <c r="K69" s="3">
        <v>0</v>
      </c>
      <c r="L69" t="s">
        <v>83</v>
      </c>
      <c r="M69" t="s">
        <v>84</v>
      </c>
      <c r="N69" t="s">
        <v>71</v>
      </c>
      <c r="O69" t="s">
        <v>59</v>
      </c>
      <c r="P69" t="s">
        <v>52</v>
      </c>
      <c r="Q69">
        <v>4</v>
      </c>
      <c r="R69" s="3">
        <f t="shared" si="6"/>
        <v>599</v>
      </c>
      <c r="S69" s="3">
        <f t="shared" si="7"/>
        <v>0</v>
      </c>
      <c r="T69" s="3">
        <f t="shared" si="8"/>
        <v>599</v>
      </c>
      <c r="U69" s="3">
        <f t="shared" si="9"/>
        <v>179.70000000000005</v>
      </c>
      <c r="V69" s="4">
        <f t="shared" si="10"/>
        <v>0.3000000000000001</v>
      </c>
      <c r="W69" t="str">
        <f t="shared" si="11"/>
        <v>Mar</v>
      </c>
    </row>
    <row r="70" spans="1:23" x14ac:dyDescent="0.25">
      <c r="A70" t="s">
        <v>227</v>
      </c>
      <c r="B70" t="s">
        <v>228</v>
      </c>
      <c r="C70" s="2">
        <v>45684.371527777781</v>
      </c>
      <c r="D70" t="s">
        <v>90</v>
      </c>
      <c r="E70" t="s">
        <v>91</v>
      </c>
      <c r="F70" t="s">
        <v>37</v>
      </c>
      <c r="G70" t="s">
        <v>92</v>
      </c>
      <c r="H70">
        <v>1</v>
      </c>
      <c r="I70" s="3">
        <v>3499</v>
      </c>
      <c r="J70" s="4">
        <v>0</v>
      </c>
      <c r="K70" s="3">
        <v>0</v>
      </c>
      <c r="L70" t="s">
        <v>74</v>
      </c>
      <c r="M70" t="s">
        <v>49</v>
      </c>
      <c r="N70" t="s">
        <v>40</v>
      </c>
      <c r="O70" t="s">
        <v>93</v>
      </c>
      <c r="P70" t="s">
        <v>52</v>
      </c>
      <c r="Q70">
        <v>5</v>
      </c>
      <c r="R70" s="3">
        <f t="shared" si="6"/>
        <v>3499</v>
      </c>
      <c r="S70" s="3">
        <f t="shared" si="7"/>
        <v>0</v>
      </c>
      <c r="T70" s="3">
        <f t="shared" si="8"/>
        <v>3499</v>
      </c>
      <c r="U70" s="3">
        <f t="shared" si="9"/>
        <v>1049.7000000000003</v>
      </c>
      <c r="V70" s="4">
        <f t="shared" si="10"/>
        <v>0.3000000000000001</v>
      </c>
      <c r="W70" t="str">
        <f t="shared" si="11"/>
        <v>Jan</v>
      </c>
    </row>
    <row r="71" spans="1:23" x14ac:dyDescent="0.25">
      <c r="A71" t="s">
        <v>229</v>
      </c>
      <c r="B71" t="s">
        <v>230</v>
      </c>
      <c r="C71" s="2">
        <v>45946.378472222219</v>
      </c>
      <c r="D71" t="s">
        <v>25</v>
      </c>
      <c r="E71" t="s">
        <v>26</v>
      </c>
      <c r="F71" t="s">
        <v>27</v>
      </c>
      <c r="G71" t="s">
        <v>28</v>
      </c>
      <c r="H71">
        <v>1</v>
      </c>
      <c r="I71" s="3">
        <v>249</v>
      </c>
      <c r="J71" s="4">
        <v>0</v>
      </c>
      <c r="K71" s="3">
        <v>99</v>
      </c>
      <c r="L71" t="s">
        <v>39</v>
      </c>
      <c r="M71" t="s">
        <v>39</v>
      </c>
      <c r="N71" t="s">
        <v>102</v>
      </c>
      <c r="O71" t="s">
        <v>32</v>
      </c>
      <c r="P71" t="s">
        <v>33</v>
      </c>
      <c r="R71" s="3">
        <f t="shared" si="6"/>
        <v>249</v>
      </c>
      <c r="S71" s="3">
        <f t="shared" si="7"/>
        <v>0</v>
      </c>
      <c r="T71" s="3">
        <f t="shared" si="8"/>
        <v>348</v>
      </c>
      <c r="U71" s="3">
        <f t="shared" si="9"/>
        <v>173.70000000000002</v>
      </c>
      <c r="V71" s="4">
        <f t="shared" si="10"/>
        <v>0.49913793103448278</v>
      </c>
      <c r="W71" t="str">
        <f t="shared" si="11"/>
        <v>Oct</v>
      </c>
    </row>
    <row r="72" spans="1:23" x14ac:dyDescent="0.25">
      <c r="A72" t="s">
        <v>231</v>
      </c>
      <c r="B72" t="s">
        <v>232</v>
      </c>
      <c r="C72" s="2">
        <v>45852.623611111107</v>
      </c>
      <c r="D72" t="s">
        <v>44</v>
      </c>
      <c r="E72" t="s">
        <v>45</v>
      </c>
      <c r="F72" t="s">
        <v>46</v>
      </c>
      <c r="G72" t="s">
        <v>47</v>
      </c>
      <c r="H72">
        <v>3</v>
      </c>
      <c r="I72" s="3">
        <v>1199</v>
      </c>
      <c r="J72" s="4">
        <v>0.05</v>
      </c>
      <c r="K72" s="3">
        <v>99</v>
      </c>
      <c r="L72" t="s">
        <v>113</v>
      </c>
      <c r="M72" t="s">
        <v>114</v>
      </c>
      <c r="N72" t="s">
        <v>71</v>
      </c>
      <c r="O72" t="s">
        <v>32</v>
      </c>
      <c r="P72" t="s">
        <v>52</v>
      </c>
      <c r="Q72">
        <v>5</v>
      </c>
      <c r="R72" s="3">
        <f t="shared" si="6"/>
        <v>3597</v>
      </c>
      <c r="S72" s="3">
        <f t="shared" si="7"/>
        <v>179.85000000000002</v>
      </c>
      <c r="T72" s="3">
        <f t="shared" si="8"/>
        <v>3516.15</v>
      </c>
      <c r="U72" s="3">
        <f t="shared" si="9"/>
        <v>998.25000000000045</v>
      </c>
      <c r="V72" s="4">
        <f t="shared" si="10"/>
        <v>0.28390427029563597</v>
      </c>
      <c r="W72" t="str">
        <f t="shared" si="11"/>
        <v>Jul</v>
      </c>
    </row>
    <row r="73" spans="1:23" x14ac:dyDescent="0.25">
      <c r="A73" t="s">
        <v>233</v>
      </c>
      <c r="B73" t="s">
        <v>234</v>
      </c>
      <c r="C73" s="2">
        <v>45708.277777777781</v>
      </c>
      <c r="D73" t="s">
        <v>35</v>
      </c>
      <c r="E73" t="s">
        <v>36</v>
      </c>
      <c r="F73" t="s">
        <v>37</v>
      </c>
      <c r="G73" t="s">
        <v>38</v>
      </c>
      <c r="H73">
        <v>4</v>
      </c>
      <c r="I73" s="3">
        <v>599</v>
      </c>
      <c r="J73" s="4">
        <v>0.05</v>
      </c>
      <c r="K73" s="3">
        <v>0</v>
      </c>
      <c r="L73" t="s">
        <v>125</v>
      </c>
      <c r="M73" t="s">
        <v>126</v>
      </c>
      <c r="N73" t="s">
        <v>50</v>
      </c>
      <c r="O73" t="s">
        <v>41</v>
      </c>
      <c r="P73" t="s">
        <v>33</v>
      </c>
      <c r="Q73">
        <v>5</v>
      </c>
      <c r="R73" s="3">
        <f t="shared" si="6"/>
        <v>2396</v>
      </c>
      <c r="S73" s="3">
        <f t="shared" si="7"/>
        <v>119.80000000000001</v>
      </c>
      <c r="T73" s="3">
        <f t="shared" si="8"/>
        <v>2276.1999999999998</v>
      </c>
      <c r="U73" s="3">
        <f t="shared" si="9"/>
        <v>599</v>
      </c>
      <c r="V73" s="4">
        <f t="shared" si="10"/>
        <v>0.26315789473684215</v>
      </c>
      <c r="W73" t="str">
        <f t="shared" si="11"/>
        <v>Feb</v>
      </c>
    </row>
    <row r="74" spans="1:23" x14ac:dyDescent="0.25">
      <c r="A74" t="s">
        <v>235</v>
      </c>
      <c r="B74" t="s">
        <v>236</v>
      </c>
      <c r="C74" s="2">
        <v>45888.943055555559</v>
      </c>
      <c r="D74" t="s">
        <v>55</v>
      </c>
      <c r="E74" t="s">
        <v>56</v>
      </c>
      <c r="F74" t="s">
        <v>37</v>
      </c>
      <c r="G74" t="s">
        <v>38</v>
      </c>
      <c r="H74">
        <v>1</v>
      </c>
      <c r="I74" s="3">
        <v>2499</v>
      </c>
      <c r="J74" s="4">
        <v>0.05</v>
      </c>
      <c r="K74" s="3">
        <v>0</v>
      </c>
      <c r="L74" t="s">
        <v>100</v>
      </c>
      <c r="M74" t="s">
        <v>101</v>
      </c>
      <c r="N74" t="s">
        <v>71</v>
      </c>
      <c r="O74" t="s">
        <v>51</v>
      </c>
      <c r="P74" t="s">
        <v>52</v>
      </c>
      <c r="R74" s="3">
        <f t="shared" si="6"/>
        <v>2499</v>
      </c>
      <c r="S74" s="3">
        <f t="shared" si="7"/>
        <v>124.95</v>
      </c>
      <c r="T74" s="3">
        <f t="shared" si="8"/>
        <v>2374.0500000000002</v>
      </c>
      <c r="U74" s="3">
        <f t="shared" si="9"/>
        <v>624.75000000000023</v>
      </c>
      <c r="V74" s="4">
        <f t="shared" si="10"/>
        <v>0.2631578947368422</v>
      </c>
      <c r="W74" t="str">
        <f t="shared" si="11"/>
        <v>Aug</v>
      </c>
    </row>
    <row r="75" spans="1:23" x14ac:dyDescent="0.25">
      <c r="A75" t="s">
        <v>237</v>
      </c>
      <c r="B75" t="s">
        <v>238</v>
      </c>
      <c r="C75" s="2">
        <v>45793.859027777777</v>
      </c>
      <c r="D75" t="s">
        <v>90</v>
      </c>
      <c r="E75" t="s">
        <v>91</v>
      </c>
      <c r="F75" t="s">
        <v>37</v>
      </c>
      <c r="G75" t="s">
        <v>92</v>
      </c>
      <c r="H75">
        <v>2</v>
      </c>
      <c r="I75" s="3">
        <v>3499</v>
      </c>
      <c r="J75" s="4">
        <v>0</v>
      </c>
      <c r="K75" s="3">
        <v>79</v>
      </c>
      <c r="L75" t="s">
        <v>29</v>
      </c>
      <c r="M75" t="s">
        <v>30</v>
      </c>
      <c r="N75" t="s">
        <v>102</v>
      </c>
      <c r="O75" t="s">
        <v>41</v>
      </c>
      <c r="P75" t="s">
        <v>80</v>
      </c>
      <c r="R75" s="3">
        <f t="shared" si="6"/>
        <v>6998</v>
      </c>
      <c r="S75" s="3">
        <f t="shared" si="7"/>
        <v>0</v>
      </c>
      <c r="T75" s="3">
        <f t="shared" si="8"/>
        <v>7077</v>
      </c>
      <c r="U75" s="3">
        <f t="shared" si="9"/>
        <v>2178.4000000000005</v>
      </c>
      <c r="V75" s="4">
        <f t="shared" si="10"/>
        <v>0.30781404549950553</v>
      </c>
      <c r="W75" t="str">
        <f t="shared" si="11"/>
        <v>May</v>
      </c>
    </row>
    <row r="76" spans="1:23" x14ac:dyDescent="0.25">
      <c r="A76" t="s">
        <v>239</v>
      </c>
      <c r="B76" t="s">
        <v>240</v>
      </c>
      <c r="C76" s="2">
        <v>45694.048611111109</v>
      </c>
      <c r="D76" t="s">
        <v>105</v>
      </c>
      <c r="E76" t="s">
        <v>106</v>
      </c>
      <c r="F76" t="s">
        <v>37</v>
      </c>
      <c r="G76" t="s">
        <v>107</v>
      </c>
      <c r="H76">
        <v>3</v>
      </c>
      <c r="I76" s="3">
        <v>1799</v>
      </c>
      <c r="J76" s="4">
        <v>0.15</v>
      </c>
      <c r="K76" s="3">
        <v>99</v>
      </c>
      <c r="L76" t="s">
        <v>48</v>
      </c>
      <c r="M76" t="s">
        <v>49</v>
      </c>
      <c r="N76" t="s">
        <v>40</v>
      </c>
      <c r="O76" t="s">
        <v>93</v>
      </c>
      <c r="P76" t="s">
        <v>33</v>
      </c>
      <c r="Q76">
        <v>4</v>
      </c>
      <c r="R76" s="3">
        <f t="shared" si="6"/>
        <v>5397</v>
      </c>
      <c r="S76" s="3">
        <f t="shared" si="7"/>
        <v>809.55</v>
      </c>
      <c r="T76" s="3">
        <f t="shared" si="8"/>
        <v>4686.45</v>
      </c>
      <c r="U76" s="3">
        <f t="shared" si="9"/>
        <v>908.55000000000018</v>
      </c>
      <c r="V76" s="4">
        <f t="shared" si="10"/>
        <v>0.19386742630349202</v>
      </c>
      <c r="W76" t="str">
        <f t="shared" si="11"/>
        <v>Feb</v>
      </c>
    </row>
    <row r="77" spans="1:23" x14ac:dyDescent="0.25">
      <c r="A77" t="s">
        <v>241</v>
      </c>
      <c r="B77" t="s">
        <v>154</v>
      </c>
      <c r="C77" s="2">
        <v>45797.69027777778</v>
      </c>
      <c r="D77" t="s">
        <v>77</v>
      </c>
      <c r="E77" t="s">
        <v>78</v>
      </c>
      <c r="F77" t="s">
        <v>79</v>
      </c>
      <c r="G77" t="s">
        <v>28</v>
      </c>
      <c r="H77">
        <v>2</v>
      </c>
      <c r="I77" s="3">
        <v>6499</v>
      </c>
      <c r="J77" s="4">
        <v>0.1</v>
      </c>
      <c r="K77" s="3">
        <v>0</v>
      </c>
      <c r="L77" t="s">
        <v>48</v>
      </c>
      <c r="M77" t="s">
        <v>49</v>
      </c>
      <c r="N77" t="s">
        <v>40</v>
      </c>
      <c r="O77" t="s">
        <v>51</v>
      </c>
      <c r="P77" t="s">
        <v>52</v>
      </c>
      <c r="Q77">
        <v>5</v>
      </c>
      <c r="R77" s="3">
        <f t="shared" si="6"/>
        <v>12998</v>
      </c>
      <c r="S77" s="3">
        <f t="shared" si="7"/>
        <v>1299.8000000000002</v>
      </c>
      <c r="T77" s="3">
        <f t="shared" si="8"/>
        <v>11698.2</v>
      </c>
      <c r="U77" s="3">
        <f t="shared" si="9"/>
        <v>2599.6000000000022</v>
      </c>
      <c r="V77" s="4">
        <f t="shared" si="10"/>
        <v>0.2222222222222224</v>
      </c>
      <c r="W77" t="str">
        <f t="shared" si="11"/>
        <v>May</v>
      </c>
    </row>
    <row r="78" spans="1:23" x14ac:dyDescent="0.25">
      <c r="A78" t="s">
        <v>242</v>
      </c>
      <c r="B78" t="s">
        <v>243</v>
      </c>
      <c r="C78" s="2">
        <v>46003.775694444441</v>
      </c>
      <c r="D78" t="s">
        <v>110</v>
      </c>
      <c r="E78" t="s">
        <v>111</v>
      </c>
      <c r="F78" t="s">
        <v>98</v>
      </c>
      <c r="G78" t="s">
        <v>112</v>
      </c>
      <c r="H78">
        <v>1</v>
      </c>
      <c r="I78" s="3">
        <v>2999</v>
      </c>
      <c r="J78" s="4">
        <v>0.2</v>
      </c>
      <c r="K78" s="3">
        <v>59</v>
      </c>
      <c r="L78" t="s">
        <v>39</v>
      </c>
      <c r="M78" t="s">
        <v>39</v>
      </c>
      <c r="N78" t="s">
        <v>31</v>
      </c>
      <c r="O78" t="s">
        <v>41</v>
      </c>
      <c r="P78" t="s">
        <v>33</v>
      </c>
      <c r="Q78">
        <v>4</v>
      </c>
      <c r="R78" s="3">
        <f t="shared" si="6"/>
        <v>2999</v>
      </c>
      <c r="S78" s="3">
        <f t="shared" si="7"/>
        <v>599.80000000000007</v>
      </c>
      <c r="T78" s="3">
        <f t="shared" si="8"/>
        <v>2458.1999999999998</v>
      </c>
      <c r="U78" s="3">
        <f t="shared" si="9"/>
        <v>358.90000000000009</v>
      </c>
      <c r="V78" s="4">
        <f t="shared" si="10"/>
        <v>0.14600113904482959</v>
      </c>
      <c r="W78" t="str">
        <f t="shared" si="11"/>
        <v>Dec</v>
      </c>
    </row>
    <row r="79" spans="1:23" x14ac:dyDescent="0.25">
      <c r="A79" t="s">
        <v>244</v>
      </c>
      <c r="B79" t="s">
        <v>245</v>
      </c>
      <c r="C79" s="2">
        <v>45750.768750000003</v>
      </c>
      <c r="D79" t="s">
        <v>62</v>
      </c>
      <c r="E79" t="s">
        <v>63</v>
      </c>
      <c r="F79" t="s">
        <v>46</v>
      </c>
      <c r="G79" t="s">
        <v>64</v>
      </c>
      <c r="H79">
        <v>4</v>
      </c>
      <c r="I79" s="3">
        <v>699</v>
      </c>
      <c r="J79" s="4">
        <v>0.1</v>
      </c>
      <c r="K79" s="3">
        <v>0</v>
      </c>
      <c r="L79" t="s">
        <v>119</v>
      </c>
      <c r="M79" t="s">
        <v>120</v>
      </c>
      <c r="N79" t="s">
        <v>71</v>
      </c>
      <c r="O79" t="s">
        <v>59</v>
      </c>
      <c r="P79" t="s">
        <v>80</v>
      </c>
      <c r="Q79">
        <v>3</v>
      </c>
      <c r="R79" s="3">
        <f t="shared" si="6"/>
        <v>2796</v>
      </c>
      <c r="S79" s="3">
        <f t="shared" si="7"/>
        <v>279.60000000000002</v>
      </c>
      <c r="T79" s="3">
        <f t="shared" si="8"/>
        <v>2516.4</v>
      </c>
      <c r="U79" s="3">
        <f t="shared" si="9"/>
        <v>559.20000000000027</v>
      </c>
      <c r="V79" s="4">
        <f t="shared" si="10"/>
        <v>0.22222222222222232</v>
      </c>
      <c r="W79" t="str">
        <f t="shared" si="11"/>
        <v>Apr</v>
      </c>
    </row>
    <row r="80" spans="1:23" x14ac:dyDescent="0.25">
      <c r="A80" t="s">
        <v>246</v>
      </c>
      <c r="B80" t="s">
        <v>247</v>
      </c>
      <c r="C80" s="2">
        <v>45826.572222222218</v>
      </c>
      <c r="D80" t="s">
        <v>169</v>
      </c>
      <c r="E80" t="s">
        <v>170</v>
      </c>
      <c r="F80" t="s">
        <v>98</v>
      </c>
      <c r="G80" t="s">
        <v>171</v>
      </c>
      <c r="H80">
        <v>3</v>
      </c>
      <c r="I80" s="3">
        <v>799</v>
      </c>
      <c r="J80" s="4">
        <v>0.05</v>
      </c>
      <c r="K80" s="3">
        <v>79</v>
      </c>
      <c r="L80" t="s">
        <v>29</v>
      </c>
      <c r="M80" t="s">
        <v>30</v>
      </c>
      <c r="N80" t="s">
        <v>31</v>
      </c>
      <c r="O80" t="s">
        <v>59</v>
      </c>
      <c r="P80" t="s">
        <v>52</v>
      </c>
      <c r="Q80">
        <v>1</v>
      </c>
      <c r="R80" s="3">
        <f t="shared" si="6"/>
        <v>2397</v>
      </c>
      <c r="S80" s="3">
        <f t="shared" si="7"/>
        <v>119.85000000000001</v>
      </c>
      <c r="T80" s="3">
        <f t="shared" si="8"/>
        <v>2356.15</v>
      </c>
      <c r="U80" s="3">
        <f t="shared" si="9"/>
        <v>678.25000000000023</v>
      </c>
      <c r="V80" s="4">
        <f t="shared" si="10"/>
        <v>0.28786367591197515</v>
      </c>
      <c r="W80" t="str">
        <f t="shared" si="11"/>
        <v>Jun</v>
      </c>
    </row>
    <row r="81" spans="1:23" x14ac:dyDescent="0.25">
      <c r="A81" t="s">
        <v>248</v>
      </c>
      <c r="B81" t="s">
        <v>198</v>
      </c>
      <c r="C81" s="2">
        <v>45864.702777777777</v>
      </c>
      <c r="D81" t="s">
        <v>169</v>
      </c>
      <c r="E81" t="s">
        <v>170</v>
      </c>
      <c r="F81" t="s">
        <v>98</v>
      </c>
      <c r="G81" t="s">
        <v>171</v>
      </c>
      <c r="H81">
        <v>1</v>
      </c>
      <c r="I81" s="3">
        <v>799</v>
      </c>
      <c r="J81" s="4">
        <v>0.2</v>
      </c>
      <c r="K81" s="3">
        <v>99</v>
      </c>
      <c r="L81" t="s">
        <v>48</v>
      </c>
      <c r="M81" t="s">
        <v>49</v>
      </c>
      <c r="N81" t="s">
        <v>40</v>
      </c>
      <c r="O81" t="s">
        <v>93</v>
      </c>
      <c r="P81" t="s">
        <v>33</v>
      </c>
      <c r="Q81">
        <v>2</v>
      </c>
      <c r="R81" s="3">
        <f t="shared" si="6"/>
        <v>799</v>
      </c>
      <c r="S81" s="3">
        <f t="shared" si="7"/>
        <v>159.80000000000001</v>
      </c>
      <c r="T81" s="3">
        <f t="shared" si="8"/>
        <v>738.2</v>
      </c>
      <c r="U81" s="3">
        <f t="shared" si="9"/>
        <v>178.90000000000009</v>
      </c>
      <c r="V81" s="4">
        <f t="shared" si="10"/>
        <v>0.24234624762936885</v>
      </c>
      <c r="W81" t="str">
        <f t="shared" si="11"/>
        <v>Jul</v>
      </c>
    </row>
    <row r="82" spans="1:23" x14ac:dyDescent="0.25">
      <c r="A82" t="s">
        <v>249</v>
      </c>
      <c r="B82" t="s">
        <v>247</v>
      </c>
      <c r="C82" s="2">
        <v>45913.852777777778</v>
      </c>
      <c r="D82" t="s">
        <v>62</v>
      </c>
      <c r="E82" t="s">
        <v>63</v>
      </c>
      <c r="F82" t="s">
        <v>46</v>
      </c>
      <c r="G82" t="s">
        <v>64</v>
      </c>
      <c r="H82">
        <v>2</v>
      </c>
      <c r="I82" s="3">
        <v>699</v>
      </c>
      <c r="J82" s="4">
        <v>0</v>
      </c>
      <c r="K82" s="3">
        <v>59</v>
      </c>
      <c r="L82" t="s">
        <v>74</v>
      </c>
      <c r="M82" t="s">
        <v>49</v>
      </c>
      <c r="N82" t="s">
        <v>50</v>
      </c>
      <c r="O82" t="s">
        <v>51</v>
      </c>
      <c r="P82" t="s">
        <v>33</v>
      </c>
      <c r="Q82">
        <v>4</v>
      </c>
      <c r="R82" s="3">
        <f t="shared" si="6"/>
        <v>1398</v>
      </c>
      <c r="S82" s="3">
        <f t="shared" si="7"/>
        <v>0</v>
      </c>
      <c r="T82" s="3">
        <f t="shared" si="8"/>
        <v>1457</v>
      </c>
      <c r="U82" s="3">
        <f t="shared" si="9"/>
        <v>478.40000000000009</v>
      </c>
      <c r="V82" s="4">
        <f t="shared" si="10"/>
        <v>0.32834591626630066</v>
      </c>
      <c r="W82" t="str">
        <f t="shared" si="11"/>
        <v>Sep</v>
      </c>
    </row>
    <row r="83" spans="1:23" x14ac:dyDescent="0.25">
      <c r="A83" t="s">
        <v>250</v>
      </c>
      <c r="B83" t="s">
        <v>116</v>
      </c>
      <c r="C83" s="2">
        <v>45980.82708333333</v>
      </c>
      <c r="D83" t="s">
        <v>77</v>
      </c>
      <c r="E83" t="s">
        <v>78</v>
      </c>
      <c r="F83" t="s">
        <v>79</v>
      </c>
      <c r="G83" t="s">
        <v>28</v>
      </c>
      <c r="H83">
        <v>1</v>
      </c>
      <c r="I83" s="3">
        <v>6499</v>
      </c>
      <c r="J83" s="4">
        <v>0.2</v>
      </c>
      <c r="K83" s="3">
        <v>49</v>
      </c>
      <c r="L83" t="s">
        <v>119</v>
      </c>
      <c r="M83" t="s">
        <v>120</v>
      </c>
      <c r="N83" t="s">
        <v>102</v>
      </c>
      <c r="O83" t="s">
        <v>93</v>
      </c>
      <c r="P83" t="s">
        <v>33</v>
      </c>
      <c r="Q83">
        <v>5</v>
      </c>
      <c r="R83" s="3">
        <f t="shared" si="6"/>
        <v>6499</v>
      </c>
      <c r="S83" s="3">
        <f t="shared" si="7"/>
        <v>1299.8000000000002</v>
      </c>
      <c r="T83" s="3">
        <f t="shared" si="8"/>
        <v>5248.2</v>
      </c>
      <c r="U83" s="3">
        <f t="shared" si="9"/>
        <v>698.90000000000055</v>
      </c>
      <c r="V83" s="4">
        <f t="shared" si="10"/>
        <v>0.13316946762699602</v>
      </c>
      <c r="W83" t="str">
        <f t="shared" si="11"/>
        <v>Nov</v>
      </c>
    </row>
    <row r="84" spans="1:23" x14ac:dyDescent="0.25">
      <c r="A84" t="s">
        <v>251</v>
      </c>
      <c r="B84" t="s">
        <v>252</v>
      </c>
      <c r="C84" s="2">
        <v>45716.588194444441</v>
      </c>
      <c r="D84" t="s">
        <v>96</v>
      </c>
      <c r="E84" t="s">
        <v>97</v>
      </c>
      <c r="F84" t="s">
        <v>98</v>
      </c>
      <c r="G84" t="s">
        <v>99</v>
      </c>
      <c r="H84">
        <v>1</v>
      </c>
      <c r="I84" s="3">
        <v>1499</v>
      </c>
      <c r="J84" s="4">
        <v>0</v>
      </c>
      <c r="K84" s="3">
        <v>79</v>
      </c>
      <c r="L84" t="s">
        <v>29</v>
      </c>
      <c r="M84" t="s">
        <v>30</v>
      </c>
      <c r="N84" t="s">
        <v>253</v>
      </c>
      <c r="O84" t="s">
        <v>51</v>
      </c>
      <c r="P84" t="s">
        <v>80</v>
      </c>
      <c r="Q84">
        <v>4</v>
      </c>
      <c r="R84" s="3">
        <f t="shared" si="6"/>
        <v>1499</v>
      </c>
      <c r="S84" s="3">
        <f t="shared" si="7"/>
        <v>0</v>
      </c>
      <c r="T84" s="3">
        <f t="shared" si="8"/>
        <v>1578</v>
      </c>
      <c r="U84" s="3">
        <f t="shared" si="9"/>
        <v>528.70000000000005</v>
      </c>
      <c r="V84" s="4">
        <f t="shared" si="10"/>
        <v>0.33504435994930293</v>
      </c>
      <c r="W84" t="str">
        <f t="shared" si="11"/>
        <v>Feb</v>
      </c>
    </row>
    <row r="85" spans="1:23" x14ac:dyDescent="0.25">
      <c r="A85" t="s">
        <v>254</v>
      </c>
      <c r="B85" t="s">
        <v>255</v>
      </c>
      <c r="C85" s="2">
        <v>45940.183333333327</v>
      </c>
      <c r="D85" t="s">
        <v>90</v>
      </c>
      <c r="E85" t="s">
        <v>91</v>
      </c>
      <c r="F85" t="s">
        <v>37</v>
      </c>
      <c r="G85" t="s">
        <v>92</v>
      </c>
      <c r="H85">
        <v>1</v>
      </c>
      <c r="I85" s="3">
        <v>3499</v>
      </c>
      <c r="J85" s="4">
        <v>0.15</v>
      </c>
      <c r="K85" s="3">
        <v>99</v>
      </c>
      <c r="L85" t="s">
        <v>119</v>
      </c>
      <c r="M85" t="s">
        <v>120</v>
      </c>
      <c r="N85" t="s">
        <v>31</v>
      </c>
      <c r="O85" t="s">
        <v>51</v>
      </c>
      <c r="P85" t="s">
        <v>33</v>
      </c>
      <c r="R85" s="3">
        <f t="shared" si="6"/>
        <v>3499</v>
      </c>
      <c r="S85" s="3">
        <f t="shared" si="7"/>
        <v>524.85</v>
      </c>
      <c r="T85" s="3">
        <f t="shared" si="8"/>
        <v>3073.15</v>
      </c>
      <c r="U85" s="3">
        <f t="shared" si="9"/>
        <v>623.85000000000036</v>
      </c>
      <c r="V85" s="4">
        <f t="shared" si="10"/>
        <v>0.2030001789694614</v>
      </c>
      <c r="W85" t="str">
        <f t="shared" si="11"/>
        <v>Oct</v>
      </c>
    </row>
    <row r="86" spans="1:23" x14ac:dyDescent="0.25">
      <c r="A86" t="s">
        <v>256</v>
      </c>
      <c r="B86" t="s">
        <v>257</v>
      </c>
      <c r="C86" s="2">
        <v>45917.369444444441</v>
      </c>
      <c r="D86" t="s">
        <v>96</v>
      </c>
      <c r="E86" t="s">
        <v>97</v>
      </c>
      <c r="F86" t="s">
        <v>98</v>
      </c>
      <c r="G86" t="s">
        <v>99</v>
      </c>
      <c r="I86" s="3">
        <v>1499</v>
      </c>
      <c r="J86" s="4">
        <v>0.05</v>
      </c>
      <c r="K86" s="3">
        <v>59</v>
      </c>
      <c r="L86" t="s">
        <v>74</v>
      </c>
      <c r="M86" t="s">
        <v>49</v>
      </c>
      <c r="N86" t="s">
        <v>40</v>
      </c>
      <c r="O86" t="s">
        <v>41</v>
      </c>
      <c r="P86" t="s">
        <v>33</v>
      </c>
      <c r="Q86">
        <v>4</v>
      </c>
      <c r="R86" s="3">
        <f t="shared" si="6"/>
        <v>0</v>
      </c>
      <c r="S86" s="3">
        <f t="shared" si="7"/>
        <v>0</v>
      </c>
      <c r="T86" s="3">
        <f t="shared" si="8"/>
        <v>59</v>
      </c>
      <c r="U86" s="3">
        <f t="shared" si="9"/>
        <v>59</v>
      </c>
      <c r="V86" s="4">
        <f t="shared" si="10"/>
        <v>1</v>
      </c>
      <c r="W86" t="str">
        <f t="shared" si="11"/>
        <v>Sep</v>
      </c>
    </row>
    <row r="87" spans="1:23" x14ac:dyDescent="0.25">
      <c r="A87" t="s">
        <v>258</v>
      </c>
      <c r="B87" t="s">
        <v>259</v>
      </c>
      <c r="C87" s="2">
        <v>45940.724999999999</v>
      </c>
      <c r="D87" t="s">
        <v>62</v>
      </c>
      <c r="E87" t="s">
        <v>63</v>
      </c>
      <c r="F87" t="s">
        <v>46</v>
      </c>
      <c r="G87" t="s">
        <v>64</v>
      </c>
      <c r="H87">
        <v>1</v>
      </c>
      <c r="I87" s="3">
        <v>699</v>
      </c>
      <c r="J87" s="4">
        <v>0.05</v>
      </c>
      <c r="K87" s="3">
        <v>49</v>
      </c>
      <c r="L87" t="s">
        <v>119</v>
      </c>
      <c r="M87" t="s">
        <v>120</v>
      </c>
      <c r="N87" t="s">
        <v>102</v>
      </c>
      <c r="O87" t="s">
        <v>59</v>
      </c>
      <c r="P87" t="s">
        <v>52</v>
      </c>
      <c r="Q87">
        <v>2</v>
      </c>
      <c r="R87" s="3">
        <f t="shared" si="6"/>
        <v>699</v>
      </c>
      <c r="S87" s="3">
        <f t="shared" si="7"/>
        <v>34.950000000000003</v>
      </c>
      <c r="T87" s="3">
        <f t="shared" si="8"/>
        <v>713.05</v>
      </c>
      <c r="U87" s="3">
        <f t="shared" si="9"/>
        <v>223.75</v>
      </c>
      <c r="V87" s="4">
        <f t="shared" si="10"/>
        <v>0.31379286165065567</v>
      </c>
      <c r="W87" t="str">
        <f t="shared" si="11"/>
        <v>Oct</v>
      </c>
    </row>
    <row r="88" spans="1:23" x14ac:dyDescent="0.25">
      <c r="A88" t="s">
        <v>260</v>
      </c>
      <c r="B88" t="s">
        <v>261</v>
      </c>
      <c r="C88" s="2">
        <v>45900.956944444442</v>
      </c>
      <c r="D88" t="s">
        <v>96</v>
      </c>
      <c r="E88" t="s">
        <v>97</v>
      </c>
      <c r="F88" t="s">
        <v>98</v>
      </c>
      <c r="G88" t="s">
        <v>99</v>
      </c>
      <c r="H88">
        <v>1</v>
      </c>
      <c r="I88" s="3">
        <v>1499</v>
      </c>
      <c r="J88" s="4">
        <v>0.1</v>
      </c>
      <c r="K88" s="3">
        <v>49</v>
      </c>
      <c r="L88" t="s">
        <v>39</v>
      </c>
      <c r="M88" t="s">
        <v>39</v>
      </c>
      <c r="N88" t="s">
        <v>31</v>
      </c>
      <c r="O88" t="s">
        <v>41</v>
      </c>
      <c r="P88" t="s">
        <v>52</v>
      </c>
      <c r="Q88">
        <v>5</v>
      </c>
      <c r="R88" s="3">
        <f t="shared" si="6"/>
        <v>1499</v>
      </c>
      <c r="S88" s="3">
        <f t="shared" si="7"/>
        <v>149.9</v>
      </c>
      <c r="T88" s="3">
        <f t="shared" si="8"/>
        <v>1398.1</v>
      </c>
      <c r="U88" s="3">
        <f t="shared" si="9"/>
        <v>348.79999999999995</v>
      </c>
      <c r="V88" s="4">
        <f t="shared" si="10"/>
        <v>0.24948143909591586</v>
      </c>
      <c r="W88" t="str">
        <f t="shared" si="11"/>
        <v>Aug</v>
      </c>
    </row>
    <row r="89" spans="1:23" x14ac:dyDescent="0.25">
      <c r="A89" t="s">
        <v>262</v>
      </c>
      <c r="B89" t="s">
        <v>168</v>
      </c>
      <c r="C89" s="2">
        <v>45883.147916666669</v>
      </c>
      <c r="D89" t="s">
        <v>44</v>
      </c>
      <c r="E89" t="s">
        <v>45</v>
      </c>
      <c r="F89" t="s">
        <v>46</v>
      </c>
      <c r="G89" t="s">
        <v>47</v>
      </c>
      <c r="H89">
        <v>3</v>
      </c>
      <c r="I89" s="3">
        <v>1199</v>
      </c>
      <c r="J89" s="4">
        <v>0</v>
      </c>
      <c r="K89" s="3">
        <v>49</v>
      </c>
      <c r="L89" t="s">
        <v>74</v>
      </c>
      <c r="M89" t="s">
        <v>49</v>
      </c>
      <c r="N89" t="s">
        <v>50</v>
      </c>
      <c r="O89" t="s">
        <v>93</v>
      </c>
      <c r="P89" t="s">
        <v>52</v>
      </c>
      <c r="Q89">
        <v>4</v>
      </c>
      <c r="R89" s="3">
        <f t="shared" si="6"/>
        <v>3597</v>
      </c>
      <c r="S89" s="3">
        <f t="shared" si="7"/>
        <v>0</v>
      </c>
      <c r="T89" s="3">
        <f t="shared" si="8"/>
        <v>3646</v>
      </c>
      <c r="U89" s="3">
        <f t="shared" si="9"/>
        <v>1128.1000000000004</v>
      </c>
      <c r="V89" s="4">
        <f t="shared" si="10"/>
        <v>0.30940756993966001</v>
      </c>
      <c r="W89" t="str">
        <f t="shared" si="11"/>
        <v>Aug</v>
      </c>
    </row>
    <row r="90" spans="1:23" x14ac:dyDescent="0.25">
      <c r="A90" t="s">
        <v>263</v>
      </c>
      <c r="B90" t="s">
        <v>70</v>
      </c>
      <c r="C90" s="2">
        <v>45861.836805555547</v>
      </c>
      <c r="D90" t="s">
        <v>110</v>
      </c>
      <c r="E90" t="s">
        <v>111</v>
      </c>
      <c r="F90" t="s">
        <v>98</v>
      </c>
      <c r="G90" t="s">
        <v>112</v>
      </c>
      <c r="H90">
        <v>2</v>
      </c>
      <c r="I90" s="3">
        <v>2999</v>
      </c>
      <c r="J90" s="4">
        <v>0.2</v>
      </c>
      <c r="K90" s="3">
        <v>99</v>
      </c>
      <c r="L90" t="s">
        <v>74</v>
      </c>
      <c r="M90" t="s">
        <v>49</v>
      </c>
      <c r="N90" t="s">
        <v>71</v>
      </c>
      <c r="O90" t="s">
        <v>59</v>
      </c>
      <c r="P90" t="s">
        <v>33</v>
      </c>
      <c r="R90" s="3">
        <f t="shared" si="6"/>
        <v>5998</v>
      </c>
      <c r="S90" s="3">
        <f t="shared" si="7"/>
        <v>1199.6000000000001</v>
      </c>
      <c r="T90" s="3">
        <f t="shared" si="8"/>
        <v>4897.3999999999996</v>
      </c>
      <c r="U90" s="3">
        <f t="shared" si="9"/>
        <v>698.80000000000018</v>
      </c>
      <c r="V90" s="4">
        <f t="shared" si="10"/>
        <v>0.14268795687507663</v>
      </c>
      <c r="W90" t="str">
        <f t="shared" si="11"/>
        <v>Jul</v>
      </c>
    </row>
    <row r="91" spans="1:23" x14ac:dyDescent="0.25">
      <c r="A91" t="s">
        <v>264</v>
      </c>
      <c r="B91" t="s">
        <v>265</v>
      </c>
      <c r="C91" s="2">
        <v>45778.863194444442</v>
      </c>
      <c r="D91" t="s">
        <v>62</v>
      </c>
      <c r="E91" t="s">
        <v>63</v>
      </c>
      <c r="F91" t="s">
        <v>46</v>
      </c>
      <c r="G91" t="s">
        <v>64</v>
      </c>
      <c r="H91">
        <v>2</v>
      </c>
      <c r="I91" s="3">
        <v>699</v>
      </c>
      <c r="J91" s="4">
        <v>0</v>
      </c>
      <c r="K91" s="3">
        <v>0</v>
      </c>
      <c r="L91" t="s">
        <v>39</v>
      </c>
      <c r="M91" t="s">
        <v>39</v>
      </c>
      <c r="N91" t="s">
        <v>31</v>
      </c>
      <c r="O91" t="s">
        <v>93</v>
      </c>
      <c r="P91" t="s">
        <v>33</v>
      </c>
      <c r="Q91">
        <v>4</v>
      </c>
      <c r="R91" s="3">
        <f t="shared" si="6"/>
        <v>1398</v>
      </c>
      <c r="S91" s="3">
        <f t="shared" si="7"/>
        <v>0</v>
      </c>
      <c r="T91" s="3">
        <f t="shared" si="8"/>
        <v>1398</v>
      </c>
      <c r="U91" s="3">
        <f t="shared" si="9"/>
        <v>419.40000000000009</v>
      </c>
      <c r="V91" s="4">
        <f t="shared" si="10"/>
        <v>0.30000000000000004</v>
      </c>
      <c r="W91" t="str">
        <f t="shared" si="11"/>
        <v>May</v>
      </c>
    </row>
    <row r="92" spans="1:23" x14ac:dyDescent="0.25">
      <c r="A92" t="s">
        <v>266</v>
      </c>
      <c r="B92" t="s">
        <v>267</v>
      </c>
      <c r="C92" s="2">
        <v>45681.451388888891</v>
      </c>
      <c r="D92" t="s">
        <v>105</v>
      </c>
      <c r="E92" t="s">
        <v>106</v>
      </c>
      <c r="F92" t="s">
        <v>37</v>
      </c>
      <c r="G92" t="s">
        <v>107</v>
      </c>
      <c r="H92">
        <v>4</v>
      </c>
      <c r="I92" s="3">
        <v>1799</v>
      </c>
      <c r="J92" s="4">
        <v>0.05</v>
      </c>
      <c r="K92" s="3">
        <v>59</v>
      </c>
      <c r="L92" t="s">
        <v>48</v>
      </c>
      <c r="M92" t="s">
        <v>49</v>
      </c>
      <c r="N92" t="s">
        <v>40</v>
      </c>
      <c r="O92" t="s">
        <v>41</v>
      </c>
      <c r="P92" t="s">
        <v>33</v>
      </c>
      <c r="Q92">
        <v>2</v>
      </c>
      <c r="R92" s="3">
        <f t="shared" si="6"/>
        <v>7196</v>
      </c>
      <c r="S92" s="3">
        <f t="shared" si="7"/>
        <v>359.8</v>
      </c>
      <c r="T92" s="3">
        <f t="shared" si="8"/>
        <v>6895.2</v>
      </c>
      <c r="U92" s="3">
        <f t="shared" si="9"/>
        <v>1858</v>
      </c>
      <c r="V92" s="4">
        <f t="shared" si="10"/>
        <v>0.26946281471168348</v>
      </c>
      <c r="W92" t="str">
        <f t="shared" si="11"/>
        <v>Jan</v>
      </c>
    </row>
    <row r="93" spans="1:23" x14ac:dyDescent="0.25">
      <c r="A93" t="s">
        <v>268</v>
      </c>
      <c r="B93" t="s">
        <v>216</v>
      </c>
      <c r="C93" s="2">
        <v>45750.21597222222</v>
      </c>
      <c r="D93" t="s">
        <v>62</v>
      </c>
      <c r="E93" t="s">
        <v>63</v>
      </c>
      <c r="F93" t="s">
        <v>46</v>
      </c>
      <c r="G93" t="s">
        <v>64</v>
      </c>
      <c r="H93">
        <v>2</v>
      </c>
      <c r="I93" s="3">
        <v>699</v>
      </c>
      <c r="J93" s="4">
        <v>0.15</v>
      </c>
      <c r="K93" s="3">
        <v>79</v>
      </c>
      <c r="L93" t="s">
        <v>57</v>
      </c>
      <c r="M93" t="s">
        <v>58</v>
      </c>
      <c r="N93" t="s">
        <v>40</v>
      </c>
      <c r="O93" t="s">
        <v>32</v>
      </c>
      <c r="P93" t="s">
        <v>33</v>
      </c>
      <c r="Q93">
        <v>2</v>
      </c>
      <c r="R93" s="3">
        <f t="shared" si="6"/>
        <v>1398</v>
      </c>
      <c r="S93" s="3">
        <f t="shared" si="7"/>
        <v>209.7</v>
      </c>
      <c r="T93" s="3">
        <f t="shared" si="8"/>
        <v>1267.3</v>
      </c>
      <c r="U93" s="3">
        <f t="shared" si="9"/>
        <v>288.70000000000005</v>
      </c>
      <c r="V93" s="4">
        <f t="shared" si="10"/>
        <v>0.22780714905705046</v>
      </c>
      <c r="W93" t="str">
        <f t="shared" si="11"/>
        <v>Apr</v>
      </c>
    </row>
    <row r="94" spans="1:23" x14ac:dyDescent="0.25">
      <c r="A94" t="s">
        <v>269</v>
      </c>
      <c r="B94" t="s">
        <v>24</v>
      </c>
      <c r="C94" s="2">
        <v>45893.362500000003</v>
      </c>
      <c r="D94" t="s">
        <v>67</v>
      </c>
      <c r="E94" t="s">
        <v>68</v>
      </c>
      <c r="F94" t="s">
        <v>37</v>
      </c>
      <c r="G94" t="s">
        <v>38</v>
      </c>
      <c r="H94">
        <v>2</v>
      </c>
      <c r="I94" s="3">
        <v>1299</v>
      </c>
      <c r="J94" s="4">
        <v>0.1</v>
      </c>
      <c r="K94" s="3">
        <v>59</v>
      </c>
      <c r="L94" t="s">
        <v>119</v>
      </c>
      <c r="M94" t="s">
        <v>120</v>
      </c>
      <c r="N94" t="s">
        <v>50</v>
      </c>
      <c r="O94" t="s">
        <v>93</v>
      </c>
      <c r="P94" t="s">
        <v>33</v>
      </c>
      <c r="Q94">
        <v>4</v>
      </c>
      <c r="R94" s="3">
        <f t="shared" si="6"/>
        <v>2598</v>
      </c>
      <c r="S94" s="3">
        <f t="shared" si="7"/>
        <v>259.8</v>
      </c>
      <c r="T94" s="3">
        <f t="shared" si="8"/>
        <v>2397.1999999999998</v>
      </c>
      <c r="U94" s="3">
        <f t="shared" si="9"/>
        <v>578.59999999999991</v>
      </c>
      <c r="V94" s="4">
        <f t="shared" si="10"/>
        <v>0.24136492574670446</v>
      </c>
      <c r="W94" t="str">
        <f t="shared" si="11"/>
        <v>Aug</v>
      </c>
    </row>
    <row r="95" spans="1:23" x14ac:dyDescent="0.25">
      <c r="A95" t="s">
        <v>270</v>
      </c>
      <c r="B95" t="s">
        <v>271</v>
      </c>
      <c r="C95" s="2">
        <v>45875.927777777782</v>
      </c>
      <c r="D95" t="s">
        <v>169</v>
      </c>
      <c r="E95" t="s">
        <v>170</v>
      </c>
      <c r="F95" t="s">
        <v>98</v>
      </c>
      <c r="G95" t="s">
        <v>171</v>
      </c>
      <c r="H95">
        <v>1</v>
      </c>
      <c r="I95" s="3">
        <v>799</v>
      </c>
      <c r="J95" s="4">
        <v>0.05</v>
      </c>
      <c r="K95" s="3">
        <v>49</v>
      </c>
      <c r="L95" t="s">
        <v>125</v>
      </c>
      <c r="M95" t="s">
        <v>126</v>
      </c>
      <c r="N95" t="s">
        <v>272</v>
      </c>
      <c r="O95" t="s">
        <v>93</v>
      </c>
      <c r="P95" t="s">
        <v>52</v>
      </c>
      <c r="Q95">
        <v>2</v>
      </c>
      <c r="R95" s="3">
        <f t="shared" si="6"/>
        <v>799</v>
      </c>
      <c r="S95" s="3">
        <f t="shared" si="7"/>
        <v>39.950000000000003</v>
      </c>
      <c r="T95" s="3">
        <f t="shared" si="8"/>
        <v>808.05</v>
      </c>
      <c r="U95" s="3">
        <f t="shared" si="9"/>
        <v>248.75</v>
      </c>
      <c r="V95" s="4">
        <f t="shared" si="10"/>
        <v>0.3078398613947157</v>
      </c>
      <c r="W95" t="str">
        <f t="shared" si="11"/>
        <v>Aug</v>
      </c>
    </row>
    <row r="96" spans="1:23" x14ac:dyDescent="0.25">
      <c r="A96" t="s">
        <v>273</v>
      </c>
      <c r="B96" t="s">
        <v>274</v>
      </c>
      <c r="C96" s="2">
        <v>45809.929166666669</v>
      </c>
      <c r="D96" t="s">
        <v>96</v>
      </c>
      <c r="E96" t="s">
        <v>97</v>
      </c>
      <c r="F96" t="s">
        <v>98</v>
      </c>
      <c r="G96" t="s">
        <v>99</v>
      </c>
      <c r="H96">
        <v>1</v>
      </c>
      <c r="I96" s="3">
        <v>1499</v>
      </c>
      <c r="J96" s="4">
        <v>0.2</v>
      </c>
      <c r="K96" s="3">
        <v>79</v>
      </c>
      <c r="L96" t="s">
        <v>125</v>
      </c>
      <c r="M96" t="s">
        <v>126</v>
      </c>
      <c r="N96" t="s">
        <v>31</v>
      </c>
      <c r="O96" t="s">
        <v>32</v>
      </c>
      <c r="P96" t="s">
        <v>33</v>
      </c>
      <c r="R96" s="3">
        <f t="shared" si="6"/>
        <v>1499</v>
      </c>
      <c r="S96" s="3">
        <f t="shared" si="7"/>
        <v>299.8</v>
      </c>
      <c r="T96" s="3">
        <f t="shared" si="8"/>
        <v>1278.2</v>
      </c>
      <c r="U96" s="3">
        <f t="shared" si="9"/>
        <v>228.90000000000009</v>
      </c>
      <c r="V96" s="4">
        <f t="shared" si="10"/>
        <v>0.17907995618838998</v>
      </c>
      <c r="W96" t="str">
        <f t="shared" si="11"/>
        <v>Jun</v>
      </c>
    </row>
    <row r="97" spans="1:23" x14ac:dyDescent="0.25">
      <c r="A97" t="s">
        <v>275</v>
      </c>
      <c r="B97" t="s">
        <v>82</v>
      </c>
      <c r="C97" s="2">
        <v>45912.40902777778</v>
      </c>
      <c r="D97" t="s">
        <v>25</v>
      </c>
      <c r="E97" t="s">
        <v>26</v>
      </c>
      <c r="F97" t="s">
        <v>27</v>
      </c>
      <c r="G97" t="s">
        <v>28</v>
      </c>
      <c r="H97">
        <v>4</v>
      </c>
      <c r="I97" s="3">
        <v>249</v>
      </c>
      <c r="J97" s="4">
        <v>0.15</v>
      </c>
      <c r="K97" s="3">
        <v>59</v>
      </c>
      <c r="L97" t="s">
        <v>39</v>
      </c>
      <c r="M97" t="s">
        <v>39</v>
      </c>
      <c r="N97" t="s">
        <v>50</v>
      </c>
      <c r="O97" t="s">
        <v>32</v>
      </c>
      <c r="P97" t="s">
        <v>33</v>
      </c>
      <c r="Q97">
        <v>3</v>
      </c>
      <c r="R97" s="3">
        <f t="shared" si="6"/>
        <v>996</v>
      </c>
      <c r="S97" s="3">
        <f t="shared" si="7"/>
        <v>149.4</v>
      </c>
      <c r="T97" s="3">
        <f t="shared" si="8"/>
        <v>905.6</v>
      </c>
      <c r="U97" s="3">
        <f t="shared" si="9"/>
        <v>208.40000000000009</v>
      </c>
      <c r="V97" s="4">
        <f t="shared" si="10"/>
        <v>0.23012367491166086</v>
      </c>
      <c r="W97" t="str">
        <f t="shared" si="11"/>
        <v>Sep</v>
      </c>
    </row>
    <row r="98" spans="1:23" x14ac:dyDescent="0.25">
      <c r="A98" t="s">
        <v>276</v>
      </c>
      <c r="B98" t="s">
        <v>257</v>
      </c>
      <c r="C98" s="2">
        <v>45979.834722222222</v>
      </c>
      <c r="D98" t="s">
        <v>25</v>
      </c>
      <c r="E98" t="s">
        <v>26</v>
      </c>
      <c r="F98" t="s">
        <v>27</v>
      </c>
      <c r="G98" t="s">
        <v>28</v>
      </c>
      <c r="H98">
        <v>2</v>
      </c>
      <c r="I98" s="3">
        <v>249</v>
      </c>
      <c r="J98" s="4">
        <v>0.1</v>
      </c>
      <c r="K98" s="3">
        <v>0</v>
      </c>
      <c r="L98" t="s">
        <v>100</v>
      </c>
      <c r="M98" t="s">
        <v>101</v>
      </c>
      <c r="N98" t="s">
        <v>71</v>
      </c>
      <c r="O98" t="s">
        <v>41</v>
      </c>
      <c r="P98" t="s">
        <v>33</v>
      </c>
      <c r="Q98">
        <v>1</v>
      </c>
      <c r="R98" s="3">
        <f t="shared" si="6"/>
        <v>498</v>
      </c>
      <c r="S98" s="3">
        <f t="shared" si="7"/>
        <v>49.800000000000004</v>
      </c>
      <c r="T98" s="3">
        <f t="shared" si="8"/>
        <v>448.2</v>
      </c>
      <c r="U98" s="3">
        <f t="shared" si="9"/>
        <v>99.600000000000023</v>
      </c>
      <c r="V98" s="4">
        <f t="shared" si="10"/>
        <v>0.22222222222222227</v>
      </c>
      <c r="W98" t="str">
        <f t="shared" si="11"/>
        <v>Nov</v>
      </c>
    </row>
    <row r="99" spans="1:23" x14ac:dyDescent="0.25">
      <c r="A99" t="s">
        <v>277</v>
      </c>
      <c r="B99" t="s">
        <v>278</v>
      </c>
      <c r="C99" s="2">
        <v>45747.255555555559</v>
      </c>
      <c r="D99" t="s">
        <v>110</v>
      </c>
      <c r="E99" t="s">
        <v>111</v>
      </c>
      <c r="F99" t="s">
        <v>98</v>
      </c>
      <c r="G99" t="s">
        <v>112</v>
      </c>
      <c r="H99">
        <v>2</v>
      </c>
      <c r="I99" s="3">
        <v>2999</v>
      </c>
      <c r="J99" s="4">
        <v>0.05</v>
      </c>
      <c r="K99" s="3">
        <v>99</v>
      </c>
      <c r="L99" t="s">
        <v>74</v>
      </c>
      <c r="M99" t="s">
        <v>49</v>
      </c>
      <c r="N99" t="s">
        <v>71</v>
      </c>
      <c r="O99" t="s">
        <v>41</v>
      </c>
      <c r="P99" t="s">
        <v>85</v>
      </c>
      <c r="Q99">
        <v>3</v>
      </c>
      <c r="R99" s="3">
        <f t="shared" si="6"/>
        <v>5998</v>
      </c>
      <c r="S99" s="3">
        <f t="shared" si="7"/>
        <v>299.90000000000003</v>
      </c>
      <c r="T99" s="3">
        <f t="shared" si="8"/>
        <v>5797.1</v>
      </c>
      <c r="U99" s="3">
        <f t="shared" si="9"/>
        <v>1598.5000000000009</v>
      </c>
      <c r="V99" s="4">
        <f t="shared" si="10"/>
        <v>0.27574131893532988</v>
      </c>
      <c r="W99" t="str">
        <f t="shared" si="11"/>
        <v>Mar</v>
      </c>
    </row>
    <row r="100" spans="1:23" x14ac:dyDescent="0.25">
      <c r="A100" t="s">
        <v>279</v>
      </c>
      <c r="B100" t="s">
        <v>280</v>
      </c>
      <c r="C100" s="2">
        <v>45831.145138888889</v>
      </c>
      <c r="D100" t="s">
        <v>90</v>
      </c>
      <c r="E100" t="s">
        <v>91</v>
      </c>
      <c r="F100" t="s">
        <v>37</v>
      </c>
      <c r="G100" t="s">
        <v>92</v>
      </c>
      <c r="H100">
        <v>2</v>
      </c>
      <c r="I100" s="3">
        <v>3499</v>
      </c>
      <c r="J100" s="4">
        <v>0</v>
      </c>
      <c r="K100" s="3">
        <v>49</v>
      </c>
      <c r="L100" t="s">
        <v>48</v>
      </c>
      <c r="M100" t="s">
        <v>49</v>
      </c>
      <c r="N100" t="s">
        <v>102</v>
      </c>
      <c r="O100" t="s">
        <v>51</v>
      </c>
      <c r="P100" t="s">
        <v>33</v>
      </c>
      <c r="Q100">
        <v>1</v>
      </c>
      <c r="R100" s="3">
        <f t="shared" si="6"/>
        <v>6998</v>
      </c>
      <c r="S100" s="3">
        <f t="shared" si="7"/>
        <v>0</v>
      </c>
      <c r="T100" s="3">
        <f t="shared" si="8"/>
        <v>7047</v>
      </c>
      <c r="U100" s="3">
        <f t="shared" si="9"/>
        <v>2148.4000000000005</v>
      </c>
      <c r="V100" s="4">
        <f t="shared" si="10"/>
        <v>0.30486731942670647</v>
      </c>
      <c r="W100" t="str">
        <f t="shared" si="11"/>
        <v>Jun</v>
      </c>
    </row>
    <row r="101" spans="1:23" x14ac:dyDescent="0.25">
      <c r="A101" t="s">
        <v>281</v>
      </c>
      <c r="B101" t="s">
        <v>136</v>
      </c>
      <c r="C101" s="2">
        <v>45721.599305555559</v>
      </c>
      <c r="D101" t="s">
        <v>96</v>
      </c>
      <c r="E101" t="s">
        <v>97</v>
      </c>
      <c r="F101" t="s">
        <v>98</v>
      </c>
      <c r="G101" t="s">
        <v>99</v>
      </c>
      <c r="H101">
        <v>1</v>
      </c>
      <c r="I101" s="3">
        <v>1499</v>
      </c>
      <c r="J101" s="4">
        <v>0.2</v>
      </c>
      <c r="K101" s="3">
        <v>59</v>
      </c>
      <c r="L101" t="s">
        <v>39</v>
      </c>
      <c r="M101" t="s">
        <v>39</v>
      </c>
      <c r="N101" t="s">
        <v>40</v>
      </c>
      <c r="O101" t="s">
        <v>51</v>
      </c>
      <c r="P101" t="s">
        <v>80</v>
      </c>
      <c r="Q101">
        <v>1</v>
      </c>
      <c r="R101" s="3">
        <f t="shared" si="6"/>
        <v>1499</v>
      </c>
      <c r="S101" s="3">
        <f t="shared" si="7"/>
        <v>299.8</v>
      </c>
      <c r="T101" s="3">
        <f t="shared" si="8"/>
        <v>1258.2</v>
      </c>
      <c r="U101" s="3">
        <f t="shared" si="9"/>
        <v>208.90000000000009</v>
      </c>
      <c r="V101" s="4">
        <f t="shared" si="10"/>
        <v>0.16603083770465751</v>
      </c>
      <c r="W101" t="str">
        <f t="shared" si="11"/>
        <v>Mar</v>
      </c>
    </row>
    <row r="102" spans="1:23" x14ac:dyDescent="0.25">
      <c r="A102" t="s">
        <v>282</v>
      </c>
      <c r="B102" t="s">
        <v>283</v>
      </c>
      <c r="C102" s="2">
        <v>45975.722222222219</v>
      </c>
      <c r="D102" t="s">
        <v>25</v>
      </c>
      <c r="E102" t="s">
        <v>26</v>
      </c>
      <c r="F102" t="s">
        <v>27</v>
      </c>
      <c r="G102" t="s">
        <v>28</v>
      </c>
      <c r="H102">
        <v>2</v>
      </c>
      <c r="I102" s="3">
        <v>249</v>
      </c>
      <c r="J102" s="4">
        <v>0</v>
      </c>
      <c r="K102" s="3">
        <v>0</v>
      </c>
      <c r="L102" t="s">
        <v>113</v>
      </c>
      <c r="M102" t="s">
        <v>114</v>
      </c>
      <c r="N102" t="s">
        <v>71</v>
      </c>
      <c r="O102" t="s">
        <v>59</v>
      </c>
      <c r="P102" t="s">
        <v>85</v>
      </c>
      <c r="Q102">
        <v>1</v>
      </c>
      <c r="R102" s="3">
        <f t="shared" si="6"/>
        <v>498</v>
      </c>
      <c r="S102" s="3">
        <f t="shared" si="7"/>
        <v>0</v>
      </c>
      <c r="T102" s="3">
        <f t="shared" si="8"/>
        <v>498</v>
      </c>
      <c r="U102" s="3">
        <f t="shared" si="9"/>
        <v>149.40000000000003</v>
      </c>
      <c r="V102" s="4">
        <f t="shared" si="10"/>
        <v>0.30000000000000004</v>
      </c>
      <c r="W102" t="str">
        <f t="shared" si="11"/>
        <v>Nov</v>
      </c>
    </row>
    <row r="103" spans="1:23" x14ac:dyDescent="0.25">
      <c r="A103" t="s">
        <v>284</v>
      </c>
      <c r="B103" t="s">
        <v>255</v>
      </c>
      <c r="C103" s="2">
        <v>45813.629861111112</v>
      </c>
      <c r="D103" t="s">
        <v>105</v>
      </c>
      <c r="E103" t="s">
        <v>106</v>
      </c>
      <c r="F103" t="s">
        <v>37</v>
      </c>
      <c r="G103" t="s">
        <v>107</v>
      </c>
      <c r="H103">
        <v>4</v>
      </c>
      <c r="I103" s="3">
        <v>1799</v>
      </c>
      <c r="J103" s="4">
        <v>0</v>
      </c>
      <c r="K103" s="3">
        <v>99</v>
      </c>
      <c r="L103" t="s">
        <v>285</v>
      </c>
      <c r="M103" t="s">
        <v>39</v>
      </c>
      <c r="N103" t="s">
        <v>40</v>
      </c>
      <c r="O103" t="s">
        <v>59</v>
      </c>
      <c r="P103" t="s">
        <v>33</v>
      </c>
      <c r="Q103">
        <v>3</v>
      </c>
      <c r="R103" s="3">
        <f t="shared" si="6"/>
        <v>7196</v>
      </c>
      <c r="S103" s="3">
        <f t="shared" si="7"/>
        <v>0</v>
      </c>
      <c r="T103" s="3">
        <f t="shared" si="8"/>
        <v>7295</v>
      </c>
      <c r="U103" s="3">
        <f t="shared" si="9"/>
        <v>2257.8000000000002</v>
      </c>
      <c r="V103" s="4">
        <f t="shared" si="10"/>
        <v>0.30949965729952023</v>
      </c>
      <c r="W103" t="str">
        <f t="shared" si="11"/>
        <v>Jun</v>
      </c>
    </row>
    <row r="104" spans="1:23" x14ac:dyDescent="0.25">
      <c r="A104" t="s">
        <v>286</v>
      </c>
      <c r="B104" t="s">
        <v>287</v>
      </c>
      <c r="C104" s="2">
        <v>45737.570138888892</v>
      </c>
      <c r="D104" t="s">
        <v>25</v>
      </c>
      <c r="E104" t="s">
        <v>26</v>
      </c>
      <c r="F104" t="s">
        <v>27</v>
      </c>
      <c r="G104" t="s">
        <v>28</v>
      </c>
      <c r="H104">
        <v>1</v>
      </c>
      <c r="I104" s="3">
        <v>249</v>
      </c>
      <c r="J104" s="4">
        <v>0.1</v>
      </c>
      <c r="K104" s="3">
        <v>99</v>
      </c>
      <c r="L104" t="s">
        <v>83</v>
      </c>
      <c r="M104" t="s">
        <v>84</v>
      </c>
      <c r="N104" t="s">
        <v>71</v>
      </c>
      <c r="O104" t="s">
        <v>93</v>
      </c>
      <c r="P104" t="s">
        <v>33</v>
      </c>
      <c r="R104" s="3">
        <f t="shared" si="6"/>
        <v>249</v>
      </c>
      <c r="S104" s="3">
        <f t="shared" si="7"/>
        <v>24.900000000000002</v>
      </c>
      <c r="T104" s="3">
        <f t="shared" si="8"/>
        <v>323.10000000000002</v>
      </c>
      <c r="U104" s="3">
        <f t="shared" si="9"/>
        <v>148.80000000000004</v>
      </c>
      <c r="V104" s="4">
        <f t="shared" si="10"/>
        <v>0.46053853296193137</v>
      </c>
      <c r="W104" t="str">
        <f t="shared" si="11"/>
        <v>Mar</v>
      </c>
    </row>
    <row r="105" spans="1:23" x14ac:dyDescent="0.25">
      <c r="A105" t="s">
        <v>288</v>
      </c>
      <c r="B105" t="s">
        <v>289</v>
      </c>
      <c r="C105" s="2">
        <v>45778.462500000001</v>
      </c>
      <c r="D105" t="s">
        <v>169</v>
      </c>
      <c r="E105" t="s">
        <v>170</v>
      </c>
      <c r="F105" t="s">
        <v>98</v>
      </c>
      <c r="G105" t="s">
        <v>171</v>
      </c>
      <c r="H105">
        <v>1</v>
      </c>
      <c r="I105" s="3">
        <v>799</v>
      </c>
      <c r="J105" s="4">
        <v>0.05</v>
      </c>
      <c r="K105" s="3">
        <v>99</v>
      </c>
      <c r="L105" t="s">
        <v>113</v>
      </c>
      <c r="M105" t="s">
        <v>114</v>
      </c>
      <c r="N105" t="s">
        <v>31</v>
      </c>
      <c r="O105" t="s">
        <v>59</v>
      </c>
      <c r="P105" t="s">
        <v>80</v>
      </c>
      <c r="Q105">
        <v>3</v>
      </c>
      <c r="R105" s="3">
        <f t="shared" si="6"/>
        <v>799</v>
      </c>
      <c r="S105" s="3">
        <f t="shared" si="7"/>
        <v>39.950000000000003</v>
      </c>
      <c r="T105" s="3">
        <f t="shared" si="8"/>
        <v>858.05</v>
      </c>
      <c r="U105" s="3">
        <f t="shared" si="9"/>
        <v>298.75</v>
      </c>
      <c r="V105" s="4">
        <f t="shared" si="10"/>
        <v>0.3481731833809219</v>
      </c>
      <c r="W105" t="str">
        <f t="shared" si="11"/>
        <v>May</v>
      </c>
    </row>
    <row r="106" spans="1:23" x14ac:dyDescent="0.25">
      <c r="A106" t="s">
        <v>290</v>
      </c>
      <c r="B106" t="s">
        <v>192</v>
      </c>
      <c r="C106" s="2">
        <v>45890.112500000003</v>
      </c>
      <c r="D106" t="s">
        <v>67</v>
      </c>
      <c r="E106" t="s">
        <v>68</v>
      </c>
      <c r="F106" t="s">
        <v>37</v>
      </c>
      <c r="G106" t="s">
        <v>38</v>
      </c>
      <c r="H106">
        <v>4</v>
      </c>
      <c r="I106" s="3">
        <v>1299</v>
      </c>
      <c r="J106" s="4">
        <v>0.2</v>
      </c>
      <c r="K106" s="3">
        <v>99</v>
      </c>
      <c r="L106" t="s">
        <v>29</v>
      </c>
      <c r="M106" t="s">
        <v>30</v>
      </c>
      <c r="N106" t="s">
        <v>31</v>
      </c>
      <c r="O106" t="s">
        <v>51</v>
      </c>
      <c r="P106" t="s">
        <v>33</v>
      </c>
      <c r="Q106">
        <v>2</v>
      </c>
      <c r="R106" s="3">
        <f t="shared" si="6"/>
        <v>5196</v>
      </c>
      <c r="S106" s="3">
        <f t="shared" si="7"/>
        <v>1039.2</v>
      </c>
      <c r="T106" s="3">
        <f t="shared" si="8"/>
        <v>4255.8</v>
      </c>
      <c r="U106" s="3">
        <f t="shared" si="9"/>
        <v>618.60000000000036</v>
      </c>
      <c r="V106" s="4">
        <f t="shared" si="10"/>
        <v>0.14535457493303264</v>
      </c>
      <c r="W106" t="str">
        <f t="shared" si="11"/>
        <v>Aug</v>
      </c>
    </row>
    <row r="107" spans="1:23" x14ac:dyDescent="0.25">
      <c r="A107" t="s">
        <v>291</v>
      </c>
      <c r="B107" t="s">
        <v>292</v>
      </c>
      <c r="C107" s="2">
        <v>45941.275694444441</v>
      </c>
      <c r="D107" t="s">
        <v>105</v>
      </c>
      <c r="E107" t="s">
        <v>106</v>
      </c>
      <c r="F107" t="s">
        <v>37</v>
      </c>
      <c r="G107" t="s">
        <v>107</v>
      </c>
      <c r="H107">
        <v>1</v>
      </c>
      <c r="I107" s="3">
        <v>1799</v>
      </c>
      <c r="J107" s="4">
        <v>0</v>
      </c>
      <c r="K107" s="3">
        <v>59</v>
      </c>
      <c r="L107" t="s">
        <v>125</v>
      </c>
      <c r="M107" t="s">
        <v>126</v>
      </c>
      <c r="N107" t="s">
        <v>102</v>
      </c>
      <c r="O107" t="s">
        <v>93</v>
      </c>
      <c r="P107" t="s">
        <v>33</v>
      </c>
      <c r="Q107">
        <v>3</v>
      </c>
      <c r="R107" s="3">
        <f t="shared" si="6"/>
        <v>1799</v>
      </c>
      <c r="S107" s="3">
        <f t="shared" si="7"/>
        <v>0</v>
      </c>
      <c r="T107" s="3">
        <f t="shared" si="8"/>
        <v>1858</v>
      </c>
      <c r="U107" s="3">
        <f t="shared" si="9"/>
        <v>598.70000000000005</v>
      </c>
      <c r="V107" s="4">
        <f t="shared" si="10"/>
        <v>0.32222820236813782</v>
      </c>
      <c r="W107" t="str">
        <f t="shared" si="11"/>
        <v>Oct</v>
      </c>
    </row>
    <row r="108" spans="1:23" x14ac:dyDescent="0.25">
      <c r="A108" t="s">
        <v>293</v>
      </c>
      <c r="B108" t="s">
        <v>289</v>
      </c>
      <c r="C108" s="2">
        <v>45747.154166666667</v>
      </c>
      <c r="D108" t="s">
        <v>105</v>
      </c>
      <c r="E108" t="s">
        <v>106</v>
      </c>
      <c r="F108" t="s">
        <v>37</v>
      </c>
      <c r="G108" t="s">
        <v>107</v>
      </c>
      <c r="H108">
        <v>2</v>
      </c>
      <c r="I108" s="3">
        <v>1799</v>
      </c>
      <c r="J108" s="4">
        <v>0</v>
      </c>
      <c r="K108" s="3">
        <v>0</v>
      </c>
      <c r="L108" t="s">
        <v>100</v>
      </c>
      <c r="M108" t="s">
        <v>101</v>
      </c>
      <c r="N108" t="s">
        <v>50</v>
      </c>
      <c r="O108" t="s">
        <v>32</v>
      </c>
      <c r="P108" t="s">
        <v>33</v>
      </c>
      <c r="Q108">
        <v>3</v>
      </c>
      <c r="R108" s="3">
        <f t="shared" si="6"/>
        <v>3598</v>
      </c>
      <c r="S108" s="3">
        <f t="shared" si="7"/>
        <v>0</v>
      </c>
      <c r="T108" s="3">
        <f t="shared" si="8"/>
        <v>3598</v>
      </c>
      <c r="U108" s="3">
        <f t="shared" si="9"/>
        <v>1079.4000000000001</v>
      </c>
      <c r="V108" s="4">
        <f t="shared" si="10"/>
        <v>0.30000000000000004</v>
      </c>
      <c r="W108" t="str">
        <f t="shared" si="11"/>
        <v>Mar</v>
      </c>
    </row>
    <row r="109" spans="1:23" x14ac:dyDescent="0.25">
      <c r="A109" t="s">
        <v>294</v>
      </c>
      <c r="B109" t="s">
        <v>186</v>
      </c>
      <c r="C109" s="2">
        <v>45722.976388888892</v>
      </c>
      <c r="D109" t="s">
        <v>35</v>
      </c>
      <c r="E109" t="s">
        <v>36</v>
      </c>
      <c r="F109" t="s">
        <v>37</v>
      </c>
      <c r="G109" t="s">
        <v>38</v>
      </c>
      <c r="H109">
        <v>1</v>
      </c>
      <c r="I109" s="3">
        <v>599</v>
      </c>
      <c r="J109" s="4">
        <v>0</v>
      </c>
      <c r="K109" s="3">
        <v>0</v>
      </c>
      <c r="L109" t="s">
        <v>100</v>
      </c>
      <c r="M109" t="s">
        <v>101</v>
      </c>
      <c r="N109" t="s">
        <v>40</v>
      </c>
      <c r="O109" t="s">
        <v>51</v>
      </c>
      <c r="P109" t="s">
        <v>85</v>
      </c>
      <c r="Q109">
        <v>5</v>
      </c>
      <c r="R109" s="3">
        <f t="shared" si="6"/>
        <v>599</v>
      </c>
      <c r="S109" s="3">
        <f t="shared" si="7"/>
        <v>0</v>
      </c>
      <c r="T109" s="3">
        <f t="shared" si="8"/>
        <v>599</v>
      </c>
      <c r="U109" s="3">
        <f t="shared" si="9"/>
        <v>179.70000000000005</v>
      </c>
      <c r="V109" s="4">
        <f t="shared" si="10"/>
        <v>0.3000000000000001</v>
      </c>
      <c r="W109" t="str">
        <f t="shared" si="11"/>
        <v>Mar</v>
      </c>
    </row>
    <row r="110" spans="1:23" x14ac:dyDescent="0.25">
      <c r="A110" t="s">
        <v>295</v>
      </c>
      <c r="B110" t="s">
        <v>296</v>
      </c>
      <c r="C110" s="2">
        <v>45771.793055555558</v>
      </c>
      <c r="D110" t="s">
        <v>44</v>
      </c>
      <c r="E110" t="s">
        <v>45</v>
      </c>
      <c r="F110" t="s">
        <v>46</v>
      </c>
      <c r="G110" t="s">
        <v>47</v>
      </c>
      <c r="H110">
        <v>2</v>
      </c>
      <c r="I110" s="3">
        <v>1199</v>
      </c>
      <c r="J110" s="4">
        <v>0.2</v>
      </c>
      <c r="K110" s="3">
        <v>99</v>
      </c>
      <c r="L110" t="s">
        <v>29</v>
      </c>
      <c r="M110" t="s">
        <v>30</v>
      </c>
      <c r="N110" t="s">
        <v>40</v>
      </c>
      <c r="O110" t="s">
        <v>93</v>
      </c>
      <c r="P110" t="s">
        <v>80</v>
      </c>
      <c r="Q110">
        <v>1</v>
      </c>
      <c r="R110" s="3">
        <f t="shared" si="6"/>
        <v>2398</v>
      </c>
      <c r="S110" s="3">
        <f t="shared" si="7"/>
        <v>479.6</v>
      </c>
      <c r="T110" s="3">
        <f t="shared" si="8"/>
        <v>2017.4</v>
      </c>
      <c r="U110" s="3">
        <f t="shared" si="9"/>
        <v>338.80000000000018</v>
      </c>
      <c r="V110" s="4">
        <f t="shared" si="10"/>
        <v>0.16793893129771001</v>
      </c>
      <c r="W110" t="str">
        <f t="shared" si="11"/>
        <v>Apr</v>
      </c>
    </row>
    <row r="111" spans="1:23" x14ac:dyDescent="0.25">
      <c r="A111" t="s">
        <v>297</v>
      </c>
      <c r="B111" t="s">
        <v>298</v>
      </c>
      <c r="C111" s="2">
        <v>45713.65625</v>
      </c>
      <c r="D111" t="s">
        <v>90</v>
      </c>
      <c r="E111" t="s">
        <v>91</v>
      </c>
      <c r="F111" t="s">
        <v>37</v>
      </c>
      <c r="G111" t="s">
        <v>92</v>
      </c>
      <c r="H111">
        <v>1</v>
      </c>
      <c r="I111" s="3">
        <v>3499</v>
      </c>
      <c r="J111" s="4">
        <v>0</v>
      </c>
      <c r="K111" s="3">
        <v>0</v>
      </c>
      <c r="L111" t="s">
        <v>209</v>
      </c>
      <c r="M111" t="s">
        <v>58</v>
      </c>
      <c r="N111" t="s">
        <v>102</v>
      </c>
      <c r="O111" t="s">
        <v>41</v>
      </c>
      <c r="P111" t="s">
        <v>52</v>
      </c>
      <c r="Q111">
        <v>1</v>
      </c>
      <c r="R111" s="3">
        <f t="shared" si="6"/>
        <v>3499</v>
      </c>
      <c r="S111" s="3">
        <f t="shared" si="7"/>
        <v>0</v>
      </c>
      <c r="T111" s="3">
        <f t="shared" si="8"/>
        <v>3499</v>
      </c>
      <c r="U111" s="3">
        <f t="shared" si="9"/>
        <v>1049.7000000000003</v>
      </c>
      <c r="V111" s="4">
        <f t="shared" si="10"/>
        <v>0.3000000000000001</v>
      </c>
      <c r="W111" t="str">
        <f t="shared" si="11"/>
        <v>Feb</v>
      </c>
    </row>
    <row r="112" spans="1:23" x14ac:dyDescent="0.25">
      <c r="A112" t="s">
        <v>299</v>
      </c>
      <c r="B112" t="s">
        <v>300</v>
      </c>
      <c r="C112" s="2">
        <v>45957.739583333343</v>
      </c>
      <c r="D112" t="s">
        <v>105</v>
      </c>
      <c r="E112" t="s">
        <v>106</v>
      </c>
      <c r="F112" t="s">
        <v>37</v>
      </c>
      <c r="G112" t="s">
        <v>107</v>
      </c>
      <c r="H112">
        <v>2</v>
      </c>
      <c r="I112" s="3">
        <v>1799</v>
      </c>
      <c r="J112" s="4">
        <v>0.1</v>
      </c>
      <c r="K112" s="3">
        <v>99</v>
      </c>
      <c r="L112" t="s">
        <v>48</v>
      </c>
      <c r="M112" t="s">
        <v>49</v>
      </c>
      <c r="N112" t="s">
        <v>71</v>
      </c>
      <c r="O112" t="s">
        <v>59</v>
      </c>
      <c r="P112" t="s">
        <v>33</v>
      </c>
      <c r="Q112">
        <v>5</v>
      </c>
      <c r="R112" s="3">
        <f t="shared" si="6"/>
        <v>3598</v>
      </c>
      <c r="S112" s="3">
        <f t="shared" si="7"/>
        <v>359.8</v>
      </c>
      <c r="T112" s="3">
        <f t="shared" si="8"/>
        <v>3337.2</v>
      </c>
      <c r="U112" s="3">
        <f t="shared" si="9"/>
        <v>818.59999999999991</v>
      </c>
      <c r="V112" s="4">
        <f t="shared" si="10"/>
        <v>0.24529545726956728</v>
      </c>
      <c r="W112" t="str">
        <f t="shared" si="11"/>
        <v>Oct</v>
      </c>
    </row>
    <row r="113" spans="1:23" x14ac:dyDescent="0.25">
      <c r="A113" t="s">
        <v>301</v>
      </c>
      <c r="B113" t="s">
        <v>302</v>
      </c>
      <c r="C113" s="2">
        <v>46017.162499999999</v>
      </c>
      <c r="D113" t="s">
        <v>44</v>
      </c>
      <c r="E113" t="s">
        <v>45</v>
      </c>
      <c r="F113" t="s">
        <v>46</v>
      </c>
      <c r="G113" t="s">
        <v>47</v>
      </c>
      <c r="H113">
        <v>1</v>
      </c>
      <c r="I113" s="3">
        <v>1199</v>
      </c>
      <c r="J113" s="4">
        <v>0.2</v>
      </c>
      <c r="K113" s="3">
        <v>99</v>
      </c>
      <c r="L113" t="s">
        <v>57</v>
      </c>
      <c r="M113" t="s">
        <v>58</v>
      </c>
      <c r="N113" t="s">
        <v>272</v>
      </c>
      <c r="O113" t="s">
        <v>59</v>
      </c>
      <c r="P113" t="s">
        <v>80</v>
      </c>
      <c r="Q113">
        <v>2</v>
      </c>
      <c r="R113" s="3">
        <f t="shared" si="6"/>
        <v>1199</v>
      </c>
      <c r="S113" s="3">
        <f t="shared" si="7"/>
        <v>239.8</v>
      </c>
      <c r="T113" s="3">
        <f t="shared" si="8"/>
        <v>1058.2</v>
      </c>
      <c r="U113" s="3">
        <f t="shared" si="9"/>
        <v>218.90000000000009</v>
      </c>
      <c r="V113" s="4">
        <f t="shared" si="10"/>
        <v>0.20686070686070693</v>
      </c>
      <c r="W113" t="str">
        <f t="shared" si="11"/>
        <v>Dec</v>
      </c>
    </row>
    <row r="114" spans="1:23" x14ac:dyDescent="0.25">
      <c r="A114" t="s">
        <v>303</v>
      </c>
      <c r="B114" t="s">
        <v>304</v>
      </c>
      <c r="C114" s="2">
        <v>45862.573611111111</v>
      </c>
      <c r="D114" t="s">
        <v>96</v>
      </c>
      <c r="E114" t="s">
        <v>97</v>
      </c>
      <c r="F114" t="s">
        <v>98</v>
      </c>
      <c r="G114" t="s">
        <v>99</v>
      </c>
      <c r="H114">
        <v>3</v>
      </c>
      <c r="I114" s="3">
        <v>1499</v>
      </c>
      <c r="J114" s="4"/>
      <c r="K114" s="3">
        <v>79</v>
      </c>
      <c r="L114" t="s">
        <v>74</v>
      </c>
      <c r="M114" t="s">
        <v>49</v>
      </c>
      <c r="N114" t="s">
        <v>71</v>
      </c>
      <c r="O114" t="s">
        <v>51</v>
      </c>
      <c r="P114" t="s">
        <v>33</v>
      </c>
      <c r="Q114">
        <v>2</v>
      </c>
      <c r="R114" s="3">
        <f t="shared" si="6"/>
        <v>4497</v>
      </c>
      <c r="S114" s="3">
        <f t="shared" si="7"/>
        <v>0</v>
      </c>
      <c r="T114" s="3">
        <f t="shared" si="8"/>
        <v>4576</v>
      </c>
      <c r="U114" s="3">
        <f t="shared" si="9"/>
        <v>1428.1000000000004</v>
      </c>
      <c r="V114" s="4">
        <f t="shared" si="10"/>
        <v>0.3120847902097903</v>
      </c>
      <c r="W114" t="str">
        <f t="shared" si="11"/>
        <v>Jul</v>
      </c>
    </row>
    <row r="115" spans="1:23" x14ac:dyDescent="0.25">
      <c r="A115" t="s">
        <v>305</v>
      </c>
      <c r="B115" t="s">
        <v>306</v>
      </c>
      <c r="C115" s="2">
        <v>45701.102083333331</v>
      </c>
      <c r="D115" t="s">
        <v>25</v>
      </c>
      <c r="E115" t="s">
        <v>26</v>
      </c>
      <c r="F115" t="s">
        <v>27</v>
      </c>
      <c r="G115" t="s">
        <v>28</v>
      </c>
      <c r="I115" s="3">
        <v>249</v>
      </c>
      <c r="J115" s="4">
        <v>0.2</v>
      </c>
      <c r="K115" s="3">
        <v>59</v>
      </c>
      <c r="L115" t="s">
        <v>119</v>
      </c>
      <c r="M115" t="s">
        <v>120</v>
      </c>
      <c r="N115" t="s">
        <v>102</v>
      </c>
      <c r="O115" t="s">
        <v>93</v>
      </c>
      <c r="P115" t="s">
        <v>33</v>
      </c>
      <c r="Q115">
        <v>5</v>
      </c>
      <c r="R115" s="3">
        <f t="shared" si="6"/>
        <v>0</v>
      </c>
      <c r="S115" s="3">
        <f t="shared" si="7"/>
        <v>0</v>
      </c>
      <c r="T115" s="3">
        <f t="shared" si="8"/>
        <v>59</v>
      </c>
      <c r="U115" s="3">
        <f t="shared" si="9"/>
        <v>59</v>
      </c>
      <c r="V115" s="4">
        <f t="shared" si="10"/>
        <v>1</v>
      </c>
      <c r="W115" t="str">
        <f t="shared" si="11"/>
        <v>Feb</v>
      </c>
    </row>
    <row r="116" spans="1:23" x14ac:dyDescent="0.25">
      <c r="A116" t="s">
        <v>307</v>
      </c>
      <c r="B116" t="s">
        <v>240</v>
      </c>
      <c r="C116" s="2">
        <v>45720.556944444441</v>
      </c>
      <c r="D116" t="s">
        <v>62</v>
      </c>
      <c r="E116" t="s">
        <v>63</v>
      </c>
      <c r="F116" t="s">
        <v>46</v>
      </c>
      <c r="G116" t="s">
        <v>64</v>
      </c>
      <c r="H116">
        <v>1</v>
      </c>
      <c r="I116" s="3">
        <v>699</v>
      </c>
      <c r="J116" s="4">
        <v>0.1</v>
      </c>
      <c r="K116" s="3">
        <v>0</v>
      </c>
      <c r="L116" t="s">
        <v>83</v>
      </c>
      <c r="M116" t="s">
        <v>84</v>
      </c>
      <c r="N116" t="s">
        <v>102</v>
      </c>
      <c r="O116" t="s">
        <v>51</v>
      </c>
      <c r="P116" t="s">
        <v>80</v>
      </c>
      <c r="Q116">
        <v>3</v>
      </c>
      <c r="R116" s="3">
        <f t="shared" si="6"/>
        <v>699</v>
      </c>
      <c r="S116" s="3">
        <f t="shared" si="7"/>
        <v>69.900000000000006</v>
      </c>
      <c r="T116" s="3">
        <f t="shared" si="8"/>
        <v>629.1</v>
      </c>
      <c r="U116" s="3">
        <f t="shared" si="9"/>
        <v>139.80000000000007</v>
      </c>
      <c r="V116" s="4">
        <f t="shared" si="10"/>
        <v>0.22222222222222232</v>
      </c>
      <c r="W116" t="str">
        <f t="shared" si="11"/>
        <v>Mar</v>
      </c>
    </row>
    <row r="117" spans="1:23" x14ac:dyDescent="0.25">
      <c r="A117" t="s">
        <v>308</v>
      </c>
      <c r="B117" t="s">
        <v>309</v>
      </c>
      <c r="C117" s="2">
        <v>45737.895833333343</v>
      </c>
      <c r="D117" t="s">
        <v>55</v>
      </c>
      <c r="E117" t="s">
        <v>56</v>
      </c>
      <c r="F117" t="s">
        <v>37</v>
      </c>
      <c r="G117" t="s">
        <v>38</v>
      </c>
      <c r="H117">
        <v>2</v>
      </c>
      <c r="I117" s="3">
        <v>2499</v>
      </c>
      <c r="J117" s="4">
        <v>0</v>
      </c>
      <c r="K117" s="3">
        <v>59</v>
      </c>
      <c r="L117" t="s">
        <v>125</v>
      </c>
      <c r="M117" t="s">
        <v>126</v>
      </c>
      <c r="N117" t="s">
        <v>71</v>
      </c>
      <c r="O117" t="s">
        <v>93</v>
      </c>
      <c r="P117" t="s">
        <v>33</v>
      </c>
      <c r="R117" s="3">
        <f t="shared" si="6"/>
        <v>4998</v>
      </c>
      <c r="S117" s="3">
        <f t="shared" si="7"/>
        <v>0</v>
      </c>
      <c r="T117" s="3">
        <f t="shared" si="8"/>
        <v>5057</v>
      </c>
      <c r="U117" s="3">
        <f t="shared" si="9"/>
        <v>1558.4</v>
      </c>
      <c r="V117" s="4">
        <f t="shared" si="10"/>
        <v>0.30816689736998221</v>
      </c>
      <c r="W117" t="str">
        <f t="shared" si="11"/>
        <v>Mar</v>
      </c>
    </row>
    <row r="118" spans="1:23" x14ac:dyDescent="0.25">
      <c r="A118" t="s">
        <v>310</v>
      </c>
      <c r="B118" t="s">
        <v>311</v>
      </c>
      <c r="C118" s="2">
        <v>45877.742361111108</v>
      </c>
      <c r="D118" t="s">
        <v>110</v>
      </c>
      <c r="E118" t="s">
        <v>111</v>
      </c>
      <c r="F118" t="s">
        <v>98</v>
      </c>
      <c r="G118" t="s">
        <v>112</v>
      </c>
      <c r="H118">
        <v>1</v>
      </c>
      <c r="I118" s="3">
        <v>2999</v>
      </c>
      <c r="J118" s="4">
        <v>0.15</v>
      </c>
      <c r="K118" s="3">
        <v>99</v>
      </c>
      <c r="L118" t="s">
        <v>125</v>
      </c>
      <c r="M118" t="s">
        <v>126</v>
      </c>
      <c r="N118" t="s">
        <v>102</v>
      </c>
      <c r="O118" t="s">
        <v>51</v>
      </c>
      <c r="P118" t="s">
        <v>85</v>
      </c>
      <c r="Q118">
        <v>1</v>
      </c>
      <c r="R118" s="3">
        <f t="shared" si="6"/>
        <v>2999</v>
      </c>
      <c r="S118" s="3">
        <f t="shared" si="7"/>
        <v>449.84999999999997</v>
      </c>
      <c r="T118" s="3">
        <f t="shared" si="8"/>
        <v>2648.15</v>
      </c>
      <c r="U118" s="3">
        <f t="shared" si="9"/>
        <v>548.85000000000036</v>
      </c>
      <c r="V118" s="4">
        <f t="shared" si="10"/>
        <v>0.20725789702244976</v>
      </c>
      <c r="W118" t="str">
        <f t="shared" si="11"/>
        <v>Aug</v>
      </c>
    </row>
    <row r="119" spans="1:23" x14ac:dyDescent="0.25">
      <c r="A119" t="s">
        <v>312</v>
      </c>
      <c r="B119" t="s">
        <v>140</v>
      </c>
      <c r="C119" s="2">
        <v>45816.431944444441</v>
      </c>
      <c r="D119" t="s">
        <v>105</v>
      </c>
      <c r="E119" t="s">
        <v>106</v>
      </c>
      <c r="F119" t="s">
        <v>37</v>
      </c>
      <c r="G119" t="s">
        <v>107</v>
      </c>
      <c r="H119">
        <v>2</v>
      </c>
      <c r="I119" s="3">
        <v>1799</v>
      </c>
      <c r="J119" s="4">
        <v>0</v>
      </c>
      <c r="K119" s="3">
        <v>49</v>
      </c>
      <c r="L119" t="s">
        <v>48</v>
      </c>
      <c r="M119" t="s">
        <v>49</v>
      </c>
      <c r="N119" t="s">
        <v>40</v>
      </c>
      <c r="O119" t="s">
        <v>93</v>
      </c>
      <c r="P119" t="s">
        <v>33</v>
      </c>
      <c r="Q119">
        <v>2</v>
      </c>
      <c r="R119" s="3">
        <f t="shared" si="6"/>
        <v>3598</v>
      </c>
      <c r="S119" s="3">
        <f t="shared" si="7"/>
        <v>0</v>
      </c>
      <c r="T119" s="3">
        <f t="shared" si="8"/>
        <v>3647</v>
      </c>
      <c r="U119" s="3">
        <f t="shared" si="9"/>
        <v>1128.4000000000001</v>
      </c>
      <c r="V119" s="4">
        <f t="shared" si="10"/>
        <v>0.30940499040307107</v>
      </c>
      <c r="W119" t="str">
        <f t="shared" si="11"/>
        <v>Jun</v>
      </c>
    </row>
    <row r="120" spans="1:23" x14ac:dyDescent="0.25">
      <c r="A120" t="s">
        <v>313</v>
      </c>
      <c r="B120" t="s">
        <v>234</v>
      </c>
      <c r="C120" s="2">
        <v>45929.26666666667</v>
      </c>
      <c r="D120" t="s">
        <v>77</v>
      </c>
      <c r="E120" t="s">
        <v>78</v>
      </c>
      <c r="F120" t="s">
        <v>79</v>
      </c>
      <c r="G120" t="s">
        <v>28</v>
      </c>
      <c r="H120">
        <v>1</v>
      </c>
      <c r="I120" s="3">
        <v>6499</v>
      </c>
      <c r="J120" s="4">
        <v>0.1</v>
      </c>
      <c r="K120" s="3">
        <v>59</v>
      </c>
      <c r="L120" t="s">
        <v>39</v>
      </c>
      <c r="M120" t="s">
        <v>39</v>
      </c>
      <c r="N120" t="s">
        <v>71</v>
      </c>
      <c r="O120" t="s">
        <v>51</v>
      </c>
      <c r="P120" t="s">
        <v>52</v>
      </c>
      <c r="R120" s="3">
        <f t="shared" si="6"/>
        <v>6499</v>
      </c>
      <c r="S120" s="3">
        <f t="shared" si="7"/>
        <v>649.90000000000009</v>
      </c>
      <c r="T120" s="3">
        <f t="shared" si="8"/>
        <v>5908.1</v>
      </c>
      <c r="U120" s="3">
        <f t="shared" si="9"/>
        <v>1358.8000000000011</v>
      </c>
      <c r="V120" s="4">
        <f t="shared" si="10"/>
        <v>0.22998933667338078</v>
      </c>
      <c r="W120" t="str">
        <f t="shared" si="11"/>
        <v>Sep</v>
      </c>
    </row>
    <row r="121" spans="1:23" x14ac:dyDescent="0.25">
      <c r="A121" t="s">
        <v>314</v>
      </c>
      <c r="B121" t="s">
        <v>315</v>
      </c>
      <c r="C121" s="2">
        <v>45684.173611111109</v>
      </c>
      <c r="D121" t="s">
        <v>169</v>
      </c>
      <c r="E121" t="s">
        <v>170</v>
      </c>
      <c r="F121" t="s">
        <v>98</v>
      </c>
      <c r="G121" t="s">
        <v>171</v>
      </c>
      <c r="H121">
        <v>2</v>
      </c>
      <c r="I121" s="3">
        <v>799</v>
      </c>
      <c r="J121" s="4">
        <v>0</v>
      </c>
      <c r="K121" s="3">
        <v>0</v>
      </c>
      <c r="L121" t="s">
        <v>125</v>
      </c>
      <c r="M121" t="s">
        <v>126</v>
      </c>
      <c r="N121" t="s">
        <v>40</v>
      </c>
      <c r="O121" t="s">
        <v>59</v>
      </c>
      <c r="P121" t="s">
        <v>85</v>
      </c>
      <c r="Q121">
        <v>4</v>
      </c>
      <c r="R121" s="3">
        <f t="shared" si="6"/>
        <v>1598</v>
      </c>
      <c r="S121" s="3">
        <f t="shared" si="7"/>
        <v>0</v>
      </c>
      <c r="T121" s="3">
        <f t="shared" si="8"/>
        <v>1598</v>
      </c>
      <c r="U121" s="3">
        <f t="shared" si="9"/>
        <v>479.40000000000009</v>
      </c>
      <c r="V121" s="4">
        <f t="shared" si="10"/>
        <v>0.30000000000000004</v>
      </c>
      <c r="W121" t="str">
        <f t="shared" si="11"/>
        <v>Jan</v>
      </c>
    </row>
    <row r="122" spans="1:23" x14ac:dyDescent="0.25">
      <c r="A122" t="s">
        <v>316</v>
      </c>
      <c r="B122" t="s">
        <v>317</v>
      </c>
      <c r="C122" s="2">
        <v>45768.671527777777</v>
      </c>
      <c r="D122" t="s">
        <v>44</v>
      </c>
      <c r="E122" t="s">
        <v>45</v>
      </c>
      <c r="F122" t="s">
        <v>46</v>
      </c>
      <c r="G122" t="s">
        <v>47</v>
      </c>
      <c r="H122">
        <v>1</v>
      </c>
      <c r="I122" s="3">
        <v>1199</v>
      </c>
      <c r="J122" s="4">
        <v>0.1</v>
      </c>
      <c r="K122" s="3">
        <v>0</v>
      </c>
      <c r="L122" t="s">
        <v>119</v>
      </c>
      <c r="M122" t="s">
        <v>120</v>
      </c>
      <c r="N122" t="s">
        <v>102</v>
      </c>
      <c r="O122" t="s">
        <v>59</v>
      </c>
      <c r="P122" t="s">
        <v>33</v>
      </c>
      <c r="Q122">
        <v>5</v>
      </c>
      <c r="R122" s="3">
        <f t="shared" si="6"/>
        <v>1199</v>
      </c>
      <c r="S122" s="3">
        <f t="shared" si="7"/>
        <v>119.9</v>
      </c>
      <c r="T122" s="3">
        <f t="shared" si="8"/>
        <v>1079.0999999999999</v>
      </c>
      <c r="U122" s="3">
        <f t="shared" si="9"/>
        <v>239.79999999999995</v>
      </c>
      <c r="V122" s="4">
        <f t="shared" si="10"/>
        <v>0.22222222222222221</v>
      </c>
      <c r="W122" t="str">
        <f t="shared" si="11"/>
        <v>Apr</v>
      </c>
    </row>
    <row r="123" spans="1:23" x14ac:dyDescent="0.25">
      <c r="A123" t="s">
        <v>318</v>
      </c>
      <c r="B123" t="s">
        <v>319</v>
      </c>
      <c r="C123" s="2">
        <v>45860.793749999997</v>
      </c>
      <c r="D123" t="s">
        <v>25</v>
      </c>
      <c r="E123" t="s">
        <v>26</v>
      </c>
      <c r="F123" t="s">
        <v>27</v>
      </c>
      <c r="G123" t="s">
        <v>28</v>
      </c>
      <c r="H123">
        <v>1</v>
      </c>
      <c r="I123" s="3">
        <v>249</v>
      </c>
      <c r="J123" s="4">
        <v>0</v>
      </c>
      <c r="K123" s="3">
        <v>59</v>
      </c>
      <c r="L123" t="s">
        <v>48</v>
      </c>
      <c r="M123" t="s">
        <v>49</v>
      </c>
      <c r="N123" t="s">
        <v>50</v>
      </c>
      <c r="O123" t="s">
        <v>51</v>
      </c>
      <c r="P123" t="s">
        <v>33</v>
      </c>
      <c r="Q123">
        <v>3</v>
      </c>
      <c r="R123" s="3">
        <f t="shared" si="6"/>
        <v>249</v>
      </c>
      <c r="S123" s="3">
        <f t="shared" si="7"/>
        <v>0</v>
      </c>
      <c r="T123" s="3">
        <f t="shared" si="8"/>
        <v>308</v>
      </c>
      <c r="U123" s="3">
        <f t="shared" si="9"/>
        <v>133.70000000000002</v>
      </c>
      <c r="V123" s="4">
        <f t="shared" si="10"/>
        <v>0.43409090909090914</v>
      </c>
      <c r="W123" t="str">
        <f t="shared" si="11"/>
        <v>Jul</v>
      </c>
    </row>
    <row r="124" spans="1:23" x14ac:dyDescent="0.25">
      <c r="A124" t="s">
        <v>320</v>
      </c>
      <c r="B124" t="s">
        <v>278</v>
      </c>
      <c r="C124" s="2">
        <v>45878.213888888888</v>
      </c>
      <c r="D124" t="s">
        <v>169</v>
      </c>
      <c r="E124" t="s">
        <v>170</v>
      </c>
      <c r="F124" t="s">
        <v>98</v>
      </c>
      <c r="G124" t="s">
        <v>171</v>
      </c>
      <c r="H124">
        <v>1</v>
      </c>
      <c r="I124" s="3">
        <v>799</v>
      </c>
      <c r="J124" s="4">
        <v>0.15</v>
      </c>
      <c r="K124" s="3">
        <v>49</v>
      </c>
      <c r="L124" t="s">
        <v>29</v>
      </c>
      <c r="M124" t="s">
        <v>30</v>
      </c>
      <c r="N124" t="s">
        <v>102</v>
      </c>
      <c r="O124" t="s">
        <v>51</v>
      </c>
      <c r="P124" t="s">
        <v>52</v>
      </c>
      <c r="Q124">
        <v>1</v>
      </c>
      <c r="R124" s="3">
        <f t="shared" si="6"/>
        <v>799</v>
      </c>
      <c r="S124" s="3">
        <f t="shared" si="7"/>
        <v>119.85</v>
      </c>
      <c r="T124" s="3">
        <f t="shared" si="8"/>
        <v>728.15</v>
      </c>
      <c r="U124" s="3">
        <f t="shared" si="9"/>
        <v>168.85000000000002</v>
      </c>
      <c r="V124" s="4">
        <f t="shared" si="10"/>
        <v>0.23188903385291496</v>
      </c>
      <c r="W124" t="str">
        <f t="shared" si="11"/>
        <v>Aug</v>
      </c>
    </row>
    <row r="125" spans="1:23" x14ac:dyDescent="0.25">
      <c r="A125" t="s">
        <v>321</v>
      </c>
      <c r="B125" t="s">
        <v>226</v>
      </c>
      <c r="C125" s="2">
        <v>45893.121527777781</v>
      </c>
      <c r="D125" t="s">
        <v>96</v>
      </c>
      <c r="E125" t="s">
        <v>97</v>
      </c>
      <c r="F125" t="s">
        <v>98</v>
      </c>
      <c r="G125" t="s">
        <v>99</v>
      </c>
      <c r="H125">
        <v>1</v>
      </c>
      <c r="I125" s="3">
        <v>1499</v>
      </c>
      <c r="J125" s="4">
        <v>0.15</v>
      </c>
      <c r="K125" s="3">
        <v>79</v>
      </c>
      <c r="L125" t="s">
        <v>39</v>
      </c>
      <c r="M125" t="s">
        <v>39</v>
      </c>
      <c r="N125" t="s">
        <v>40</v>
      </c>
      <c r="O125" t="s">
        <v>59</v>
      </c>
      <c r="P125" t="s">
        <v>33</v>
      </c>
      <c r="Q125">
        <v>3</v>
      </c>
      <c r="R125" s="3">
        <f t="shared" si="6"/>
        <v>1499</v>
      </c>
      <c r="S125" s="3">
        <f t="shared" si="7"/>
        <v>224.85</v>
      </c>
      <c r="T125" s="3">
        <f t="shared" si="8"/>
        <v>1353.15</v>
      </c>
      <c r="U125" s="3">
        <f t="shared" si="9"/>
        <v>303.85000000000014</v>
      </c>
      <c r="V125" s="4">
        <f t="shared" si="10"/>
        <v>0.22455012378524192</v>
      </c>
      <c r="W125" t="str">
        <f t="shared" si="11"/>
        <v>Aug</v>
      </c>
    </row>
    <row r="126" spans="1:23" x14ac:dyDescent="0.25">
      <c r="A126" t="s">
        <v>322</v>
      </c>
      <c r="B126" t="s">
        <v>323</v>
      </c>
      <c r="C126" s="2">
        <v>45824.243750000001</v>
      </c>
      <c r="D126" t="s">
        <v>55</v>
      </c>
      <c r="E126" t="s">
        <v>56</v>
      </c>
      <c r="F126" t="s">
        <v>37</v>
      </c>
      <c r="G126" t="s">
        <v>38</v>
      </c>
      <c r="H126">
        <v>1</v>
      </c>
      <c r="I126" s="3">
        <v>2499</v>
      </c>
      <c r="J126" s="4">
        <v>0.1</v>
      </c>
      <c r="K126" s="3">
        <v>59</v>
      </c>
      <c r="L126" t="s">
        <v>57</v>
      </c>
      <c r="M126" t="s">
        <v>58</v>
      </c>
      <c r="N126" t="s">
        <v>40</v>
      </c>
      <c r="O126" t="s">
        <v>93</v>
      </c>
      <c r="P126" t="s">
        <v>85</v>
      </c>
      <c r="Q126">
        <v>2</v>
      </c>
      <c r="R126" s="3">
        <f t="shared" si="6"/>
        <v>2499</v>
      </c>
      <c r="S126" s="3">
        <f t="shared" si="7"/>
        <v>249.9</v>
      </c>
      <c r="T126" s="3">
        <f t="shared" si="8"/>
        <v>2308.1</v>
      </c>
      <c r="U126" s="3">
        <f t="shared" si="9"/>
        <v>558.79999999999995</v>
      </c>
      <c r="V126" s="4">
        <f t="shared" si="10"/>
        <v>0.24210389497855378</v>
      </c>
      <c r="W126" t="str">
        <f t="shared" si="11"/>
        <v>Jun</v>
      </c>
    </row>
    <row r="127" spans="1:23" x14ac:dyDescent="0.25">
      <c r="A127" t="s">
        <v>324</v>
      </c>
      <c r="B127" t="s">
        <v>325</v>
      </c>
      <c r="C127" s="2">
        <v>45698.538194444453</v>
      </c>
      <c r="D127" t="s">
        <v>96</v>
      </c>
      <c r="E127" t="s">
        <v>97</v>
      </c>
      <c r="F127" t="s">
        <v>98</v>
      </c>
      <c r="G127" t="s">
        <v>99</v>
      </c>
      <c r="H127">
        <v>1</v>
      </c>
      <c r="I127" s="3">
        <v>1499</v>
      </c>
      <c r="J127" s="4">
        <v>0.2</v>
      </c>
      <c r="K127" s="3">
        <v>59</v>
      </c>
      <c r="L127" t="s">
        <v>125</v>
      </c>
      <c r="M127" t="s">
        <v>126</v>
      </c>
      <c r="N127" t="s">
        <v>71</v>
      </c>
      <c r="O127" t="s">
        <v>41</v>
      </c>
      <c r="P127" t="s">
        <v>33</v>
      </c>
      <c r="Q127">
        <v>1</v>
      </c>
      <c r="R127" s="3">
        <f t="shared" si="6"/>
        <v>1499</v>
      </c>
      <c r="S127" s="3">
        <f t="shared" si="7"/>
        <v>299.8</v>
      </c>
      <c r="T127" s="3">
        <f t="shared" si="8"/>
        <v>1258.2</v>
      </c>
      <c r="U127" s="3">
        <f t="shared" si="9"/>
        <v>208.90000000000009</v>
      </c>
      <c r="V127" s="4">
        <f t="shared" si="10"/>
        <v>0.16603083770465751</v>
      </c>
      <c r="W127" t="str">
        <f t="shared" si="11"/>
        <v>Feb</v>
      </c>
    </row>
    <row r="128" spans="1:23" x14ac:dyDescent="0.25">
      <c r="A128" t="s">
        <v>326</v>
      </c>
      <c r="B128" t="s">
        <v>327</v>
      </c>
      <c r="C128" s="2">
        <v>45757.473611111112</v>
      </c>
      <c r="D128" t="s">
        <v>62</v>
      </c>
      <c r="E128" t="s">
        <v>63</v>
      </c>
      <c r="F128" t="s">
        <v>46</v>
      </c>
      <c r="G128" t="s">
        <v>64</v>
      </c>
      <c r="H128">
        <v>2</v>
      </c>
      <c r="I128" s="3">
        <v>699</v>
      </c>
      <c r="J128" s="4">
        <v>0.2</v>
      </c>
      <c r="K128" s="3">
        <v>49</v>
      </c>
      <c r="L128" t="s">
        <v>29</v>
      </c>
      <c r="M128" t="s">
        <v>30</v>
      </c>
      <c r="N128" t="s">
        <v>31</v>
      </c>
      <c r="O128" t="s">
        <v>41</v>
      </c>
      <c r="P128" t="s">
        <v>80</v>
      </c>
      <c r="Q128">
        <v>3</v>
      </c>
      <c r="R128" s="3">
        <f t="shared" si="6"/>
        <v>1398</v>
      </c>
      <c r="S128" s="3">
        <f t="shared" si="7"/>
        <v>279.60000000000002</v>
      </c>
      <c r="T128" s="3">
        <f t="shared" si="8"/>
        <v>1167.4000000000001</v>
      </c>
      <c r="U128" s="3">
        <f t="shared" si="9"/>
        <v>188.80000000000018</v>
      </c>
      <c r="V128" s="4">
        <f t="shared" si="10"/>
        <v>0.16172691451087903</v>
      </c>
      <c r="W128" t="str">
        <f t="shared" si="11"/>
        <v>Apr</v>
      </c>
    </row>
    <row r="129" spans="1:23" x14ac:dyDescent="0.25">
      <c r="A129" t="s">
        <v>328</v>
      </c>
      <c r="B129" t="s">
        <v>329</v>
      </c>
      <c r="C129" s="2">
        <v>45993.09097222222</v>
      </c>
      <c r="D129" t="s">
        <v>67</v>
      </c>
      <c r="E129" t="s">
        <v>68</v>
      </c>
      <c r="F129" t="s">
        <v>37</v>
      </c>
      <c r="G129" t="s">
        <v>38</v>
      </c>
      <c r="H129">
        <v>2</v>
      </c>
      <c r="I129" s="3">
        <v>1299</v>
      </c>
      <c r="J129" s="4">
        <v>0.1</v>
      </c>
      <c r="K129" s="3">
        <v>79</v>
      </c>
      <c r="L129" t="s">
        <v>100</v>
      </c>
      <c r="M129" t="s">
        <v>101</v>
      </c>
      <c r="N129" t="s">
        <v>102</v>
      </c>
      <c r="O129" t="s">
        <v>59</v>
      </c>
      <c r="P129" t="s">
        <v>80</v>
      </c>
      <c r="R129" s="3">
        <f t="shared" si="6"/>
        <v>2598</v>
      </c>
      <c r="S129" s="3">
        <f t="shared" si="7"/>
        <v>259.8</v>
      </c>
      <c r="T129" s="3">
        <f t="shared" si="8"/>
        <v>2417.1999999999998</v>
      </c>
      <c r="U129" s="3">
        <f t="shared" si="9"/>
        <v>598.59999999999991</v>
      </c>
      <c r="V129" s="4">
        <f t="shared" si="10"/>
        <v>0.24764189971868275</v>
      </c>
      <c r="W129" t="str">
        <f t="shared" si="11"/>
        <v>Dec</v>
      </c>
    </row>
    <row r="130" spans="1:23" x14ac:dyDescent="0.25">
      <c r="A130" t="s">
        <v>330</v>
      </c>
      <c r="B130" t="s">
        <v>175</v>
      </c>
      <c r="C130" s="2">
        <v>45979.42291666667</v>
      </c>
      <c r="D130" t="s">
        <v>44</v>
      </c>
      <c r="E130" t="s">
        <v>45</v>
      </c>
      <c r="F130" t="s">
        <v>46</v>
      </c>
      <c r="G130" t="s">
        <v>47</v>
      </c>
      <c r="H130">
        <v>1</v>
      </c>
      <c r="I130" s="3">
        <v>1199</v>
      </c>
      <c r="J130" s="4">
        <v>0</v>
      </c>
      <c r="K130" s="3">
        <v>79</v>
      </c>
      <c r="L130" t="s">
        <v>125</v>
      </c>
      <c r="M130" t="s">
        <v>126</v>
      </c>
      <c r="N130" t="s">
        <v>71</v>
      </c>
      <c r="O130" t="s">
        <v>51</v>
      </c>
      <c r="P130" t="s">
        <v>52</v>
      </c>
      <c r="Q130">
        <v>5</v>
      </c>
      <c r="R130" s="3">
        <f t="shared" ref="R130:R193" si="12">IFERROR(H130*I130,"")</f>
        <v>1199</v>
      </c>
      <c r="S130" s="3">
        <f t="shared" ref="S130:S193" si="13">IFERROR(R130*J130,"")</f>
        <v>0</v>
      </c>
      <c r="T130" s="3">
        <f t="shared" ref="T130:T193" si="14">IFERROR(R130-S130+K130,"")</f>
        <v>1278</v>
      </c>
      <c r="U130" s="3">
        <f t="shared" ref="U130:U193" si="15">IFERROR(T130-(R130*70%),"")</f>
        <v>438.70000000000005</v>
      </c>
      <c r="V130" s="4">
        <f t="shared" ref="V130:V193" si="16">IFERROR(U130/T130,"")</f>
        <v>0.34327073552425669</v>
      </c>
      <c r="W130" t="str">
        <f t="shared" ref="W130:W193" si="17">IFERROR(TEXT(C130,"mmm"),"")</f>
        <v>Nov</v>
      </c>
    </row>
    <row r="131" spans="1:23" x14ac:dyDescent="0.25">
      <c r="A131" t="s">
        <v>331</v>
      </c>
      <c r="B131" t="s">
        <v>332</v>
      </c>
      <c r="C131" s="2">
        <v>45816.602777777778</v>
      </c>
      <c r="D131" t="s">
        <v>35</v>
      </c>
      <c r="E131" t="s">
        <v>36</v>
      </c>
      <c r="F131" t="s">
        <v>37</v>
      </c>
      <c r="G131" t="s">
        <v>38</v>
      </c>
      <c r="H131">
        <v>2</v>
      </c>
      <c r="I131" s="3">
        <v>599</v>
      </c>
      <c r="J131" s="4">
        <v>0</v>
      </c>
      <c r="K131" s="3">
        <v>59</v>
      </c>
      <c r="L131" t="s">
        <v>74</v>
      </c>
      <c r="M131" t="s">
        <v>49</v>
      </c>
      <c r="N131" t="s">
        <v>31</v>
      </c>
      <c r="O131" t="s">
        <v>93</v>
      </c>
      <c r="P131" t="s">
        <v>33</v>
      </c>
      <c r="Q131">
        <v>5</v>
      </c>
      <c r="R131" s="3">
        <f t="shared" si="12"/>
        <v>1198</v>
      </c>
      <c r="S131" s="3">
        <f t="shared" si="13"/>
        <v>0</v>
      </c>
      <c r="T131" s="3">
        <f t="shared" si="14"/>
        <v>1257</v>
      </c>
      <c r="U131" s="3">
        <f t="shared" si="15"/>
        <v>418.40000000000009</v>
      </c>
      <c r="V131" s="4">
        <f t="shared" si="16"/>
        <v>0.33285600636435964</v>
      </c>
      <c r="W131" t="str">
        <f t="shared" si="17"/>
        <v>Jun</v>
      </c>
    </row>
    <row r="132" spans="1:23" x14ac:dyDescent="0.25">
      <c r="A132" t="s">
        <v>333</v>
      </c>
      <c r="B132" t="s">
        <v>334</v>
      </c>
      <c r="C132" s="2">
        <v>45955.743055555547</v>
      </c>
      <c r="D132" t="s">
        <v>44</v>
      </c>
      <c r="E132" t="s">
        <v>45</v>
      </c>
      <c r="F132" t="s">
        <v>46</v>
      </c>
      <c r="G132" t="s">
        <v>47</v>
      </c>
      <c r="H132">
        <v>1</v>
      </c>
      <c r="I132" s="3">
        <v>1199</v>
      </c>
      <c r="J132" s="4">
        <v>0</v>
      </c>
      <c r="K132" s="3">
        <v>79</v>
      </c>
      <c r="L132" t="s">
        <v>83</v>
      </c>
      <c r="M132" t="s">
        <v>84</v>
      </c>
      <c r="N132" t="s">
        <v>50</v>
      </c>
      <c r="O132" t="s">
        <v>51</v>
      </c>
      <c r="P132" t="s">
        <v>80</v>
      </c>
      <c r="Q132">
        <v>5</v>
      </c>
      <c r="R132" s="3">
        <f t="shared" si="12"/>
        <v>1199</v>
      </c>
      <c r="S132" s="3">
        <f t="shared" si="13"/>
        <v>0</v>
      </c>
      <c r="T132" s="3">
        <f t="shared" si="14"/>
        <v>1278</v>
      </c>
      <c r="U132" s="3">
        <f t="shared" si="15"/>
        <v>438.70000000000005</v>
      </c>
      <c r="V132" s="4">
        <f t="shared" si="16"/>
        <v>0.34327073552425669</v>
      </c>
      <c r="W132" t="str">
        <f t="shared" si="17"/>
        <v>Oct</v>
      </c>
    </row>
    <row r="133" spans="1:23" x14ac:dyDescent="0.25">
      <c r="A133" t="s">
        <v>335</v>
      </c>
      <c r="B133" t="s">
        <v>336</v>
      </c>
      <c r="C133" s="2">
        <v>45689.587500000001</v>
      </c>
      <c r="D133" t="s">
        <v>90</v>
      </c>
      <c r="E133" t="s">
        <v>91</v>
      </c>
      <c r="F133" t="s">
        <v>37</v>
      </c>
      <c r="G133" t="s">
        <v>92</v>
      </c>
      <c r="H133">
        <v>1</v>
      </c>
      <c r="I133" s="3">
        <v>3499</v>
      </c>
      <c r="J133" s="4">
        <v>0.2</v>
      </c>
      <c r="K133" s="3">
        <v>0</v>
      </c>
      <c r="L133" t="s">
        <v>83</v>
      </c>
      <c r="M133" t="s">
        <v>84</v>
      </c>
      <c r="N133" t="s">
        <v>50</v>
      </c>
      <c r="O133" t="s">
        <v>93</v>
      </c>
      <c r="P133" t="s">
        <v>33</v>
      </c>
      <c r="Q133">
        <v>2</v>
      </c>
      <c r="R133" s="3">
        <f t="shared" si="12"/>
        <v>3499</v>
      </c>
      <c r="S133" s="3">
        <f t="shared" si="13"/>
        <v>699.80000000000007</v>
      </c>
      <c r="T133" s="3">
        <f t="shared" si="14"/>
        <v>2799.2</v>
      </c>
      <c r="U133" s="3">
        <f t="shared" si="15"/>
        <v>349.90000000000009</v>
      </c>
      <c r="V133" s="4">
        <f t="shared" si="16"/>
        <v>0.12500000000000003</v>
      </c>
      <c r="W133" t="str">
        <f t="shared" si="17"/>
        <v>Feb</v>
      </c>
    </row>
    <row r="134" spans="1:23" x14ac:dyDescent="0.25">
      <c r="A134" t="s">
        <v>337</v>
      </c>
      <c r="B134" t="s">
        <v>338</v>
      </c>
      <c r="C134" s="2">
        <v>45926.693749999999</v>
      </c>
      <c r="D134" t="s">
        <v>77</v>
      </c>
      <c r="E134" t="s">
        <v>78</v>
      </c>
      <c r="F134" t="s">
        <v>79</v>
      </c>
      <c r="G134" t="s">
        <v>28</v>
      </c>
      <c r="H134">
        <v>5</v>
      </c>
      <c r="I134" s="3">
        <v>6499</v>
      </c>
      <c r="J134" s="4">
        <v>0.05</v>
      </c>
      <c r="K134" s="3">
        <v>59</v>
      </c>
      <c r="L134" t="s">
        <v>119</v>
      </c>
      <c r="M134" t="s">
        <v>120</v>
      </c>
      <c r="N134" t="s">
        <v>40</v>
      </c>
      <c r="O134" t="s">
        <v>59</v>
      </c>
      <c r="P134" t="s">
        <v>33</v>
      </c>
      <c r="R134" s="3">
        <f t="shared" si="12"/>
        <v>32495</v>
      </c>
      <c r="S134" s="3">
        <f t="shared" si="13"/>
        <v>1624.75</v>
      </c>
      <c r="T134" s="3">
        <f t="shared" si="14"/>
        <v>30929.25</v>
      </c>
      <c r="U134" s="3">
        <f t="shared" si="15"/>
        <v>8182.75</v>
      </c>
      <c r="V134" s="4">
        <f t="shared" si="16"/>
        <v>0.26456347955414372</v>
      </c>
      <c r="W134" t="str">
        <f t="shared" si="17"/>
        <v>Sep</v>
      </c>
    </row>
    <row r="135" spans="1:23" x14ac:dyDescent="0.25">
      <c r="A135" t="s">
        <v>339</v>
      </c>
      <c r="B135" t="s">
        <v>340</v>
      </c>
      <c r="C135" s="2">
        <v>45981.847916666673</v>
      </c>
      <c r="D135" t="s">
        <v>169</v>
      </c>
      <c r="E135" t="s">
        <v>170</v>
      </c>
      <c r="F135" t="s">
        <v>98</v>
      </c>
      <c r="G135" t="s">
        <v>171</v>
      </c>
      <c r="H135">
        <v>1</v>
      </c>
      <c r="I135" s="3">
        <v>799</v>
      </c>
      <c r="J135" s="4">
        <v>0.05</v>
      </c>
      <c r="K135" s="3">
        <v>0</v>
      </c>
      <c r="L135" t="s">
        <v>125</v>
      </c>
      <c r="M135" t="s">
        <v>126</v>
      </c>
      <c r="N135" t="s">
        <v>40</v>
      </c>
      <c r="O135" t="s">
        <v>51</v>
      </c>
      <c r="P135" t="s">
        <v>33</v>
      </c>
      <c r="Q135">
        <v>3</v>
      </c>
      <c r="R135" s="3">
        <f t="shared" si="12"/>
        <v>799</v>
      </c>
      <c r="S135" s="3">
        <f t="shared" si="13"/>
        <v>39.950000000000003</v>
      </c>
      <c r="T135" s="3">
        <f t="shared" si="14"/>
        <v>759.05</v>
      </c>
      <c r="U135" s="3">
        <f t="shared" si="15"/>
        <v>199.75</v>
      </c>
      <c r="V135" s="4">
        <f t="shared" si="16"/>
        <v>0.26315789473684215</v>
      </c>
      <c r="W135" t="str">
        <f t="shared" si="17"/>
        <v>Nov</v>
      </c>
    </row>
    <row r="136" spans="1:23" x14ac:dyDescent="0.25">
      <c r="A136" t="s">
        <v>341</v>
      </c>
      <c r="B136" t="s">
        <v>342</v>
      </c>
      <c r="C136" s="2">
        <v>45828.109027777777</v>
      </c>
      <c r="D136" t="s">
        <v>77</v>
      </c>
      <c r="E136" t="s">
        <v>78</v>
      </c>
      <c r="F136" t="s">
        <v>79</v>
      </c>
      <c r="G136" t="s">
        <v>28</v>
      </c>
      <c r="H136">
        <v>3</v>
      </c>
      <c r="I136" s="3">
        <v>6499</v>
      </c>
      <c r="J136" s="4">
        <v>0</v>
      </c>
      <c r="K136" s="3">
        <v>59</v>
      </c>
      <c r="L136" t="s">
        <v>125</v>
      </c>
      <c r="M136" t="s">
        <v>126</v>
      </c>
      <c r="N136" t="s">
        <v>40</v>
      </c>
      <c r="O136" t="s">
        <v>41</v>
      </c>
      <c r="P136" t="s">
        <v>80</v>
      </c>
      <c r="Q136">
        <v>5</v>
      </c>
      <c r="R136" s="3">
        <f t="shared" si="12"/>
        <v>19497</v>
      </c>
      <c r="S136" s="3">
        <f t="shared" si="13"/>
        <v>0</v>
      </c>
      <c r="T136" s="3">
        <f t="shared" si="14"/>
        <v>19556</v>
      </c>
      <c r="U136" s="3">
        <f t="shared" si="15"/>
        <v>5908.1</v>
      </c>
      <c r="V136" s="4">
        <f t="shared" si="16"/>
        <v>0.30211188382082227</v>
      </c>
      <c r="W136" t="str">
        <f t="shared" si="17"/>
        <v>Jun</v>
      </c>
    </row>
    <row r="137" spans="1:23" x14ac:dyDescent="0.25">
      <c r="A137" t="s">
        <v>343</v>
      </c>
      <c r="B137" t="s">
        <v>177</v>
      </c>
      <c r="C137" s="2">
        <v>45850.868055555547</v>
      </c>
      <c r="D137" t="s">
        <v>77</v>
      </c>
      <c r="E137" t="s">
        <v>78</v>
      </c>
      <c r="F137" t="s">
        <v>79</v>
      </c>
      <c r="G137" t="s">
        <v>28</v>
      </c>
      <c r="H137">
        <v>1</v>
      </c>
      <c r="I137" s="3">
        <v>6499</v>
      </c>
      <c r="J137" s="4">
        <v>0</v>
      </c>
      <c r="K137" s="3">
        <v>99</v>
      </c>
      <c r="L137" t="s">
        <v>29</v>
      </c>
      <c r="M137" t="s">
        <v>30</v>
      </c>
      <c r="N137" t="s">
        <v>40</v>
      </c>
      <c r="O137" t="s">
        <v>32</v>
      </c>
      <c r="P137" t="s">
        <v>33</v>
      </c>
      <c r="Q137">
        <v>3</v>
      </c>
      <c r="R137" s="3">
        <f t="shared" si="12"/>
        <v>6499</v>
      </c>
      <c r="S137" s="3">
        <f t="shared" si="13"/>
        <v>0</v>
      </c>
      <c r="T137" s="3">
        <f t="shared" si="14"/>
        <v>6598</v>
      </c>
      <c r="U137" s="3">
        <f t="shared" si="15"/>
        <v>2048.7000000000007</v>
      </c>
      <c r="V137" s="4">
        <f t="shared" si="16"/>
        <v>0.31050318278266154</v>
      </c>
      <c r="W137" t="str">
        <f t="shared" si="17"/>
        <v>Jul</v>
      </c>
    </row>
    <row r="138" spans="1:23" x14ac:dyDescent="0.25">
      <c r="A138" t="s">
        <v>344</v>
      </c>
      <c r="B138" t="s">
        <v>345</v>
      </c>
      <c r="C138" s="2">
        <v>45767.450694444437</v>
      </c>
      <c r="D138" t="s">
        <v>35</v>
      </c>
      <c r="E138" t="s">
        <v>36</v>
      </c>
      <c r="F138" t="s">
        <v>37</v>
      </c>
      <c r="G138" t="s">
        <v>38</v>
      </c>
      <c r="H138">
        <v>1</v>
      </c>
      <c r="I138" s="3">
        <v>599</v>
      </c>
      <c r="J138" s="4">
        <v>0</v>
      </c>
      <c r="K138" s="3">
        <v>49</v>
      </c>
      <c r="L138" t="s">
        <v>74</v>
      </c>
      <c r="M138" t="s">
        <v>49</v>
      </c>
      <c r="N138" t="s">
        <v>50</v>
      </c>
      <c r="O138" t="s">
        <v>93</v>
      </c>
      <c r="P138" t="s">
        <v>52</v>
      </c>
      <c r="Q138">
        <v>3</v>
      </c>
      <c r="R138" s="3">
        <f t="shared" si="12"/>
        <v>599</v>
      </c>
      <c r="S138" s="3">
        <f t="shared" si="13"/>
        <v>0</v>
      </c>
      <c r="T138" s="3">
        <f t="shared" si="14"/>
        <v>648</v>
      </c>
      <c r="U138" s="3">
        <f t="shared" si="15"/>
        <v>228.70000000000005</v>
      </c>
      <c r="V138" s="4">
        <f t="shared" si="16"/>
        <v>0.35293209876543219</v>
      </c>
      <c r="W138" t="str">
        <f t="shared" si="17"/>
        <v>Apr</v>
      </c>
    </row>
    <row r="139" spans="1:23" x14ac:dyDescent="0.25">
      <c r="A139" t="s">
        <v>346</v>
      </c>
      <c r="B139" t="s">
        <v>347</v>
      </c>
      <c r="C139" s="2">
        <v>45927.070833333331</v>
      </c>
      <c r="D139" t="s">
        <v>55</v>
      </c>
      <c r="E139" t="s">
        <v>56</v>
      </c>
      <c r="F139" t="s">
        <v>37</v>
      </c>
      <c r="G139" t="s">
        <v>38</v>
      </c>
      <c r="H139">
        <v>3</v>
      </c>
      <c r="I139" s="3">
        <v>2499</v>
      </c>
      <c r="J139" s="4">
        <v>0.15</v>
      </c>
      <c r="K139" s="3">
        <v>49</v>
      </c>
      <c r="L139" t="s">
        <v>83</v>
      </c>
      <c r="M139" t="s">
        <v>84</v>
      </c>
      <c r="N139" t="s">
        <v>50</v>
      </c>
      <c r="O139" t="s">
        <v>41</v>
      </c>
      <c r="P139" t="s">
        <v>33</v>
      </c>
      <c r="Q139">
        <v>2</v>
      </c>
      <c r="R139" s="3">
        <f t="shared" si="12"/>
        <v>7497</v>
      </c>
      <c r="S139" s="3">
        <f t="shared" si="13"/>
        <v>1124.55</v>
      </c>
      <c r="T139" s="3">
        <f t="shared" si="14"/>
        <v>6421.45</v>
      </c>
      <c r="U139" s="3">
        <f t="shared" si="15"/>
        <v>1173.5500000000002</v>
      </c>
      <c r="V139" s="4">
        <f t="shared" si="16"/>
        <v>0.18275467378863033</v>
      </c>
      <c r="W139" t="str">
        <f t="shared" si="17"/>
        <v>Sep</v>
      </c>
    </row>
    <row r="140" spans="1:23" x14ac:dyDescent="0.25">
      <c r="A140" t="s">
        <v>348</v>
      </c>
      <c r="B140" t="s">
        <v>349</v>
      </c>
      <c r="C140" s="2">
        <v>45742.977777777778</v>
      </c>
      <c r="D140" t="s">
        <v>77</v>
      </c>
      <c r="E140" t="s">
        <v>78</v>
      </c>
      <c r="F140" t="s">
        <v>79</v>
      </c>
      <c r="G140" t="s">
        <v>28</v>
      </c>
      <c r="H140">
        <v>3</v>
      </c>
      <c r="I140" s="3">
        <v>6499</v>
      </c>
      <c r="J140" s="4">
        <v>0.1</v>
      </c>
      <c r="K140" s="3">
        <v>59</v>
      </c>
      <c r="L140" t="s">
        <v>125</v>
      </c>
      <c r="M140" t="s">
        <v>126</v>
      </c>
      <c r="N140" t="s">
        <v>40</v>
      </c>
      <c r="O140" t="s">
        <v>32</v>
      </c>
      <c r="P140" t="s">
        <v>33</v>
      </c>
      <c r="Q140">
        <v>3</v>
      </c>
      <c r="R140" s="3">
        <f t="shared" si="12"/>
        <v>19497</v>
      </c>
      <c r="S140" s="3">
        <f t="shared" si="13"/>
        <v>1949.7</v>
      </c>
      <c r="T140" s="3">
        <f t="shared" si="14"/>
        <v>17606.3</v>
      </c>
      <c r="U140" s="3">
        <f t="shared" si="15"/>
        <v>3958.3999999999996</v>
      </c>
      <c r="V140" s="4">
        <f t="shared" si="16"/>
        <v>0.22482861248530356</v>
      </c>
      <c r="W140" t="str">
        <f t="shared" si="17"/>
        <v>Mar</v>
      </c>
    </row>
    <row r="141" spans="1:23" x14ac:dyDescent="0.25">
      <c r="A141" t="s">
        <v>350</v>
      </c>
      <c r="B141" t="s">
        <v>334</v>
      </c>
      <c r="C141" s="2">
        <v>45780.410416666673</v>
      </c>
      <c r="D141" t="s">
        <v>77</v>
      </c>
      <c r="E141" t="s">
        <v>78</v>
      </c>
      <c r="F141" t="s">
        <v>79</v>
      </c>
      <c r="G141" t="s">
        <v>28</v>
      </c>
      <c r="H141">
        <v>1</v>
      </c>
      <c r="I141" s="3">
        <v>6499</v>
      </c>
      <c r="J141" s="4">
        <v>0</v>
      </c>
      <c r="K141" s="3">
        <v>59</v>
      </c>
      <c r="L141" t="s">
        <v>119</v>
      </c>
      <c r="M141" t="s">
        <v>120</v>
      </c>
      <c r="N141" t="s">
        <v>40</v>
      </c>
      <c r="O141" t="s">
        <v>59</v>
      </c>
      <c r="P141" t="s">
        <v>52</v>
      </c>
      <c r="R141" s="3">
        <f t="shared" si="12"/>
        <v>6499</v>
      </c>
      <c r="S141" s="3">
        <f t="shared" si="13"/>
        <v>0</v>
      </c>
      <c r="T141" s="3">
        <f t="shared" si="14"/>
        <v>6558</v>
      </c>
      <c r="U141" s="3">
        <f t="shared" si="15"/>
        <v>2008.7000000000007</v>
      </c>
      <c r="V141" s="4">
        <f t="shared" si="16"/>
        <v>0.30629765172308643</v>
      </c>
      <c r="W141" t="str">
        <f t="shared" si="17"/>
        <v>May</v>
      </c>
    </row>
    <row r="142" spans="1:23" x14ac:dyDescent="0.25">
      <c r="A142" t="s">
        <v>351</v>
      </c>
      <c r="B142" t="s">
        <v>352</v>
      </c>
      <c r="C142" s="2">
        <v>45872.244444444441</v>
      </c>
      <c r="D142" t="s">
        <v>110</v>
      </c>
      <c r="E142" t="s">
        <v>111</v>
      </c>
      <c r="F142" t="s">
        <v>98</v>
      </c>
      <c r="G142" t="s">
        <v>112</v>
      </c>
      <c r="H142">
        <v>2</v>
      </c>
      <c r="I142" s="3">
        <v>2999</v>
      </c>
      <c r="J142" s="4">
        <v>0.15</v>
      </c>
      <c r="K142" s="3">
        <v>49</v>
      </c>
      <c r="L142" t="s">
        <v>57</v>
      </c>
      <c r="M142" t="s">
        <v>58</v>
      </c>
      <c r="N142" t="s">
        <v>31</v>
      </c>
      <c r="O142" t="s">
        <v>59</v>
      </c>
      <c r="P142" t="s">
        <v>33</v>
      </c>
      <c r="R142" s="3">
        <f t="shared" si="12"/>
        <v>5998</v>
      </c>
      <c r="S142" s="3">
        <f t="shared" si="13"/>
        <v>899.69999999999993</v>
      </c>
      <c r="T142" s="3">
        <f t="shared" si="14"/>
        <v>5147.3</v>
      </c>
      <c r="U142" s="3">
        <f t="shared" si="15"/>
        <v>948.70000000000073</v>
      </c>
      <c r="V142" s="4">
        <f t="shared" si="16"/>
        <v>0.1843102208925069</v>
      </c>
      <c r="W142" t="str">
        <f t="shared" si="17"/>
        <v>Aug</v>
      </c>
    </row>
    <row r="143" spans="1:23" x14ac:dyDescent="0.25">
      <c r="A143" t="s">
        <v>353</v>
      </c>
      <c r="B143" t="s">
        <v>354</v>
      </c>
      <c r="C143" s="2">
        <v>46022.70416666667</v>
      </c>
      <c r="D143" t="s">
        <v>169</v>
      </c>
      <c r="E143" t="s">
        <v>170</v>
      </c>
      <c r="F143" t="s">
        <v>98</v>
      </c>
      <c r="G143" t="s">
        <v>171</v>
      </c>
      <c r="H143">
        <v>4</v>
      </c>
      <c r="I143" s="3">
        <v>799</v>
      </c>
      <c r="J143" s="4">
        <v>0.05</v>
      </c>
      <c r="K143" s="3">
        <v>0</v>
      </c>
      <c r="L143" t="s">
        <v>83</v>
      </c>
      <c r="M143" t="s">
        <v>84</v>
      </c>
      <c r="N143" t="s">
        <v>71</v>
      </c>
      <c r="O143" t="s">
        <v>59</v>
      </c>
      <c r="P143" t="s">
        <v>33</v>
      </c>
      <c r="Q143">
        <v>5</v>
      </c>
      <c r="R143" s="3">
        <f t="shared" si="12"/>
        <v>3196</v>
      </c>
      <c r="S143" s="3">
        <f t="shared" si="13"/>
        <v>159.80000000000001</v>
      </c>
      <c r="T143" s="3">
        <f t="shared" si="14"/>
        <v>3036.2</v>
      </c>
      <c r="U143" s="3">
        <f t="shared" si="15"/>
        <v>799</v>
      </c>
      <c r="V143" s="4">
        <f t="shared" si="16"/>
        <v>0.26315789473684215</v>
      </c>
      <c r="W143" t="str">
        <f t="shared" si="17"/>
        <v>Dec</v>
      </c>
    </row>
    <row r="144" spans="1:23" x14ac:dyDescent="0.25">
      <c r="A144" t="s">
        <v>355</v>
      </c>
      <c r="B144" t="s">
        <v>356</v>
      </c>
      <c r="C144" s="2">
        <v>45771.62222222222</v>
      </c>
      <c r="D144" t="s">
        <v>105</v>
      </c>
      <c r="E144" t="s">
        <v>106</v>
      </c>
      <c r="F144" t="s">
        <v>37</v>
      </c>
      <c r="G144" t="s">
        <v>107</v>
      </c>
      <c r="H144">
        <v>1</v>
      </c>
      <c r="I144" s="3">
        <v>1799</v>
      </c>
      <c r="J144" s="4">
        <v>0</v>
      </c>
      <c r="K144" s="3">
        <v>79</v>
      </c>
      <c r="L144" t="s">
        <v>57</v>
      </c>
      <c r="M144" t="s">
        <v>58</v>
      </c>
      <c r="N144" t="s">
        <v>40</v>
      </c>
      <c r="O144" t="s">
        <v>32</v>
      </c>
      <c r="P144" t="s">
        <v>33</v>
      </c>
      <c r="Q144">
        <v>3</v>
      </c>
      <c r="R144" s="3">
        <f t="shared" si="12"/>
        <v>1799</v>
      </c>
      <c r="S144" s="3">
        <f t="shared" si="13"/>
        <v>0</v>
      </c>
      <c r="T144" s="3">
        <f t="shared" si="14"/>
        <v>1878</v>
      </c>
      <c r="U144" s="3">
        <f t="shared" si="15"/>
        <v>618.70000000000005</v>
      </c>
      <c r="V144" s="4">
        <f t="shared" si="16"/>
        <v>0.32944621938232166</v>
      </c>
      <c r="W144" t="str">
        <f t="shared" si="17"/>
        <v>Apr</v>
      </c>
    </row>
    <row r="145" spans="1:23" x14ac:dyDescent="0.25">
      <c r="A145" t="s">
        <v>357</v>
      </c>
      <c r="B145" t="s">
        <v>358</v>
      </c>
      <c r="C145" s="2">
        <v>45849.292361111111</v>
      </c>
      <c r="D145" t="s">
        <v>67</v>
      </c>
      <c r="E145" t="s">
        <v>68</v>
      </c>
      <c r="F145" t="s">
        <v>37</v>
      </c>
      <c r="G145" t="s">
        <v>38</v>
      </c>
      <c r="H145">
        <v>5</v>
      </c>
      <c r="I145" s="3">
        <v>1299</v>
      </c>
      <c r="J145" s="4">
        <v>0</v>
      </c>
      <c r="K145" s="3">
        <v>59</v>
      </c>
      <c r="L145" t="s">
        <v>57</v>
      </c>
      <c r="M145" t="s">
        <v>58</v>
      </c>
      <c r="N145" t="s">
        <v>50</v>
      </c>
      <c r="O145" t="s">
        <v>93</v>
      </c>
      <c r="P145" t="s">
        <v>33</v>
      </c>
      <c r="Q145">
        <v>3</v>
      </c>
      <c r="R145" s="3">
        <f t="shared" si="12"/>
        <v>6495</v>
      </c>
      <c r="S145" s="3">
        <f t="shared" si="13"/>
        <v>0</v>
      </c>
      <c r="T145" s="3">
        <f t="shared" si="14"/>
        <v>6554</v>
      </c>
      <c r="U145" s="3">
        <f t="shared" si="15"/>
        <v>2007.5</v>
      </c>
      <c r="V145" s="4">
        <f t="shared" si="16"/>
        <v>0.30630149527006406</v>
      </c>
      <c r="W145" t="str">
        <f t="shared" si="17"/>
        <v>Jul</v>
      </c>
    </row>
    <row r="146" spans="1:23" x14ac:dyDescent="0.25">
      <c r="A146" t="s">
        <v>359</v>
      </c>
      <c r="B146" t="s">
        <v>360</v>
      </c>
      <c r="C146" s="2">
        <v>45898.61041666667</v>
      </c>
      <c r="D146" t="s">
        <v>90</v>
      </c>
      <c r="E146" t="s">
        <v>91</v>
      </c>
      <c r="F146" t="s">
        <v>37</v>
      </c>
      <c r="G146" t="s">
        <v>92</v>
      </c>
      <c r="H146">
        <v>3</v>
      </c>
      <c r="I146" s="3">
        <v>3499</v>
      </c>
      <c r="J146" s="4">
        <v>0</v>
      </c>
      <c r="K146" s="3">
        <v>0</v>
      </c>
      <c r="L146" t="s">
        <v>100</v>
      </c>
      <c r="M146" t="s">
        <v>101</v>
      </c>
      <c r="N146" t="s">
        <v>50</v>
      </c>
      <c r="O146" t="s">
        <v>41</v>
      </c>
      <c r="P146" t="s">
        <v>33</v>
      </c>
      <c r="Q146">
        <v>5</v>
      </c>
      <c r="R146" s="3">
        <f t="shared" si="12"/>
        <v>10497</v>
      </c>
      <c r="S146" s="3">
        <f t="shared" si="13"/>
        <v>0</v>
      </c>
      <c r="T146" s="3">
        <f t="shared" si="14"/>
        <v>10497</v>
      </c>
      <c r="U146" s="3">
        <f t="shared" si="15"/>
        <v>3149.1000000000004</v>
      </c>
      <c r="V146" s="4">
        <f t="shared" si="16"/>
        <v>0.30000000000000004</v>
      </c>
      <c r="W146" t="str">
        <f t="shared" si="17"/>
        <v>Aug</v>
      </c>
    </row>
    <row r="147" spans="1:23" x14ac:dyDescent="0.25">
      <c r="A147" t="s">
        <v>361</v>
      </c>
      <c r="B147" t="s">
        <v>259</v>
      </c>
      <c r="C147" s="2">
        <v>45714.385416666657</v>
      </c>
      <c r="D147" t="s">
        <v>77</v>
      </c>
      <c r="E147" t="s">
        <v>78</v>
      </c>
      <c r="F147" t="s">
        <v>79</v>
      </c>
      <c r="G147" t="s">
        <v>28</v>
      </c>
      <c r="H147">
        <v>2</v>
      </c>
      <c r="I147" s="3">
        <v>6499</v>
      </c>
      <c r="J147" s="4">
        <v>0</v>
      </c>
      <c r="K147" s="3">
        <v>0</v>
      </c>
      <c r="L147" t="s">
        <v>125</v>
      </c>
      <c r="M147" t="s">
        <v>126</v>
      </c>
      <c r="N147" t="s">
        <v>40</v>
      </c>
      <c r="O147" t="s">
        <v>32</v>
      </c>
      <c r="P147" t="s">
        <v>33</v>
      </c>
      <c r="Q147">
        <v>4</v>
      </c>
      <c r="R147" s="3">
        <f t="shared" si="12"/>
        <v>12998</v>
      </c>
      <c r="S147" s="3">
        <f t="shared" si="13"/>
        <v>0</v>
      </c>
      <c r="T147" s="3">
        <f t="shared" si="14"/>
        <v>12998</v>
      </c>
      <c r="U147" s="3">
        <f t="shared" si="15"/>
        <v>3899.4000000000015</v>
      </c>
      <c r="V147" s="4">
        <f t="shared" si="16"/>
        <v>0.3000000000000001</v>
      </c>
      <c r="W147" t="str">
        <f t="shared" si="17"/>
        <v>Feb</v>
      </c>
    </row>
    <row r="148" spans="1:23" x14ac:dyDescent="0.25">
      <c r="A148" t="s">
        <v>362</v>
      </c>
      <c r="B148" t="s">
        <v>179</v>
      </c>
      <c r="C148" s="2">
        <v>45913.81527777778</v>
      </c>
      <c r="D148" t="s">
        <v>55</v>
      </c>
      <c r="E148" t="s">
        <v>56</v>
      </c>
      <c r="F148" t="s">
        <v>37</v>
      </c>
      <c r="G148" t="s">
        <v>38</v>
      </c>
      <c r="H148">
        <v>3</v>
      </c>
      <c r="I148" s="3">
        <v>2499</v>
      </c>
      <c r="J148" s="4">
        <v>0.2</v>
      </c>
      <c r="K148" s="3">
        <v>99</v>
      </c>
      <c r="L148" t="s">
        <v>29</v>
      </c>
      <c r="M148" t="s">
        <v>30</v>
      </c>
      <c r="N148" t="s">
        <v>50</v>
      </c>
      <c r="O148" t="s">
        <v>41</v>
      </c>
      <c r="P148" t="s">
        <v>33</v>
      </c>
      <c r="Q148">
        <v>3</v>
      </c>
      <c r="R148" s="3">
        <f t="shared" si="12"/>
        <v>7497</v>
      </c>
      <c r="S148" s="3">
        <f t="shared" si="13"/>
        <v>1499.4</v>
      </c>
      <c r="T148" s="3">
        <f t="shared" si="14"/>
        <v>6096.6</v>
      </c>
      <c r="U148" s="3">
        <f t="shared" si="15"/>
        <v>848.70000000000073</v>
      </c>
      <c r="V148" s="4">
        <f t="shared" si="16"/>
        <v>0.13920873929731337</v>
      </c>
      <c r="W148" t="str">
        <f t="shared" si="17"/>
        <v>Sep</v>
      </c>
    </row>
    <row r="149" spans="1:23" x14ac:dyDescent="0.25">
      <c r="A149" t="s">
        <v>363</v>
      </c>
      <c r="B149" t="s">
        <v>364</v>
      </c>
      <c r="C149" s="2">
        <v>45781.768055555563</v>
      </c>
      <c r="D149" t="s">
        <v>96</v>
      </c>
      <c r="E149" t="s">
        <v>97</v>
      </c>
      <c r="F149" t="s">
        <v>98</v>
      </c>
      <c r="G149" t="s">
        <v>99</v>
      </c>
      <c r="H149">
        <v>2</v>
      </c>
      <c r="I149" s="3">
        <v>1499</v>
      </c>
      <c r="J149" s="4">
        <v>0.2</v>
      </c>
      <c r="K149" s="3">
        <v>0</v>
      </c>
      <c r="L149" t="s">
        <v>39</v>
      </c>
      <c r="M149" t="s">
        <v>39</v>
      </c>
      <c r="N149" t="s">
        <v>71</v>
      </c>
      <c r="O149" t="s">
        <v>93</v>
      </c>
      <c r="P149" t="s">
        <v>33</v>
      </c>
      <c r="Q149">
        <v>5</v>
      </c>
      <c r="R149" s="3">
        <f t="shared" si="12"/>
        <v>2998</v>
      </c>
      <c r="S149" s="3">
        <f t="shared" si="13"/>
        <v>599.6</v>
      </c>
      <c r="T149" s="3">
        <f t="shared" si="14"/>
        <v>2398.4</v>
      </c>
      <c r="U149" s="3">
        <f t="shared" si="15"/>
        <v>299.80000000000018</v>
      </c>
      <c r="V149" s="4">
        <f t="shared" si="16"/>
        <v>0.12500000000000008</v>
      </c>
      <c r="W149" t="str">
        <f t="shared" si="17"/>
        <v>May</v>
      </c>
    </row>
    <row r="150" spans="1:23" x14ac:dyDescent="0.25">
      <c r="A150" t="s">
        <v>365</v>
      </c>
      <c r="B150" t="s">
        <v>366</v>
      </c>
      <c r="C150" s="2">
        <v>45917.709027777782</v>
      </c>
      <c r="D150" t="s">
        <v>62</v>
      </c>
      <c r="E150" t="s">
        <v>63</v>
      </c>
      <c r="F150" t="s">
        <v>46</v>
      </c>
      <c r="G150" t="s">
        <v>64</v>
      </c>
      <c r="H150">
        <v>3</v>
      </c>
      <c r="I150" s="3">
        <v>699</v>
      </c>
      <c r="J150" s="4">
        <v>0.1</v>
      </c>
      <c r="K150" s="3">
        <v>0</v>
      </c>
      <c r="L150" t="s">
        <v>83</v>
      </c>
      <c r="M150" t="s">
        <v>84</v>
      </c>
      <c r="N150" t="s">
        <v>71</v>
      </c>
      <c r="O150" t="s">
        <v>51</v>
      </c>
      <c r="P150" t="s">
        <v>52</v>
      </c>
      <c r="R150" s="3">
        <f t="shared" si="12"/>
        <v>2097</v>
      </c>
      <c r="S150" s="3">
        <f t="shared" si="13"/>
        <v>209.70000000000002</v>
      </c>
      <c r="T150" s="3">
        <f t="shared" si="14"/>
        <v>1887.3</v>
      </c>
      <c r="U150" s="3">
        <f t="shared" si="15"/>
        <v>419.40000000000009</v>
      </c>
      <c r="V150" s="4">
        <f t="shared" si="16"/>
        <v>0.22222222222222227</v>
      </c>
      <c r="W150" t="str">
        <f t="shared" si="17"/>
        <v>Sep</v>
      </c>
    </row>
    <row r="151" spans="1:23" x14ac:dyDescent="0.25">
      <c r="A151" t="s">
        <v>367</v>
      </c>
      <c r="B151" t="s">
        <v>368</v>
      </c>
      <c r="C151" s="2">
        <v>45834.323611111111</v>
      </c>
      <c r="D151" t="s">
        <v>35</v>
      </c>
      <c r="E151" t="s">
        <v>36</v>
      </c>
      <c r="F151" t="s">
        <v>37</v>
      </c>
      <c r="G151" t="s">
        <v>38</v>
      </c>
      <c r="H151">
        <v>3</v>
      </c>
      <c r="I151" s="3">
        <v>599</v>
      </c>
      <c r="J151" s="4">
        <v>0.2</v>
      </c>
      <c r="K151" s="3">
        <v>0</v>
      </c>
      <c r="L151" t="s">
        <v>74</v>
      </c>
      <c r="M151" t="s">
        <v>49</v>
      </c>
      <c r="N151" t="s">
        <v>71</v>
      </c>
      <c r="O151" t="s">
        <v>41</v>
      </c>
      <c r="P151" t="s">
        <v>80</v>
      </c>
      <c r="Q151">
        <v>1</v>
      </c>
      <c r="R151" s="3">
        <f t="shared" si="12"/>
        <v>1797</v>
      </c>
      <c r="S151" s="3">
        <f t="shared" si="13"/>
        <v>359.40000000000003</v>
      </c>
      <c r="T151" s="3">
        <f t="shared" si="14"/>
        <v>1437.6</v>
      </c>
      <c r="U151" s="3">
        <f t="shared" si="15"/>
        <v>179.70000000000005</v>
      </c>
      <c r="V151" s="4">
        <f t="shared" si="16"/>
        <v>0.12500000000000003</v>
      </c>
      <c r="W151" t="str">
        <f t="shared" si="17"/>
        <v>Jun</v>
      </c>
    </row>
    <row r="152" spans="1:23" x14ac:dyDescent="0.25">
      <c r="A152" t="s">
        <v>369</v>
      </c>
      <c r="B152" t="s">
        <v>370</v>
      </c>
      <c r="C152" s="2">
        <v>45987.245138888888</v>
      </c>
      <c r="D152" t="s">
        <v>169</v>
      </c>
      <c r="E152" t="s">
        <v>170</v>
      </c>
      <c r="F152" t="s">
        <v>98</v>
      </c>
      <c r="G152" t="s">
        <v>171</v>
      </c>
      <c r="H152">
        <v>1</v>
      </c>
      <c r="I152" s="3">
        <v>799</v>
      </c>
      <c r="J152" s="4">
        <v>0.1</v>
      </c>
      <c r="K152" s="3">
        <v>79</v>
      </c>
      <c r="L152" t="s">
        <v>83</v>
      </c>
      <c r="M152" t="s">
        <v>84</v>
      </c>
      <c r="N152" t="s">
        <v>50</v>
      </c>
      <c r="O152" t="s">
        <v>93</v>
      </c>
      <c r="P152" t="s">
        <v>80</v>
      </c>
      <c r="R152" s="3">
        <f t="shared" si="12"/>
        <v>799</v>
      </c>
      <c r="S152" s="3">
        <f t="shared" si="13"/>
        <v>79.900000000000006</v>
      </c>
      <c r="T152" s="3">
        <f t="shared" si="14"/>
        <v>798.1</v>
      </c>
      <c r="U152" s="3">
        <f t="shared" si="15"/>
        <v>238.80000000000007</v>
      </c>
      <c r="V152" s="4">
        <f t="shared" si="16"/>
        <v>0.29921062523493303</v>
      </c>
      <c r="W152" t="str">
        <f t="shared" si="17"/>
        <v>Nov</v>
      </c>
    </row>
    <row r="153" spans="1:23" x14ac:dyDescent="0.25">
      <c r="A153" t="s">
        <v>371</v>
      </c>
      <c r="B153" t="s">
        <v>372</v>
      </c>
      <c r="C153" s="2">
        <v>45680.288888888892</v>
      </c>
      <c r="D153" t="s">
        <v>90</v>
      </c>
      <c r="E153" t="s">
        <v>91</v>
      </c>
      <c r="F153" t="s">
        <v>37</v>
      </c>
      <c r="G153" t="s">
        <v>92</v>
      </c>
      <c r="H153">
        <v>1</v>
      </c>
      <c r="I153" s="3">
        <v>3499</v>
      </c>
      <c r="J153" s="4">
        <v>0.05</v>
      </c>
      <c r="K153" s="3">
        <v>59</v>
      </c>
      <c r="L153" t="s">
        <v>39</v>
      </c>
      <c r="M153" t="s">
        <v>39</v>
      </c>
      <c r="N153" t="s">
        <v>40</v>
      </c>
      <c r="O153" t="s">
        <v>32</v>
      </c>
      <c r="P153" t="s">
        <v>33</v>
      </c>
      <c r="Q153">
        <v>4</v>
      </c>
      <c r="R153" s="3">
        <f t="shared" si="12"/>
        <v>3499</v>
      </c>
      <c r="S153" s="3">
        <f t="shared" si="13"/>
        <v>174.95000000000002</v>
      </c>
      <c r="T153" s="3">
        <f t="shared" si="14"/>
        <v>3383.05</v>
      </c>
      <c r="U153" s="3">
        <f t="shared" si="15"/>
        <v>933.75000000000045</v>
      </c>
      <c r="V153" s="4">
        <f t="shared" si="16"/>
        <v>0.27600833567343092</v>
      </c>
      <c r="W153" t="str">
        <f t="shared" si="17"/>
        <v>Jan</v>
      </c>
    </row>
    <row r="154" spans="1:23" x14ac:dyDescent="0.25">
      <c r="A154" t="s">
        <v>373</v>
      </c>
      <c r="B154" t="s">
        <v>315</v>
      </c>
      <c r="C154" s="2">
        <v>45755.390277777777</v>
      </c>
      <c r="D154" t="s">
        <v>110</v>
      </c>
      <c r="E154" t="s">
        <v>111</v>
      </c>
      <c r="F154" t="s">
        <v>98</v>
      </c>
      <c r="G154" t="s">
        <v>112</v>
      </c>
      <c r="H154">
        <v>3</v>
      </c>
      <c r="I154" s="3">
        <v>2999</v>
      </c>
      <c r="J154" s="4">
        <v>0.2</v>
      </c>
      <c r="K154" s="3">
        <v>59</v>
      </c>
      <c r="L154" t="s">
        <v>39</v>
      </c>
      <c r="M154" t="s">
        <v>39</v>
      </c>
      <c r="N154" t="s">
        <v>31</v>
      </c>
      <c r="O154" t="s">
        <v>51</v>
      </c>
      <c r="P154" t="s">
        <v>33</v>
      </c>
      <c r="Q154">
        <v>4</v>
      </c>
      <c r="R154" s="3">
        <f t="shared" si="12"/>
        <v>8997</v>
      </c>
      <c r="S154" s="3">
        <f t="shared" si="13"/>
        <v>1799.4</v>
      </c>
      <c r="T154" s="3">
        <f t="shared" si="14"/>
        <v>7256.6</v>
      </c>
      <c r="U154" s="3">
        <f t="shared" si="15"/>
        <v>958.70000000000073</v>
      </c>
      <c r="V154" s="4">
        <f t="shared" si="16"/>
        <v>0.13211421326792172</v>
      </c>
      <c r="W154" t="str">
        <f t="shared" si="17"/>
        <v>Apr</v>
      </c>
    </row>
    <row r="155" spans="1:23" x14ac:dyDescent="0.25">
      <c r="A155" t="s">
        <v>374</v>
      </c>
      <c r="B155" t="s">
        <v>218</v>
      </c>
      <c r="C155" s="2">
        <v>45855.424305555563</v>
      </c>
      <c r="D155" t="s">
        <v>96</v>
      </c>
      <c r="E155" t="s">
        <v>97</v>
      </c>
      <c r="F155" t="s">
        <v>98</v>
      </c>
      <c r="G155" t="s">
        <v>99</v>
      </c>
      <c r="H155">
        <v>3</v>
      </c>
      <c r="I155" s="3">
        <v>1499</v>
      </c>
      <c r="J155" s="4">
        <v>0.2</v>
      </c>
      <c r="K155" s="3">
        <v>79</v>
      </c>
      <c r="L155" t="s">
        <v>119</v>
      </c>
      <c r="M155" t="s">
        <v>120</v>
      </c>
      <c r="N155" t="s">
        <v>102</v>
      </c>
      <c r="O155" t="s">
        <v>51</v>
      </c>
      <c r="P155" t="s">
        <v>52</v>
      </c>
      <c r="R155" s="3">
        <f t="shared" si="12"/>
        <v>4497</v>
      </c>
      <c r="S155" s="3">
        <f t="shared" si="13"/>
        <v>899.40000000000009</v>
      </c>
      <c r="T155" s="3">
        <f t="shared" si="14"/>
        <v>3676.6</v>
      </c>
      <c r="U155" s="3">
        <f t="shared" si="15"/>
        <v>528.70000000000027</v>
      </c>
      <c r="V155" s="4">
        <f t="shared" si="16"/>
        <v>0.1438013381928957</v>
      </c>
      <c r="W155" t="str">
        <f t="shared" si="17"/>
        <v>Jul</v>
      </c>
    </row>
    <row r="156" spans="1:23" x14ac:dyDescent="0.25">
      <c r="A156" t="s">
        <v>375</v>
      </c>
      <c r="B156" t="s">
        <v>376</v>
      </c>
      <c r="C156" s="2">
        <v>45966.231944444437</v>
      </c>
      <c r="D156" t="s">
        <v>55</v>
      </c>
      <c r="E156" t="s">
        <v>56</v>
      </c>
      <c r="F156" t="s">
        <v>37</v>
      </c>
      <c r="G156" t="s">
        <v>38</v>
      </c>
      <c r="H156">
        <v>1</v>
      </c>
      <c r="I156" s="3">
        <v>2499</v>
      </c>
      <c r="J156" s="4">
        <v>0.05</v>
      </c>
      <c r="K156" s="3">
        <v>0</v>
      </c>
      <c r="L156" t="s">
        <v>57</v>
      </c>
      <c r="M156" t="s">
        <v>58</v>
      </c>
      <c r="N156" t="s">
        <v>71</v>
      </c>
      <c r="O156" t="s">
        <v>51</v>
      </c>
      <c r="P156" t="s">
        <v>33</v>
      </c>
      <c r="Q156">
        <v>3</v>
      </c>
      <c r="R156" s="3">
        <f t="shared" si="12"/>
        <v>2499</v>
      </c>
      <c r="S156" s="3">
        <f t="shared" si="13"/>
        <v>124.95</v>
      </c>
      <c r="T156" s="3">
        <f t="shared" si="14"/>
        <v>2374.0500000000002</v>
      </c>
      <c r="U156" s="3">
        <f t="shared" si="15"/>
        <v>624.75000000000023</v>
      </c>
      <c r="V156" s="4">
        <f t="shared" si="16"/>
        <v>0.2631578947368422</v>
      </c>
      <c r="W156" t="str">
        <f t="shared" si="17"/>
        <v>Nov</v>
      </c>
    </row>
    <row r="157" spans="1:23" x14ac:dyDescent="0.25">
      <c r="A157" t="s">
        <v>377</v>
      </c>
      <c r="B157" t="s">
        <v>378</v>
      </c>
      <c r="C157" s="2">
        <v>45743.936111111107</v>
      </c>
      <c r="D157" t="s">
        <v>90</v>
      </c>
      <c r="E157" t="s">
        <v>91</v>
      </c>
      <c r="F157" t="s">
        <v>37</v>
      </c>
      <c r="G157" t="s">
        <v>92</v>
      </c>
      <c r="H157">
        <v>2</v>
      </c>
      <c r="I157" s="3">
        <v>3499</v>
      </c>
      <c r="J157" s="4">
        <v>0.1</v>
      </c>
      <c r="K157" s="3">
        <v>0</v>
      </c>
      <c r="L157" t="s">
        <v>125</v>
      </c>
      <c r="M157" t="s">
        <v>126</v>
      </c>
      <c r="N157" t="s">
        <v>102</v>
      </c>
      <c r="O157" t="s">
        <v>59</v>
      </c>
      <c r="P157" t="s">
        <v>33</v>
      </c>
      <c r="Q157">
        <v>3</v>
      </c>
      <c r="R157" s="3">
        <f t="shared" si="12"/>
        <v>6998</v>
      </c>
      <c r="S157" s="3">
        <f t="shared" si="13"/>
        <v>699.80000000000007</v>
      </c>
      <c r="T157" s="3">
        <f t="shared" si="14"/>
        <v>6298.2</v>
      </c>
      <c r="U157" s="3">
        <f t="shared" si="15"/>
        <v>1399.6000000000004</v>
      </c>
      <c r="V157" s="4">
        <f t="shared" si="16"/>
        <v>0.22222222222222229</v>
      </c>
      <c r="W157" t="str">
        <f t="shared" si="17"/>
        <v>Mar</v>
      </c>
    </row>
    <row r="158" spans="1:23" x14ac:dyDescent="0.25">
      <c r="A158" t="s">
        <v>379</v>
      </c>
      <c r="B158" t="s">
        <v>202</v>
      </c>
      <c r="C158" s="2">
        <v>45984.515972222223</v>
      </c>
      <c r="D158" t="s">
        <v>25</v>
      </c>
      <c r="E158" t="s">
        <v>26</v>
      </c>
      <c r="F158" t="s">
        <v>27</v>
      </c>
      <c r="G158" t="s">
        <v>28</v>
      </c>
      <c r="H158">
        <v>1</v>
      </c>
      <c r="I158" s="3">
        <v>249</v>
      </c>
      <c r="J158" s="4">
        <v>0.2</v>
      </c>
      <c r="K158" s="3">
        <v>49</v>
      </c>
      <c r="L158" t="s">
        <v>39</v>
      </c>
      <c r="M158" t="s">
        <v>39</v>
      </c>
      <c r="N158" t="s">
        <v>50</v>
      </c>
      <c r="O158" t="s">
        <v>32</v>
      </c>
      <c r="P158" t="s">
        <v>85</v>
      </c>
      <c r="R158" s="3">
        <f t="shared" si="12"/>
        <v>249</v>
      </c>
      <c r="S158" s="3">
        <f t="shared" si="13"/>
        <v>49.800000000000004</v>
      </c>
      <c r="T158" s="3">
        <f t="shared" si="14"/>
        <v>248.2</v>
      </c>
      <c r="U158" s="3">
        <f t="shared" si="15"/>
        <v>73.900000000000006</v>
      </c>
      <c r="V158" s="4">
        <f t="shared" si="16"/>
        <v>0.2977437550362611</v>
      </c>
      <c r="W158" t="str">
        <f t="shared" si="17"/>
        <v>Nov</v>
      </c>
    </row>
    <row r="159" spans="1:23" x14ac:dyDescent="0.25">
      <c r="A159" t="s">
        <v>380</v>
      </c>
      <c r="B159" t="s">
        <v>381</v>
      </c>
      <c r="C159" s="2">
        <v>45778.849305555559</v>
      </c>
      <c r="D159" t="s">
        <v>90</v>
      </c>
      <c r="E159" t="s">
        <v>91</v>
      </c>
      <c r="F159" t="s">
        <v>37</v>
      </c>
      <c r="G159" t="s">
        <v>92</v>
      </c>
      <c r="H159">
        <v>1</v>
      </c>
      <c r="I159" s="3">
        <v>3499</v>
      </c>
      <c r="J159" s="4">
        <v>0.1</v>
      </c>
      <c r="K159" s="3">
        <v>99</v>
      </c>
      <c r="L159" t="s">
        <v>39</v>
      </c>
      <c r="M159" t="s">
        <v>39</v>
      </c>
      <c r="N159" t="s">
        <v>102</v>
      </c>
      <c r="O159" t="s">
        <v>41</v>
      </c>
      <c r="P159" t="s">
        <v>33</v>
      </c>
      <c r="R159" s="3">
        <f t="shared" si="12"/>
        <v>3499</v>
      </c>
      <c r="S159" s="3">
        <f t="shared" si="13"/>
        <v>349.90000000000003</v>
      </c>
      <c r="T159" s="3">
        <f t="shared" si="14"/>
        <v>3248.1</v>
      </c>
      <c r="U159" s="3">
        <f t="shared" si="15"/>
        <v>798.80000000000018</v>
      </c>
      <c r="V159" s="4">
        <f t="shared" si="16"/>
        <v>0.24592838890428256</v>
      </c>
      <c r="W159" t="str">
        <f t="shared" si="17"/>
        <v>May</v>
      </c>
    </row>
    <row r="160" spans="1:23" x14ac:dyDescent="0.25">
      <c r="A160" t="s">
        <v>382</v>
      </c>
      <c r="B160" t="s">
        <v>304</v>
      </c>
      <c r="C160" s="2">
        <v>45697.755555555559</v>
      </c>
      <c r="D160" t="s">
        <v>90</v>
      </c>
      <c r="E160" t="s">
        <v>91</v>
      </c>
      <c r="F160" t="s">
        <v>37</v>
      </c>
      <c r="G160" t="s">
        <v>92</v>
      </c>
      <c r="H160">
        <v>1</v>
      </c>
      <c r="I160" s="3">
        <v>3499</v>
      </c>
      <c r="J160" s="4">
        <v>0.05</v>
      </c>
      <c r="K160" s="3">
        <v>79</v>
      </c>
      <c r="L160" t="s">
        <v>74</v>
      </c>
      <c r="M160" t="s">
        <v>49</v>
      </c>
      <c r="N160" t="s">
        <v>71</v>
      </c>
      <c r="O160" t="s">
        <v>41</v>
      </c>
      <c r="P160" t="s">
        <v>85</v>
      </c>
      <c r="Q160">
        <v>1</v>
      </c>
      <c r="R160" s="3">
        <f t="shared" si="12"/>
        <v>3499</v>
      </c>
      <c r="S160" s="3">
        <f t="shared" si="13"/>
        <v>174.95000000000002</v>
      </c>
      <c r="T160" s="3">
        <f t="shared" si="14"/>
        <v>3403.05</v>
      </c>
      <c r="U160" s="3">
        <f t="shared" si="15"/>
        <v>953.75000000000045</v>
      </c>
      <c r="V160" s="4">
        <f t="shared" si="16"/>
        <v>0.28026329322225663</v>
      </c>
      <c r="W160" t="str">
        <f t="shared" si="17"/>
        <v>Feb</v>
      </c>
    </row>
    <row r="161" spans="1:23" x14ac:dyDescent="0.25">
      <c r="A161" t="s">
        <v>383</v>
      </c>
      <c r="B161" t="s">
        <v>132</v>
      </c>
      <c r="C161" s="2">
        <v>45856.713194444441</v>
      </c>
      <c r="D161" t="s">
        <v>35</v>
      </c>
      <c r="E161" t="s">
        <v>36</v>
      </c>
      <c r="F161" t="s">
        <v>37</v>
      </c>
      <c r="G161" t="s">
        <v>38</v>
      </c>
      <c r="H161">
        <v>2</v>
      </c>
      <c r="I161" s="3">
        <v>599</v>
      </c>
      <c r="J161" s="4">
        <v>0.05</v>
      </c>
      <c r="K161" s="3">
        <v>79</v>
      </c>
      <c r="L161" t="s">
        <v>100</v>
      </c>
      <c r="M161" t="s">
        <v>101</v>
      </c>
      <c r="N161" t="s">
        <v>102</v>
      </c>
      <c r="O161" t="s">
        <v>51</v>
      </c>
      <c r="P161" t="s">
        <v>33</v>
      </c>
      <c r="R161" s="3">
        <f t="shared" si="12"/>
        <v>1198</v>
      </c>
      <c r="S161" s="3">
        <f t="shared" si="13"/>
        <v>59.900000000000006</v>
      </c>
      <c r="T161" s="3">
        <f t="shared" si="14"/>
        <v>1217.0999999999999</v>
      </c>
      <c r="U161" s="3">
        <f t="shared" si="15"/>
        <v>378.5</v>
      </c>
      <c r="V161" s="4">
        <f t="shared" si="16"/>
        <v>0.31098512858433985</v>
      </c>
      <c r="W161" t="str">
        <f t="shared" si="17"/>
        <v>Jul</v>
      </c>
    </row>
    <row r="162" spans="1:23" x14ac:dyDescent="0.25">
      <c r="A162" t="s">
        <v>384</v>
      </c>
      <c r="B162" t="s">
        <v>385</v>
      </c>
      <c r="C162" s="2">
        <v>45695.59097222222</v>
      </c>
      <c r="D162" t="s">
        <v>90</v>
      </c>
      <c r="E162" t="s">
        <v>91</v>
      </c>
      <c r="F162" t="s">
        <v>37</v>
      </c>
      <c r="G162" t="s">
        <v>92</v>
      </c>
      <c r="H162">
        <v>1</v>
      </c>
      <c r="I162" s="3">
        <v>3499</v>
      </c>
      <c r="J162" s="4">
        <v>0.1</v>
      </c>
      <c r="K162" s="3">
        <v>0</v>
      </c>
      <c r="L162" t="s">
        <v>113</v>
      </c>
      <c r="M162" t="s">
        <v>114</v>
      </c>
      <c r="N162" t="s">
        <v>71</v>
      </c>
      <c r="O162" t="s">
        <v>93</v>
      </c>
      <c r="P162" t="s">
        <v>80</v>
      </c>
      <c r="Q162">
        <v>5</v>
      </c>
      <c r="R162" s="3">
        <f t="shared" si="12"/>
        <v>3499</v>
      </c>
      <c r="S162" s="3">
        <f t="shared" si="13"/>
        <v>349.90000000000003</v>
      </c>
      <c r="T162" s="3">
        <f t="shared" si="14"/>
        <v>3149.1</v>
      </c>
      <c r="U162" s="3">
        <f t="shared" si="15"/>
        <v>699.80000000000018</v>
      </c>
      <c r="V162" s="4">
        <f t="shared" si="16"/>
        <v>0.22222222222222229</v>
      </c>
      <c r="W162" t="str">
        <f t="shared" si="17"/>
        <v>Feb</v>
      </c>
    </row>
    <row r="163" spans="1:23" x14ac:dyDescent="0.25">
      <c r="A163" t="s">
        <v>386</v>
      </c>
      <c r="B163" t="s">
        <v>387</v>
      </c>
      <c r="C163" s="2">
        <v>45738.947916666657</v>
      </c>
      <c r="D163" t="s">
        <v>62</v>
      </c>
      <c r="E163" t="s">
        <v>63</v>
      </c>
      <c r="F163" t="s">
        <v>46</v>
      </c>
      <c r="G163" t="s">
        <v>64</v>
      </c>
      <c r="H163">
        <v>3</v>
      </c>
      <c r="I163" s="3">
        <v>699</v>
      </c>
      <c r="J163" s="4">
        <v>0.2</v>
      </c>
      <c r="K163" s="3">
        <v>49</v>
      </c>
      <c r="L163" t="s">
        <v>48</v>
      </c>
      <c r="M163" t="s">
        <v>49</v>
      </c>
      <c r="N163" t="s">
        <v>102</v>
      </c>
      <c r="O163" t="s">
        <v>41</v>
      </c>
      <c r="P163" t="s">
        <v>80</v>
      </c>
      <c r="Q163">
        <v>1</v>
      </c>
      <c r="R163" s="3">
        <f t="shared" si="12"/>
        <v>2097</v>
      </c>
      <c r="S163" s="3">
        <f t="shared" si="13"/>
        <v>419.40000000000003</v>
      </c>
      <c r="T163" s="3">
        <f t="shared" si="14"/>
        <v>1726.6</v>
      </c>
      <c r="U163" s="3">
        <f t="shared" si="15"/>
        <v>258.70000000000005</v>
      </c>
      <c r="V163" s="4">
        <f t="shared" si="16"/>
        <v>0.14983203984709839</v>
      </c>
      <c r="W163" t="str">
        <f t="shared" si="17"/>
        <v>Mar</v>
      </c>
    </row>
    <row r="164" spans="1:23" x14ac:dyDescent="0.25">
      <c r="A164" t="s">
        <v>388</v>
      </c>
      <c r="B164" t="s">
        <v>196</v>
      </c>
      <c r="C164" s="2">
        <v>45910.015972222223</v>
      </c>
      <c r="D164" t="s">
        <v>67</v>
      </c>
      <c r="E164" t="s">
        <v>68</v>
      </c>
      <c r="F164" t="s">
        <v>37</v>
      </c>
      <c r="G164" t="s">
        <v>38</v>
      </c>
      <c r="H164">
        <v>1</v>
      </c>
      <c r="I164" s="3">
        <v>1299</v>
      </c>
      <c r="J164" s="4">
        <v>0.15</v>
      </c>
      <c r="K164" s="3">
        <v>59</v>
      </c>
      <c r="L164" t="s">
        <v>100</v>
      </c>
      <c r="M164" t="s">
        <v>101</v>
      </c>
      <c r="N164" t="s">
        <v>102</v>
      </c>
      <c r="O164" t="s">
        <v>41</v>
      </c>
      <c r="P164" t="s">
        <v>85</v>
      </c>
      <c r="Q164">
        <v>5</v>
      </c>
      <c r="R164" s="3">
        <f t="shared" si="12"/>
        <v>1299</v>
      </c>
      <c r="S164" s="3">
        <f t="shared" si="13"/>
        <v>194.85</v>
      </c>
      <c r="T164" s="3">
        <f t="shared" si="14"/>
        <v>1163.1500000000001</v>
      </c>
      <c r="U164" s="3">
        <f t="shared" si="15"/>
        <v>253.85000000000014</v>
      </c>
      <c r="V164" s="4">
        <f t="shared" si="16"/>
        <v>0.21824356273911372</v>
      </c>
      <c r="W164" t="str">
        <f t="shared" si="17"/>
        <v>Sep</v>
      </c>
    </row>
    <row r="165" spans="1:23" x14ac:dyDescent="0.25">
      <c r="A165" t="s">
        <v>389</v>
      </c>
      <c r="B165" t="s">
        <v>390</v>
      </c>
      <c r="C165" s="2">
        <v>45903.68472222222</v>
      </c>
      <c r="D165" t="s">
        <v>55</v>
      </c>
      <c r="E165" t="s">
        <v>56</v>
      </c>
      <c r="F165" t="s">
        <v>37</v>
      </c>
      <c r="G165" t="s">
        <v>38</v>
      </c>
      <c r="H165">
        <v>1</v>
      </c>
      <c r="I165" s="3">
        <v>2499</v>
      </c>
      <c r="J165" s="4">
        <v>0.15</v>
      </c>
      <c r="K165" s="3">
        <v>0</v>
      </c>
      <c r="L165" t="s">
        <v>29</v>
      </c>
      <c r="M165" t="s">
        <v>30</v>
      </c>
      <c r="N165" t="s">
        <v>71</v>
      </c>
      <c r="O165" t="s">
        <v>93</v>
      </c>
      <c r="P165" t="s">
        <v>52</v>
      </c>
      <c r="Q165">
        <v>4</v>
      </c>
      <c r="R165" s="3">
        <f t="shared" si="12"/>
        <v>2499</v>
      </c>
      <c r="S165" s="3">
        <f t="shared" si="13"/>
        <v>374.84999999999997</v>
      </c>
      <c r="T165" s="3">
        <f t="shared" si="14"/>
        <v>2124.15</v>
      </c>
      <c r="U165" s="3">
        <f t="shared" si="15"/>
        <v>374.85000000000014</v>
      </c>
      <c r="V165" s="4">
        <f t="shared" si="16"/>
        <v>0.17647058823529418</v>
      </c>
      <c r="W165" t="str">
        <f t="shared" si="17"/>
        <v>Sep</v>
      </c>
    </row>
    <row r="166" spans="1:23" x14ac:dyDescent="0.25">
      <c r="A166" t="s">
        <v>391</v>
      </c>
      <c r="B166" t="s">
        <v>392</v>
      </c>
      <c r="C166" s="2">
        <v>45940.859027777777</v>
      </c>
      <c r="D166" t="s">
        <v>90</v>
      </c>
      <c r="E166" t="s">
        <v>91</v>
      </c>
      <c r="F166" t="s">
        <v>37</v>
      </c>
      <c r="G166" t="s">
        <v>92</v>
      </c>
      <c r="H166">
        <v>1</v>
      </c>
      <c r="I166" s="3">
        <v>3499</v>
      </c>
      <c r="J166" s="4">
        <v>0</v>
      </c>
      <c r="K166" s="3">
        <v>79</v>
      </c>
      <c r="L166" t="s">
        <v>83</v>
      </c>
      <c r="M166" t="s">
        <v>84</v>
      </c>
      <c r="N166" t="s">
        <v>31</v>
      </c>
      <c r="O166" t="s">
        <v>93</v>
      </c>
      <c r="P166" t="s">
        <v>33</v>
      </c>
      <c r="Q166">
        <v>5</v>
      </c>
      <c r="R166" s="3">
        <f t="shared" si="12"/>
        <v>3499</v>
      </c>
      <c r="S166" s="3">
        <f t="shared" si="13"/>
        <v>0</v>
      </c>
      <c r="T166" s="3">
        <f t="shared" si="14"/>
        <v>3578</v>
      </c>
      <c r="U166" s="3">
        <f t="shared" si="15"/>
        <v>1128.7000000000003</v>
      </c>
      <c r="V166" s="4">
        <f t="shared" si="16"/>
        <v>0.31545556176634998</v>
      </c>
      <c r="W166" t="str">
        <f t="shared" si="17"/>
        <v>Oct</v>
      </c>
    </row>
    <row r="167" spans="1:23" x14ac:dyDescent="0.25">
      <c r="A167" t="s">
        <v>393</v>
      </c>
      <c r="B167" t="s">
        <v>376</v>
      </c>
      <c r="C167" s="2">
        <v>45823.926388888889</v>
      </c>
      <c r="D167" t="s">
        <v>105</v>
      </c>
      <c r="E167" t="s">
        <v>106</v>
      </c>
      <c r="F167" t="s">
        <v>37</v>
      </c>
      <c r="G167" t="s">
        <v>107</v>
      </c>
      <c r="H167">
        <v>1</v>
      </c>
      <c r="I167" s="3">
        <v>1799</v>
      </c>
      <c r="J167" s="4">
        <v>0.15</v>
      </c>
      <c r="K167" s="3">
        <v>59</v>
      </c>
      <c r="L167" t="s">
        <v>48</v>
      </c>
      <c r="M167" t="s">
        <v>49</v>
      </c>
      <c r="N167" t="s">
        <v>71</v>
      </c>
      <c r="O167" t="s">
        <v>41</v>
      </c>
      <c r="P167" t="s">
        <v>33</v>
      </c>
      <c r="R167" s="3">
        <f t="shared" si="12"/>
        <v>1799</v>
      </c>
      <c r="S167" s="3">
        <f t="shared" si="13"/>
        <v>269.84999999999997</v>
      </c>
      <c r="T167" s="3">
        <f t="shared" si="14"/>
        <v>1588.15</v>
      </c>
      <c r="U167" s="3">
        <f t="shared" si="15"/>
        <v>328.85000000000014</v>
      </c>
      <c r="V167" s="4">
        <f t="shared" si="16"/>
        <v>0.20706482385165137</v>
      </c>
      <c r="W167" t="str">
        <f t="shared" si="17"/>
        <v>Jun</v>
      </c>
    </row>
    <row r="168" spans="1:23" x14ac:dyDescent="0.25">
      <c r="A168" t="s">
        <v>394</v>
      </c>
      <c r="B168" t="s">
        <v>368</v>
      </c>
      <c r="C168" s="2">
        <v>45813.81527777778</v>
      </c>
      <c r="D168" t="s">
        <v>62</v>
      </c>
      <c r="E168" t="s">
        <v>63</v>
      </c>
      <c r="F168" t="s">
        <v>46</v>
      </c>
      <c r="G168" t="s">
        <v>64</v>
      </c>
      <c r="H168">
        <v>1</v>
      </c>
      <c r="I168" s="3">
        <v>699</v>
      </c>
      <c r="J168" s="4">
        <v>0.15</v>
      </c>
      <c r="K168" s="3">
        <v>49</v>
      </c>
      <c r="L168" t="s">
        <v>48</v>
      </c>
      <c r="M168" t="s">
        <v>49</v>
      </c>
      <c r="N168" t="s">
        <v>50</v>
      </c>
      <c r="O168" t="s">
        <v>41</v>
      </c>
      <c r="P168" t="s">
        <v>33</v>
      </c>
      <c r="R168" s="3">
        <f t="shared" si="12"/>
        <v>699</v>
      </c>
      <c r="S168" s="3">
        <f t="shared" si="13"/>
        <v>104.85</v>
      </c>
      <c r="T168" s="3">
        <f t="shared" si="14"/>
        <v>643.15</v>
      </c>
      <c r="U168" s="3">
        <f t="shared" si="15"/>
        <v>153.85000000000002</v>
      </c>
      <c r="V168" s="4">
        <f t="shared" si="16"/>
        <v>0.23921324729845297</v>
      </c>
      <c r="W168" t="str">
        <f t="shared" si="17"/>
        <v>Jun</v>
      </c>
    </row>
    <row r="169" spans="1:23" x14ac:dyDescent="0.25">
      <c r="A169" t="s">
        <v>395</v>
      </c>
      <c r="B169" t="s">
        <v>243</v>
      </c>
      <c r="C169" s="2">
        <v>45946.077777777777</v>
      </c>
      <c r="D169" t="s">
        <v>44</v>
      </c>
      <c r="E169" t="s">
        <v>45</v>
      </c>
      <c r="F169" t="s">
        <v>46</v>
      </c>
      <c r="G169" t="s">
        <v>47</v>
      </c>
      <c r="H169">
        <v>1</v>
      </c>
      <c r="I169" s="3">
        <v>1199</v>
      </c>
      <c r="J169" s="4">
        <v>0</v>
      </c>
      <c r="K169" s="3">
        <v>0</v>
      </c>
      <c r="L169" t="s">
        <v>125</v>
      </c>
      <c r="M169" t="s">
        <v>126</v>
      </c>
      <c r="N169" t="s">
        <v>71</v>
      </c>
      <c r="O169" t="s">
        <v>41</v>
      </c>
      <c r="P169" t="s">
        <v>33</v>
      </c>
      <c r="R169" s="3">
        <f t="shared" si="12"/>
        <v>1199</v>
      </c>
      <c r="S169" s="3">
        <f t="shared" si="13"/>
        <v>0</v>
      </c>
      <c r="T169" s="3">
        <f t="shared" si="14"/>
        <v>1199</v>
      </c>
      <c r="U169" s="3">
        <f t="shared" si="15"/>
        <v>359.70000000000005</v>
      </c>
      <c r="V169" s="4">
        <f t="shared" si="16"/>
        <v>0.30000000000000004</v>
      </c>
      <c r="W169" t="str">
        <f t="shared" si="17"/>
        <v>Oct</v>
      </c>
    </row>
    <row r="170" spans="1:23" x14ac:dyDescent="0.25">
      <c r="A170" t="s">
        <v>396</v>
      </c>
      <c r="B170" t="s">
        <v>296</v>
      </c>
      <c r="C170" s="2">
        <v>45673.663888888892</v>
      </c>
      <c r="D170" t="s">
        <v>44</v>
      </c>
      <c r="E170" t="s">
        <v>45</v>
      </c>
      <c r="F170" t="s">
        <v>46</v>
      </c>
      <c r="G170" t="s">
        <v>47</v>
      </c>
      <c r="H170">
        <v>2</v>
      </c>
      <c r="I170" s="3">
        <v>1199</v>
      </c>
      <c r="J170" s="4">
        <v>0.15</v>
      </c>
      <c r="K170" s="3">
        <v>59</v>
      </c>
      <c r="L170" t="s">
        <v>57</v>
      </c>
      <c r="M170" t="s">
        <v>58</v>
      </c>
      <c r="N170" t="s">
        <v>40</v>
      </c>
      <c r="O170" t="s">
        <v>41</v>
      </c>
      <c r="P170" t="s">
        <v>80</v>
      </c>
      <c r="R170" s="3">
        <f t="shared" si="12"/>
        <v>2398</v>
      </c>
      <c r="S170" s="3">
        <f t="shared" si="13"/>
        <v>359.7</v>
      </c>
      <c r="T170" s="3">
        <f t="shared" si="14"/>
        <v>2097.3000000000002</v>
      </c>
      <c r="U170" s="3">
        <f t="shared" si="15"/>
        <v>418.70000000000027</v>
      </c>
      <c r="V170" s="4">
        <f t="shared" si="16"/>
        <v>0.19963762933295201</v>
      </c>
      <c r="W170" t="str">
        <f t="shared" si="17"/>
        <v>Jan</v>
      </c>
    </row>
    <row r="171" spans="1:23" x14ac:dyDescent="0.25">
      <c r="A171" t="s">
        <v>397</v>
      </c>
      <c r="B171" t="s">
        <v>398</v>
      </c>
      <c r="C171" s="2">
        <v>45695.918749999997</v>
      </c>
      <c r="D171" t="s">
        <v>25</v>
      </c>
      <c r="E171" t="s">
        <v>26</v>
      </c>
      <c r="F171" t="s">
        <v>27</v>
      </c>
      <c r="G171" t="s">
        <v>28</v>
      </c>
      <c r="H171">
        <v>1</v>
      </c>
      <c r="I171" s="3">
        <v>249</v>
      </c>
      <c r="J171" s="4">
        <v>0.1</v>
      </c>
      <c r="K171" s="3">
        <v>79</v>
      </c>
      <c r="L171" t="s">
        <v>57</v>
      </c>
      <c r="M171" t="s">
        <v>58</v>
      </c>
      <c r="N171" t="s">
        <v>40</v>
      </c>
      <c r="O171" t="s">
        <v>41</v>
      </c>
      <c r="P171" t="s">
        <v>33</v>
      </c>
      <c r="Q171">
        <v>3</v>
      </c>
      <c r="R171" s="3">
        <f t="shared" si="12"/>
        <v>249</v>
      </c>
      <c r="S171" s="3">
        <f t="shared" si="13"/>
        <v>24.900000000000002</v>
      </c>
      <c r="T171" s="3">
        <f t="shared" si="14"/>
        <v>303.10000000000002</v>
      </c>
      <c r="U171" s="3">
        <f t="shared" si="15"/>
        <v>128.80000000000004</v>
      </c>
      <c r="V171" s="4">
        <f t="shared" si="16"/>
        <v>0.42494226327944584</v>
      </c>
      <c r="W171" t="str">
        <f t="shared" si="17"/>
        <v>Feb</v>
      </c>
    </row>
    <row r="172" spans="1:23" x14ac:dyDescent="0.25">
      <c r="A172" t="s">
        <v>399</v>
      </c>
      <c r="B172" t="s">
        <v>400</v>
      </c>
      <c r="C172" s="2">
        <v>45821.996527777781</v>
      </c>
      <c r="D172" t="s">
        <v>44</v>
      </c>
      <c r="E172" t="s">
        <v>45</v>
      </c>
      <c r="F172" t="s">
        <v>46</v>
      </c>
      <c r="G172" t="s">
        <v>47</v>
      </c>
      <c r="H172">
        <v>1</v>
      </c>
      <c r="I172" s="3">
        <v>1199</v>
      </c>
      <c r="J172" s="4">
        <v>0.1</v>
      </c>
      <c r="K172" s="3">
        <v>49</v>
      </c>
      <c r="L172" t="s">
        <v>401</v>
      </c>
      <c r="M172" t="s">
        <v>101</v>
      </c>
      <c r="N172" t="s">
        <v>102</v>
      </c>
      <c r="O172" t="s">
        <v>32</v>
      </c>
      <c r="P172" t="s">
        <v>33</v>
      </c>
      <c r="Q172">
        <v>1</v>
      </c>
      <c r="R172" s="3">
        <f t="shared" si="12"/>
        <v>1199</v>
      </c>
      <c r="S172" s="3">
        <f t="shared" si="13"/>
        <v>119.9</v>
      </c>
      <c r="T172" s="3">
        <f t="shared" si="14"/>
        <v>1128.0999999999999</v>
      </c>
      <c r="U172" s="3">
        <f t="shared" si="15"/>
        <v>288.79999999999995</v>
      </c>
      <c r="V172" s="4">
        <f t="shared" si="16"/>
        <v>0.256005673255917</v>
      </c>
      <c r="W172" t="str">
        <f t="shared" si="17"/>
        <v>Jun</v>
      </c>
    </row>
    <row r="173" spans="1:23" x14ac:dyDescent="0.25">
      <c r="A173" t="s">
        <v>402</v>
      </c>
      <c r="B173" t="s">
        <v>403</v>
      </c>
      <c r="C173" s="2">
        <v>45794.59375</v>
      </c>
      <c r="D173" t="s">
        <v>169</v>
      </c>
      <c r="E173" t="s">
        <v>170</v>
      </c>
      <c r="F173" t="s">
        <v>98</v>
      </c>
      <c r="G173" t="s">
        <v>171</v>
      </c>
      <c r="H173">
        <v>2</v>
      </c>
      <c r="I173" s="3">
        <v>799</v>
      </c>
      <c r="J173" s="4">
        <v>0</v>
      </c>
      <c r="K173" s="3">
        <v>0</v>
      </c>
      <c r="L173" t="s">
        <v>113</v>
      </c>
      <c r="M173" t="s">
        <v>114</v>
      </c>
      <c r="N173" t="s">
        <v>40</v>
      </c>
      <c r="O173" t="s">
        <v>32</v>
      </c>
      <c r="P173" t="s">
        <v>33</v>
      </c>
      <c r="Q173">
        <v>4</v>
      </c>
      <c r="R173" s="3">
        <f t="shared" si="12"/>
        <v>1598</v>
      </c>
      <c r="S173" s="3">
        <f t="shared" si="13"/>
        <v>0</v>
      </c>
      <c r="T173" s="3">
        <f t="shared" si="14"/>
        <v>1598</v>
      </c>
      <c r="U173" s="3">
        <f t="shared" si="15"/>
        <v>479.40000000000009</v>
      </c>
      <c r="V173" s="4">
        <f t="shared" si="16"/>
        <v>0.30000000000000004</v>
      </c>
      <c r="W173" t="str">
        <f t="shared" si="17"/>
        <v>May</v>
      </c>
    </row>
    <row r="174" spans="1:23" x14ac:dyDescent="0.25">
      <c r="A174" t="s">
        <v>404</v>
      </c>
      <c r="B174" t="s">
        <v>372</v>
      </c>
      <c r="C174" s="2">
        <v>45953.972222222219</v>
      </c>
      <c r="D174" t="s">
        <v>67</v>
      </c>
      <c r="E174" t="s">
        <v>68</v>
      </c>
      <c r="F174" t="s">
        <v>37</v>
      </c>
      <c r="G174" t="s">
        <v>38</v>
      </c>
      <c r="H174">
        <v>3</v>
      </c>
      <c r="I174" s="3">
        <v>1299</v>
      </c>
      <c r="J174" s="4">
        <v>0</v>
      </c>
      <c r="K174" s="3">
        <v>79</v>
      </c>
      <c r="L174" t="s">
        <v>100</v>
      </c>
      <c r="M174" t="s">
        <v>101</v>
      </c>
      <c r="N174" t="s">
        <v>40</v>
      </c>
      <c r="O174" t="s">
        <v>59</v>
      </c>
      <c r="P174" t="s">
        <v>33</v>
      </c>
      <c r="Q174">
        <v>3</v>
      </c>
      <c r="R174" s="3">
        <f t="shared" si="12"/>
        <v>3897</v>
      </c>
      <c r="S174" s="3">
        <f t="shared" si="13"/>
        <v>0</v>
      </c>
      <c r="T174" s="3">
        <f t="shared" si="14"/>
        <v>3976</v>
      </c>
      <c r="U174" s="3">
        <f t="shared" si="15"/>
        <v>1248.1000000000004</v>
      </c>
      <c r="V174" s="4">
        <f t="shared" si="16"/>
        <v>0.31390845070422546</v>
      </c>
      <c r="W174" t="str">
        <f t="shared" si="17"/>
        <v>Oct</v>
      </c>
    </row>
    <row r="175" spans="1:23" x14ac:dyDescent="0.25">
      <c r="A175" t="s">
        <v>405</v>
      </c>
      <c r="C175" s="2">
        <v>45859.686805555553</v>
      </c>
      <c r="D175" t="s">
        <v>90</v>
      </c>
      <c r="E175" t="s">
        <v>91</v>
      </c>
      <c r="F175" t="s">
        <v>37</v>
      </c>
      <c r="G175" t="s">
        <v>92</v>
      </c>
      <c r="H175">
        <v>1</v>
      </c>
      <c r="I175" s="3">
        <v>3499</v>
      </c>
      <c r="J175" s="4">
        <v>0</v>
      </c>
      <c r="K175" s="3">
        <v>99</v>
      </c>
      <c r="L175" t="s">
        <v>39</v>
      </c>
      <c r="M175" t="s">
        <v>39</v>
      </c>
      <c r="N175" t="s">
        <v>31</v>
      </c>
      <c r="O175" t="s">
        <v>93</v>
      </c>
      <c r="P175" t="s">
        <v>33</v>
      </c>
      <c r="Q175">
        <v>3</v>
      </c>
      <c r="R175" s="3">
        <f t="shared" si="12"/>
        <v>3499</v>
      </c>
      <c r="S175" s="3">
        <f t="shared" si="13"/>
        <v>0</v>
      </c>
      <c r="T175" s="3">
        <f t="shared" si="14"/>
        <v>3598</v>
      </c>
      <c r="U175" s="3">
        <f t="shared" si="15"/>
        <v>1148.7000000000003</v>
      </c>
      <c r="V175" s="4">
        <f t="shared" si="16"/>
        <v>0.31926070038910515</v>
      </c>
      <c r="W175" t="str">
        <f t="shared" si="17"/>
        <v>Jul</v>
      </c>
    </row>
    <row r="176" spans="1:23" x14ac:dyDescent="0.25">
      <c r="A176" t="s">
        <v>406</v>
      </c>
      <c r="B176" t="s">
        <v>407</v>
      </c>
      <c r="C176" s="2">
        <v>45992.895833333343</v>
      </c>
      <c r="D176" t="s">
        <v>90</v>
      </c>
      <c r="E176" t="s">
        <v>91</v>
      </c>
      <c r="F176" t="s">
        <v>37</v>
      </c>
      <c r="G176" t="s">
        <v>92</v>
      </c>
      <c r="H176">
        <v>3</v>
      </c>
      <c r="I176" s="3">
        <v>3499</v>
      </c>
      <c r="J176" s="4">
        <v>0.15</v>
      </c>
      <c r="K176" s="3">
        <v>0</v>
      </c>
      <c r="L176" t="s">
        <v>125</v>
      </c>
      <c r="M176" t="s">
        <v>126</v>
      </c>
      <c r="N176" t="s">
        <v>40</v>
      </c>
      <c r="O176" t="s">
        <v>41</v>
      </c>
      <c r="P176" t="s">
        <v>33</v>
      </c>
      <c r="Q176">
        <v>3</v>
      </c>
      <c r="R176" s="3">
        <f t="shared" si="12"/>
        <v>10497</v>
      </c>
      <c r="S176" s="3">
        <f t="shared" si="13"/>
        <v>1574.55</v>
      </c>
      <c r="T176" s="3">
        <f t="shared" si="14"/>
        <v>8922.4500000000007</v>
      </c>
      <c r="U176" s="3">
        <f t="shared" si="15"/>
        <v>1574.5500000000011</v>
      </c>
      <c r="V176" s="4">
        <f t="shared" si="16"/>
        <v>0.17647058823529421</v>
      </c>
      <c r="W176" t="str">
        <f t="shared" si="17"/>
        <v>Dec</v>
      </c>
    </row>
    <row r="177" spans="1:23" x14ac:dyDescent="0.25">
      <c r="A177" t="s">
        <v>408</v>
      </c>
      <c r="B177" t="s">
        <v>409</v>
      </c>
      <c r="C177" s="2">
        <v>45845.059027777781</v>
      </c>
      <c r="D177" t="s">
        <v>77</v>
      </c>
      <c r="E177" t="s">
        <v>78</v>
      </c>
      <c r="F177" t="s">
        <v>79</v>
      </c>
      <c r="G177" t="s">
        <v>28</v>
      </c>
      <c r="H177">
        <v>3</v>
      </c>
      <c r="I177" s="3">
        <v>6499</v>
      </c>
      <c r="J177" s="4">
        <v>0.15</v>
      </c>
      <c r="K177" s="3">
        <v>99</v>
      </c>
      <c r="L177" t="s">
        <v>74</v>
      </c>
      <c r="M177" t="s">
        <v>49</v>
      </c>
      <c r="N177" t="s">
        <v>71</v>
      </c>
      <c r="O177" t="s">
        <v>32</v>
      </c>
      <c r="P177" t="s">
        <v>33</v>
      </c>
      <c r="Q177">
        <v>3</v>
      </c>
      <c r="R177" s="3">
        <f t="shared" si="12"/>
        <v>19497</v>
      </c>
      <c r="S177" s="3">
        <f t="shared" si="13"/>
        <v>2924.5499999999997</v>
      </c>
      <c r="T177" s="3">
        <f t="shared" si="14"/>
        <v>16671.45</v>
      </c>
      <c r="U177" s="3">
        <f t="shared" si="15"/>
        <v>3023.5500000000011</v>
      </c>
      <c r="V177" s="4">
        <f t="shared" si="16"/>
        <v>0.18136094940752009</v>
      </c>
      <c r="W177" t="str">
        <f t="shared" si="17"/>
        <v>Jul</v>
      </c>
    </row>
    <row r="178" spans="1:23" x14ac:dyDescent="0.25">
      <c r="A178" t="s">
        <v>410</v>
      </c>
      <c r="B178" t="s">
        <v>411</v>
      </c>
      <c r="C178" s="2">
        <v>45939.369444444441</v>
      </c>
      <c r="D178" t="s">
        <v>55</v>
      </c>
      <c r="E178" t="s">
        <v>56</v>
      </c>
      <c r="F178" t="s">
        <v>37</v>
      </c>
      <c r="G178" t="s">
        <v>38</v>
      </c>
      <c r="H178">
        <v>2</v>
      </c>
      <c r="I178" s="3">
        <v>2499</v>
      </c>
      <c r="J178" s="4">
        <v>0.2</v>
      </c>
      <c r="K178" s="3">
        <v>99</v>
      </c>
      <c r="L178" t="s">
        <v>57</v>
      </c>
      <c r="M178" t="s">
        <v>58</v>
      </c>
      <c r="N178" t="s">
        <v>50</v>
      </c>
      <c r="O178" t="s">
        <v>93</v>
      </c>
      <c r="P178" t="s">
        <v>85</v>
      </c>
      <c r="Q178">
        <v>4</v>
      </c>
      <c r="R178" s="3">
        <f t="shared" si="12"/>
        <v>4998</v>
      </c>
      <c r="S178" s="3">
        <f t="shared" si="13"/>
        <v>999.6</v>
      </c>
      <c r="T178" s="3">
        <f t="shared" si="14"/>
        <v>4097.3999999999996</v>
      </c>
      <c r="U178" s="3">
        <f t="shared" si="15"/>
        <v>598.79999999999973</v>
      </c>
      <c r="V178" s="4">
        <f t="shared" si="16"/>
        <v>0.14614145555718255</v>
      </c>
      <c r="W178" t="str">
        <f t="shared" si="17"/>
        <v>Oct</v>
      </c>
    </row>
    <row r="179" spans="1:23" x14ac:dyDescent="0.25">
      <c r="A179" t="s">
        <v>412</v>
      </c>
      <c r="B179" t="s">
        <v>278</v>
      </c>
      <c r="C179" s="2">
        <v>45845.175000000003</v>
      </c>
      <c r="D179" t="s">
        <v>169</v>
      </c>
      <c r="E179" t="s">
        <v>170</v>
      </c>
      <c r="F179" t="s">
        <v>98</v>
      </c>
      <c r="G179" t="s">
        <v>171</v>
      </c>
      <c r="H179">
        <v>2</v>
      </c>
      <c r="I179" s="3">
        <v>799</v>
      </c>
      <c r="J179" s="4">
        <v>0.15</v>
      </c>
      <c r="K179" s="3">
        <v>79</v>
      </c>
      <c r="L179" t="s">
        <v>74</v>
      </c>
      <c r="M179" t="s">
        <v>49</v>
      </c>
      <c r="N179" t="s">
        <v>31</v>
      </c>
      <c r="O179" t="s">
        <v>93</v>
      </c>
      <c r="P179" t="s">
        <v>85</v>
      </c>
      <c r="Q179">
        <v>1</v>
      </c>
      <c r="R179" s="3">
        <f t="shared" si="12"/>
        <v>1598</v>
      </c>
      <c r="S179" s="3">
        <f t="shared" si="13"/>
        <v>239.7</v>
      </c>
      <c r="T179" s="3">
        <f t="shared" si="14"/>
        <v>1437.3</v>
      </c>
      <c r="U179" s="3">
        <f t="shared" si="15"/>
        <v>318.70000000000005</v>
      </c>
      <c r="V179" s="4">
        <f t="shared" si="16"/>
        <v>0.22173519794058308</v>
      </c>
      <c r="W179" t="str">
        <f t="shared" si="17"/>
        <v>Jul</v>
      </c>
    </row>
    <row r="180" spans="1:23" x14ac:dyDescent="0.25">
      <c r="A180" t="s">
        <v>413</v>
      </c>
      <c r="B180" t="s">
        <v>414</v>
      </c>
      <c r="C180" s="2">
        <v>45923.589583333327</v>
      </c>
      <c r="D180" t="s">
        <v>105</v>
      </c>
      <c r="E180" t="s">
        <v>106</v>
      </c>
      <c r="F180" t="s">
        <v>37</v>
      </c>
      <c r="G180" t="s">
        <v>107</v>
      </c>
      <c r="H180">
        <v>3</v>
      </c>
      <c r="I180" s="3">
        <v>1799</v>
      </c>
      <c r="J180" s="4">
        <v>0.15</v>
      </c>
      <c r="K180" s="3">
        <v>49</v>
      </c>
      <c r="L180" t="s">
        <v>74</v>
      </c>
      <c r="M180" t="s">
        <v>49</v>
      </c>
      <c r="N180" t="s">
        <v>102</v>
      </c>
      <c r="O180" t="s">
        <v>51</v>
      </c>
      <c r="P180" t="s">
        <v>85</v>
      </c>
      <c r="Q180">
        <v>2</v>
      </c>
      <c r="R180" s="3">
        <f t="shared" si="12"/>
        <v>5397</v>
      </c>
      <c r="S180" s="3">
        <f t="shared" si="13"/>
        <v>809.55</v>
      </c>
      <c r="T180" s="3">
        <f t="shared" si="14"/>
        <v>4636.45</v>
      </c>
      <c r="U180" s="3">
        <f t="shared" si="15"/>
        <v>858.55000000000018</v>
      </c>
      <c r="V180" s="4">
        <f t="shared" si="16"/>
        <v>0.18517400166075343</v>
      </c>
      <c r="W180" t="str">
        <f t="shared" si="17"/>
        <v>Sep</v>
      </c>
    </row>
    <row r="181" spans="1:23" x14ac:dyDescent="0.25">
      <c r="A181" t="s">
        <v>415</v>
      </c>
      <c r="B181" t="s">
        <v>104</v>
      </c>
      <c r="C181" s="2">
        <v>45811.76458333333</v>
      </c>
      <c r="D181" t="s">
        <v>96</v>
      </c>
      <c r="E181" t="s">
        <v>97</v>
      </c>
      <c r="F181" t="s">
        <v>98</v>
      </c>
      <c r="G181" t="s">
        <v>99</v>
      </c>
      <c r="H181">
        <v>2</v>
      </c>
      <c r="I181" s="3">
        <v>1499</v>
      </c>
      <c r="J181" s="4">
        <v>0.15</v>
      </c>
      <c r="K181" s="3">
        <v>99</v>
      </c>
      <c r="L181" t="s">
        <v>125</v>
      </c>
      <c r="M181" t="s">
        <v>126</v>
      </c>
      <c r="N181" t="s">
        <v>102</v>
      </c>
      <c r="O181" t="s">
        <v>51</v>
      </c>
      <c r="P181" t="s">
        <v>85</v>
      </c>
      <c r="Q181">
        <v>4</v>
      </c>
      <c r="R181" s="3">
        <f t="shared" si="12"/>
        <v>2998</v>
      </c>
      <c r="S181" s="3">
        <f t="shared" si="13"/>
        <v>449.7</v>
      </c>
      <c r="T181" s="3">
        <f t="shared" si="14"/>
        <v>2647.3</v>
      </c>
      <c r="U181" s="3">
        <f t="shared" si="15"/>
        <v>548.70000000000027</v>
      </c>
      <c r="V181" s="4">
        <f t="shared" si="16"/>
        <v>0.20726778226872672</v>
      </c>
      <c r="W181" t="str">
        <f t="shared" si="17"/>
        <v>Jun</v>
      </c>
    </row>
    <row r="182" spans="1:23" x14ac:dyDescent="0.25">
      <c r="A182" t="s">
        <v>416</v>
      </c>
      <c r="B182" t="s">
        <v>417</v>
      </c>
      <c r="C182" s="2">
        <v>45714.567361111112</v>
      </c>
      <c r="D182" t="s">
        <v>35</v>
      </c>
      <c r="E182" t="s">
        <v>36</v>
      </c>
      <c r="F182" t="s">
        <v>37</v>
      </c>
      <c r="G182" t="s">
        <v>38</v>
      </c>
      <c r="H182">
        <v>1</v>
      </c>
      <c r="I182" s="3">
        <v>599</v>
      </c>
      <c r="J182" s="4">
        <v>0.2</v>
      </c>
      <c r="K182" s="3">
        <v>0</v>
      </c>
      <c r="L182" t="s">
        <v>74</v>
      </c>
      <c r="M182" t="s">
        <v>49</v>
      </c>
      <c r="N182" t="s">
        <v>71</v>
      </c>
      <c r="O182" t="s">
        <v>32</v>
      </c>
      <c r="P182" t="s">
        <v>33</v>
      </c>
      <c r="Q182">
        <v>5</v>
      </c>
      <c r="R182" s="3">
        <f t="shared" si="12"/>
        <v>599</v>
      </c>
      <c r="S182" s="3">
        <f t="shared" si="13"/>
        <v>119.80000000000001</v>
      </c>
      <c r="T182" s="3">
        <f t="shared" si="14"/>
        <v>479.2</v>
      </c>
      <c r="U182" s="3">
        <f t="shared" si="15"/>
        <v>59.900000000000034</v>
      </c>
      <c r="V182" s="4">
        <f t="shared" si="16"/>
        <v>0.12500000000000008</v>
      </c>
      <c r="W182" t="str">
        <f t="shared" si="17"/>
        <v>Feb</v>
      </c>
    </row>
    <row r="183" spans="1:23" x14ac:dyDescent="0.25">
      <c r="A183" t="s">
        <v>418</v>
      </c>
      <c r="B183" t="s">
        <v>292</v>
      </c>
      <c r="C183" s="2">
        <v>45745.694444444453</v>
      </c>
      <c r="D183" t="s">
        <v>67</v>
      </c>
      <c r="E183" t="s">
        <v>68</v>
      </c>
      <c r="F183" t="s">
        <v>37</v>
      </c>
      <c r="G183" t="s">
        <v>38</v>
      </c>
      <c r="H183">
        <v>2</v>
      </c>
      <c r="I183" s="3">
        <v>1299</v>
      </c>
      <c r="J183" s="4">
        <v>0.15</v>
      </c>
      <c r="K183" s="3">
        <v>79</v>
      </c>
      <c r="L183" t="s">
        <v>39</v>
      </c>
      <c r="M183" t="s">
        <v>39</v>
      </c>
      <c r="N183" t="s">
        <v>50</v>
      </c>
      <c r="O183" t="s">
        <v>93</v>
      </c>
      <c r="P183" t="s">
        <v>80</v>
      </c>
      <c r="Q183">
        <v>5</v>
      </c>
      <c r="R183" s="3">
        <f t="shared" si="12"/>
        <v>2598</v>
      </c>
      <c r="S183" s="3">
        <f t="shared" si="13"/>
        <v>389.7</v>
      </c>
      <c r="T183" s="3">
        <f t="shared" si="14"/>
        <v>2287.3000000000002</v>
      </c>
      <c r="U183" s="3">
        <f t="shared" si="15"/>
        <v>468.70000000000027</v>
      </c>
      <c r="V183" s="4">
        <f t="shared" si="16"/>
        <v>0.20491409084947329</v>
      </c>
      <c r="W183" t="str">
        <f t="shared" si="17"/>
        <v>Mar</v>
      </c>
    </row>
    <row r="184" spans="1:23" x14ac:dyDescent="0.25">
      <c r="A184" t="s">
        <v>419</v>
      </c>
      <c r="B184" t="s">
        <v>420</v>
      </c>
      <c r="C184" s="2">
        <v>45883.43472222222</v>
      </c>
      <c r="D184" t="s">
        <v>77</v>
      </c>
      <c r="E184" t="s">
        <v>78</v>
      </c>
      <c r="F184" t="s">
        <v>79</v>
      </c>
      <c r="G184" t="s">
        <v>28</v>
      </c>
      <c r="H184">
        <v>1</v>
      </c>
      <c r="I184" s="3">
        <v>6499</v>
      </c>
      <c r="J184" s="4">
        <v>0.1</v>
      </c>
      <c r="K184" s="3">
        <v>49</v>
      </c>
      <c r="L184" t="s">
        <v>29</v>
      </c>
      <c r="M184" t="s">
        <v>30</v>
      </c>
      <c r="N184" t="s">
        <v>102</v>
      </c>
      <c r="O184" t="s">
        <v>32</v>
      </c>
      <c r="P184" t="s">
        <v>33</v>
      </c>
      <c r="Q184">
        <v>4</v>
      </c>
      <c r="R184" s="3">
        <f t="shared" si="12"/>
        <v>6499</v>
      </c>
      <c r="S184" s="3">
        <f t="shared" si="13"/>
        <v>649.90000000000009</v>
      </c>
      <c r="T184" s="3">
        <f t="shared" si="14"/>
        <v>5898.1</v>
      </c>
      <c r="U184" s="3">
        <f t="shared" si="15"/>
        <v>1348.8000000000011</v>
      </c>
      <c r="V184" s="4">
        <f t="shared" si="16"/>
        <v>0.2286838134314442</v>
      </c>
      <c r="W184" t="str">
        <f t="shared" si="17"/>
        <v>Aug</v>
      </c>
    </row>
    <row r="185" spans="1:23" x14ac:dyDescent="0.25">
      <c r="A185" t="s">
        <v>421</v>
      </c>
      <c r="B185" t="s">
        <v>422</v>
      </c>
      <c r="C185" s="2">
        <v>45923.274305555547</v>
      </c>
      <c r="D185" t="s">
        <v>77</v>
      </c>
      <c r="E185" t="s">
        <v>78</v>
      </c>
      <c r="F185" t="s">
        <v>79</v>
      </c>
      <c r="G185" t="s">
        <v>28</v>
      </c>
      <c r="H185">
        <v>2</v>
      </c>
      <c r="I185" s="3">
        <v>6499</v>
      </c>
      <c r="J185" s="4">
        <v>0.2</v>
      </c>
      <c r="K185" s="3">
        <v>79</v>
      </c>
      <c r="L185" t="s">
        <v>39</v>
      </c>
      <c r="M185" t="s">
        <v>39</v>
      </c>
      <c r="N185" t="s">
        <v>40</v>
      </c>
      <c r="O185" t="s">
        <v>51</v>
      </c>
      <c r="P185" t="s">
        <v>33</v>
      </c>
      <c r="Q185">
        <v>2</v>
      </c>
      <c r="R185" s="3">
        <f t="shared" si="12"/>
        <v>12998</v>
      </c>
      <c r="S185" s="3">
        <f t="shared" si="13"/>
        <v>2599.6000000000004</v>
      </c>
      <c r="T185" s="3">
        <f t="shared" si="14"/>
        <v>10477.4</v>
      </c>
      <c r="U185" s="3">
        <f t="shared" si="15"/>
        <v>1378.8000000000011</v>
      </c>
      <c r="V185" s="4">
        <f t="shared" si="16"/>
        <v>0.13159753373928657</v>
      </c>
      <c r="W185" t="str">
        <f t="shared" si="17"/>
        <v>Sep</v>
      </c>
    </row>
    <row r="186" spans="1:23" x14ac:dyDescent="0.25">
      <c r="A186" t="s">
        <v>423</v>
      </c>
      <c r="B186" t="s">
        <v>398</v>
      </c>
      <c r="C186" s="2">
        <v>45839.90902777778</v>
      </c>
      <c r="D186" t="s">
        <v>90</v>
      </c>
      <c r="E186" t="s">
        <v>91</v>
      </c>
      <c r="F186" t="s">
        <v>37</v>
      </c>
      <c r="G186" t="s">
        <v>92</v>
      </c>
      <c r="H186">
        <v>1</v>
      </c>
      <c r="I186" s="3">
        <v>3499</v>
      </c>
      <c r="J186" s="4">
        <v>0.2</v>
      </c>
      <c r="K186" s="3">
        <v>59</v>
      </c>
      <c r="L186" t="s">
        <v>83</v>
      </c>
      <c r="M186" t="s">
        <v>84</v>
      </c>
      <c r="N186" t="s">
        <v>50</v>
      </c>
      <c r="O186" t="s">
        <v>41</v>
      </c>
      <c r="P186" t="s">
        <v>80</v>
      </c>
      <c r="Q186">
        <v>3</v>
      </c>
      <c r="R186" s="3">
        <f t="shared" si="12"/>
        <v>3499</v>
      </c>
      <c r="S186" s="3">
        <f t="shared" si="13"/>
        <v>699.80000000000007</v>
      </c>
      <c r="T186" s="3">
        <f t="shared" si="14"/>
        <v>2858.2</v>
      </c>
      <c r="U186" s="3">
        <f t="shared" si="15"/>
        <v>408.90000000000009</v>
      </c>
      <c r="V186" s="4">
        <f t="shared" si="16"/>
        <v>0.14306206703519703</v>
      </c>
      <c r="W186" t="str">
        <f t="shared" si="17"/>
        <v>Jul</v>
      </c>
    </row>
    <row r="187" spans="1:23" x14ac:dyDescent="0.25">
      <c r="A187" t="s">
        <v>424</v>
      </c>
      <c r="B187" t="s">
        <v>425</v>
      </c>
      <c r="C187" s="2">
        <v>45810.40625</v>
      </c>
      <c r="D187" t="s">
        <v>62</v>
      </c>
      <c r="E187" t="s">
        <v>63</v>
      </c>
      <c r="F187" t="s">
        <v>46</v>
      </c>
      <c r="G187" t="s">
        <v>64</v>
      </c>
      <c r="H187">
        <v>1</v>
      </c>
      <c r="I187" s="3">
        <v>699</v>
      </c>
      <c r="J187" s="4">
        <v>0.2</v>
      </c>
      <c r="K187" s="3">
        <v>79</v>
      </c>
      <c r="L187" t="s">
        <v>48</v>
      </c>
      <c r="M187" t="s">
        <v>49</v>
      </c>
      <c r="N187" t="s">
        <v>40</v>
      </c>
      <c r="O187" t="s">
        <v>51</v>
      </c>
      <c r="P187" t="s">
        <v>33</v>
      </c>
      <c r="Q187">
        <v>5</v>
      </c>
      <c r="R187" s="3">
        <f t="shared" si="12"/>
        <v>699</v>
      </c>
      <c r="S187" s="3">
        <f t="shared" si="13"/>
        <v>139.80000000000001</v>
      </c>
      <c r="T187" s="3">
        <f t="shared" si="14"/>
        <v>638.20000000000005</v>
      </c>
      <c r="U187" s="3">
        <f t="shared" si="15"/>
        <v>148.90000000000009</v>
      </c>
      <c r="V187" s="4">
        <f t="shared" si="16"/>
        <v>0.2333124412409904</v>
      </c>
      <c r="W187" t="str">
        <f t="shared" si="17"/>
        <v>Jun</v>
      </c>
    </row>
    <row r="188" spans="1:23" x14ac:dyDescent="0.25">
      <c r="A188" t="s">
        <v>426</v>
      </c>
      <c r="B188" t="s">
        <v>358</v>
      </c>
      <c r="C188" s="2">
        <v>45951.898611111108</v>
      </c>
      <c r="D188" t="s">
        <v>77</v>
      </c>
      <c r="E188" t="s">
        <v>78</v>
      </c>
      <c r="F188" t="s">
        <v>79</v>
      </c>
      <c r="G188" t="s">
        <v>28</v>
      </c>
      <c r="H188">
        <v>1</v>
      </c>
      <c r="I188" s="3">
        <v>6499</v>
      </c>
      <c r="J188" s="4">
        <v>0.1</v>
      </c>
      <c r="K188" s="3">
        <v>59</v>
      </c>
      <c r="L188" t="s">
        <v>48</v>
      </c>
      <c r="M188" t="s">
        <v>49</v>
      </c>
      <c r="N188" t="s">
        <v>71</v>
      </c>
      <c r="O188" t="s">
        <v>93</v>
      </c>
      <c r="P188" t="s">
        <v>52</v>
      </c>
      <c r="Q188">
        <v>3</v>
      </c>
      <c r="R188" s="3">
        <f t="shared" si="12"/>
        <v>6499</v>
      </c>
      <c r="S188" s="3">
        <f t="shared" si="13"/>
        <v>649.90000000000009</v>
      </c>
      <c r="T188" s="3">
        <f t="shared" si="14"/>
        <v>5908.1</v>
      </c>
      <c r="U188" s="3">
        <f t="shared" si="15"/>
        <v>1358.8000000000011</v>
      </c>
      <c r="V188" s="4">
        <f t="shared" si="16"/>
        <v>0.22998933667338078</v>
      </c>
      <c r="W188" t="str">
        <f t="shared" si="17"/>
        <v>Oct</v>
      </c>
    </row>
    <row r="189" spans="1:23" x14ac:dyDescent="0.25">
      <c r="A189" t="s">
        <v>427</v>
      </c>
      <c r="B189" t="s">
        <v>428</v>
      </c>
      <c r="C189" s="2">
        <v>45884.844444444447</v>
      </c>
      <c r="D189" t="s">
        <v>77</v>
      </c>
      <c r="E189" t="s">
        <v>78</v>
      </c>
      <c r="F189" t="s">
        <v>79</v>
      </c>
      <c r="G189" t="s">
        <v>28</v>
      </c>
      <c r="H189">
        <v>1</v>
      </c>
      <c r="I189" s="3">
        <v>6499</v>
      </c>
      <c r="J189" s="4">
        <v>0.1</v>
      </c>
      <c r="K189" s="3">
        <v>49</v>
      </c>
      <c r="L189" t="s">
        <v>29</v>
      </c>
      <c r="M189" t="s">
        <v>30</v>
      </c>
      <c r="N189" t="s">
        <v>102</v>
      </c>
      <c r="O189" t="s">
        <v>51</v>
      </c>
      <c r="P189" t="s">
        <v>80</v>
      </c>
      <c r="Q189">
        <v>5</v>
      </c>
      <c r="R189" s="3">
        <f t="shared" si="12"/>
        <v>6499</v>
      </c>
      <c r="S189" s="3">
        <f t="shared" si="13"/>
        <v>649.90000000000009</v>
      </c>
      <c r="T189" s="3">
        <f t="shared" si="14"/>
        <v>5898.1</v>
      </c>
      <c r="U189" s="3">
        <f t="shared" si="15"/>
        <v>1348.8000000000011</v>
      </c>
      <c r="V189" s="4">
        <f t="shared" si="16"/>
        <v>0.2286838134314442</v>
      </c>
      <c r="W189" t="str">
        <f t="shared" si="17"/>
        <v>Aug</v>
      </c>
    </row>
    <row r="190" spans="1:23" x14ac:dyDescent="0.25">
      <c r="A190" t="s">
        <v>429</v>
      </c>
      <c r="B190" t="s">
        <v>300</v>
      </c>
      <c r="C190" s="2">
        <v>45973.984027777777</v>
      </c>
      <c r="D190" t="s">
        <v>77</v>
      </c>
      <c r="E190" t="s">
        <v>78</v>
      </c>
      <c r="F190" t="s">
        <v>79</v>
      </c>
      <c r="G190" t="s">
        <v>28</v>
      </c>
      <c r="H190">
        <v>1</v>
      </c>
      <c r="I190" s="3">
        <v>6499</v>
      </c>
      <c r="J190" s="4">
        <v>0</v>
      </c>
      <c r="K190" s="3">
        <v>0</v>
      </c>
      <c r="L190" t="s">
        <v>48</v>
      </c>
      <c r="M190" t="s">
        <v>49</v>
      </c>
      <c r="N190" t="s">
        <v>430</v>
      </c>
      <c r="O190" t="s">
        <v>41</v>
      </c>
      <c r="P190" t="s">
        <v>33</v>
      </c>
      <c r="Q190">
        <v>1</v>
      </c>
      <c r="R190" s="3">
        <f t="shared" si="12"/>
        <v>6499</v>
      </c>
      <c r="S190" s="3">
        <f t="shared" si="13"/>
        <v>0</v>
      </c>
      <c r="T190" s="3">
        <f t="shared" si="14"/>
        <v>6499</v>
      </c>
      <c r="U190" s="3">
        <f t="shared" si="15"/>
        <v>1949.7000000000007</v>
      </c>
      <c r="V190" s="4">
        <f t="shared" si="16"/>
        <v>0.3000000000000001</v>
      </c>
      <c r="W190" t="str">
        <f t="shared" si="17"/>
        <v>Nov</v>
      </c>
    </row>
    <row r="191" spans="1:23" x14ac:dyDescent="0.25">
      <c r="A191" t="s">
        <v>431</v>
      </c>
      <c r="C191" s="2">
        <v>45899.154861111107</v>
      </c>
      <c r="D191" t="s">
        <v>55</v>
      </c>
      <c r="E191" t="s">
        <v>56</v>
      </c>
      <c r="F191" t="s">
        <v>37</v>
      </c>
      <c r="G191" t="s">
        <v>38</v>
      </c>
      <c r="H191">
        <v>1</v>
      </c>
      <c r="I191" s="3">
        <v>2499</v>
      </c>
      <c r="J191" s="4">
        <v>0</v>
      </c>
      <c r="K191" s="3">
        <v>99</v>
      </c>
      <c r="L191" t="s">
        <v>57</v>
      </c>
      <c r="M191" t="s">
        <v>58</v>
      </c>
      <c r="N191" t="s">
        <v>40</v>
      </c>
      <c r="O191" t="s">
        <v>59</v>
      </c>
      <c r="P191" t="s">
        <v>33</v>
      </c>
      <c r="Q191">
        <v>4</v>
      </c>
      <c r="R191" s="3">
        <f t="shared" si="12"/>
        <v>2499</v>
      </c>
      <c r="S191" s="3">
        <f t="shared" si="13"/>
        <v>0</v>
      </c>
      <c r="T191" s="3">
        <f t="shared" si="14"/>
        <v>2598</v>
      </c>
      <c r="U191" s="3">
        <f t="shared" si="15"/>
        <v>848.7</v>
      </c>
      <c r="V191" s="4">
        <f t="shared" si="16"/>
        <v>0.32667436489607393</v>
      </c>
      <c r="W191" t="str">
        <f t="shared" si="17"/>
        <v>Aug</v>
      </c>
    </row>
    <row r="192" spans="1:23" x14ac:dyDescent="0.25">
      <c r="A192" t="s">
        <v>432</v>
      </c>
      <c r="B192" t="s">
        <v>226</v>
      </c>
      <c r="C192" s="2">
        <v>45805.429166666669</v>
      </c>
      <c r="D192" t="s">
        <v>25</v>
      </c>
      <c r="E192" t="s">
        <v>26</v>
      </c>
      <c r="F192" t="s">
        <v>27</v>
      </c>
      <c r="G192" t="s">
        <v>28</v>
      </c>
      <c r="H192">
        <v>3</v>
      </c>
      <c r="I192" s="3">
        <v>249</v>
      </c>
      <c r="J192" s="4">
        <v>0</v>
      </c>
      <c r="K192" s="3">
        <v>0</v>
      </c>
      <c r="L192" t="s">
        <v>113</v>
      </c>
      <c r="M192" t="s">
        <v>114</v>
      </c>
      <c r="N192" t="s">
        <v>50</v>
      </c>
      <c r="O192" t="s">
        <v>32</v>
      </c>
      <c r="P192" t="s">
        <v>80</v>
      </c>
      <c r="R192" s="3">
        <f t="shared" si="12"/>
        <v>747</v>
      </c>
      <c r="S192" s="3">
        <f t="shared" si="13"/>
        <v>0</v>
      </c>
      <c r="T192" s="3">
        <f t="shared" si="14"/>
        <v>747</v>
      </c>
      <c r="U192" s="3">
        <f t="shared" si="15"/>
        <v>224.10000000000002</v>
      </c>
      <c r="V192" s="4">
        <f t="shared" si="16"/>
        <v>0.30000000000000004</v>
      </c>
      <c r="W192" t="str">
        <f t="shared" si="17"/>
        <v>May</v>
      </c>
    </row>
    <row r="193" spans="1:23" x14ac:dyDescent="0.25">
      <c r="A193" t="s">
        <v>433</v>
      </c>
      <c r="B193" t="s">
        <v>261</v>
      </c>
      <c r="C193" s="2">
        <v>45747.580555555563</v>
      </c>
      <c r="D193" t="s">
        <v>77</v>
      </c>
      <c r="E193" t="s">
        <v>78</v>
      </c>
      <c r="F193" t="s">
        <v>79</v>
      </c>
      <c r="G193" t="s">
        <v>28</v>
      </c>
      <c r="H193">
        <v>4</v>
      </c>
      <c r="I193" s="3">
        <v>6499</v>
      </c>
      <c r="J193" s="4">
        <v>0</v>
      </c>
      <c r="K193" s="3">
        <v>79</v>
      </c>
      <c r="L193" t="s">
        <v>39</v>
      </c>
      <c r="M193" t="s">
        <v>39</v>
      </c>
      <c r="N193" t="s">
        <v>50</v>
      </c>
      <c r="O193" t="s">
        <v>51</v>
      </c>
      <c r="P193" t="s">
        <v>33</v>
      </c>
      <c r="Q193">
        <v>1</v>
      </c>
      <c r="R193" s="3">
        <f t="shared" si="12"/>
        <v>25996</v>
      </c>
      <c r="S193" s="3">
        <f t="shared" si="13"/>
        <v>0</v>
      </c>
      <c r="T193" s="3">
        <f t="shared" si="14"/>
        <v>26075</v>
      </c>
      <c r="U193" s="3">
        <f t="shared" si="15"/>
        <v>7877.8000000000029</v>
      </c>
      <c r="V193" s="4">
        <f t="shared" si="16"/>
        <v>0.30212080536912761</v>
      </c>
      <c r="W193" t="str">
        <f t="shared" si="17"/>
        <v>Mar</v>
      </c>
    </row>
    <row r="194" spans="1:23" x14ac:dyDescent="0.25">
      <c r="A194" t="s">
        <v>434</v>
      </c>
      <c r="B194" t="s">
        <v>364</v>
      </c>
      <c r="C194" s="2">
        <v>45712.429166666669</v>
      </c>
      <c r="D194" t="s">
        <v>35</v>
      </c>
      <c r="E194" t="s">
        <v>36</v>
      </c>
      <c r="F194" t="s">
        <v>37</v>
      </c>
      <c r="G194" t="s">
        <v>38</v>
      </c>
      <c r="H194">
        <v>2</v>
      </c>
      <c r="I194" s="3">
        <v>599</v>
      </c>
      <c r="J194" s="4">
        <v>0.2</v>
      </c>
      <c r="K194" s="3">
        <v>99</v>
      </c>
      <c r="L194" t="s">
        <v>48</v>
      </c>
      <c r="M194" t="s">
        <v>49</v>
      </c>
      <c r="N194" t="s">
        <v>40</v>
      </c>
      <c r="O194" t="s">
        <v>41</v>
      </c>
      <c r="P194" t="s">
        <v>52</v>
      </c>
      <c r="R194" s="3">
        <f t="shared" ref="R194:R257" si="18">IFERROR(H194*I194,"")</f>
        <v>1198</v>
      </c>
      <c r="S194" s="3">
        <f t="shared" ref="S194:S257" si="19">IFERROR(R194*J194,"")</f>
        <v>239.60000000000002</v>
      </c>
      <c r="T194" s="3">
        <f t="shared" ref="T194:T257" si="20">IFERROR(R194-S194+K194,"")</f>
        <v>1057.4000000000001</v>
      </c>
      <c r="U194" s="3">
        <f t="shared" ref="U194:U257" si="21">IFERROR(T194-(R194*70%),"")</f>
        <v>218.80000000000018</v>
      </c>
      <c r="V194" s="4">
        <f t="shared" ref="V194:V257" si="22">IFERROR(U194/T194,"")</f>
        <v>0.20692264043881234</v>
      </c>
      <c r="W194" t="str">
        <f t="shared" ref="W194:W257" si="23">IFERROR(TEXT(C194,"mmm"),"")</f>
        <v>Feb</v>
      </c>
    </row>
    <row r="195" spans="1:23" x14ac:dyDescent="0.25">
      <c r="A195" t="s">
        <v>435</v>
      </c>
      <c r="B195" t="s">
        <v>436</v>
      </c>
      <c r="C195" s="2">
        <v>45715.423611111109</v>
      </c>
      <c r="D195" t="s">
        <v>62</v>
      </c>
      <c r="E195" t="s">
        <v>63</v>
      </c>
      <c r="F195" t="s">
        <v>46</v>
      </c>
      <c r="G195" t="s">
        <v>64</v>
      </c>
      <c r="H195">
        <v>1</v>
      </c>
      <c r="I195" s="3">
        <v>699</v>
      </c>
      <c r="J195" s="4">
        <v>0.1</v>
      </c>
      <c r="K195" s="3">
        <v>59</v>
      </c>
      <c r="L195" t="s">
        <v>119</v>
      </c>
      <c r="M195" t="s">
        <v>120</v>
      </c>
      <c r="N195" t="s">
        <v>31</v>
      </c>
      <c r="O195" t="s">
        <v>51</v>
      </c>
      <c r="P195" t="s">
        <v>80</v>
      </c>
      <c r="R195" s="3">
        <f t="shared" si="18"/>
        <v>699</v>
      </c>
      <c r="S195" s="3">
        <f t="shared" si="19"/>
        <v>69.900000000000006</v>
      </c>
      <c r="T195" s="3">
        <f t="shared" si="20"/>
        <v>688.1</v>
      </c>
      <c r="U195" s="3">
        <f t="shared" si="21"/>
        <v>198.80000000000007</v>
      </c>
      <c r="V195" s="4">
        <f t="shared" si="22"/>
        <v>0.28891149542217709</v>
      </c>
      <c r="W195" t="str">
        <f t="shared" si="23"/>
        <v>Feb</v>
      </c>
    </row>
    <row r="196" spans="1:23" x14ac:dyDescent="0.25">
      <c r="A196" t="s">
        <v>437</v>
      </c>
      <c r="B196" t="s">
        <v>372</v>
      </c>
      <c r="C196" s="2">
        <v>45756.23541666667</v>
      </c>
      <c r="D196" t="s">
        <v>110</v>
      </c>
      <c r="E196" t="s">
        <v>111</v>
      </c>
      <c r="F196" t="s">
        <v>98</v>
      </c>
      <c r="G196" t="s">
        <v>112</v>
      </c>
      <c r="H196">
        <v>2</v>
      </c>
      <c r="I196" s="3">
        <v>2999</v>
      </c>
      <c r="J196" s="4">
        <v>0.1</v>
      </c>
      <c r="K196" s="3">
        <v>79</v>
      </c>
      <c r="L196" t="s">
        <v>125</v>
      </c>
      <c r="M196" t="s">
        <v>126</v>
      </c>
      <c r="N196" t="s">
        <v>71</v>
      </c>
      <c r="O196" t="s">
        <v>93</v>
      </c>
      <c r="P196" t="s">
        <v>80</v>
      </c>
      <c r="Q196">
        <v>4</v>
      </c>
      <c r="R196" s="3">
        <f t="shared" si="18"/>
        <v>5998</v>
      </c>
      <c r="S196" s="3">
        <f t="shared" si="19"/>
        <v>599.80000000000007</v>
      </c>
      <c r="T196" s="3">
        <f t="shared" si="20"/>
        <v>5477.2</v>
      </c>
      <c r="U196" s="3">
        <f t="shared" si="21"/>
        <v>1278.6000000000004</v>
      </c>
      <c r="V196" s="4">
        <f t="shared" si="22"/>
        <v>0.23344044402249331</v>
      </c>
      <c r="W196" t="str">
        <f t="shared" si="23"/>
        <v>Apr</v>
      </c>
    </row>
    <row r="197" spans="1:23" x14ac:dyDescent="0.25">
      <c r="A197" t="s">
        <v>438</v>
      </c>
      <c r="B197" t="s">
        <v>271</v>
      </c>
      <c r="C197" s="2">
        <v>45729.638888888891</v>
      </c>
      <c r="D197" t="s">
        <v>25</v>
      </c>
      <c r="E197" t="s">
        <v>26</v>
      </c>
      <c r="F197" t="s">
        <v>27</v>
      </c>
      <c r="G197" t="s">
        <v>28</v>
      </c>
      <c r="H197">
        <v>1</v>
      </c>
      <c r="I197" s="3">
        <v>249</v>
      </c>
      <c r="J197" s="4">
        <v>0</v>
      </c>
      <c r="K197" s="3">
        <v>59</v>
      </c>
      <c r="L197" t="s">
        <v>29</v>
      </c>
      <c r="M197" t="s">
        <v>30</v>
      </c>
      <c r="N197" t="s">
        <v>50</v>
      </c>
      <c r="O197" t="s">
        <v>59</v>
      </c>
      <c r="P197" t="s">
        <v>33</v>
      </c>
      <c r="R197" s="3">
        <f t="shared" si="18"/>
        <v>249</v>
      </c>
      <c r="S197" s="3">
        <f t="shared" si="19"/>
        <v>0</v>
      </c>
      <c r="T197" s="3">
        <f t="shared" si="20"/>
        <v>308</v>
      </c>
      <c r="U197" s="3">
        <f t="shared" si="21"/>
        <v>133.70000000000002</v>
      </c>
      <c r="V197" s="4">
        <f t="shared" si="22"/>
        <v>0.43409090909090914</v>
      </c>
      <c r="W197" t="str">
        <f t="shared" si="23"/>
        <v>Mar</v>
      </c>
    </row>
    <row r="198" spans="1:23" x14ac:dyDescent="0.25">
      <c r="A198" t="s">
        <v>439</v>
      </c>
      <c r="B198" t="s">
        <v>440</v>
      </c>
      <c r="C198" s="2">
        <v>45951.011111111111</v>
      </c>
      <c r="D198" t="s">
        <v>110</v>
      </c>
      <c r="E198" t="s">
        <v>111</v>
      </c>
      <c r="F198" t="s">
        <v>98</v>
      </c>
      <c r="G198" t="s">
        <v>112</v>
      </c>
      <c r="H198">
        <v>1</v>
      </c>
      <c r="I198" s="3">
        <v>2999</v>
      </c>
      <c r="J198" s="4">
        <v>0.05</v>
      </c>
      <c r="K198" s="3">
        <v>49</v>
      </c>
      <c r="L198" t="s">
        <v>74</v>
      </c>
      <c r="M198" t="s">
        <v>49</v>
      </c>
      <c r="N198" t="s">
        <v>31</v>
      </c>
      <c r="O198" t="s">
        <v>59</v>
      </c>
      <c r="P198" t="s">
        <v>80</v>
      </c>
      <c r="Q198">
        <v>3</v>
      </c>
      <c r="R198" s="3">
        <f t="shared" si="18"/>
        <v>2999</v>
      </c>
      <c r="S198" s="3">
        <f t="shared" si="19"/>
        <v>149.95000000000002</v>
      </c>
      <c r="T198" s="3">
        <f t="shared" si="20"/>
        <v>2898.05</v>
      </c>
      <c r="U198" s="3">
        <f t="shared" si="21"/>
        <v>798.75000000000045</v>
      </c>
      <c r="V198" s="4">
        <f t="shared" si="22"/>
        <v>0.27561636272666118</v>
      </c>
      <c r="W198" t="str">
        <f t="shared" si="23"/>
        <v>Oct</v>
      </c>
    </row>
    <row r="199" spans="1:23" x14ac:dyDescent="0.25">
      <c r="A199" t="s">
        <v>441</v>
      </c>
      <c r="B199" t="s">
        <v>218</v>
      </c>
      <c r="C199" s="2">
        <v>46018.405555555553</v>
      </c>
      <c r="D199" t="s">
        <v>105</v>
      </c>
      <c r="E199" t="s">
        <v>106</v>
      </c>
      <c r="F199" t="s">
        <v>37</v>
      </c>
      <c r="G199" t="s">
        <v>107</v>
      </c>
      <c r="H199">
        <v>2</v>
      </c>
      <c r="I199" s="3">
        <v>1799</v>
      </c>
      <c r="J199" s="4">
        <v>0.2</v>
      </c>
      <c r="K199" s="3">
        <v>59</v>
      </c>
      <c r="L199" t="s">
        <v>57</v>
      </c>
      <c r="M199" t="s">
        <v>58</v>
      </c>
      <c r="N199" t="s">
        <v>102</v>
      </c>
      <c r="O199" t="s">
        <v>41</v>
      </c>
      <c r="P199" t="s">
        <v>33</v>
      </c>
      <c r="Q199">
        <v>2</v>
      </c>
      <c r="R199" s="3">
        <f t="shared" si="18"/>
        <v>3598</v>
      </c>
      <c r="S199" s="3">
        <f t="shared" si="19"/>
        <v>719.6</v>
      </c>
      <c r="T199" s="3">
        <f t="shared" si="20"/>
        <v>2937.4</v>
      </c>
      <c r="U199" s="3">
        <f t="shared" si="21"/>
        <v>418.80000000000018</v>
      </c>
      <c r="V199" s="4">
        <f t="shared" si="22"/>
        <v>0.1425750663852387</v>
      </c>
      <c r="W199" t="str">
        <f t="shared" si="23"/>
        <v>Dec</v>
      </c>
    </row>
    <row r="200" spans="1:23" x14ac:dyDescent="0.25">
      <c r="A200" t="s">
        <v>442</v>
      </c>
      <c r="B200" t="s">
        <v>211</v>
      </c>
      <c r="C200" s="2">
        <v>45968.476388888892</v>
      </c>
      <c r="D200" t="s">
        <v>105</v>
      </c>
      <c r="E200" t="s">
        <v>106</v>
      </c>
      <c r="F200" t="s">
        <v>37</v>
      </c>
      <c r="G200" t="s">
        <v>107</v>
      </c>
      <c r="H200">
        <v>1</v>
      </c>
      <c r="I200" s="3">
        <v>1799</v>
      </c>
      <c r="J200" s="4">
        <v>0.15</v>
      </c>
      <c r="K200" s="3">
        <v>79</v>
      </c>
      <c r="L200" t="s">
        <v>119</v>
      </c>
      <c r="M200" t="s">
        <v>120</v>
      </c>
      <c r="N200" t="s">
        <v>50</v>
      </c>
      <c r="O200" t="s">
        <v>41</v>
      </c>
      <c r="P200" t="s">
        <v>80</v>
      </c>
      <c r="R200" s="3">
        <f t="shared" si="18"/>
        <v>1799</v>
      </c>
      <c r="S200" s="3">
        <f t="shared" si="19"/>
        <v>269.84999999999997</v>
      </c>
      <c r="T200" s="3">
        <f t="shared" si="20"/>
        <v>1608.15</v>
      </c>
      <c r="U200" s="3">
        <f t="shared" si="21"/>
        <v>348.85000000000014</v>
      </c>
      <c r="V200" s="4">
        <f t="shared" si="22"/>
        <v>0.21692628175232417</v>
      </c>
      <c r="W200" t="str">
        <f t="shared" si="23"/>
        <v>Nov</v>
      </c>
    </row>
    <row r="201" spans="1:23" x14ac:dyDescent="0.25">
      <c r="A201" t="s">
        <v>443</v>
      </c>
      <c r="B201" t="s">
        <v>440</v>
      </c>
      <c r="C201" s="2">
        <v>45928.932638888888</v>
      </c>
      <c r="D201" t="s">
        <v>44</v>
      </c>
      <c r="E201" t="s">
        <v>45</v>
      </c>
      <c r="F201" t="s">
        <v>46</v>
      </c>
      <c r="G201" t="s">
        <v>47</v>
      </c>
      <c r="H201">
        <v>2</v>
      </c>
      <c r="I201" s="3">
        <v>1199</v>
      </c>
      <c r="J201" s="4">
        <v>0.15</v>
      </c>
      <c r="K201" s="3">
        <v>0</v>
      </c>
      <c r="L201" t="s">
        <v>29</v>
      </c>
      <c r="M201" t="s">
        <v>30</v>
      </c>
      <c r="N201" t="s">
        <v>253</v>
      </c>
      <c r="O201" t="s">
        <v>32</v>
      </c>
      <c r="P201" t="s">
        <v>33</v>
      </c>
      <c r="Q201">
        <v>2</v>
      </c>
      <c r="R201" s="3">
        <f t="shared" si="18"/>
        <v>2398</v>
      </c>
      <c r="S201" s="3">
        <f t="shared" si="19"/>
        <v>359.7</v>
      </c>
      <c r="T201" s="3">
        <f t="shared" si="20"/>
        <v>2038.3</v>
      </c>
      <c r="U201" s="3">
        <f t="shared" si="21"/>
        <v>359.70000000000005</v>
      </c>
      <c r="V201" s="4">
        <f t="shared" si="22"/>
        <v>0.17647058823529416</v>
      </c>
      <c r="W201" t="str">
        <f t="shared" si="23"/>
        <v>Sep</v>
      </c>
    </row>
    <row r="202" spans="1:23" x14ac:dyDescent="0.25">
      <c r="A202" t="s">
        <v>444</v>
      </c>
      <c r="B202" t="s">
        <v>445</v>
      </c>
      <c r="C202" s="2">
        <v>45825.686111111107</v>
      </c>
      <c r="D202" t="s">
        <v>44</v>
      </c>
      <c r="E202" t="s">
        <v>45</v>
      </c>
      <c r="F202" t="s">
        <v>46</v>
      </c>
      <c r="G202" t="s">
        <v>47</v>
      </c>
      <c r="H202">
        <v>1</v>
      </c>
      <c r="I202" s="3">
        <v>1199</v>
      </c>
      <c r="J202" s="4">
        <v>0.2</v>
      </c>
      <c r="K202" s="3">
        <v>49</v>
      </c>
      <c r="L202" t="s">
        <v>83</v>
      </c>
      <c r="M202" t="s">
        <v>84</v>
      </c>
      <c r="N202" t="s">
        <v>40</v>
      </c>
      <c r="O202" t="s">
        <v>93</v>
      </c>
      <c r="P202" t="s">
        <v>33</v>
      </c>
      <c r="Q202">
        <v>5</v>
      </c>
      <c r="R202" s="3">
        <f t="shared" si="18"/>
        <v>1199</v>
      </c>
      <c r="S202" s="3">
        <f t="shared" si="19"/>
        <v>239.8</v>
      </c>
      <c r="T202" s="3">
        <f t="shared" si="20"/>
        <v>1008.2</v>
      </c>
      <c r="U202" s="3">
        <f t="shared" si="21"/>
        <v>168.90000000000009</v>
      </c>
      <c r="V202" s="4">
        <f t="shared" si="22"/>
        <v>0.16752628446736767</v>
      </c>
      <c r="W202" t="str">
        <f t="shared" si="23"/>
        <v>Jun</v>
      </c>
    </row>
    <row r="203" spans="1:23" x14ac:dyDescent="0.25">
      <c r="A203" t="s">
        <v>446</v>
      </c>
      <c r="B203" t="s">
        <v>198</v>
      </c>
      <c r="C203" s="2">
        <v>45920.561805555553</v>
      </c>
      <c r="D203" t="s">
        <v>90</v>
      </c>
      <c r="E203" t="s">
        <v>91</v>
      </c>
      <c r="F203" t="s">
        <v>37</v>
      </c>
      <c r="G203" t="s">
        <v>92</v>
      </c>
      <c r="H203">
        <v>2</v>
      </c>
      <c r="I203" s="3">
        <v>3499</v>
      </c>
      <c r="J203" s="4"/>
      <c r="K203" s="3">
        <v>99</v>
      </c>
      <c r="L203" t="s">
        <v>39</v>
      </c>
      <c r="M203" t="s">
        <v>39</v>
      </c>
      <c r="N203" t="s">
        <v>71</v>
      </c>
      <c r="O203" t="s">
        <v>93</v>
      </c>
      <c r="P203" t="s">
        <v>85</v>
      </c>
      <c r="Q203">
        <v>4</v>
      </c>
      <c r="R203" s="3">
        <f t="shared" si="18"/>
        <v>6998</v>
      </c>
      <c r="S203" s="3">
        <f t="shared" si="19"/>
        <v>0</v>
      </c>
      <c r="T203" s="3">
        <f t="shared" si="20"/>
        <v>7097</v>
      </c>
      <c r="U203" s="3">
        <f t="shared" si="21"/>
        <v>2198.4000000000005</v>
      </c>
      <c r="V203" s="4">
        <f t="shared" si="22"/>
        <v>0.30976468930534035</v>
      </c>
      <c r="W203" t="str">
        <f t="shared" si="23"/>
        <v>Sep</v>
      </c>
    </row>
    <row r="204" spans="1:23" x14ac:dyDescent="0.25">
      <c r="A204" t="s">
        <v>447</v>
      </c>
      <c r="B204" t="s">
        <v>448</v>
      </c>
      <c r="C204" s="2">
        <v>45954.084722222222</v>
      </c>
      <c r="D204" t="s">
        <v>110</v>
      </c>
      <c r="E204" t="s">
        <v>111</v>
      </c>
      <c r="F204" t="s">
        <v>98</v>
      </c>
      <c r="G204" t="s">
        <v>112</v>
      </c>
      <c r="H204">
        <v>2</v>
      </c>
      <c r="I204" s="3">
        <v>2999</v>
      </c>
      <c r="J204" s="4">
        <v>0.05</v>
      </c>
      <c r="K204" s="3">
        <v>0</v>
      </c>
      <c r="L204" t="s">
        <v>39</v>
      </c>
      <c r="M204" t="s">
        <v>39</v>
      </c>
      <c r="N204" t="s">
        <v>31</v>
      </c>
      <c r="O204" t="s">
        <v>93</v>
      </c>
      <c r="P204" t="s">
        <v>52</v>
      </c>
      <c r="Q204">
        <v>4</v>
      </c>
      <c r="R204" s="3">
        <f t="shared" si="18"/>
        <v>5998</v>
      </c>
      <c r="S204" s="3">
        <f t="shared" si="19"/>
        <v>299.90000000000003</v>
      </c>
      <c r="T204" s="3">
        <f t="shared" si="20"/>
        <v>5698.1</v>
      </c>
      <c r="U204" s="3">
        <f t="shared" si="21"/>
        <v>1499.5000000000009</v>
      </c>
      <c r="V204" s="4">
        <f t="shared" si="22"/>
        <v>0.26315789473684226</v>
      </c>
      <c r="W204" t="str">
        <f t="shared" si="23"/>
        <v>Oct</v>
      </c>
    </row>
    <row r="205" spans="1:23" x14ac:dyDescent="0.25">
      <c r="A205" t="s">
        <v>449</v>
      </c>
      <c r="B205" t="s">
        <v>450</v>
      </c>
      <c r="C205" s="2">
        <v>45727.865277777782</v>
      </c>
      <c r="D205" t="s">
        <v>35</v>
      </c>
      <c r="E205" t="s">
        <v>36</v>
      </c>
      <c r="F205" t="s">
        <v>37</v>
      </c>
      <c r="G205" t="s">
        <v>38</v>
      </c>
      <c r="H205">
        <v>1</v>
      </c>
      <c r="I205" s="3">
        <v>599</v>
      </c>
      <c r="J205" s="4">
        <v>0.1</v>
      </c>
      <c r="K205" s="3">
        <v>59</v>
      </c>
      <c r="L205" t="s">
        <v>48</v>
      </c>
      <c r="M205" t="s">
        <v>49</v>
      </c>
      <c r="N205" t="s">
        <v>40</v>
      </c>
      <c r="O205" t="s">
        <v>59</v>
      </c>
      <c r="P205" t="s">
        <v>80</v>
      </c>
      <c r="Q205">
        <v>4</v>
      </c>
      <c r="R205" s="3">
        <f t="shared" si="18"/>
        <v>599</v>
      </c>
      <c r="S205" s="3">
        <f t="shared" si="19"/>
        <v>59.900000000000006</v>
      </c>
      <c r="T205" s="3">
        <f t="shared" si="20"/>
        <v>598.1</v>
      </c>
      <c r="U205" s="3">
        <f t="shared" si="21"/>
        <v>178.80000000000007</v>
      </c>
      <c r="V205" s="4">
        <f t="shared" si="22"/>
        <v>0.29894666443738516</v>
      </c>
      <c r="W205" t="str">
        <f t="shared" si="23"/>
        <v>Mar</v>
      </c>
    </row>
    <row r="206" spans="1:23" x14ac:dyDescent="0.25">
      <c r="A206" t="s">
        <v>451</v>
      </c>
      <c r="B206" t="s">
        <v>452</v>
      </c>
      <c r="C206" s="2">
        <v>45836.132638888892</v>
      </c>
      <c r="D206" t="s">
        <v>55</v>
      </c>
      <c r="E206" t="s">
        <v>56</v>
      </c>
      <c r="F206" t="s">
        <v>37</v>
      </c>
      <c r="G206" t="s">
        <v>38</v>
      </c>
      <c r="I206" s="3">
        <v>2499</v>
      </c>
      <c r="J206" s="4">
        <v>0.1</v>
      </c>
      <c r="K206" s="3">
        <v>99</v>
      </c>
      <c r="L206" t="s">
        <v>83</v>
      </c>
      <c r="M206" t="s">
        <v>84</v>
      </c>
      <c r="N206" t="s">
        <v>50</v>
      </c>
      <c r="O206" t="s">
        <v>93</v>
      </c>
      <c r="P206" t="s">
        <v>85</v>
      </c>
      <c r="R206" s="3">
        <f t="shared" si="18"/>
        <v>0</v>
      </c>
      <c r="S206" s="3">
        <f t="shared" si="19"/>
        <v>0</v>
      </c>
      <c r="T206" s="3">
        <f t="shared" si="20"/>
        <v>99</v>
      </c>
      <c r="U206" s="3">
        <f t="shared" si="21"/>
        <v>99</v>
      </c>
      <c r="V206" s="4">
        <f t="shared" si="22"/>
        <v>1</v>
      </c>
      <c r="W206" t="str">
        <f t="shared" si="23"/>
        <v>Jun</v>
      </c>
    </row>
    <row r="207" spans="1:23" x14ac:dyDescent="0.25">
      <c r="A207" t="s">
        <v>453</v>
      </c>
      <c r="B207" t="s">
        <v>454</v>
      </c>
      <c r="C207" s="2">
        <v>45936.56527777778</v>
      </c>
      <c r="D207" t="s">
        <v>35</v>
      </c>
      <c r="E207" t="s">
        <v>36</v>
      </c>
      <c r="F207" t="s">
        <v>37</v>
      </c>
      <c r="G207" t="s">
        <v>38</v>
      </c>
      <c r="H207">
        <v>2</v>
      </c>
      <c r="I207" s="3">
        <v>599</v>
      </c>
      <c r="J207" s="4">
        <v>0</v>
      </c>
      <c r="K207" s="3">
        <v>49</v>
      </c>
      <c r="L207" t="s">
        <v>48</v>
      </c>
      <c r="M207" t="s">
        <v>49</v>
      </c>
      <c r="N207" t="s">
        <v>71</v>
      </c>
      <c r="O207" t="s">
        <v>41</v>
      </c>
      <c r="P207" t="s">
        <v>52</v>
      </c>
      <c r="Q207">
        <v>3</v>
      </c>
      <c r="R207" s="3">
        <f t="shared" si="18"/>
        <v>1198</v>
      </c>
      <c r="S207" s="3">
        <f t="shared" si="19"/>
        <v>0</v>
      </c>
      <c r="T207" s="3">
        <f t="shared" si="20"/>
        <v>1247</v>
      </c>
      <c r="U207" s="3">
        <f t="shared" si="21"/>
        <v>408.40000000000009</v>
      </c>
      <c r="V207" s="4">
        <f t="shared" si="22"/>
        <v>0.32750601443464322</v>
      </c>
      <c r="W207" t="str">
        <f t="shared" si="23"/>
        <v>Oct</v>
      </c>
    </row>
    <row r="208" spans="1:23" x14ac:dyDescent="0.25">
      <c r="A208" t="s">
        <v>455</v>
      </c>
      <c r="B208" t="s">
        <v>138</v>
      </c>
      <c r="C208" s="2">
        <v>45996.568749999999</v>
      </c>
      <c r="D208" t="s">
        <v>67</v>
      </c>
      <c r="E208" t="s">
        <v>68</v>
      </c>
      <c r="F208" t="s">
        <v>37</v>
      </c>
      <c r="G208" t="s">
        <v>38</v>
      </c>
      <c r="H208">
        <v>1</v>
      </c>
      <c r="I208" s="3">
        <v>1299</v>
      </c>
      <c r="J208" s="4">
        <v>0</v>
      </c>
      <c r="K208" s="3">
        <v>49</v>
      </c>
      <c r="L208" t="s">
        <v>29</v>
      </c>
      <c r="M208" t="s">
        <v>30</v>
      </c>
      <c r="N208" t="s">
        <v>31</v>
      </c>
      <c r="O208" t="s">
        <v>32</v>
      </c>
      <c r="P208" t="s">
        <v>33</v>
      </c>
      <c r="Q208">
        <v>1</v>
      </c>
      <c r="R208" s="3">
        <f t="shared" si="18"/>
        <v>1299</v>
      </c>
      <c r="S208" s="3">
        <f t="shared" si="19"/>
        <v>0</v>
      </c>
      <c r="T208" s="3">
        <f t="shared" si="20"/>
        <v>1348</v>
      </c>
      <c r="U208" s="3">
        <f t="shared" si="21"/>
        <v>438.70000000000005</v>
      </c>
      <c r="V208" s="4">
        <f t="shared" si="22"/>
        <v>0.32544510385756681</v>
      </c>
      <c r="W208" t="str">
        <f t="shared" si="23"/>
        <v>Dec</v>
      </c>
    </row>
    <row r="209" spans="1:23" x14ac:dyDescent="0.25">
      <c r="A209" t="s">
        <v>456</v>
      </c>
      <c r="B209" t="s">
        <v>457</v>
      </c>
      <c r="C209" s="2">
        <v>45682.324305555558</v>
      </c>
      <c r="D209" t="s">
        <v>90</v>
      </c>
      <c r="E209" t="s">
        <v>91</v>
      </c>
      <c r="F209" t="s">
        <v>37</v>
      </c>
      <c r="G209" t="s">
        <v>92</v>
      </c>
      <c r="H209">
        <v>2</v>
      </c>
      <c r="I209" s="3">
        <v>3499</v>
      </c>
      <c r="J209" s="4">
        <v>0.1</v>
      </c>
      <c r="K209" s="3">
        <v>79</v>
      </c>
      <c r="L209" t="s">
        <v>125</v>
      </c>
      <c r="M209" t="s">
        <v>126</v>
      </c>
      <c r="N209" t="s">
        <v>102</v>
      </c>
      <c r="O209" t="s">
        <v>458</v>
      </c>
      <c r="P209" t="s">
        <v>33</v>
      </c>
      <c r="R209" s="3">
        <f t="shared" si="18"/>
        <v>6998</v>
      </c>
      <c r="S209" s="3">
        <f t="shared" si="19"/>
        <v>699.80000000000007</v>
      </c>
      <c r="T209" s="3">
        <f t="shared" si="20"/>
        <v>6377.2</v>
      </c>
      <c r="U209" s="3">
        <f t="shared" si="21"/>
        <v>1478.6000000000004</v>
      </c>
      <c r="V209" s="4">
        <f t="shared" si="22"/>
        <v>0.23185724142256797</v>
      </c>
      <c r="W209" t="str">
        <f t="shared" si="23"/>
        <v>Jan</v>
      </c>
    </row>
    <row r="210" spans="1:23" x14ac:dyDescent="0.25">
      <c r="A210" t="s">
        <v>459</v>
      </c>
      <c r="B210" t="s">
        <v>243</v>
      </c>
      <c r="C210" s="2">
        <v>45806.327777777777</v>
      </c>
      <c r="D210" t="s">
        <v>35</v>
      </c>
      <c r="E210" t="s">
        <v>36</v>
      </c>
      <c r="F210" t="s">
        <v>37</v>
      </c>
      <c r="G210" t="s">
        <v>38</v>
      </c>
      <c r="H210">
        <v>2</v>
      </c>
      <c r="I210" s="3">
        <v>599</v>
      </c>
      <c r="J210" s="4">
        <v>0.15</v>
      </c>
      <c r="K210" s="3">
        <v>59</v>
      </c>
      <c r="L210" t="s">
        <v>100</v>
      </c>
      <c r="M210" t="s">
        <v>101</v>
      </c>
      <c r="N210" t="s">
        <v>102</v>
      </c>
      <c r="O210" t="s">
        <v>51</v>
      </c>
      <c r="P210" t="s">
        <v>80</v>
      </c>
      <c r="Q210">
        <v>2</v>
      </c>
      <c r="R210" s="3">
        <f t="shared" si="18"/>
        <v>1198</v>
      </c>
      <c r="S210" s="3">
        <f t="shared" si="19"/>
        <v>179.7</v>
      </c>
      <c r="T210" s="3">
        <f t="shared" si="20"/>
        <v>1077.3</v>
      </c>
      <c r="U210" s="3">
        <f t="shared" si="21"/>
        <v>238.70000000000005</v>
      </c>
      <c r="V210" s="4">
        <f t="shared" si="22"/>
        <v>0.22157244964262512</v>
      </c>
      <c r="W210" t="str">
        <f t="shared" si="23"/>
        <v>May</v>
      </c>
    </row>
    <row r="211" spans="1:23" x14ac:dyDescent="0.25">
      <c r="A211" t="s">
        <v>460</v>
      </c>
      <c r="B211" t="s">
        <v>340</v>
      </c>
      <c r="C211" s="2">
        <v>45924.30972222222</v>
      </c>
      <c r="D211" t="s">
        <v>110</v>
      </c>
      <c r="E211" t="s">
        <v>111</v>
      </c>
      <c r="F211" t="s">
        <v>98</v>
      </c>
      <c r="G211" t="s">
        <v>112</v>
      </c>
      <c r="H211">
        <v>5</v>
      </c>
      <c r="I211" s="3">
        <v>2999</v>
      </c>
      <c r="J211" s="4">
        <v>0.05</v>
      </c>
      <c r="K211" s="3">
        <v>0</v>
      </c>
      <c r="L211" t="s">
        <v>100</v>
      </c>
      <c r="M211" t="s">
        <v>101</v>
      </c>
      <c r="N211" t="s">
        <v>102</v>
      </c>
      <c r="O211" t="s">
        <v>41</v>
      </c>
      <c r="P211" t="s">
        <v>33</v>
      </c>
      <c r="R211" s="3">
        <f t="shared" si="18"/>
        <v>14995</v>
      </c>
      <c r="S211" s="3">
        <f t="shared" si="19"/>
        <v>749.75</v>
      </c>
      <c r="T211" s="3">
        <f t="shared" si="20"/>
        <v>14245.25</v>
      </c>
      <c r="U211" s="3">
        <f t="shared" si="21"/>
        <v>3748.75</v>
      </c>
      <c r="V211" s="4">
        <f t="shared" si="22"/>
        <v>0.26315789473684209</v>
      </c>
      <c r="W211" t="str">
        <f t="shared" si="23"/>
        <v>Sep</v>
      </c>
    </row>
    <row r="212" spans="1:23" x14ac:dyDescent="0.25">
      <c r="A212" t="s">
        <v>461</v>
      </c>
      <c r="B212" t="s">
        <v>385</v>
      </c>
      <c r="C212" s="2">
        <v>45682.486805555563</v>
      </c>
      <c r="D212" t="s">
        <v>25</v>
      </c>
      <c r="E212" t="s">
        <v>26</v>
      </c>
      <c r="F212" t="s">
        <v>27</v>
      </c>
      <c r="G212" t="s">
        <v>28</v>
      </c>
      <c r="H212">
        <v>2</v>
      </c>
      <c r="I212" s="3">
        <v>249</v>
      </c>
      <c r="J212" s="4">
        <v>0.1</v>
      </c>
      <c r="K212" s="3">
        <v>99</v>
      </c>
      <c r="L212" t="s">
        <v>57</v>
      </c>
      <c r="M212" t="s">
        <v>58</v>
      </c>
      <c r="N212" t="s">
        <v>40</v>
      </c>
      <c r="O212" t="s">
        <v>59</v>
      </c>
      <c r="P212" t="s">
        <v>80</v>
      </c>
      <c r="Q212">
        <v>2</v>
      </c>
      <c r="R212" s="3">
        <f t="shared" si="18"/>
        <v>498</v>
      </c>
      <c r="S212" s="3">
        <f t="shared" si="19"/>
        <v>49.800000000000004</v>
      </c>
      <c r="T212" s="3">
        <f t="shared" si="20"/>
        <v>547.20000000000005</v>
      </c>
      <c r="U212" s="3">
        <f t="shared" si="21"/>
        <v>198.60000000000008</v>
      </c>
      <c r="V212" s="4">
        <f t="shared" si="22"/>
        <v>0.36293859649122817</v>
      </c>
      <c r="W212" t="str">
        <f t="shared" si="23"/>
        <v>Jan</v>
      </c>
    </row>
    <row r="213" spans="1:23" x14ac:dyDescent="0.25">
      <c r="A213" t="s">
        <v>462</v>
      </c>
      <c r="B213" t="s">
        <v>283</v>
      </c>
      <c r="C213" s="2">
        <v>45933.635416666657</v>
      </c>
      <c r="D213" t="s">
        <v>110</v>
      </c>
      <c r="E213" t="s">
        <v>111</v>
      </c>
      <c r="F213" t="s">
        <v>98</v>
      </c>
      <c r="G213" t="s">
        <v>112</v>
      </c>
      <c r="H213">
        <v>1</v>
      </c>
      <c r="I213" s="3">
        <v>2999</v>
      </c>
      <c r="J213" s="4">
        <v>0.05</v>
      </c>
      <c r="K213" s="3">
        <v>49</v>
      </c>
      <c r="L213" t="s">
        <v>57</v>
      </c>
      <c r="M213" t="s">
        <v>58</v>
      </c>
      <c r="N213" t="s">
        <v>31</v>
      </c>
      <c r="O213" t="s">
        <v>32</v>
      </c>
      <c r="P213" t="s">
        <v>33</v>
      </c>
      <c r="Q213">
        <v>4</v>
      </c>
      <c r="R213" s="3">
        <f t="shared" si="18"/>
        <v>2999</v>
      </c>
      <c r="S213" s="3">
        <f t="shared" si="19"/>
        <v>149.95000000000002</v>
      </c>
      <c r="T213" s="3">
        <f t="shared" si="20"/>
        <v>2898.05</v>
      </c>
      <c r="U213" s="3">
        <f t="shared" si="21"/>
        <v>798.75000000000045</v>
      </c>
      <c r="V213" s="4">
        <f t="shared" si="22"/>
        <v>0.27561636272666118</v>
      </c>
      <c r="W213" t="str">
        <f t="shared" si="23"/>
        <v>Oct</v>
      </c>
    </row>
    <row r="214" spans="1:23" x14ac:dyDescent="0.25">
      <c r="A214" t="s">
        <v>463</v>
      </c>
      <c r="B214" t="s">
        <v>464</v>
      </c>
      <c r="C214" s="2">
        <v>45856.302777777782</v>
      </c>
      <c r="D214" t="s">
        <v>96</v>
      </c>
      <c r="E214" t="s">
        <v>97</v>
      </c>
      <c r="F214" t="s">
        <v>98</v>
      </c>
      <c r="G214" t="s">
        <v>99</v>
      </c>
      <c r="H214">
        <v>2</v>
      </c>
      <c r="I214" s="3">
        <v>1499</v>
      </c>
      <c r="J214" s="4">
        <v>0.05</v>
      </c>
      <c r="K214" s="3">
        <v>0</v>
      </c>
      <c r="L214" t="s">
        <v>83</v>
      </c>
      <c r="M214" t="s">
        <v>84</v>
      </c>
      <c r="N214" t="s">
        <v>71</v>
      </c>
      <c r="O214" t="s">
        <v>93</v>
      </c>
      <c r="P214" t="s">
        <v>33</v>
      </c>
      <c r="Q214">
        <v>5</v>
      </c>
      <c r="R214" s="3">
        <f t="shared" si="18"/>
        <v>2998</v>
      </c>
      <c r="S214" s="3">
        <f t="shared" si="19"/>
        <v>149.9</v>
      </c>
      <c r="T214" s="3">
        <f t="shared" si="20"/>
        <v>2848.1</v>
      </c>
      <c r="U214" s="3">
        <f t="shared" si="21"/>
        <v>749.5</v>
      </c>
      <c r="V214" s="4">
        <f t="shared" si="22"/>
        <v>0.26315789473684209</v>
      </c>
      <c r="W214" t="str">
        <f t="shared" si="23"/>
        <v>Jul</v>
      </c>
    </row>
    <row r="215" spans="1:23" x14ac:dyDescent="0.25">
      <c r="A215" t="s">
        <v>465</v>
      </c>
      <c r="B215" t="s">
        <v>466</v>
      </c>
      <c r="C215" s="2">
        <v>45851.901388888888</v>
      </c>
      <c r="D215" t="s">
        <v>77</v>
      </c>
      <c r="E215" t="s">
        <v>78</v>
      </c>
      <c r="F215" t="s">
        <v>79</v>
      </c>
      <c r="G215" t="s">
        <v>28</v>
      </c>
      <c r="H215">
        <v>1</v>
      </c>
      <c r="I215" s="3">
        <v>6499</v>
      </c>
      <c r="J215" s="4">
        <v>0</v>
      </c>
      <c r="K215" s="3">
        <v>0</v>
      </c>
      <c r="L215" t="s">
        <v>113</v>
      </c>
      <c r="M215" t="s">
        <v>114</v>
      </c>
      <c r="N215" t="s">
        <v>102</v>
      </c>
      <c r="O215" t="s">
        <v>32</v>
      </c>
      <c r="P215" t="s">
        <v>85</v>
      </c>
      <c r="Q215">
        <v>2</v>
      </c>
      <c r="R215" s="3">
        <f t="shared" si="18"/>
        <v>6499</v>
      </c>
      <c r="S215" s="3">
        <f t="shared" si="19"/>
        <v>0</v>
      </c>
      <c r="T215" s="3">
        <f t="shared" si="20"/>
        <v>6499</v>
      </c>
      <c r="U215" s="3">
        <f t="shared" si="21"/>
        <v>1949.7000000000007</v>
      </c>
      <c r="V215" s="4">
        <f t="shared" si="22"/>
        <v>0.3000000000000001</v>
      </c>
      <c r="W215" t="str">
        <f t="shared" si="23"/>
        <v>Jul</v>
      </c>
    </row>
    <row r="216" spans="1:23" x14ac:dyDescent="0.25">
      <c r="A216" t="s">
        <v>467</v>
      </c>
      <c r="B216" t="s">
        <v>411</v>
      </c>
      <c r="C216" s="2">
        <v>45828.415277777778</v>
      </c>
      <c r="D216" t="s">
        <v>90</v>
      </c>
      <c r="E216" t="s">
        <v>91</v>
      </c>
      <c r="F216" t="s">
        <v>37</v>
      </c>
      <c r="G216" t="s">
        <v>92</v>
      </c>
      <c r="H216">
        <v>3</v>
      </c>
      <c r="I216" s="3">
        <v>3499</v>
      </c>
      <c r="J216" s="4">
        <v>0</v>
      </c>
      <c r="K216" s="3">
        <v>49</v>
      </c>
      <c r="L216" t="s">
        <v>113</v>
      </c>
      <c r="M216" t="s">
        <v>114</v>
      </c>
      <c r="N216" t="s">
        <v>40</v>
      </c>
      <c r="O216" t="s">
        <v>41</v>
      </c>
      <c r="P216" t="s">
        <v>33</v>
      </c>
      <c r="R216" s="3">
        <f t="shared" si="18"/>
        <v>10497</v>
      </c>
      <c r="S216" s="3">
        <f t="shared" si="19"/>
        <v>0</v>
      </c>
      <c r="T216" s="3">
        <f t="shared" si="20"/>
        <v>10546</v>
      </c>
      <c r="U216" s="3">
        <f t="shared" si="21"/>
        <v>3198.1000000000004</v>
      </c>
      <c r="V216" s="4">
        <f t="shared" si="22"/>
        <v>0.30325241797838048</v>
      </c>
      <c r="W216" t="str">
        <f t="shared" si="23"/>
        <v>Jun</v>
      </c>
    </row>
    <row r="217" spans="1:23" x14ac:dyDescent="0.25">
      <c r="A217" t="s">
        <v>468</v>
      </c>
      <c r="B217" t="s">
        <v>224</v>
      </c>
      <c r="C217" s="2">
        <v>45780.722222222219</v>
      </c>
      <c r="D217" t="s">
        <v>44</v>
      </c>
      <c r="E217" t="s">
        <v>45</v>
      </c>
      <c r="F217" t="s">
        <v>46</v>
      </c>
      <c r="G217" t="s">
        <v>47</v>
      </c>
      <c r="H217">
        <v>1</v>
      </c>
      <c r="I217" s="3">
        <v>1199</v>
      </c>
      <c r="J217" s="4">
        <v>0.1</v>
      </c>
      <c r="K217" s="3">
        <v>79</v>
      </c>
      <c r="L217" t="s">
        <v>113</v>
      </c>
      <c r="M217" t="s">
        <v>114</v>
      </c>
      <c r="N217" t="s">
        <v>71</v>
      </c>
      <c r="O217" t="s">
        <v>51</v>
      </c>
      <c r="P217" t="s">
        <v>33</v>
      </c>
      <c r="Q217">
        <v>3</v>
      </c>
      <c r="R217" s="3">
        <f t="shared" si="18"/>
        <v>1199</v>
      </c>
      <c r="S217" s="3">
        <f t="shared" si="19"/>
        <v>119.9</v>
      </c>
      <c r="T217" s="3">
        <f t="shared" si="20"/>
        <v>1158.0999999999999</v>
      </c>
      <c r="U217" s="3">
        <f t="shared" si="21"/>
        <v>318.79999999999995</v>
      </c>
      <c r="V217" s="4">
        <f t="shared" si="22"/>
        <v>0.27527847336154043</v>
      </c>
      <c r="W217" t="str">
        <f t="shared" si="23"/>
        <v>May</v>
      </c>
    </row>
    <row r="218" spans="1:23" x14ac:dyDescent="0.25">
      <c r="A218" t="s">
        <v>469</v>
      </c>
      <c r="B218" t="s">
        <v>470</v>
      </c>
      <c r="C218" s="2">
        <v>45896.160416666673</v>
      </c>
      <c r="D218" t="s">
        <v>169</v>
      </c>
      <c r="E218" t="s">
        <v>170</v>
      </c>
      <c r="F218" t="s">
        <v>98</v>
      </c>
      <c r="G218" t="s">
        <v>171</v>
      </c>
      <c r="H218">
        <v>3</v>
      </c>
      <c r="I218" s="3">
        <v>799</v>
      </c>
      <c r="J218" s="4">
        <v>0.1</v>
      </c>
      <c r="K218" s="3">
        <v>59</v>
      </c>
      <c r="L218" t="s">
        <v>83</v>
      </c>
      <c r="M218" t="s">
        <v>84</v>
      </c>
      <c r="N218" t="s">
        <v>71</v>
      </c>
      <c r="O218" t="s">
        <v>51</v>
      </c>
      <c r="P218" t="s">
        <v>80</v>
      </c>
      <c r="Q218">
        <v>4</v>
      </c>
      <c r="R218" s="3">
        <f t="shared" si="18"/>
        <v>2397</v>
      </c>
      <c r="S218" s="3">
        <f t="shared" si="19"/>
        <v>239.70000000000002</v>
      </c>
      <c r="T218" s="3">
        <f t="shared" si="20"/>
        <v>2216.3000000000002</v>
      </c>
      <c r="U218" s="3">
        <f t="shared" si="21"/>
        <v>538.40000000000032</v>
      </c>
      <c r="V218" s="4">
        <f t="shared" si="22"/>
        <v>0.24292740152506442</v>
      </c>
      <c r="W218" t="str">
        <f t="shared" si="23"/>
        <v>Aug</v>
      </c>
    </row>
    <row r="219" spans="1:23" x14ac:dyDescent="0.25">
      <c r="A219" t="s">
        <v>471</v>
      </c>
      <c r="B219" t="s">
        <v>230</v>
      </c>
      <c r="C219" s="2">
        <v>45732.011111111111</v>
      </c>
      <c r="D219" t="s">
        <v>35</v>
      </c>
      <c r="E219" t="s">
        <v>36</v>
      </c>
      <c r="F219" t="s">
        <v>37</v>
      </c>
      <c r="G219" t="s">
        <v>38</v>
      </c>
      <c r="H219">
        <v>3</v>
      </c>
      <c r="I219" s="3">
        <v>599</v>
      </c>
      <c r="J219" s="4">
        <v>0.15</v>
      </c>
      <c r="K219" s="3">
        <v>99</v>
      </c>
      <c r="L219" t="s">
        <v>125</v>
      </c>
      <c r="M219" t="s">
        <v>126</v>
      </c>
      <c r="N219" t="s">
        <v>71</v>
      </c>
      <c r="O219" t="s">
        <v>41</v>
      </c>
      <c r="P219" t="s">
        <v>85</v>
      </c>
      <c r="Q219">
        <v>2</v>
      </c>
      <c r="R219" s="3">
        <f t="shared" si="18"/>
        <v>1797</v>
      </c>
      <c r="S219" s="3">
        <f t="shared" si="19"/>
        <v>269.55</v>
      </c>
      <c r="T219" s="3">
        <f t="shared" si="20"/>
        <v>1626.45</v>
      </c>
      <c r="U219" s="3">
        <f t="shared" si="21"/>
        <v>368.55000000000018</v>
      </c>
      <c r="V219" s="4">
        <f t="shared" si="22"/>
        <v>0.22659780503550689</v>
      </c>
      <c r="W219" t="str">
        <f t="shared" si="23"/>
        <v>Mar</v>
      </c>
    </row>
    <row r="220" spans="1:23" x14ac:dyDescent="0.25">
      <c r="A220" t="s">
        <v>472</v>
      </c>
      <c r="B220" t="s">
        <v>360</v>
      </c>
      <c r="C220" s="2">
        <v>45783.649305555547</v>
      </c>
      <c r="D220" t="s">
        <v>169</v>
      </c>
      <c r="E220" t="s">
        <v>170</v>
      </c>
      <c r="F220" t="s">
        <v>98</v>
      </c>
      <c r="G220" t="s">
        <v>171</v>
      </c>
      <c r="H220">
        <v>1</v>
      </c>
      <c r="I220" s="3">
        <v>799</v>
      </c>
      <c r="J220" s="4">
        <v>0.2</v>
      </c>
      <c r="K220" s="3">
        <v>59</v>
      </c>
      <c r="L220" t="s">
        <v>113</v>
      </c>
      <c r="M220" t="s">
        <v>114</v>
      </c>
      <c r="N220" t="s">
        <v>40</v>
      </c>
      <c r="O220" t="s">
        <v>59</v>
      </c>
      <c r="P220" t="s">
        <v>80</v>
      </c>
      <c r="Q220">
        <v>4</v>
      </c>
      <c r="R220" s="3">
        <f t="shared" si="18"/>
        <v>799</v>
      </c>
      <c r="S220" s="3">
        <f t="shared" si="19"/>
        <v>159.80000000000001</v>
      </c>
      <c r="T220" s="3">
        <f t="shared" si="20"/>
        <v>698.2</v>
      </c>
      <c r="U220" s="3">
        <f t="shared" si="21"/>
        <v>138.90000000000009</v>
      </c>
      <c r="V220" s="4">
        <f t="shared" si="22"/>
        <v>0.198940131767402</v>
      </c>
      <c r="W220" t="str">
        <f t="shared" si="23"/>
        <v>May</v>
      </c>
    </row>
    <row r="221" spans="1:23" x14ac:dyDescent="0.25">
      <c r="A221" t="s">
        <v>473</v>
      </c>
      <c r="B221" t="s">
        <v>364</v>
      </c>
      <c r="C221" s="2">
        <v>45937.632638888892</v>
      </c>
      <c r="D221" t="s">
        <v>105</v>
      </c>
      <c r="E221" t="s">
        <v>106</v>
      </c>
      <c r="F221" t="s">
        <v>37</v>
      </c>
      <c r="G221" t="s">
        <v>107</v>
      </c>
      <c r="H221">
        <v>1</v>
      </c>
      <c r="I221" s="3">
        <v>1799</v>
      </c>
      <c r="J221" s="4">
        <v>0.2</v>
      </c>
      <c r="K221" s="3">
        <v>0</v>
      </c>
      <c r="L221" t="s">
        <v>74</v>
      </c>
      <c r="M221" t="s">
        <v>49</v>
      </c>
      <c r="N221" t="s">
        <v>31</v>
      </c>
      <c r="O221" t="s">
        <v>93</v>
      </c>
      <c r="P221" t="s">
        <v>85</v>
      </c>
      <c r="R221" s="3">
        <f t="shared" si="18"/>
        <v>1799</v>
      </c>
      <c r="S221" s="3">
        <f t="shared" si="19"/>
        <v>359.8</v>
      </c>
      <c r="T221" s="3">
        <f t="shared" si="20"/>
        <v>1439.2</v>
      </c>
      <c r="U221" s="3">
        <f t="shared" si="21"/>
        <v>179.90000000000009</v>
      </c>
      <c r="V221" s="4">
        <f t="shared" si="22"/>
        <v>0.12500000000000006</v>
      </c>
      <c r="W221" t="str">
        <f t="shared" si="23"/>
        <v>Oct</v>
      </c>
    </row>
    <row r="222" spans="1:23" x14ac:dyDescent="0.25">
      <c r="A222" t="s">
        <v>474</v>
      </c>
      <c r="B222" t="s">
        <v>475</v>
      </c>
      <c r="C222" s="2">
        <v>45869.203472222223</v>
      </c>
      <c r="D222" t="s">
        <v>25</v>
      </c>
      <c r="E222" t="s">
        <v>26</v>
      </c>
      <c r="F222" t="s">
        <v>27</v>
      </c>
      <c r="G222" t="s">
        <v>28</v>
      </c>
      <c r="H222">
        <v>3</v>
      </c>
      <c r="I222" s="3">
        <v>249</v>
      </c>
      <c r="J222" s="4">
        <v>0</v>
      </c>
      <c r="K222" s="3">
        <v>0</v>
      </c>
      <c r="L222" t="s">
        <v>39</v>
      </c>
      <c r="M222" t="s">
        <v>39</v>
      </c>
      <c r="N222" t="s">
        <v>31</v>
      </c>
      <c r="O222" t="s">
        <v>41</v>
      </c>
      <c r="P222" t="s">
        <v>80</v>
      </c>
      <c r="Q222">
        <v>5</v>
      </c>
      <c r="R222" s="3">
        <f t="shared" si="18"/>
        <v>747</v>
      </c>
      <c r="S222" s="3">
        <f t="shared" si="19"/>
        <v>0</v>
      </c>
      <c r="T222" s="3">
        <f t="shared" si="20"/>
        <v>747</v>
      </c>
      <c r="U222" s="3">
        <f t="shared" si="21"/>
        <v>224.10000000000002</v>
      </c>
      <c r="V222" s="4">
        <f t="shared" si="22"/>
        <v>0.30000000000000004</v>
      </c>
      <c r="W222" t="str">
        <f t="shared" si="23"/>
        <v>Jul</v>
      </c>
    </row>
    <row r="223" spans="1:23" x14ac:dyDescent="0.25">
      <c r="A223" t="s">
        <v>476</v>
      </c>
      <c r="B223" t="s">
        <v>477</v>
      </c>
      <c r="C223" s="2">
        <v>45984.915972222218</v>
      </c>
      <c r="D223" t="s">
        <v>90</v>
      </c>
      <c r="E223" t="s">
        <v>91</v>
      </c>
      <c r="F223" t="s">
        <v>37</v>
      </c>
      <c r="G223" t="s">
        <v>92</v>
      </c>
      <c r="H223">
        <v>1</v>
      </c>
      <c r="I223" s="3">
        <v>3499</v>
      </c>
      <c r="J223" s="4">
        <v>0.1</v>
      </c>
      <c r="K223" s="3">
        <v>79</v>
      </c>
      <c r="L223" t="s">
        <v>74</v>
      </c>
      <c r="M223" t="s">
        <v>49</v>
      </c>
      <c r="N223" t="s">
        <v>31</v>
      </c>
      <c r="O223" t="s">
        <v>32</v>
      </c>
      <c r="P223" t="s">
        <v>85</v>
      </c>
      <c r="Q223">
        <v>5</v>
      </c>
      <c r="R223" s="3">
        <f t="shared" si="18"/>
        <v>3499</v>
      </c>
      <c r="S223" s="3">
        <f t="shared" si="19"/>
        <v>349.90000000000003</v>
      </c>
      <c r="T223" s="3">
        <f t="shared" si="20"/>
        <v>3228.1</v>
      </c>
      <c r="U223" s="3">
        <f t="shared" si="21"/>
        <v>778.80000000000018</v>
      </c>
      <c r="V223" s="4">
        <f t="shared" si="22"/>
        <v>0.24125646665221034</v>
      </c>
      <c r="W223" t="str">
        <f t="shared" si="23"/>
        <v>Nov</v>
      </c>
    </row>
    <row r="224" spans="1:23" x14ac:dyDescent="0.25">
      <c r="A224" t="s">
        <v>478</v>
      </c>
      <c r="B224" t="s">
        <v>479</v>
      </c>
      <c r="C224" s="2">
        <v>45798.720833333333</v>
      </c>
      <c r="D224" t="s">
        <v>96</v>
      </c>
      <c r="E224" t="s">
        <v>97</v>
      </c>
      <c r="F224" t="s">
        <v>98</v>
      </c>
      <c r="G224" t="s">
        <v>99</v>
      </c>
      <c r="H224">
        <v>1</v>
      </c>
      <c r="I224" s="3">
        <v>1499</v>
      </c>
      <c r="J224" s="4">
        <v>0.15</v>
      </c>
      <c r="K224" s="3">
        <v>79</v>
      </c>
      <c r="L224" t="s">
        <v>39</v>
      </c>
      <c r="M224" t="s">
        <v>39</v>
      </c>
      <c r="N224" t="s">
        <v>31</v>
      </c>
      <c r="O224" t="s">
        <v>93</v>
      </c>
      <c r="P224" t="s">
        <v>33</v>
      </c>
      <c r="Q224">
        <v>5</v>
      </c>
      <c r="R224" s="3">
        <f t="shared" si="18"/>
        <v>1499</v>
      </c>
      <c r="S224" s="3">
        <f t="shared" si="19"/>
        <v>224.85</v>
      </c>
      <c r="T224" s="3">
        <f t="shared" si="20"/>
        <v>1353.15</v>
      </c>
      <c r="U224" s="3">
        <f t="shared" si="21"/>
        <v>303.85000000000014</v>
      </c>
      <c r="V224" s="4">
        <f t="shared" si="22"/>
        <v>0.22455012378524192</v>
      </c>
      <c r="W224" t="str">
        <f t="shared" si="23"/>
        <v>May</v>
      </c>
    </row>
    <row r="225" spans="1:23" x14ac:dyDescent="0.25">
      <c r="A225" t="s">
        <v>480</v>
      </c>
      <c r="B225" t="s">
        <v>376</v>
      </c>
      <c r="C225" s="2">
        <v>45927.369444444441</v>
      </c>
      <c r="D225" t="s">
        <v>105</v>
      </c>
      <c r="E225" t="s">
        <v>106</v>
      </c>
      <c r="F225" t="s">
        <v>37</v>
      </c>
      <c r="G225" t="s">
        <v>107</v>
      </c>
      <c r="H225">
        <v>1</v>
      </c>
      <c r="I225" s="3">
        <v>1799</v>
      </c>
      <c r="J225" s="4">
        <v>0.05</v>
      </c>
      <c r="K225" s="3">
        <v>79</v>
      </c>
      <c r="L225" t="s">
        <v>113</v>
      </c>
      <c r="M225" t="s">
        <v>114</v>
      </c>
      <c r="N225" t="s">
        <v>71</v>
      </c>
      <c r="O225" t="s">
        <v>59</v>
      </c>
      <c r="P225" t="s">
        <v>33</v>
      </c>
      <c r="Q225">
        <v>4</v>
      </c>
      <c r="R225" s="3">
        <f t="shared" si="18"/>
        <v>1799</v>
      </c>
      <c r="S225" s="3">
        <f t="shared" si="19"/>
        <v>89.95</v>
      </c>
      <c r="T225" s="3">
        <f t="shared" si="20"/>
        <v>1788.05</v>
      </c>
      <c r="U225" s="3">
        <f t="shared" si="21"/>
        <v>528.75</v>
      </c>
      <c r="V225" s="4">
        <f t="shared" si="22"/>
        <v>0.29571320712508042</v>
      </c>
      <c r="W225" t="str">
        <f t="shared" si="23"/>
        <v>Sep</v>
      </c>
    </row>
    <row r="226" spans="1:23" x14ac:dyDescent="0.25">
      <c r="A226" t="s">
        <v>481</v>
      </c>
      <c r="B226" t="s">
        <v>177</v>
      </c>
      <c r="C226" s="2">
        <v>45773.404861111107</v>
      </c>
      <c r="D226" t="s">
        <v>44</v>
      </c>
      <c r="E226" t="s">
        <v>45</v>
      </c>
      <c r="F226" t="s">
        <v>46</v>
      </c>
      <c r="G226" t="s">
        <v>47</v>
      </c>
      <c r="H226">
        <v>5</v>
      </c>
      <c r="I226" s="3">
        <v>1199</v>
      </c>
      <c r="J226" s="4">
        <v>0.2</v>
      </c>
      <c r="K226" s="3">
        <v>0</v>
      </c>
      <c r="L226" t="s">
        <v>113</v>
      </c>
      <c r="M226" t="s">
        <v>114</v>
      </c>
      <c r="N226" t="s">
        <v>40</v>
      </c>
      <c r="O226" t="s">
        <v>59</v>
      </c>
      <c r="P226" t="s">
        <v>33</v>
      </c>
      <c r="Q226">
        <v>4</v>
      </c>
      <c r="R226" s="3">
        <f t="shared" si="18"/>
        <v>5995</v>
      </c>
      <c r="S226" s="3">
        <f t="shared" si="19"/>
        <v>1199</v>
      </c>
      <c r="T226" s="3">
        <f t="shared" si="20"/>
        <v>4796</v>
      </c>
      <c r="U226" s="3">
        <f t="shared" si="21"/>
        <v>599.5</v>
      </c>
      <c r="V226" s="4">
        <f t="shared" si="22"/>
        <v>0.125</v>
      </c>
      <c r="W226" t="str">
        <f t="shared" si="23"/>
        <v>Apr</v>
      </c>
    </row>
    <row r="227" spans="1:23" x14ac:dyDescent="0.25">
      <c r="A227" t="s">
        <v>482</v>
      </c>
      <c r="B227" t="s">
        <v>483</v>
      </c>
      <c r="C227" s="2">
        <v>45662.923611111109</v>
      </c>
      <c r="D227" t="s">
        <v>62</v>
      </c>
      <c r="E227" t="s">
        <v>63</v>
      </c>
      <c r="F227" t="s">
        <v>46</v>
      </c>
      <c r="G227" t="s">
        <v>64</v>
      </c>
      <c r="H227">
        <v>1</v>
      </c>
      <c r="I227" s="3">
        <v>699</v>
      </c>
      <c r="J227" s="4">
        <v>0.1</v>
      </c>
      <c r="K227" s="3">
        <v>79</v>
      </c>
      <c r="L227" t="s">
        <v>119</v>
      </c>
      <c r="M227" t="s">
        <v>120</v>
      </c>
      <c r="N227" t="s">
        <v>102</v>
      </c>
      <c r="O227" t="s">
        <v>93</v>
      </c>
      <c r="P227" t="s">
        <v>33</v>
      </c>
      <c r="Q227">
        <v>5</v>
      </c>
      <c r="R227" s="3">
        <f t="shared" si="18"/>
        <v>699</v>
      </c>
      <c r="S227" s="3">
        <f t="shared" si="19"/>
        <v>69.900000000000006</v>
      </c>
      <c r="T227" s="3">
        <f t="shared" si="20"/>
        <v>708.1</v>
      </c>
      <c r="U227" s="3">
        <f t="shared" si="21"/>
        <v>218.80000000000007</v>
      </c>
      <c r="V227" s="4">
        <f t="shared" si="22"/>
        <v>0.30899590453325809</v>
      </c>
      <c r="W227" t="str">
        <f t="shared" si="23"/>
        <v>Jan</v>
      </c>
    </row>
    <row r="228" spans="1:23" x14ac:dyDescent="0.25">
      <c r="A228" t="s">
        <v>484</v>
      </c>
      <c r="B228" t="s">
        <v>214</v>
      </c>
      <c r="C228" s="2">
        <v>46012.770833333343</v>
      </c>
      <c r="D228" t="s">
        <v>35</v>
      </c>
      <c r="E228" t="s">
        <v>36</v>
      </c>
      <c r="F228" t="s">
        <v>37</v>
      </c>
      <c r="G228" t="s">
        <v>38</v>
      </c>
      <c r="H228">
        <v>1</v>
      </c>
      <c r="I228" s="3">
        <v>599</v>
      </c>
      <c r="J228" s="4">
        <v>0</v>
      </c>
      <c r="K228" s="3">
        <v>0</v>
      </c>
      <c r="L228" t="s">
        <v>113</v>
      </c>
      <c r="M228" t="s">
        <v>114</v>
      </c>
      <c r="N228" t="s">
        <v>102</v>
      </c>
      <c r="O228" t="s">
        <v>32</v>
      </c>
      <c r="P228" t="s">
        <v>33</v>
      </c>
      <c r="R228" s="3">
        <f t="shared" si="18"/>
        <v>599</v>
      </c>
      <c r="S228" s="3">
        <f t="shared" si="19"/>
        <v>0</v>
      </c>
      <c r="T228" s="3">
        <f t="shared" si="20"/>
        <v>599</v>
      </c>
      <c r="U228" s="3">
        <f t="shared" si="21"/>
        <v>179.70000000000005</v>
      </c>
      <c r="V228" s="4">
        <f t="shared" si="22"/>
        <v>0.3000000000000001</v>
      </c>
      <c r="W228" t="str">
        <f t="shared" si="23"/>
        <v>Dec</v>
      </c>
    </row>
    <row r="229" spans="1:23" x14ac:dyDescent="0.25">
      <c r="A229" t="s">
        <v>485</v>
      </c>
      <c r="B229" t="s">
        <v>188</v>
      </c>
      <c r="C229" s="2">
        <v>45819.009027777778</v>
      </c>
      <c r="D229" t="s">
        <v>35</v>
      </c>
      <c r="E229" t="s">
        <v>36</v>
      </c>
      <c r="F229" t="s">
        <v>37</v>
      </c>
      <c r="G229" t="s">
        <v>38</v>
      </c>
      <c r="H229">
        <v>4</v>
      </c>
      <c r="I229" s="3">
        <v>599</v>
      </c>
      <c r="J229" s="4">
        <v>0</v>
      </c>
      <c r="K229" s="3">
        <v>79</v>
      </c>
      <c r="L229" t="s">
        <v>100</v>
      </c>
      <c r="M229" t="s">
        <v>101</v>
      </c>
      <c r="N229" t="s">
        <v>71</v>
      </c>
      <c r="O229" t="s">
        <v>41</v>
      </c>
      <c r="P229" t="s">
        <v>85</v>
      </c>
      <c r="Q229">
        <v>5</v>
      </c>
      <c r="R229" s="3">
        <f t="shared" si="18"/>
        <v>2396</v>
      </c>
      <c r="S229" s="3">
        <f t="shared" si="19"/>
        <v>0</v>
      </c>
      <c r="T229" s="3">
        <f t="shared" si="20"/>
        <v>2475</v>
      </c>
      <c r="U229" s="3">
        <f t="shared" si="21"/>
        <v>797.80000000000018</v>
      </c>
      <c r="V229" s="4">
        <f t="shared" si="22"/>
        <v>0.32234343434343443</v>
      </c>
      <c r="W229" t="str">
        <f t="shared" si="23"/>
        <v>Jun</v>
      </c>
    </row>
    <row r="230" spans="1:23" x14ac:dyDescent="0.25">
      <c r="A230" t="s">
        <v>486</v>
      </c>
      <c r="B230" t="s">
        <v>487</v>
      </c>
      <c r="C230" s="2">
        <v>45857.914583333331</v>
      </c>
      <c r="D230" t="s">
        <v>67</v>
      </c>
      <c r="E230" t="s">
        <v>68</v>
      </c>
      <c r="F230" t="s">
        <v>37</v>
      </c>
      <c r="G230" t="s">
        <v>38</v>
      </c>
      <c r="H230">
        <v>3</v>
      </c>
      <c r="I230" s="3">
        <v>1299</v>
      </c>
      <c r="J230" s="4">
        <v>0.05</v>
      </c>
      <c r="K230" s="3">
        <v>79</v>
      </c>
      <c r="L230" t="s">
        <v>125</v>
      </c>
      <c r="M230" t="s">
        <v>126</v>
      </c>
      <c r="N230" t="s">
        <v>31</v>
      </c>
      <c r="O230" t="s">
        <v>32</v>
      </c>
      <c r="P230" t="s">
        <v>85</v>
      </c>
      <c r="R230" s="3">
        <f t="shared" si="18"/>
        <v>3897</v>
      </c>
      <c r="S230" s="3">
        <f t="shared" si="19"/>
        <v>194.85000000000002</v>
      </c>
      <c r="T230" s="3">
        <f t="shared" si="20"/>
        <v>3781.15</v>
      </c>
      <c r="U230" s="3">
        <f t="shared" si="21"/>
        <v>1053.2500000000005</v>
      </c>
      <c r="V230" s="4">
        <f t="shared" si="22"/>
        <v>0.27855282123163599</v>
      </c>
      <c r="W230" t="str">
        <f t="shared" si="23"/>
        <v>Jul</v>
      </c>
    </row>
    <row r="231" spans="1:23" x14ac:dyDescent="0.25">
      <c r="A231" t="s">
        <v>488</v>
      </c>
      <c r="B231" t="s">
        <v>280</v>
      </c>
      <c r="C231" s="2">
        <v>45776.097916666673</v>
      </c>
      <c r="D231" t="s">
        <v>169</v>
      </c>
      <c r="E231" t="s">
        <v>170</v>
      </c>
      <c r="F231" t="s">
        <v>98</v>
      </c>
      <c r="G231" t="s">
        <v>171</v>
      </c>
      <c r="H231">
        <v>1</v>
      </c>
      <c r="I231" s="3">
        <v>799</v>
      </c>
      <c r="J231" s="4">
        <v>0.15</v>
      </c>
      <c r="K231" s="3">
        <v>99</v>
      </c>
      <c r="L231" t="s">
        <v>39</v>
      </c>
      <c r="M231" t="s">
        <v>39</v>
      </c>
      <c r="N231" t="s">
        <v>71</v>
      </c>
      <c r="O231" t="s">
        <v>489</v>
      </c>
      <c r="P231" t="s">
        <v>85</v>
      </c>
      <c r="R231" s="3">
        <f t="shared" si="18"/>
        <v>799</v>
      </c>
      <c r="S231" s="3">
        <f t="shared" si="19"/>
        <v>119.85</v>
      </c>
      <c r="T231" s="3">
        <f t="shared" si="20"/>
        <v>778.15</v>
      </c>
      <c r="U231" s="3">
        <f t="shared" si="21"/>
        <v>218.85000000000002</v>
      </c>
      <c r="V231" s="4">
        <f t="shared" si="22"/>
        <v>0.28124397609715357</v>
      </c>
      <c r="W231" t="str">
        <f t="shared" si="23"/>
        <v>Apr</v>
      </c>
    </row>
    <row r="232" spans="1:23" x14ac:dyDescent="0.25">
      <c r="A232" t="s">
        <v>490</v>
      </c>
      <c r="B232" t="s">
        <v>70</v>
      </c>
      <c r="C232" s="2">
        <v>45840.724999999999</v>
      </c>
      <c r="D232" t="s">
        <v>110</v>
      </c>
      <c r="E232" t="s">
        <v>111</v>
      </c>
      <c r="F232" t="s">
        <v>98</v>
      </c>
      <c r="G232" t="s">
        <v>112</v>
      </c>
      <c r="H232">
        <v>2</v>
      </c>
      <c r="I232" s="3"/>
      <c r="J232" s="4">
        <v>0</v>
      </c>
      <c r="K232" s="3">
        <v>99</v>
      </c>
      <c r="L232" t="s">
        <v>119</v>
      </c>
      <c r="M232" t="s">
        <v>120</v>
      </c>
      <c r="N232" t="s">
        <v>31</v>
      </c>
      <c r="O232" t="s">
        <v>32</v>
      </c>
      <c r="P232" t="s">
        <v>52</v>
      </c>
      <c r="Q232">
        <v>3</v>
      </c>
      <c r="R232" s="3">
        <f t="shared" si="18"/>
        <v>0</v>
      </c>
      <c r="S232" s="3">
        <f t="shared" si="19"/>
        <v>0</v>
      </c>
      <c r="T232" s="3">
        <f t="shared" si="20"/>
        <v>99</v>
      </c>
      <c r="U232" s="3">
        <f t="shared" si="21"/>
        <v>99</v>
      </c>
      <c r="V232" s="4">
        <f t="shared" si="22"/>
        <v>1</v>
      </c>
      <c r="W232" t="str">
        <f t="shared" si="23"/>
        <v>Jul</v>
      </c>
    </row>
    <row r="233" spans="1:23" x14ac:dyDescent="0.25">
      <c r="A233" t="s">
        <v>491</v>
      </c>
      <c r="B233" t="s">
        <v>425</v>
      </c>
      <c r="C233" s="2">
        <v>45736.53125</v>
      </c>
      <c r="D233" t="s">
        <v>67</v>
      </c>
      <c r="E233" t="s">
        <v>68</v>
      </c>
      <c r="F233" t="s">
        <v>37</v>
      </c>
      <c r="G233" t="s">
        <v>38</v>
      </c>
      <c r="H233">
        <v>1</v>
      </c>
      <c r="I233" s="3">
        <v>1299</v>
      </c>
      <c r="J233" s="4">
        <v>0</v>
      </c>
      <c r="K233" s="3">
        <v>79</v>
      </c>
      <c r="L233" t="s">
        <v>29</v>
      </c>
      <c r="M233" t="s">
        <v>30</v>
      </c>
      <c r="N233" t="s">
        <v>71</v>
      </c>
      <c r="O233" t="s">
        <v>93</v>
      </c>
      <c r="P233" t="s">
        <v>80</v>
      </c>
      <c r="Q233">
        <v>1</v>
      </c>
      <c r="R233" s="3">
        <f t="shared" si="18"/>
        <v>1299</v>
      </c>
      <c r="S233" s="3">
        <f t="shared" si="19"/>
        <v>0</v>
      </c>
      <c r="T233" s="3">
        <f t="shared" si="20"/>
        <v>1378</v>
      </c>
      <c r="U233" s="3">
        <f t="shared" si="21"/>
        <v>468.70000000000005</v>
      </c>
      <c r="V233" s="4">
        <f t="shared" si="22"/>
        <v>0.3401306240928883</v>
      </c>
      <c r="W233" t="str">
        <f t="shared" si="23"/>
        <v>Mar</v>
      </c>
    </row>
    <row r="234" spans="1:23" x14ac:dyDescent="0.25">
      <c r="A234" t="s">
        <v>492</v>
      </c>
      <c r="B234" t="s">
        <v>493</v>
      </c>
      <c r="C234" s="2">
        <v>45796.130555555559</v>
      </c>
      <c r="D234" t="s">
        <v>35</v>
      </c>
      <c r="E234" t="s">
        <v>36</v>
      </c>
      <c r="F234" t="s">
        <v>37</v>
      </c>
      <c r="G234" t="s">
        <v>38</v>
      </c>
      <c r="H234">
        <v>1</v>
      </c>
      <c r="I234" s="3">
        <v>599</v>
      </c>
      <c r="J234" s="4">
        <v>0</v>
      </c>
      <c r="K234" s="3">
        <v>79</v>
      </c>
      <c r="L234" t="s">
        <v>48</v>
      </c>
      <c r="M234" t="s">
        <v>49</v>
      </c>
      <c r="N234" t="s">
        <v>102</v>
      </c>
      <c r="O234" t="s">
        <v>32</v>
      </c>
      <c r="P234" t="s">
        <v>33</v>
      </c>
      <c r="Q234">
        <v>5</v>
      </c>
      <c r="R234" s="3">
        <f t="shared" si="18"/>
        <v>599</v>
      </c>
      <c r="S234" s="3">
        <f t="shared" si="19"/>
        <v>0</v>
      </c>
      <c r="T234" s="3">
        <f t="shared" si="20"/>
        <v>678</v>
      </c>
      <c r="U234" s="3">
        <f t="shared" si="21"/>
        <v>258.70000000000005</v>
      </c>
      <c r="V234" s="4">
        <f t="shared" si="22"/>
        <v>0.38156342182890862</v>
      </c>
      <c r="W234" t="str">
        <f t="shared" si="23"/>
        <v>May</v>
      </c>
    </row>
    <row r="235" spans="1:23" x14ac:dyDescent="0.25">
      <c r="A235" t="s">
        <v>494</v>
      </c>
      <c r="B235" t="s">
        <v>495</v>
      </c>
      <c r="C235" s="2">
        <v>45839.711805555547</v>
      </c>
      <c r="D235" t="s">
        <v>96</v>
      </c>
      <c r="E235" t="s">
        <v>97</v>
      </c>
      <c r="F235" t="s">
        <v>98</v>
      </c>
      <c r="G235" t="s">
        <v>99</v>
      </c>
      <c r="H235">
        <v>1</v>
      </c>
      <c r="I235" s="3">
        <v>1499</v>
      </c>
      <c r="J235" s="4">
        <v>0.15</v>
      </c>
      <c r="K235" s="3">
        <v>59</v>
      </c>
      <c r="L235" t="s">
        <v>29</v>
      </c>
      <c r="M235" t="s">
        <v>30</v>
      </c>
      <c r="N235" t="s">
        <v>31</v>
      </c>
      <c r="O235" t="s">
        <v>51</v>
      </c>
      <c r="P235" t="s">
        <v>85</v>
      </c>
      <c r="Q235">
        <v>4</v>
      </c>
      <c r="R235" s="3">
        <f t="shared" si="18"/>
        <v>1499</v>
      </c>
      <c r="S235" s="3">
        <f t="shared" si="19"/>
        <v>224.85</v>
      </c>
      <c r="T235" s="3">
        <f t="shared" si="20"/>
        <v>1333.15</v>
      </c>
      <c r="U235" s="3">
        <f t="shared" si="21"/>
        <v>283.85000000000014</v>
      </c>
      <c r="V235" s="4">
        <f t="shared" si="22"/>
        <v>0.21291677605670789</v>
      </c>
      <c r="W235" t="str">
        <f t="shared" si="23"/>
        <v>Jul</v>
      </c>
    </row>
    <row r="236" spans="1:23" x14ac:dyDescent="0.25">
      <c r="A236" t="s">
        <v>496</v>
      </c>
      <c r="B236" t="s">
        <v>497</v>
      </c>
      <c r="C236" s="2">
        <v>45944.316666666673</v>
      </c>
      <c r="D236" t="s">
        <v>96</v>
      </c>
      <c r="E236" t="s">
        <v>97</v>
      </c>
      <c r="F236" t="s">
        <v>98</v>
      </c>
      <c r="G236" t="s">
        <v>99</v>
      </c>
      <c r="H236">
        <v>2</v>
      </c>
      <c r="I236" s="3">
        <v>1499</v>
      </c>
      <c r="J236" s="4">
        <v>0</v>
      </c>
      <c r="K236" s="3">
        <v>79</v>
      </c>
      <c r="L236" t="s">
        <v>29</v>
      </c>
      <c r="M236" t="s">
        <v>30</v>
      </c>
      <c r="N236" t="s">
        <v>50</v>
      </c>
      <c r="O236" t="s">
        <v>51</v>
      </c>
      <c r="P236" t="s">
        <v>85</v>
      </c>
      <c r="Q236">
        <v>3</v>
      </c>
      <c r="R236" s="3">
        <f t="shared" si="18"/>
        <v>2998</v>
      </c>
      <c r="S236" s="3">
        <f t="shared" si="19"/>
        <v>0</v>
      </c>
      <c r="T236" s="3">
        <f t="shared" si="20"/>
        <v>3077</v>
      </c>
      <c r="U236" s="3">
        <f t="shared" si="21"/>
        <v>978.40000000000009</v>
      </c>
      <c r="V236" s="4">
        <f t="shared" si="22"/>
        <v>0.31797205069873258</v>
      </c>
      <c r="W236" t="str">
        <f t="shared" si="23"/>
        <v>Oct</v>
      </c>
    </row>
    <row r="237" spans="1:23" x14ac:dyDescent="0.25">
      <c r="A237" t="s">
        <v>498</v>
      </c>
      <c r="B237" t="s">
        <v>188</v>
      </c>
      <c r="C237" s="2">
        <v>45743.553472222222</v>
      </c>
      <c r="D237" t="s">
        <v>110</v>
      </c>
      <c r="E237" t="s">
        <v>111</v>
      </c>
      <c r="F237" t="s">
        <v>98</v>
      </c>
      <c r="G237" t="s">
        <v>112</v>
      </c>
      <c r="H237">
        <v>1</v>
      </c>
      <c r="I237" s="3">
        <v>2999</v>
      </c>
      <c r="J237" s="4">
        <v>0.05</v>
      </c>
      <c r="K237" s="3">
        <v>79</v>
      </c>
      <c r="L237" t="s">
        <v>119</v>
      </c>
      <c r="M237" t="s">
        <v>120</v>
      </c>
      <c r="N237" t="s">
        <v>71</v>
      </c>
      <c r="O237" t="s">
        <v>51</v>
      </c>
      <c r="P237" t="s">
        <v>52</v>
      </c>
      <c r="Q237">
        <v>2</v>
      </c>
      <c r="R237" s="3">
        <f t="shared" si="18"/>
        <v>2999</v>
      </c>
      <c r="S237" s="3">
        <f t="shared" si="19"/>
        <v>149.95000000000002</v>
      </c>
      <c r="T237" s="3">
        <f t="shared" si="20"/>
        <v>2928.05</v>
      </c>
      <c r="U237" s="3">
        <f t="shared" si="21"/>
        <v>828.75000000000045</v>
      </c>
      <c r="V237" s="4">
        <f t="shared" si="22"/>
        <v>0.28303819948429854</v>
      </c>
      <c r="W237" t="str">
        <f t="shared" si="23"/>
        <v>Mar</v>
      </c>
    </row>
    <row r="238" spans="1:23" x14ac:dyDescent="0.25">
      <c r="A238" t="s">
        <v>499</v>
      </c>
      <c r="B238" t="s">
        <v>500</v>
      </c>
      <c r="C238" s="2">
        <v>45758.587500000001</v>
      </c>
      <c r="D238" t="s">
        <v>77</v>
      </c>
      <c r="E238" t="s">
        <v>78</v>
      </c>
      <c r="F238" t="s">
        <v>79</v>
      </c>
      <c r="G238" t="s">
        <v>28</v>
      </c>
      <c r="H238">
        <v>2</v>
      </c>
      <c r="I238" s="3">
        <v>6499</v>
      </c>
      <c r="J238" s="4">
        <v>0.05</v>
      </c>
      <c r="K238" s="3">
        <v>0</v>
      </c>
      <c r="L238" t="s">
        <v>119</v>
      </c>
      <c r="M238" t="s">
        <v>120</v>
      </c>
      <c r="N238" t="s">
        <v>71</v>
      </c>
      <c r="O238" t="s">
        <v>32</v>
      </c>
      <c r="P238" t="s">
        <v>33</v>
      </c>
      <c r="Q238">
        <v>4</v>
      </c>
      <c r="R238" s="3">
        <f t="shared" si="18"/>
        <v>12998</v>
      </c>
      <c r="S238" s="3">
        <f t="shared" si="19"/>
        <v>649.90000000000009</v>
      </c>
      <c r="T238" s="3">
        <f t="shared" si="20"/>
        <v>12348.1</v>
      </c>
      <c r="U238" s="3">
        <f t="shared" si="21"/>
        <v>3249.5000000000018</v>
      </c>
      <c r="V238" s="4">
        <f t="shared" si="22"/>
        <v>0.26315789473684226</v>
      </c>
      <c r="W238" t="str">
        <f t="shared" si="23"/>
        <v>Apr</v>
      </c>
    </row>
    <row r="239" spans="1:23" x14ac:dyDescent="0.25">
      <c r="A239" t="s">
        <v>501</v>
      </c>
      <c r="B239" t="s">
        <v>502</v>
      </c>
      <c r="C239" s="2">
        <v>45991.797222222223</v>
      </c>
      <c r="D239" t="s">
        <v>169</v>
      </c>
      <c r="E239" t="s">
        <v>170</v>
      </c>
      <c r="F239" t="s">
        <v>98</v>
      </c>
      <c r="G239" t="s">
        <v>171</v>
      </c>
      <c r="H239">
        <v>1</v>
      </c>
      <c r="I239" s="3">
        <v>799</v>
      </c>
      <c r="J239" s="4">
        <v>0.05</v>
      </c>
      <c r="K239" s="3">
        <v>99</v>
      </c>
      <c r="L239" t="s">
        <v>119</v>
      </c>
      <c r="M239" t="s">
        <v>120</v>
      </c>
      <c r="N239" t="s">
        <v>40</v>
      </c>
      <c r="O239" t="s">
        <v>51</v>
      </c>
      <c r="P239" t="s">
        <v>33</v>
      </c>
      <c r="Q239">
        <v>2</v>
      </c>
      <c r="R239" s="3">
        <f t="shared" si="18"/>
        <v>799</v>
      </c>
      <c r="S239" s="3">
        <f t="shared" si="19"/>
        <v>39.950000000000003</v>
      </c>
      <c r="T239" s="3">
        <f t="shared" si="20"/>
        <v>858.05</v>
      </c>
      <c r="U239" s="3">
        <f t="shared" si="21"/>
        <v>298.75</v>
      </c>
      <c r="V239" s="4">
        <f t="shared" si="22"/>
        <v>0.3481731833809219</v>
      </c>
      <c r="W239" t="str">
        <f t="shared" si="23"/>
        <v>Nov</v>
      </c>
    </row>
    <row r="240" spans="1:23" x14ac:dyDescent="0.25">
      <c r="A240" t="s">
        <v>503</v>
      </c>
      <c r="B240" t="s">
        <v>347</v>
      </c>
      <c r="C240" s="2">
        <v>46013.854861111111</v>
      </c>
      <c r="D240" t="s">
        <v>96</v>
      </c>
      <c r="E240" t="s">
        <v>97</v>
      </c>
      <c r="F240" t="s">
        <v>98</v>
      </c>
      <c r="G240" t="s">
        <v>99</v>
      </c>
      <c r="H240">
        <v>1</v>
      </c>
      <c r="I240" s="3">
        <v>1499</v>
      </c>
      <c r="J240" s="4">
        <v>0</v>
      </c>
      <c r="K240" s="3">
        <v>59</v>
      </c>
      <c r="L240" t="s">
        <v>74</v>
      </c>
      <c r="M240" t="s">
        <v>49</v>
      </c>
      <c r="N240" t="s">
        <v>71</v>
      </c>
      <c r="O240" t="s">
        <v>59</v>
      </c>
      <c r="P240" t="s">
        <v>85</v>
      </c>
      <c r="Q240">
        <v>3</v>
      </c>
      <c r="R240" s="3">
        <f t="shared" si="18"/>
        <v>1499</v>
      </c>
      <c r="S240" s="3">
        <f t="shared" si="19"/>
        <v>0</v>
      </c>
      <c r="T240" s="3">
        <f t="shared" si="20"/>
        <v>1558</v>
      </c>
      <c r="U240" s="3">
        <f t="shared" si="21"/>
        <v>508.70000000000005</v>
      </c>
      <c r="V240" s="4">
        <f t="shared" si="22"/>
        <v>0.32650834403080875</v>
      </c>
      <c r="W240" t="str">
        <f t="shared" si="23"/>
        <v>Dec</v>
      </c>
    </row>
    <row r="241" spans="1:23" x14ac:dyDescent="0.25">
      <c r="A241" t="s">
        <v>504</v>
      </c>
      <c r="B241" t="s">
        <v>148</v>
      </c>
      <c r="C241" s="2">
        <v>45937.238194444442</v>
      </c>
      <c r="D241" t="s">
        <v>55</v>
      </c>
      <c r="E241" t="s">
        <v>56</v>
      </c>
      <c r="F241" t="s">
        <v>37</v>
      </c>
      <c r="G241" t="s">
        <v>38</v>
      </c>
      <c r="H241">
        <v>1</v>
      </c>
      <c r="I241" s="3">
        <v>2499</v>
      </c>
      <c r="J241" s="4">
        <v>0</v>
      </c>
      <c r="K241" s="3">
        <v>79</v>
      </c>
      <c r="L241" t="s">
        <v>125</v>
      </c>
      <c r="M241" t="s">
        <v>126</v>
      </c>
      <c r="N241" t="s">
        <v>40</v>
      </c>
      <c r="O241" t="s">
        <v>51</v>
      </c>
      <c r="P241" t="s">
        <v>85</v>
      </c>
      <c r="R241" s="3">
        <f t="shared" si="18"/>
        <v>2499</v>
      </c>
      <c r="S241" s="3">
        <f t="shared" si="19"/>
        <v>0</v>
      </c>
      <c r="T241" s="3">
        <f t="shared" si="20"/>
        <v>2578</v>
      </c>
      <c r="U241" s="3">
        <f t="shared" si="21"/>
        <v>828.7</v>
      </c>
      <c r="V241" s="4">
        <f t="shared" si="22"/>
        <v>0.32145073700543059</v>
      </c>
      <c r="W241" t="str">
        <f t="shared" si="23"/>
        <v>Oct</v>
      </c>
    </row>
    <row r="242" spans="1:23" x14ac:dyDescent="0.25">
      <c r="A242" t="s">
        <v>505</v>
      </c>
      <c r="B242" t="s">
        <v>216</v>
      </c>
      <c r="C242" s="2">
        <v>45867.896527777782</v>
      </c>
      <c r="D242" t="s">
        <v>77</v>
      </c>
      <c r="E242" t="s">
        <v>78</v>
      </c>
      <c r="F242" t="s">
        <v>79</v>
      </c>
      <c r="G242" t="s">
        <v>28</v>
      </c>
      <c r="H242">
        <v>3</v>
      </c>
      <c r="I242" s="3">
        <v>6499</v>
      </c>
      <c r="J242" s="4">
        <v>0.2</v>
      </c>
      <c r="K242" s="3">
        <v>59</v>
      </c>
      <c r="L242" t="s">
        <v>506</v>
      </c>
      <c r="M242" t="s">
        <v>30</v>
      </c>
      <c r="N242" t="s">
        <v>71</v>
      </c>
      <c r="O242" t="s">
        <v>41</v>
      </c>
      <c r="P242" t="s">
        <v>33</v>
      </c>
      <c r="R242" s="3">
        <f t="shared" si="18"/>
        <v>19497</v>
      </c>
      <c r="S242" s="3">
        <f t="shared" si="19"/>
        <v>3899.4</v>
      </c>
      <c r="T242" s="3">
        <f t="shared" si="20"/>
        <v>15656.6</v>
      </c>
      <c r="U242" s="3">
        <f t="shared" si="21"/>
        <v>2008.7000000000007</v>
      </c>
      <c r="V242" s="4">
        <f t="shared" si="22"/>
        <v>0.12829733147682132</v>
      </c>
      <c r="W242" t="str">
        <f t="shared" si="23"/>
        <v>Jul</v>
      </c>
    </row>
    <row r="243" spans="1:23" x14ac:dyDescent="0.25">
      <c r="A243" t="s">
        <v>507</v>
      </c>
      <c r="B243" t="s">
        <v>508</v>
      </c>
      <c r="C243" s="2">
        <v>45964.650694444441</v>
      </c>
      <c r="D243" t="s">
        <v>96</v>
      </c>
      <c r="E243" t="s">
        <v>97</v>
      </c>
      <c r="F243" t="s">
        <v>98</v>
      </c>
      <c r="G243" t="s">
        <v>99</v>
      </c>
      <c r="H243">
        <v>1</v>
      </c>
      <c r="I243" s="3">
        <v>1499</v>
      </c>
      <c r="J243" s="4">
        <v>0.15</v>
      </c>
      <c r="K243" s="3">
        <v>99</v>
      </c>
      <c r="L243" t="s">
        <v>57</v>
      </c>
      <c r="M243" t="s">
        <v>58</v>
      </c>
      <c r="N243" t="s">
        <v>102</v>
      </c>
      <c r="O243" t="s">
        <v>93</v>
      </c>
      <c r="P243" t="s">
        <v>52</v>
      </c>
      <c r="R243" s="3">
        <f t="shared" si="18"/>
        <v>1499</v>
      </c>
      <c r="S243" s="3">
        <f t="shared" si="19"/>
        <v>224.85</v>
      </c>
      <c r="T243" s="3">
        <f t="shared" si="20"/>
        <v>1373.15</v>
      </c>
      <c r="U243" s="3">
        <f t="shared" si="21"/>
        <v>323.85000000000014</v>
      </c>
      <c r="V243" s="4">
        <f t="shared" si="22"/>
        <v>0.23584459090412563</v>
      </c>
      <c r="W243" t="str">
        <f t="shared" si="23"/>
        <v>Nov</v>
      </c>
    </row>
    <row r="244" spans="1:23" x14ac:dyDescent="0.25">
      <c r="A244" t="s">
        <v>509</v>
      </c>
      <c r="B244" t="s">
        <v>510</v>
      </c>
      <c r="C244" s="2">
        <v>45701.15902777778</v>
      </c>
      <c r="D244" t="s">
        <v>169</v>
      </c>
      <c r="E244" t="s">
        <v>170</v>
      </c>
      <c r="F244" t="s">
        <v>98</v>
      </c>
      <c r="G244" t="s">
        <v>171</v>
      </c>
      <c r="H244">
        <v>2</v>
      </c>
      <c r="I244" s="3">
        <v>799</v>
      </c>
      <c r="J244" s="4">
        <v>0.2</v>
      </c>
      <c r="K244" s="3">
        <v>59</v>
      </c>
      <c r="L244" t="s">
        <v>83</v>
      </c>
      <c r="M244" t="s">
        <v>84</v>
      </c>
      <c r="N244" t="s">
        <v>102</v>
      </c>
      <c r="O244" t="s">
        <v>93</v>
      </c>
      <c r="P244" t="s">
        <v>33</v>
      </c>
      <c r="Q244">
        <v>5</v>
      </c>
      <c r="R244" s="3">
        <f t="shared" si="18"/>
        <v>1598</v>
      </c>
      <c r="S244" s="3">
        <f t="shared" si="19"/>
        <v>319.60000000000002</v>
      </c>
      <c r="T244" s="3">
        <f t="shared" si="20"/>
        <v>1337.4</v>
      </c>
      <c r="U244" s="3">
        <f t="shared" si="21"/>
        <v>218.80000000000018</v>
      </c>
      <c r="V244" s="4">
        <f t="shared" si="22"/>
        <v>0.16360101689845982</v>
      </c>
      <c r="W244" t="str">
        <f t="shared" si="23"/>
        <v>Feb</v>
      </c>
    </row>
    <row r="245" spans="1:23" x14ac:dyDescent="0.25">
      <c r="A245" t="s">
        <v>511</v>
      </c>
      <c r="B245" t="s">
        <v>325</v>
      </c>
      <c r="C245" s="2">
        <v>45827.54583333333</v>
      </c>
      <c r="D245" t="s">
        <v>25</v>
      </c>
      <c r="E245" t="s">
        <v>26</v>
      </c>
      <c r="F245" t="s">
        <v>27</v>
      </c>
      <c r="G245" t="s">
        <v>28</v>
      </c>
      <c r="H245">
        <v>4</v>
      </c>
      <c r="I245" s="3">
        <v>249</v>
      </c>
      <c r="J245" s="4">
        <v>0</v>
      </c>
      <c r="K245" s="3">
        <v>59</v>
      </c>
      <c r="L245" t="s">
        <v>57</v>
      </c>
      <c r="M245" t="s">
        <v>58</v>
      </c>
      <c r="N245" t="s">
        <v>102</v>
      </c>
      <c r="O245" t="s">
        <v>32</v>
      </c>
      <c r="P245" t="s">
        <v>33</v>
      </c>
      <c r="Q245">
        <v>5</v>
      </c>
      <c r="R245" s="3">
        <f t="shared" si="18"/>
        <v>996</v>
      </c>
      <c r="S245" s="3">
        <f t="shared" si="19"/>
        <v>0</v>
      </c>
      <c r="T245" s="3">
        <f t="shared" si="20"/>
        <v>1055</v>
      </c>
      <c r="U245" s="3">
        <f t="shared" si="21"/>
        <v>357.80000000000007</v>
      </c>
      <c r="V245" s="4">
        <f t="shared" si="22"/>
        <v>0.33914691943127967</v>
      </c>
      <c r="W245" t="str">
        <f t="shared" si="23"/>
        <v>Jun</v>
      </c>
    </row>
    <row r="246" spans="1:23" x14ac:dyDescent="0.25">
      <c r="A246" t="s">
        <v>512</v>
      </c>
      <c r="B246" t="s">
        <v>475</v>
      </c>
      <c r="C246" s="2">
        <v>45849.520138888889</v>
      </c>
      <c r="D246" t="s">
        <v>44</v>
      </c>
      <c r="E246" t="s">
        <v>45</v>
      </c>
      <c r="F246" t="s">
        <v>46</v>
      </c>
      <c r="G246" t="s">
        <v>47</v>
      </c>
      <c r="H246">
        <v>1</v>
      </c>
      <c r="I246" s="3">
        <v>1199</v>
      </c>
      <c r="J246" s="4"/>
      <c r="K246" s="3">
        <v>99</v>
      </c>
      <c r="L246" t="s">
        <v>125</v>
      </c>
      <c r="M246" t="s">
        <v>126</v>
      </c>
      <c r="N246" t="s">
        <v>71</v>
      </c>
      <c r="O246" t="s">
        <v>93</v>
      </c>
      <c r="P246" t="s">
        <v>80</v>
      </c>
      <c r="Q246">
        <v>4</v>
      </c>
      <c r="R246" s="3">
        <f t="shared" si="18"/>
        <v>1199</v>
      </c>
      <c r="S246" s="3">
        <f t="shared" si="19"/>
        <v>0</v>
      </c>
      <c r="T246" s="3">
        <f t="shared" si="20"/>
        <v>1298</v>
      </c>
      <c r="U246" s="3">
        <f t="shared" si="21"/>
        <v>458.70000000000005</v>
      </c>
      <c r="V246" s="4">
        <f t="shared" si="22"/>
        <v>0.35338983050847461</v>
      </c>
      <c r="W246" t="str">
        <f t="shared" si="23"/>
        <v>Jul</v>
      </c>
    </row>
    <row r="247" spans="1:23" x14ac:dyDescent="0.25">
      <c r="A247" t="s">
        <v>513</v>
      </c>
      <c r="B247" t="s">
        <v>116</v>
      </c>
      <c r="C247" s="2">
        <v>45701.161805555559</v>
      </c>
      <c r="D247" t="s">
        <v>55</v>
      </c>
      <c r="E247" t="s">
        <v>56</v>
      </c>
      <c r="F247" t="s">
        <v>37</v>
      </c>
      <c r="G247" t="s">
        <v>38</v>
      </c>
      <c r="H247">
        <v>1</v>
      </c>
      <c r="I247" s="3">
        <v>2499</v>
      </c>
      <c r="J247" s="4">
        <v>0</v>
      </c>
      <c r="K247" s="3">
        <v>59</v>
      </c>
      <c r="L247" t="s">
        <v>48</v>
      </c>
      <c r="M247" t="s">
        <v>49</v>
      </c>
      <c r="N247" t="s">
        <v>71</v>
      </c>
      <c r="O247" t="s">
        <v>59</v>
      </c>
      <c r="P247" t="s">
        <v>80</v>
      </c>
      <c r="R247" s="3">
        <f t="shared" si="18"/>
        <v>2499</v>
      </c>
      <c r="S247" s="3">
        <f t="shared" si="19"/>
        <v>0</v>
      </c>
      <c r="T247" s="3">
        <f t="shared" si="20"/>
        <v>2558</v>
      </c>
      <c r="U247" s="3">
        <f t="shared" si="21"/>
        <v>808.7</v>
      </c>
      <c r="V247" s="4">
        <f t="shared" si="22"/>
        <v>0.3161454261141517</v>
      </c>
      <c r="W247" t="str">
        <f t="shared" si="23"/>
        <v>Feb</v>
      </c>
    </row>
    <row r="248" spans="1:23" x14ac:dyDescent="0.25">
      <c r="A248" t="s">
        <v>514</v>
      </c>
      <c r="B248" t="s">
        <v>385</v>
      </c>
      <c r="C248" s="2">
        <v>45901.144444444442</v>
      </c>
      <c r="D248" t="s">
        <v>67</v>
      </c>
      <c r="E248" t="s">
        <v>68</v>
      </c>
      <c r="F248" t="s">
        <v>37</v>
      </c>
      <c r="G248" t="s">
        <v>38</v>
      </c>
      <c r="H248">
        <v>2</v>
      </c>
      <c r="I248" s="3">
        <v>1299</v>
      </c>
      <c r="J248" s="4">
        <v>0.2</v>
      </c>
      <c r="K248" s="3">
        <v>79</v>
      </c>
      <c r="L248" t="s">
        <v>83</v>
      </c>
      <c r="M248" t="s">
        <v>84</v>
      </c>
      <c r="N248" t="s">
        <v>31</v>
      </c>
      <c r="O248" t="s">
        <v>51</v>
      </c>
      <c r="P248" t="s">
        <v>80</v>
      </c>
      <c r="Q248">
        <v>1</v>
      </c>
      <c r="R248" s="3">
        <f t="shared" si="18"/>
        <v>2598</v>
      </c>
      <c r="S248" s="3">
        <f t="shared" si="19"/>
        <v>519.6</v>
      </c>
      <c r="T248" s="3">
        <f t="shared" si="20"/>
        <v>2157.4</v>
      </c>
      <c r="U248" s="3">
        <f t="shared" si="21"/>
        <v>338.80000000000018</v>
      </c>
      <c r="V248" s="4">
        <f t="shared" si="22"/>
        <v>0.1570408825438028</v>
      </c>
      <c r="W248" t="str">
        <f t="shared" si="23"/>
        <v>Sep</v>
      </c>
    </row>
    <row r="249" spans="1:23" x14ac:dyDescent="0.25">
      <c r="A249" t="s">
        <v>515</v>
      </c>
      <c r="B249" t="s">
        <v>516</v>
      </c>
      <c r="C249" s="2">
        <v>45833.837500000001</v>
      </c>
      <c r="D249" t="s">
        <v>77</v>
      </c>
      <c r="E249" t="s">
        <v>78</v>
      </c>
      <c r="F249" t="s">
        <v>79</v>
      </c>
      <c r="G249" t="s">
        <v>28</v>
      </c>
      <c r="H249">
        <v>1</v>
      </c>
      <c r="I249" s="3">
        <v>6499</v>
      </c>
      <c r="J249" s="4">
        <v>0</v>
      </c>
      <c r="K249" s="3">
        <v>49</v>
      </c>
      <c r="L249" t="s">
        <v>29</v>
      </c>
      <c r="M249" t="s">
        <v>30</v>
      </c>
      <c r="N249" t="s">
        <v>50</v>
      </c>
      <c r="O249" t="s">
        <v>32</v>
      </c>
      <c r="P249" t="s">
        <v>80</v>
      </c>
      <c r="Q249">
        <v>2</v>
      </c>
      <c r="R249" s="3">
        <f t="shared" si="18"/>
        <v>6499</v>
      </c>
      <c r="S249" s="3">
        <f t="shared" si="19"/>
        <v>0</v>
      </c>
      <c r="T249" s="3">
        <f t="shared" si="20"/>
        <v>6548</v>
      </c>
      <c r="U249" s="3">
        <f t="shared" si="21"/>
        <v>1998.7000000000007</v>
      </c>
      <c r="V249" s="4">
        <f t="shared" si="22"/>
        <v>0.30523824068417849</v>
      </c>
      <c r="W249" t="str">
        <f t="shared" si="23"/>
        <v>Jun</v>
      </c>
    </row>
    <row r="250" spans="1:23" x14ac:dyDescent="0.25">
      <c r="A250" t="s">
        <v>517</v>
      </c>
      <c r="B250" t="s">
        <v>436</v>
      </c>
      <c r="C250" s="2">
        <v>45894.32708333333</v>
      </c>
      <c r="D250" t="s">
        <v>169</v>
      </c>
      <c r="E250" t="s">
        <v>170</v>
      </c>
      <c r="F250" t="s">
        <v>98</v>
      </c>
      <c r="G250" t="s">
        <v>171</v>
      </c>
      <c r="H250">
        <v>1</v>
      </c>
      <c r="I250" s="3">
        <v>799</v>
      </c>
      <c r="J250" s="4">
        <v>0.2</v>
      </c>
      <c r="K250" s="3">
        <v>49</v>
      </c>
      <c r="L250" t="s">
        <v>83</v>
      </c>
      <c r="M250" t="s">
        <v>84</v>
      </c>
      <c r="N250" t="s">
        <v>40</v>
      </c>
      <c r="O250" t="s">
        <v>59</v>
      </c>
      <c r="P250" t="s">
        <v>52</v>
      </c>
      <c r="Q250">
        <v>1</v>
      </c>
      <c r="R250" s="3">
        <f t="shared" si="18"/>
        <v>799</v>
      </c>
      <c r="S250" s="3">
        <f t="shared" si="19"/>
        <v>159.80000000000001</v>
      </c>
      <c r="T250" s="3">
        <f t="shared" si="20"/>
        <v>688.2</v>
      </c>
      <c r="U250" s="3">
        <f t="shared" si="21"/>
        <v>128.90000000000009</v>
      </c>
      <c r="V250" s="4">
        <f t="shared" si="22"/>
        <v>0.18730020342923581</v>
      </c>
      <c r="W250" t="str">
        <f t="shared" si="23"/>
        <v>Aug</v>
      </c>
    </row>
    <row r="251" spans="1:23" x14ac:dyDescent="0.25">
      <c r="A251" t="s">
        <v>518</v>
      </c>
      <c r="B251" t="s">
        <v>519</v>
      </c>
      <c r="C251" s="2">
        <v>45888.768750000003</v>
      </c>
      <c r="D251" t="s">
        <v>77</v>
      </c>
      <c r="E251" t="s">
        <v>78</v>
      </c>
      <c r="F251" t="s">
        <v>79</v>
      </c>
      <c r="G251" t="s">
        <v>28</v>
      </c>
      <c r="H251">
        <v>3</v>
      </c>
      <c r="I251" s="3">
        <v>6499</v>
      </c>
      <c r="J251" s="4">
        <v>0</v>
      </c>
      <c r="K251" s="3">
        <v>49</v>
      </c>
      <c r="L251" t="s">
        <v>125</v>
      </c>
      <c r="M251" t="s">
        <v>126</v>
      </c>
      <c r="N251" t="s">
        <v>71</v>
      </c>
      <c r="O251" t="s">
        <v>93</v>
      </c>
      <c r="P251" t="s">
        <v>52</v>
      </c>
      <c r="Q251">
        <v>5</v>
      </c>
      <c r="R251" s="3">
        <f t="shared" si="18"/>
        <v>19497</v>
      </c>
      <c r="S251" s="3">
        <f t="shared" si="19"/>
        <v>0</v>
      </c>
      <c r="T251" s="3">
        <f t="shared" si="20"/>
        <v>19546</v>
      </c>
      <c r="U251" s="3">
        <f t="shared" si="21"/>
        <v>5898.1</v>
      </c>
      <c r="V251" s="4">
        <f t="shared" si="22"/>
        <v>0.30175483474879772</v>
      </c>
      <c r="W251" t="str">
        <f t="shared" si="23"/>
        <v>Aug</v>
      </c>
    </row>
    <row r="252" spans="1:23" x14ac:dyDescent="0.25">
      <c r="A252" t="s">
        <v>520</v>
      </c>
      <c r="B252" t="s">
        <v>521</v>
      </c>
      <c r="C252" s="2">
        <v>45824.270138888889</v>
      </c>
      <c r="D252" t="s">
        <v>55</v>
      </c>
      <c r="E252" t="s">
        <v>56</v>
      </c>
      <c r="F252" t="s">
        <v>37</v>
      </c>
      <c r="G252" t="s">
        <v>38</v>
      </c>
      <c r="H252">
        <v>1</v>
      </c>
      <c r="I252" s="3">
        <v>2499</v>
      </c>
      <c r="J252" s="4">
        <v>0.05</v>
      </c>
      <c r="K252" s="3">
        <v>79</v>
      </c>
      <c r="L252" t="s">
        <v>83</v>
      </c>
      <c r="M252" t="s">
        <v>84</v>
      </c>
      <c r="N252" t="s">
        <v>71</v>
      </c>
      <c r="O252" t="s">
        <v>32</v>
      </c>
      <c r="P252" t="s">
        <v>33</v>
      </c>
      <c r="Q252">
        <v>4</v>
      </c>
      <c r="R252" s="3">
        <f t="shared" si="18"/>
        <v>2499</v>
      </c>
      <c r="S252" s="3">
        <f t="shared" si="19"/>
        <v>124.95</v>
      </c>
      <c r="T252" s="3">
        <f t="shared" si="20"/>
        <v>2453.0500000000002</v>
      </c>
      <c r="U252" s="3">
        <f t="shared" si="21"/>
        <v>703.75000000000023</v>
      </c>
      <c r="V252" s="4">
        <f t="shared" si="22"/>
        <v>0.28688775198222627</v>
      </c>
      <c r="W252" t="str">
        <f t="shared" si="23"/>
        <v>Jun</v>
      </c>
    </row>
    <row r="253" spans="1:23" x14ac:dyDescent="0.25">
      <c r="A253" t="s">
        <v>522</v>
      </c>
      <c r="B253" t="s">
        <v>95</v>
      </c>
      <c r="C253" s="2">
        <v>45836.495833333327</v>
      </c>
      <c r="D253" t="s">
        <v>44</v>
      </c>
      <c r="E253" t="s">
        <v>45</v>
      </c>
      <c r="F253" t="s">
        <v>46</v>
      </c>
      <c r="G253" t="s">
        <v>47</v>
      </c>
      <c r="H253">
        <v>2</v>
      </c>
      <c r="I253" s="3">
        <v>1199</v>
      </c>
      <c r="J253" s="4">
        <v>0.15</v>
      </c>
      <c r="K253" s="3">
        <v>49</v>
      </c>
      <c r="L253" t="s">
        <v>57</v>
      </c>
      <c r="M253" t="s">
        <v>58</v>
      </c>
      <c r="N253" t="s">
        <v>102</v>
      </c>
      <c r="O253" t="s">
        <v>32</v>
      </c>
      <c r="P253" t="s">
        <v>52</v>
      </c>
      <c r="Q253">
        <v>1</v>
      </c>
      <c r="R253" s="3">
        <f t="shared" si="18"/>
        <v>2398</v>
      </c>
      <c r="S253" s="3">
        <f t="shared" si="19"/>
        <v>359.7</v>
      </c>
      <c r="T253" s="3">
        <f t="shared" si="20"/>
        <v>2087.3000000000002</v>
      </c>
      <c r="U253" s="3">
        <f t="shared" si="21"/>
        <v>408.70000000000027</v>
      </c>
      <c r="V253" s="4">
        <f t="shared" si="22"/>
        <v>0.19580319072485999</v>
      </c>
      <c r="W253" t="str">
        <f t="shared" si="23"/>
        <v>Jun</v>
      </c>
    </row>
    <row r="254" spans="1:23" x14ac:dyDescent="0.25">
      <c r="A254" t="s">
        <v>523</v>
      </c>
      <c r="B254" t="s">
        <v>164</v>
      </c>
      <c r="C254" s="2">
        <v>45780.379861111112</v>
      </c>
      <c r="D254" t="s">
        <v>25</v>
      </c>
      <c r="E254" t="s">
        <v>26</v>
      </c>
      <c r="F254" t="s">
        <v>27</v>
      </c>
      <c r="G254" t="s">
        <v>28</v>
      </c>
      <c r="H254">
        <v>1</v>
      </c>
      <c r="I254" s="3">
        <v>249</v>
      </c>
      <c r="J254" s="4">
        <v>0.05</v>
      </c>
      <c r="K254" s="3">
        <v>49</v>
      </c>
      <c r="L254" t="s">
        <v>100</v>
      </c>
      <c r="M254" t="s">
        <v>101</v>
      </c>
      <c r="N254" t="s">
        <v>40</v>
      </c>
      <c r="O254" t="s">
        <v>59</v>
      </c>
      <c r="P254" t="s">
        <v>33</v>
      </c>
      <c r="Q254">
        <v>5</v>
      </c>
      <c r="R254" s="3">
        <f t="shared" si="18"/>
        <v>249</v>
      </c>
      <c r="S254" s="3">
        <f t="shared" si="19"/>
        <v>12.450000000000001</v>
      </c>
      <c r="T254" s="3">
        <f t="shared" si="20"/>
        <v>285.55</v>
      </c>
      <c r="U254" s="3">
        <f t="shared" si="21"/>
        <v>111.25000000000003</v>
      </c>
      <c r="V254" s="4">
        <f t="shared" si="22"/>
        <v>0.38959901943617586</v>
      </c>
      <c r="W254" t="str">
        <f t="shared" si="23"/>
        <v>May</v>
      </c>
    </row>
    <row r="255" spans="1:23" x14ac:dyDescent="0.25">
      <c r="A255" t="s">
        <v>524</v>
      </c>
      <c r="B255" t="s">
        <v>309</v>
      </c>
      <c r="C255" s="2">
        <v>45753.652777777781</v>
      </c>
      <c r="D255" t="s">
        <v>105</v>
      </c>
      <c r="E255" t="s">
        <v>106</v>
      </c>
      <c r="F255" t="s">
        <v>37</v>
      </c>
      <c r="G255" t="s">
        <v>107</v>
      </c>
      <c r="H255">
        <v>1</v>
      </c>
      <c r="I255" s="3">
        <v>1799</v>
      </c>
      <c r="J255" s="4">
        <v>0.2</v>
      </c>
      <c r="K255" s="3">
        <v>49</v>
      </c>
      <c r="L255" t="s">
        <v>125</v>
      </c>
      <c r="M255" t="s">
        <v>126</v>
      </c>
      <c r="N255" t="s">
        <v>50</v>
      </c>
      <c r="O255" t="s">
        <v>59</v>
      </c>
      <c r="P255" t="s">
        <v>85</v>
      </c>
      <c r="Q255">
        <v>3</v>
      </c>
      <c r="R255" s="3">
        <f t="shared" si="18"/>
        <v>1799</v>
      </c>
      <c r="S255" s="3">
        <f t="shared" si="19"/>
        <v>359.8</v>
      </c>
      <c r="T255" s="3">
        <f t="shared" si="20"/>
        <v>1488.2</v>
      </c>
      <c r="U255" s="3">
        <f t="shared" si="21"/>
        <v>228.90000000000009</v>
      </c>
      <c r="V255" s="4">
        <f t="shared" si="22"/>
        <v>0.15380997177798689</v>
      </c>
      <c r="W255" t="str">
        <f t="shared" si="23"/>
        <v>Apr</v>
      </c>
    </row>
    <row r="256" spans="1:23" x14ac:dyDescent="0.25">
      <c r="A256" t="s">
        <v>525</v>
      </c>
      <c r="B256" t="s">
        <v>255</v>
      </c>
      <c r="C256" s="2">
        <v>45888.793749999997</v>
      </c>
      <c r="D256" t="s">
        <v>105</v>
      </c>
      <c r="E256" t="s">
        <v>106</v>
      </c>
      <c r="F256" t="s">
        <v>37</v>
      </c>
      <c r="G256" t="s">
        <v>107</v>
      </c>
      <c r="H256">
        <v>1</v>
      </c>
      <c r="I256" s="3">
        <v>1799</v>
      </c>
      <c r="J256" s="4">
        <v>0</v>
      </c>
      <c r="K256" s="3">
        <v>79</v>
      </c>
      <c r="L256" t="s">
        <v>100</v>
      </c>
      <c r="M256" t="s">
        <v>101</v>
      </c>
      <c r="N256" t="s">
        <v>430</v>
      </c>
      <c r="O256" t="s">
        <v>59</v>
      </c>
      <c r="P256" t="s">
        <v>33</v>
      </c>
      <c r="Q256">
        <v>5</v>
      </c>
      <c r="R256" s="3">
        <f t="shared" si="18"/>
        <v>1799</v>
      </c>
      <c r="S256" s="3">
        <f t="shared" si="19"/>
        <v>0</v>
      </c>
      <c r="T256" s="3">
        <f t="shared" si="20"/>
        <v>1878</v>
      </c>
      <c r="U256" s="3">
        <f t="shared" si="21"/>
        <v>618.70000000000005</v>
      </c>
      <c r="V256" s="4">
        <f t="shared" si="22"/>
        <v>0.32944621938232166</v>
      </c>
      <c r="W256" t="str">
        <f t="shared" si="23"/>
        <v>Aug</v>
      </c>
    </row>
    <row r="257" spans="1:23" x14ac:dyDescent="0.25">
      <c r="A257" t="s">
        <v>526</v>
      </c>
      <c r="B257" t="s">
        <v>527</v>
      </c>
      <c r="C257" s="2">
        <v>45909.572916666657</v>
      </c>
      <c r="D257" t="s">
        <v>62</v>
      </c>
      <c r="E257" t="s">
        <v>63</v>
      </c>
      <c r="F257" t="s">
        <v>46</v>
      </c>
      <c r="G257" t="s">
        <v>64</v>
      </c>
      <c r="H257">
        <v>1</v>
      </c>
      <c r="I257" s="3">
        <v>699</v>
      </c>
      <c r="J257" s="4">
        <v>0.1</v>
      </c>
      <c r="K257" s="3">
        <v>49</v>
      </c>
      <c r="L257" t="s">
        <v>119</v>
      </c>
      <c r="M257" t="s">
        <v>120</v>
      </c>
      <c r="N257" t="s">
        <v>253</v>
      </c>
      <c r="O257" t="s">
        <v>93</v>
      </c>
      <c r="P257" t="s">
        <v>52</v>
      </c>
      <c r="R257" s="3">
        <f t="shared" si="18"/>
        <v>699</v>
      </c>
      <c r="S257" s="3">
        <f t="shared" si="19"/>
        <v>69.900000000000006</v>
      </c>
      <c r="T257" s="3">
        <f t="shared" si="20"/>
        <v>678.1</v>
      </c>
      <c r="U257" s="3">
        <f t="shared" si="21"/>
        <v>188.80000000000007</v>
      </c>
      <c r="V257" s="4">
        <f t="shared" si="22"/>
        <v>0.2784250110603157</v>
      </c>
      <c r="W257" t="str">
        <f t="shared" si="23"/>
        <v>Sep</v>
      </c>
    </row>
    <row r="258" spans="1:23" x14ac:dyDescent="0.25">
      <c r="A258" t="s">
        <v>528</v>
      </c>
      <c r="B258" t="s">
        <v>261</v>
      </c>
      <c r="C258" s="2">
        <v>45773.720833333333</v>
      </c>
      <c r="D258" t="s">
        <v>67</v>
      </c>
      <c r="E258" t="s">
        <v>68</v>
      </c>
      <c r="F258" t="s">
        <v>37</v>
      </c>
      <c r="G258" t="s">
        <v>38</v>
      </c>
      <c r="H258">
        <v>1</v>
      </c>
      <c r="I258" s="3">
        <v>1299</v>
      </c>
      <c r="J258" s="4">
        <v>0.1</v>
      </c>
      <c r="K258" s="3">
        <v>99</v>
      </c>
      <c r="L258" t="s">
        <v>48</v>
      </c>
      <c r="M258" t="s">
        <v>49</v>
      </c>
      <c r="N258" t="s">
        <v>102</v>
      </c>
      <c r="O258" t="s">
        <v>32</v>
      </c>
      <c r="P258" t="s">
        <v>33</v>
      </c>
      <c r="Q258">
        <v>1</v>
      </c>
      <c r="R258" s="3">
        <f t="shared" ref="R258:R321" si="24">IFERROR(H258*I258,"")</f>
        <v>1299</v>
      </c>
      <c r="S258" s="3">
        <f t="shared" ref="S258:S321" si="25">IFERROR(R258*J258,"")</f>
        <v>129.9</v>
      </c>
      <c r="T258" s="3">
        <f t="shared" ref="T258:T321" si="26">IFERROR(R258-S258+K258,"")</f>
        <v>1268.0999999999999</v>
      </c>
      <c r="U258" s="3">
        <f t="shared" ref="U258:U321" si="27">IFERROR(T258-(R258*70%),"")</f>
        <v>358.79999999999995</v>
      </c>
      <c r="V258" s="4">
        <f t="shared" ref="V258:V321" si="28">IFERROR(U258/T258,"")</f>
        <v>0.28294298556896141</v>
      </c>
      <c r="W258" t="str">
        <f t="shared" ref="W258:W321" si="29">IFERROR(TEXT(C258,"mmm"),"")</f>
        <v>Apr</v>
      </c>
    </row>
    <row r="259" spans="1:23" x14ac:dyDescent="0.25">
      <c r="A259" t="s">
        <v>529</v>
      </c>
      <c r="B259" t="s">
        <v>24</v>
      </c>
      <c r="C259" s="2">
        <v>45936.481944444437</v>
      </c>
      <c r="D259" t="s">
        <v>44</v>
      </c>
      <c r="E259" t="s">
        <v>45</v>
      </c>
      <c r="F259" t="s">
        <v>46</v>
      </c>
      <c r="G259" t="s">
        <v>47</v>
      </c>
      <c r="H259">
        <v>1</v>
      </c>
      <c r="I259" s="3">
        <v>1199</v>
      </c>
      <c r="J259" s="4">
        <v>0.2</v>
      </c>
      <c r="K259" s="3">
        <v>79</v>
      </c>
      <c r="L259" t="s">
        <v>29</v>
      </c>
      <c r="M259" t="s">
        <v>30</v>
      </c>
      <c r="N259" t="s">
        <v>50</v>
      </c>
      <c r="O259" t="s">
        <v>59</v>
      </c>
      <c r="P259" t="s">
        <v>33</v>
      </c>
      <c r="Q259">
        <v>1</v>
      </c>
      <c r="R259" s="3">
        <f t="shared" si="24"/>
        <v>1199</v>
      </c>
      <c r="S259" s="3">
        <f t="shared" si="25"/>
        <v>239.8</v>
      </c>
      <c r="T259" s="3">
        <f t="shared" si="26"/>
        <v>1038.2</v>
      </c>
      <c r="U259" s="3">
        <f t="shared" si="27"/>
        <v>198.90000000000009</v>
      </c>
      <c r="V259" s="4">
        <f t="shared" si="28"/>
        <v>0.19158158350992111</v>
      </c>
      <c r="W259" t="str">
        <f t="shared" si="29"/>
        <v>Oct</v>
      </c>
    </row>
    <row r="260" spans="1:23" x14ac:dyDescent="0.25">
      <c r="A260" t="s">
        <v>530</v>
      </c>
      <c r="B260" t="s">
        <v>411</v>
      </c>
      <c r="C260" s="2">
        <v>45674.594444444447</v>
      </c>
      <c r="D260" t="s">
        <v>77</v>
      </c>
      <c r="E260" t="s">
        <v>78</v>
      </c>
      <c r="F260" t="s">
        <v>79</v>
      </c>
      <c r="G260" t="s">
        <v>28</v>
      </c>
      <c r="H260">
        <v>1</v>
      </c>
      <c r="I260" s="3">
        <v>6499</v>
      </c>
      <c r="J260" s="4">
        <v>0</v>
      </c>
      <c r="K260" s="3">
        <v>79</v>
      </c>
      <c r="L260" t="s">
        <v>113</v>
      </c>
      <c r="M260" t="s">
        <v>114</v>
      </c>
      <c r="N260" t="s">
        <v>50</v>
      </c>
      <c r="O260" t="s">
        <v>41</v>
      </c>
      <c r="P260" t="s">
        <v>33</v>
      </c>
      <c r="R260" s="3">
        <f t="shared" si="24"/>
        <v>6499</v>
      </c>
      <c r="S260" s="3">
        <f t="shared" si="25"/>
        <v>0</v>
      </c>
      <c r="T260" s="3">
        <f t="shared" si="26"/>
        <v>6578</v>
      </c>
      <c r="U260" s="3">
        <f t="shared" si="27"/>
        <v>2028.7000000000007</v>
      </c>
      <c r="V260" s="4">
        <f t="shared" si="28"/>
        <v>0.30840681058072372</v>
      </c>
      <c r="W260" t="str">
        <f t="shared" si="29"/>
        <v>Jan</v>
      </c>
    </row>
    <row r="261" spans="1:23" x14ac:dyDescent="0.25">
      <c r="A261" t="s">
        <v>531</v>
      </c>
      <c r="B261" t="s">
        <v>487</v>
      </c>
      <c r="C261" s="2">
        <v>46021.819444444453</v>
      </c>
      <c r="D261" t="s">
        <v>77</v>
      </c>
      <c r="E261" t="s">
        <v>78</v>
      </c>
      <c r="F261" t="s">
        <v>79</v>
      </c>
      <c r="G261" t="s">
        <v>28</v>
      </c>
      <c r="H261">
        <v>2</v>
      </c>
      <c r="I261" s="3">
        <v>6499</v>
      </c>
      <c r="J261" s="4">
        <v>0</v>
      </c>
      <c r="K261" s="3">
        <v>99</v>
      </c>
      <c r="L261" t="s">
        <v>125</v>
      </c>
      <c r="M261" t="s">
        <v>126</v>
      </c>
      <c r="N261" t="s">
        <v>50</v>
      </c>
      <c r="O261" t="s">
        <v>41</v>
      </c>
      <c r="P261" t="s">
        <v>52</v>
      </c>
      <c r="R261" s="3">
        <f t="shared" si="24"/>
        <v>12998</v>
      </c>
      <c r="S261" s="3">
        <f t="shared" si="25"/>
        <v>0</v>
      </c>
      <c r="T261" s="3">
        <f t="shared" si="26"/>
        <v>13097</v>
      </c>
      <c r="U261" s="3">
        <f t="shared" si="27"/>
        <v>3998.4000000000015</v>
      </c>
      <c r="V261" s="4">
        <f t="shared" si="28"/>
        <v>0.30529128808124006</v>
      </c>
      <c r="W261" t="str">
        <f t="shared" si="29"/>
        <v>Dec</v>
      </c>
    </row>
    <row r="262" spans="1:23" x14ac:dyDescent="0.25">
      <c r="A262" t="s">
        <v>532</v>
      </c>
      <c r="B262" t="s">
        <v>403</v>
      </c>
      <c r="C262" s="2">
        <v>45801.81527777778</v>
      </c>
      <c r="D262" t="s">
        <v>35</v>
      </c>
      <c r="E262" t="s">
        <v>36</v>
      </c>
      <c r="F262" t="s">
        <v>37</v>
      </c>
      <c r="G262" t="s">
        <v>38</v>
      </c>
      <c r="H262">
        <v>1</v>
      </c>
      <c r="I262" s="3">
        <v>599</v>
      </c>
      <c r="J262" s="4">
        <v>0.05</v>
      </c>
      <c r="K262" s="3">
        <v>59</v>
      </c>
      <c r="L262" t="s">
        <v>125</v>
      </c>
      <c r="M262" t="s">
        <v>126</v>
      </c>
      <c r="N262" t="s">
        <v>102</v>
      </c>
      <c r="O262" t="s">
        <v>51</v>
      </c>
      <c r="P262" t="s">
        <v>33</v>
      </c>
      <c r="R262" s="3">
        <f t="shared" si="24"/>
        <v>599</v>
      </c>
      <c r="S262" s="3">
        <f t="shared" si="25"/>
        <v>29.950000000000003</v>
      </c>
      <c r="T262" s="3">
        <f t="shared" si="26"/>
        <v>628.04999999999995</v>
      </c>
      <c r="U262" s="3">
        <f t="shared" si="27"/>
        <v>208.75</v>
      </c>
      <c r="V262" s="4">
        <f t="shared" si="28"/>
        <v>0.33237799538253326</v>
      </c>
      <c r="W262" t="str">
        <f t="shared" si="29"/>
        <v>May</v>
      </c>
    </row>
    <row r="263" spans="1:23" x14ac:dyDescent="0.25">
      <c r="A263" t="s">
        <v>533</v>
      </c>
      <c r="B263" t="s">
        <v>534</v>
      </c>
      <c r="C263" s="2">
        <v>45868.053472222222</v>
      </c>
      <c r="D263" t="s">
        <v>62</v>
      </c>
      <c r="E263" t="s">
        <v>63</v>
      </c>
      <c r="F263" t="s">
        <v>46</v>
      </c>
      <c r="G263" t="s">
        <v>64</v>
      </c>
      <c r="H263">
        <v>1</v>
      </c>
      <c r="I263" s="3">
        <v>699</v>
      </c>
      <c r="J263" s="4">
        <v>0</v>
      </c>
      <c r="K263" s="3">
        <v>49</v>
      </c>
      <c r="L263" t="s">
        <v>29</v>
      </c>
      <c r="M263" t="s">
        <v>30</v>
      </c>
      <c r="N263" t="s">
        <v>50</v>
      </c>
      <c r="O263" t="s">
        <v>51</v>
      </c>
      <c r="P263" t="s">
        <v>80</v>
      </c>
      <c r="R263" s="3">
        <f t="shared" si="24"/>
        <v>699</v>
      </c>
      <c r="S263" s="3">
        <f t="shared" si="25"/>
        <v>0</v>
      </c>
      <c r="T263" s="3">
        <f t="shared" si="26"/>
        <v>748</v>
      </c>
      <c r="U263" s="3">
        <f t="shared" si="27"/>
        <v>258.70000000000005</v>
      </c>
      <c r="V263" s="4">
        <f t="shared" si="28"/>
        <v>0.34585561497326212</v>
      </c>
      <c r="W263" t="str">
        <f t="shared" si="29"/>
        <v>Jul</v>
      </c>
    </row>
    <row r="264" spans="1:23" x14ac:dyDescent="0.25">
      <c r="A264" t="s">
        <v>535</v>
      </c>
      <c r="B264" t="s">
        <v>536</v>
      </c>
      <c r="C264" s="2">
        <v>45953.845138888893</v>
      </c>
      <c r="D264" t="s">
        <v>67</v>
      </c>
      <c r="E264" t="s">
        <v>68</v>
      </c>
      <c r="F264" t="s">
        <v>37</v>
      </c>
      <c r="G264" t="s">
        <v>38</v>
      </c>
      <c r="H264">
        <v>2</v>
      </c>
      <c r="I264" s="3">
        <v>1299</v>
      </c>
      <c r="J264" s="4">
        <v>0.1</v>
      </c>
      <c r="K264" s="3">
        <v>79</v>
      </c>
      <c r="L264" t="s">
        <v>57</v>
      </c>
      <c r="M264" t="s">
        <v>58</v>
      </c>
      <c r="N264" t="s">
        <v>31</v>
      </c>
      <c r="O264" t="s">
        <v>93</v>
      </c>
      <c r="P264" t="s">
        <v>80</v>
      </c>
      <c r="Q264">
        <v>4</v>
      </c>
      <c r="R264" s="3">
        <f t="shared" si="24"/>
        <v>2598</v>
      </c>
      <c r="S264" s="3">
        <f t="shared" si="25"/>
        <v>259.8</v>
      </c>
      <c r="T264" s="3">
        <f t="shared" si="26"/>
        <v>2417.1999999999998</v>
      </c>
      <c r="U264" s="3">
        <f t="shared" si="27"/>
        <v>598.59999999999991</v>
      </c>
      <c r="V264" s="4">
        <f t="shared" si="28"/>
        <v>0.24764189971868275</v>
      </c>
      <c r="W264" t="str">
        <f t="shared" si="29"/>
        <v>Oct</v>
      </c>
    </row>
    <row r="265" spans="1:23" x14ac:dyDescent="0.25">
      <c r="A265" t="s">
        <v>537</v>
      </c>
      <c r="B265" t="s">
        <v>177</v>
      </c>
      <c r="C265" s="2">
        <v>45846.604861111111</v>
      </c>
      <c r="D265" t="s">
        <v>62</v>
      </c>
      <c r="E265" t="s">
        <v>63</v>
      </c>
      <c r="F265" t="s">
        <v>46</v>
      </c>
      <c r="G265" t="s">
        <v>64</v>
      </c>
      <c r="H265">
        <v>2</v>
      </c>
      <c r="I265" s="3">
        <v>699</v>
      </c>
      <c r="J265" s="4">
        <v>0.15</v>
      </c>
      <c r="K265" s="3">
        <v>0</v>
      </c>
      <c r="L265" t="s">
        <v>48</v>
      </c>
      <c r="M265" t="s">
        <v>49</v>
      </c>
      <c r="N265" t="s">
        <v>40</v>
      </c>
      <c r="O265" t="s">
        <v>51</v>
      </c>
      <c r="P265" t="s">
        <v>33</v>
      </c>
      <c r="R265" s="3">
        <f t="shared" si="24"/>
        <v>1398</v>
      </c>
      <c r="S265" s="3">
        <f t="shared" si="25"/>
        <v>209.7</v>
      </c>
      <c r="T265" s="3">
        <f t="shared" si="26"/>
        <v>1188.3</v>
      </c>
      <c r="U265" s="3">
        <f t="shared" si="27"/>
        <v>209.70000000000005</v>
      </c>
      <c r="V265" s="4">
        <f t="shared" si="28"/>
        <v>0.17647058823529416</v>
      </c>
      <c r="W265" t="str">
        <f t="shared" si="29"/>
        <v>Jul</v>
      </c>
    </row>
    <row r="266" spans="1:23" x14ac:dyDescent="0.25">
      <c r="A266" t="s">
        <v>538</v>
      </c>
      <c r="B266" t="s">
        <v>539</v>
      </c>
      <c r="C266" s="2">
        <v>45877.271527777782</v>
      </c>
      <c r="D266" t="s">
        <v>55</v>
      </c>
      <c r="E266" t="s">
        <v>56</v>
      </c>
      <c r="F266" t="s">
        <v>37</v>
      </c>
      <c r="G266" t="s">
        <v>38</v>
      </c>
      <c r="H266">
        <v>1</v>
      </c>
      <c r="I266" s="3">
        <v>2499</v>
      </c>
      <c r="J266" s="4">
        <v>0.05</v>
      </c>
      <c r="K266" s="3">
        <v>59</v>
      </c>
      <c r="L266" t="s">
        <v>83</v>
      </c>
      <c r="M266" t="s">
        <v>84</v>
      </c>
      <c r="N266" t="s">
        <v>102</v>
      </c>
      <c r="O266" t="s">
        <v>32</v>
      </c>
      <c r="P266" t="s">
        <v>33</v>
      </c>
      <c r="Q266">
        <v>2</v>
      </c>
      <c r="R266" s="3">
        <f t="shared" si="24"/>
        <v>2499</v>
      </c>
      <c r="S266" s="3">
        <f t="shared" si="25"/>
        <v>124.95</v>
      </c>
      <c r="T266" s="3">
        <f t="shared" si="26"/>
        <v>2433.0500000000002</v>
      </c>
      <c r="U266" s="3">
        <f t="shared" si="27"/>
        <v>683.75000000000023</v>
      </c>
      <c r="V266" s="4">
        <f t="shared" si="28"/>
        <v>0.28102587287560887</v>
      </c>
      <c r="W266" t="str">
        <f t="shared" si="29"/>
        <v>Aug</v>
      </c>
    </row>
    <row r="267" spans="1:23" x14ac:dyDescent="0.25">
      <c r="A267" t="s">
        <v>540</v>
      </c>
      <c r="B267" t="s">
        <v>477</v>
      </c>
      <c r="C267" s="2">
        <v>46007.043055555558</v>
      </c>
      <c r="D267" t="s">
        <v>44</v>
      </c>
      <c r="E267" t="s">
        <v>45</v>
      </c>
      <c r="F267" t="s">
        <v>46</v>
      </c>
      <c r="G267" t="s">
        <v>47</v>
      </c>
      <c r="H267">
        <v>3</v>
      </c>
      <c r="I267" s="3">
        <v>1199</v>
      </c>
      <c r="J267" s="4"/>
      <c r="K267" s="3">
        <v>79</v>
      </c>
      <c r="L267" t="s">
        <v>119</v>
      </c>
      <c r="M267" t="s">
        <v>120</v>
      </c>
      <c r="N267" t="s">
        <v>31</v>
      </c>
      <c r="O267" t="s">
        <v>41</v>
      </c>
      <c r="P267" t="s">
        <v>33</v>
      </c>
      <c r="Q267">
        <v>4</v>
      </c>
      <c r="R267" s="3">
        <f t="shared" si="24"/>
        <v>3597</v>
      </c>
      <c r="S267" s="3">
        <f t="shared" si="25"/>
        <v>0</v>
      </c>
      <c r="T267" s="3">
        <f t="shared" si="26"/>
        <v>3676</v>
      </c>
      <c r="U267" s="3">
        <f t="shared" si="27"/>
        <v>1158.1000000000004</v>
      </c>
      <c r="V267" s="4">
        <f t="shared" si="28"/>
        <v>0.31504352557127324</v>
      </c>
      <c r="W267" t="str">
        <f t="shared" si="29"/>
        <v>Dec</v>
      </c>
    </row>
    <row r="268" spans="1:23" x14ac:dyDescent="0.25">
      <c r="A268" t="s">
        <v>541</v>
      </c>
      <c r="B268" t="s">
        <v>158</v>
      </c>
      <c r="C268" s="2">
        <v>45877.280555555553</v>
      </c>
      <c r="D268" t="s">
        <v>90</v>
      </c>
      <c r="E268" t="s">
        <v>91</v>
      </c>
      <c r="F268" t="s">
        <v>37</v>
      </c>
      <c r="G268" t="s">
        <v>92</v>
      </c>
      <c r="H268">
        <v>5</v>
      </c>
      <c r="I268" s="3">
        <v>3499</v>
      </c>
      <c r="J268" s="4">
        <v>0.2</v>
      </c>
      <c r="K268" s="3">
        <v>59</v>
      </c>
      <c r="L268" t="s">
        <v>39</v>
      </c>
      <c r="M268" t="s">
        <v>39</v>
      </c>
      <c r="N268" t="s">
        <v>71</v>
      </c>
      <c r="O268" t="s">
        <v>93</v>
      </c>
      <c r="P268" t="s">
        <v>33</v>
      </c>
      <c r="R268" s="3">
        <f t="shared" si="24"/>
        <v>17495</v>
      </c>
      <c r="S268" s="3">
        <f t="shared" si="25"/>
        <v>3499</v>
      </c>
      <c r="T268" s="3">
        <f t="shared" si="26"/>
        <v>14055</v>
      </c>
      <c r="U268" s="3">
        <f t="shared" si="27"/>
        <v>1808.5</v>
      </c>
      <c r="V268" s="4">
        <f t="shared" si="28"/>
        <v>0.12867307008182141</v>
      </c>
      <c r="W268" t="str">
        <f t="shared" si="29"/>
        <v>Aug</v>
      </c>
    </row>
    <row r="269" spans="1:23" x14ac:dyDescent="0.25">
      <c r="A269" t="s">
        <v>542</v>
      </c>
      <c r="B269" t="s">
        <v>457</v>
      </c>
      <c r="C269" s="2">
        <v>45998.840277777781</v>
      </c>
      <c r="D269" t="s">
        <v>169</v>
      </c>
      <c r="E269" t="s">
        <v>170</v>
      </c>
      <c r="F269" t="s">
        <v>98</v>
      </c>
      <c r="G269" t="s">
        <v>171</v>
      </c>
      <c r="H269">
        <v>1</v>
      </c>
      <c r="I269" s="3">
        <v>799</v>
      </c>
      <c r="J269" s="4">
        <v>0.1</v>
      </c>
      <c r="K269" s="3">
        <v>59</v>
      </c>
      <c r="L269" t="s">
        <v>48</v>
      </c>
      <c r="M269" t="s">
        <v>49</v>
      </c>
      <c r="N269" t="s">
        <v>40</v>
      </c>
      <c r="O269" t="s">
        <v>93</v>
      </c>
      <c r="P269" t="s">
        <v>33</v>
      </c>
      <c r="R269" s="3">
        <f t="shared" si="24"/>
        <v>799</v>
      </c>
      <c r="S269" s="3">
        <f t="shared" si="25"/>
        <v>79.900000000000006</v>
      </c>
      <c r="T269" s="3">
        <f t="shared" si="26"/>
        <v>778.1</v>
      </c>
      <c r="U269" s="3">
        <f t="shared" si="27"/>
        <v>218.80000000000007</v>
      </c>
      <c r="V269" s="4">
        <f t="shared" si="28"/>
        <v>0.28119778948721252</v>
      </c>
      <c r="W269" t="str">
        <f t="shared" si="29"/>
        <v>Dec</v>
      </c>
    </row>
    <row r="270" spans="1:23" x14ac:dyDescent="0.25">
      <c r="A270" t="s">
        <v>543</v>
      </c>
      <c r="B270" t="s">
        <v>146</v>
      </c>
      <c r="C270" s="2">
        <v>45697.192361111112</v>
      </c>
      <c r="D270" t="s">
        <v>55</v>
      </c>
      <c r="E270" t="s">
        <v>56</v>
      </c>
      <c r="F270" t="s">
        <v>37</v>
      </c>
      <c r="G270" t="s">
        <v>38</v>
      </c>
      <c r="H270">
        <v>1</v>
      </c>
      <c r="I270" s="3">
        <v>2499</v>
      </c>
      <c r="J270" s="4">
        <v>0.15</v>
      </c>
      <c r="K270" s="3">
        <v>79</v>
      </c>
      <c r="L270" t="s">
        <v>39</v>
      </c>
      <c r="M270" t="s">
        <v>39</v>
      </c>
      <c r="N270" t="s">
        <v>31</v>
      </c>
      <c r="O270" t="s">
        <v>51</v>
      </c>
      <c r="P270" t="s">
        <v>33</v>
      </c>
      <c r="R270" s="3">
        <f t="shared" si="24"/>
        <v>2499</v>
      </c>
      <c r="S270" s="3">
        <f t="shared" si="25"/>
        <v>374.84999999999997</v>
      </c>
      <c r="T270" s="3">
        <f t="shared" si="26"/>
        <v>2203.15</v>
      </c>
      <c r="U270" s="3">
        <f t="shared" si="27"/>
        <v>453.85000000000014</v>
      </c>
      <c r="V270" s="4">
        <f t="shared" si="28"/>
        <v>0.20600049928511455</v>
      </c>
      <c r="W270" t="str">
        <f t="shared" si="29"/>
        <v>Feb</v>
      </c>
    </row>
    <row r="271" spans="1:23" x14ac:dyDescent="0.25">
      <c r="A271" t="s">
        <v>544</v>
      </c>
      <c r="B271" t="s">
        <v>545</v>
      </c>
      <c r="C271" s="2">
        <v>45902.093055555553</v>
      </c>
      <c r="D271" t="s">
        <v>55</v>
      </c>
      <c r="E271" t="s">
        <v>56</v>
      </c>
      <c r="F271" t="s">
        <v>37</v>
      </c>
      <c r="G271" t="s">
        <v>38</v>
      </c>
      <c r="H271">
        <v>2</v>
      </c>
      <c r="I271" s="3">
        <v>2499</v>
      </c>
      <c r="J271" s="4">
        <v>0</v>
      </c>
      <c r="K271" s="3">
        <v>0</v>
      </c>
      <c r="L271" t="s">
        <v>57</v>
      </c>
      <c r="M271" t="s">
        <v>58</v>
      </c>
      <c r="N271" t="s">
        <v>71</v>
      </c>
      <c r="O271" t="s">
        <v>51</v>
      </c>
      <c r="P271" t="s">
        <v>52</v>
      </c>
      <c r="Q271">
        <v>3</v>
      </c>
      <c r="R271" s="3">
        <f t="shared" si="24"/>
        <v>4998</v>
      </c>
      <c r="S271" s="3">
        <f t="shared" si="25"/>
        <v>0</v>
      </c>
      <c r="T271" s="3">
        <f t="shared" si="26"/>
        <v>4998</v>
      </c>
      <c r="U271" s="3">
        <f t="shared" si="27"/>
        <v>1499.4</v>
      </c>
      <c r="V271" s="4">
        <f t="shared" si="28"/>
        <v>0.30000000000000004</v>
      </c>
      <c r="W271" t="str">
        <f t="shared" si="29"/>
        <v>Sep</v>
      </c>
    </row>
    <row r="272" spans="1:23" x14ac:dyDescent="0.25">
      <c r="A272" t="s">
        <v>546</v>
      </c>
      <c r="B272" t="s">
        <v>329</v>
      </c>
      <c r="C272" s="2">
        <v>45726.863194444442</v>
      </c>
      <c r="D272" t="s">
        <v>105</v>
      </c>
      <c r="E272" t="s">
        <v>106</v>
      </c>
      <c r="F272" t="s">
        <v>37</v>
      </c>
      <c r="G272" t="s">
        <v>107</v>
      </c>
      <c r="H272">
        <v>3</v>
      </c>
      <c r="I272" s="3">
        <v>1799</v>
      </c>
      <c r="J272" s="4">
        <v>0</v>
      </c>
      <c r="K272" s="3">
        <v>99</v>
      </c>
      <c r="L272" t="s">
        <v>57</v>
      </c>
      <c r="M272" t="s">
        <v>58</v>
      </c>
      <c r="N272" t="s">
        <v>31</v>
      </c>
      <c r="O272" t="s">
        <v>32</v>
      </c>
      <c r="P272" t="s">
        <v>33</v>
      </c>
      <c r="R272" s="3">
        <f t="shared" si="24"/>
        <v>5397</v>
      </c>
      <c r="S272" s="3">
        <f t="shared" si="25"/>
        <v>0</v>
      </c>
      <c r="T272" s="3">
        <f t="shared" si="26"/>
        <v>5496</v>
      </c>
      <c r="U272" s="3">
        <f t="shared" si="27"/>
        <v>1718.1000000000004</v>
      </c>
      <c r="V272" s="4">
        <f t="shared" si="28"/>
        <v>0.31260917030567692</v>
      </c>
      <c r="W272" t="str">
        <f t="shared" si="29"/>
        <v>Mar</v>
      </c>
    </row>
    <row r="273" spans="1:23" x14ac:dyDescent="0.25">
      <c r="A273" t="s">
        <v>547</v>
      </c>
      <c r="B273" t="s">
        <v>175</v>
      </c>
      <c r="C273" s="2">
        <v>45767.865972222222</v>
      </c>
      <c r="D273" t="s">
        <v>105</v>
      </c>
      <c r="E273" t="s">
        <v>106</v>
      </c>
      <c r="F273" t="s">
        <v>37</v>
      </c>
      <c r="G273" t="s">
        <v>107</v>
      </c>
      <c r="H273">
        <v>1</v>
      </c>
      <c r="I273" s="3">
        <v>1799</v>
      </c>
      <c r="J273" s="4">
        <v>0.1</v>
      </c>
      <c r="K273" s="3">
        <v>99</v>
      </c>
      <c r="L273" t="s">
        <v>119</v>
      </c>
      <c r="M273" t="s">
        <v>120</v>
      </c>
      <c r="N273" t="s">
        <v>50</v>
      </c>
      <c r="O273" t="s">
        <v>93</v>
      </c>
      <c r="P273" t="s">
        <v>33</v>
      </c>
      <c r="Q273">
        <v>1</v>
      </c>
      <c r="R273" s="3">
        <f t="shared" si="24"/>
        <v>1799</v>
      </c>
      <c r="S273" s="3">
        <f t="shared" si="25"/>
        <v>179.9</v>
      </c>
      <c r="T273" s="3">
        <f t="shared" si="26"/>
        <v>1718.1</v>
      </c>
      <c r="U273" s="3">
        <f t="shared" si="27"/>
        <v>458.79999999999995</v>
      </c>
      <c r="V273" s="4">
        <f t="shared" si="28"/>
        <v>0.26703917117746345</v>
      </c>
      <c r="W273" t="str">
        <f t="shared" si="29"/>
        <v>Apr</v>
      </c>
    </row>
    <row r="274" spans="1:23" x14ac:dyDescent="0.25">
      <c r="A274" t="s">
        <v>548</v>
      </c>
      <c r="B274" t="s">
        <v>222</v>
      </c>
      <c r="C274" s="2">
        <v>45854.477083333331</v>
      </c>
      <c r="D274" t="s">
        <v>105</v>
      </c>
      <c r="E274" t="s">
        <v>106</v>
      </c>
      <c r="F274" t="s">
        <v>37</v>
      </c>
      <c r="G274" t="s">
        <v>107</v>
      </c>
      <c r="H274">
        <v>2</v>
      </c>
      <c r="I274" s="3">
        <v>1799</v>
      </c>
      <c r="J274" s="4">
        <v>0</v>
      </c>
      <c r="K274" s="3">
        <v>49</v>
      </c>
      <c r="L274" t="s">
        <v>29</v>
      </c>
      <c r="M274" t="s">
        <v>30</v>
      </c>
      <c r="N274" t="s">
        <v>31</v>
      </c>
      <c r="O274" t="s">
        <v>41</v>
      </c>
      <c r="P274" t="s">
        <v>33</v>
      </c>
      <c r="Q274">
        <v>5</v>
      </c>
      <c r="R274" s="3">
        <f t="shared" si="24"/>
        <v>3598</v>
      </c>
      <c r="S274" s="3">
        <f t="shared" si="25"/>
        <v>0</v>
      </c>
      <c r="T274" s="3">
        <f t="shared" si="26"/>
        <v>3647</v>
      </c>
      <c r="U274" s="3">
        <f t="shared" si="27"/>
        <v>1128.4000000000001</v>
      </c>
      <c r="V274" s="4">
        <f t="shared" si="28"/>
        <v>0.30940499040307107</v>
      </c>
      <c r="W274" t="str">
        <f t="shared" si="29"/>
        <v>Jul</v>
      </c>
    </row>
    <row r="275" spans="1:23" x14ac:dyDescent="0.25">
      <c r="A275" t="s">
        <v>549</v>
      </c>
      <c r="B275" t="s">
        <v>550</v>
      </c>
      <c r="C275" s="2">
        <v>45803.917361111111</v>
      </c>
      <c r="D275" t="s">
        <v>44</v>
      </c>
      <c r="E275" t="s">
        <v>45</v>
      </c>
      <c r="F275" t="s">
        <v>46</v>
      </c>
      <c r="G275" t="s">
        <v>47</v>
      </c>
      <c r="H275">
        <v>2</v>
      </c>
      <c r="I275" s="3">
        <v>1199</v>
      </c>
      <c r="J275" s="4">
        <v>0.05</v>
      </c>
      <c r="K275" s="3">
        <v>49</v>
      </c>
      <c r="L275" t="s">
        <v>125</v>
      </c>
      <c r="M275" t="s">
        <v>126</v>
      </c>
      <c r="N275" t="s">
        <v>102</v>
      </c>
      <c r="O275" t="s">
        <v>32</v>
      </c>
      <c r="P275" t="s">
        <v>80</v>
      </c>
      <c r="Q275">
        <v>2</v>
      </c>
      <c r="R275" s="3">
        <f t="shared" si="24"/>
        <v>2398</v>
      </c>
      <c r="S275" s="3">
        <f t="shared" si="25"/>
        <v>119.9</v>
      </c>
      <c r="T275" s="3">
        <f t="shared" si="26"/>
        <v>2327.1</v>
      </c>
      <c r="U275" s="3">
        <f t="shared" si="27"/>
        <v>648.5</v>
      </c>
      <c r="V275" s="4">
        <f t="shared" si="28"/>
        <v>0.27867302651368658</v>
      </c>
      <c r="W275" t="str">
        <f t="shared" si="29"/>
        <v>May</v>
      </c>
    </row>
    <row r="276" spans="1:23" x14ac:dyDescent="0.25">
      <c r="A276" t="s">
        <v>551</v>
      </c>
      <c r="B276" t="s">
        <v>552</v>
      </c>
      <c r="C276" s="2">
        <v>45685.313194444447</v>
      </c>
      <c r="D276" t="s">
        <v>77</v>
      </c>
      <c r="E276" t="s">
        <v>78</v>
      </c>
      <c r="F276" t="s">
        <v>79</v>
      </c>
      <c r="G276" t="s">
        <v>28</v>
      </c>
      <c r="H276">
        <v>1</v>
      </c>
      <c r="I276" s="3">
        <v>6499</v>
      </c>
      <c r="J276" s="4">
        <v>0</v>
      </c>
      <c r="K276" s="3">
        <v>49</v>
      </c>
      <c r="L276" t="s">
        <v>57</v>
      </c>
      <c r="M276" t="s">
        <v>58</v>
      </c>
      <c r="N276" t="s">
        <v>102</v>
      </c>
      <c r="O276" t="s">
        <v>93</v>
      </c>
      <c r="P276" t="s">
        <v>52</v>
      </c>
      <c r="Q276">
        <v>5</v>
      </c>
      <c r="R276" s="3">
        <f t="shared" si="24"/>
        <v>6499</v>
      </c>
      <c r="S276" s="3">
        <f t="shared" si="25"/>
        <v>0</v>
      </c>
      <c r="T276" s="3">
        <f t="shared" si="26"/>
        <v>6548</v>
      </c>
      <c r="U276" s="3">
        <f t="shared" si="27"/>
        <v>1998.7000000000007</v>
      </c>
      <c r="V276" s="4">
        <f t="shared" si="28"/>
        <v>0.30523824068417849</v>
      </c>
      <c r="W276" t="str">
        <f t="shared" si="29"/>
        <v>Jan</v>
      </c>
    </row>
    <row r="277" spans="1:23" x14ac:dyDescent="0.25">
      <c r="A277" t="s">
        <v>553</v>
      </c>
      <c r="C277" s="2">
        <v>45725.538194444453</v>
      </c>
      <c r="D277" t="s">
        <v>35</v>
      </c>
      <c r="E277" t="s">
        <v>36</v>
      </c>
      <c r="F277" t="s">
        <v>37</v>
      </c>
      <c r="G277" t="s">
        <v>38</v>
      </c>
      <c r="H277">
        <v>4</v>
      </c>
      <c r="I277" s="3">
        <v>599</v>
      </c>
      <c r="J277" s="4">
        <v>0.1</v>
      </c>
      <c r="K277" s="3">
        <v>59</v>
      </c>
      <c r="L277" t="s">
        <v>74</v>
      </c>
      <c r="M277" t="s">
        <v>49</v>
      </c>
      <c r="N277" t="s">
        <v>50</v>
      </c>
      <c r="O277" t="s">
        <v>59</v>
      </c>
      <c r="P277" t="s">
        <v>85</v>
      </c>
      <c r="R277" s="3">
        <f t="shared" si="24"/>
        <v>2396</v>
      </c>
      <c r="S277" s="3">
        <f t="shared" si="25"/>
        <v>239.60000000000002</v>
      </c>
      <c r="T277" s="3">
        <f t="shared" si="26"/>
        <v>2215.4</v>
      </c>
      <c r="U277" s="3">
        <f t="shared" si="27"/>
        <v>538.20000000000027</v>
      </c>
      <c r="V277" s="4">
        <f t="shared" si="28"/>
        <v>0.24293581294574354</v>
      </c>
      <c r="W277" t="str">
        <f t="shared" si="29"/>
        <v>Mar</v>
      </c>
    </row>
    <row r="278" spans="1:23" x14ac:dyDescent="0.25">
      <c r="A278" t="s">
        <v>554</v>
      </c>
      <c r="B278" t="s">
        <v>555</v>
      </c>
      <c r="C278" s="2">
        <v>45665.342361111107</v>
      </c>
      <c r="D278" t="s">
        <v>55</v>
      </c>
      <c r="E278" t="s">
        <v>56</v>
      </c>
      <c r="F278" t="s">
        <v>37</v>
      </c>
      <c r="G278" t="s">
        <v>38</v>
      </c>
      <c r="H278">
        <v>2</v>
      </c>
      <c r="I278" s="3">
        <v>2499</v>
      </c>
      <c r="J278" s="4">
        <v>0</v>
      </c>
      <c r="K278" s="3">
        <v>79</v>
      </c>
      <c r="L278" t="s">
        <v>39</v>
      </c>
      <c r="M278" t="s">
        <v>39</v>
      </c>
      <c r="N278" t="s">
        <v>71</v>
      </c>
      <c r="O278" t="s">
        <v>32</v>
      </c>
      <c r="P278" t="s">
        <v>33</v>
      </c>
      <c r="R278" s="3">
        <f t="shared" si="24"/>
        <v>4998</v>
      </c>
      <c r="S278" s="3">
        <f t="shared" si="25"/>
        <v>0</v>
      </c>
      <c r="T278" s="3">
        <f t="shared" si="26"/>
        <v>5077</v>
      </c>
      <c r="U278" s="3">
        <f t="shared" si="27"/>
        <v>1578.4</v>
      </c>
      <c r="V278" s="4">
        <f t="shared" si="28"/>
        <v>0.31089225920819386</v>
      </c>
      <c r="W278" t="str">
        <f t="shared" si="29"/>
        <v>Jan</v>
      </c>
    </row>
    <row r="279" spans="1:23" x14ac:dyDescent="0.25">
      <c r="A279" t="s">
        <v>556</v>
      </c>
      <c r="B279" t="s">
        <v>557</v>
      </c>
      <c r="C279" s="2">
        <v>45700.856944444437</v>
      </c>
      <c r="D279" t="s">
        <v>96</v>
      </c>
      <c r="E279" t="s">
        <v>97</v>
      </c>
      <c r="F279" t="s">
        <v>98</v>
      </c>
      <c r="G279" t="s">
        <v>99</v>
      </c>
      <c r="H279">
        <v>2</v>
      </c>
      <c r="I279" s="3">
        <v>1499</v>
      </c>
      <c r="J279" s="4">
        <v>0.15</v>
      </c>
      <c r="K279" s="3">
        <v>49</v>
      </c>
      <c r="L279" t="s">
        <v>558</v>
      </c>
      <c r="M279" t="s">
        <v>58</v>
      </c>
      <c r="N279" t="s">
        <v>31</v>
      </c>
      <c r="O279" t="s">
        <v>51</v>
      </c>
      <c r="P279" t="s">
        <v>85</v>
      </c>
      <c r="Q279">
        <v>1</v>
      </c>
      <c r="R279" s="3">
        <f t="shared" si="24"/>
        <v>2998</v>
      </c>
      <c r="S279" s="3">
        <f t="shared" si="25"/>
        <v>449.7</v>
      </c>
      <c r="T279" s="3">
        <f t="shared" si="26"/>
        <v>2597.3000000000002</v>
      </c>
      <c r="U279" s="3">
        <f t="shared" si="27"/>
        <v>498.70000000000027</v>
      </c>
      <c r="V279" s="4">
        <f t="shared" si="28"/>
        <v>0.19200708427982915</v>
      </c>
      <c r="W279" t="str">
        <f t="shared" si="29"/>
        <v>Feb</v>
      </c>
    </row>
    <row r="280" spans="1:23" x14ac:dyDescent="0.25">
      <c r="A280" t="s">
        <v>559</v>
      </c>
      <c r="B280" t="s">
        <v>342</v>
      </c>
      <c r="C280" s="2">
        <v>45737.722222222219</v>
      </c>
      <c r="D280" t="s">
        <v>62</v>
      </c>
      <c r="E280" t="s">
        <v>63</v>
      </c>
      <c r="F280" t="s">
        <v>46</v>
      </c>
      <c r="G280" t="s">
        <v>64</v>
      </c>
      <c r="H280">
        <v>5</v>
      </c>
      <c r="I280" s="3">
        <v>699</v>
      </c>
      <c r="J280" s="4">
        <v>0.15</v>
      </c>
      <c r="K280" s="3">
        <v>0</v>
      </c>
      <c r="L280" t="s">
        <v>113</v>
      </c>
      <c r="M280" t="s">
        <v>114</v>
      </c>
      <c r="N280" t="s">
        <v>40</v>
      </c>
      <c r="O280" t="s">
        <v>41</v>
      </c>
      <c r="P280" t="s">
        <v>52</v>
      </c>
      <c r="Q280">
        <v>1</v>
      </c>
      <c r="R280" s="3">
        <f t="shared" si="24"/>
        <v>3495</v>
      </c>
      <c r="S280" s="3">
        <f t="shared" si="25"/>
        <v>524.25</v>
      </c>
      <c r="T280" s="3">
        <f t="shared" si="26"/>
        <v>2970.75</v>
      </c>
      <c r="U280" s="3">
        <f t="shared" si="27"/>
        <v>524.25</v>
      </c>
      <c r="V280" s="4">
        <f t="shared" si="28"/>
        <v>0.17647058823529413</v>
      </c>
      <c r="W280" t="str">
        <f t="shared" si="29"/>
        <v>Mar</v>
      </c>
    </row>
    <row r="281" spans="1:23" x14ac:dyDescent="0.25">
      <c r="A281" t="s">
        <v>560</v>
      </c>
      <c r="B281" t="s">
        <v>561</v>
      </c>
      <c r="C281" s="2">
        <v>45717.61041666667</v>
      </c>
      <c r="D281" t="s">
        <v>67</v>
      </c>
      <c r="E281" t="s">
        <v>68</v>
      </c>
      <c r="F281" t="s">
        <v>37</v>
      </c>
      <c r="G281" t="s">
        <v>38</v>
      </c>
      <c r="H281">
        <v>4</v>
      </c>
      <c r="I281" s="3">
        <v>1299</v>
      </c>
      <c r="J281" s="4">
        <v>0</v>
      </c>
      <c r="K281" s="3">
        <v>59</v>
      </c>
      <c r="L281" t="s">
        <v>29</v>
      </c>
      <c r="M281" t="s">
        <v>30</v>
      </c>
      <c r="N281" t="s">
        <v>31</v>
      </c>
      <c r="O281" t="s">
        <v>93</v>
      </c>
      <c r="P281" t="s">
        <v>85</v>
      </c>
      <c r="R281" s="3">
        <f t="shared" si="24"/>
        <v>5196</v>
      </c>
      <c r="S281" s="3">
        <f t="shared" si="25"/>
        <v>0</v>
      </c>
      <c r="T281" s="3">
        <f t="shared" si="26"/>
        <v>5255</v>
      </c>
      <c r="U281" s="3">
        <f t="shared" si="27"/>
        <v>1617.8000000000002</v>
      </c>
      <c r="V281" s="4">
        <f t="shared" si="28"/>
        <v>0.30785918173168414</v>
      </c>
      <c r="W281" t="str">
        <f t="shared" si="29"/>
        <v>Mar</v>
      </c>
    </row>
    <row r="282" spans="1:23" x14ac:dyDescent="0.25">
      <c r="A282" t="s">
        <v>562</v>
      </c>
      <c r="B282" t="s">
        <v>563</v>
      </c>
      <c r="C282" s="2">
        <v>45835.689583333333</v>
      </c>
      <c r="D282" t="s">
        <v>105</v>
      </c>
      <c r="E282" t="s">
        <v>106</v>
      </c>
      <c r="F282" t="s">
        <v>37</v>
      </c>
      <c r="G282" t="s">
        <v>107</v>
      </c>
      <c r="H282">
        <v>1</v>
      </c>
      <c r="I282" s="3">
        <v>1799</v>
      </c>
      <c r="J282" s="4">
        <v>0.05</v>
      </c>
      <c r="K282" s="3">
        <v>49</v>
      </c>
      <c r="L282" t="s">
        <v>39</v>
      </c>
      <c r="M282" t="s">
        <v>39</v>
      </c>
      <c r="N282" t="s">
        <v>50</v>
      </c>
      <c r="O282" t="s">
        <v>51</v>
      </c>
      <c r="P282" t="s">
        <v>80</v>
      </c>
      <c r="R282" s="3">
        <f t="shared" si="24"/>
        <v>1799</v>
      </c>
      <c r="S282" s="3">
        <f t="shared" si="25"/>
        <v>89.95</v>
      </c>
      <c r="T282" s="3">
        <f t="shared" si="26"/>
        <v>1758.05</v>
      </c>
      <c r="U282" s="3">
        <f t="shared" si="27"/>
        <v>498.75</v>
      </c>
      <c r="V282" s="4">
        <f t="shared" si="28"/>
        <v>0.28369500298626321</v>
      </c>
      <c r="W282" t="str">
        <f t="shared" si="29"/>
        <v>Jun</v>
      </c>
    </row>
    <row r="283" spans="1:23" x14ac:dyDescent="0.25">
      <c r="A283" t="s">
        <v>564</v>
      </c>
      <c r="B283" t="s">
        <v>188</v>
      </c>
      <c r="C283" s="2">
        <v>45877.356249999997</v>
      </c>
      <c r="D283" t="s">
        <v>55</v>
      </c>
      <c r="E283" t="s">
        <v>56</v>
      </c>
      <c r="F283" t="s">
        <v>37</v>
      </c>
      <c r="G283" t="s">
        <v>38</v>
      </c>
      <c r="H283">
        <v>1</v>
      </c>
      <c r="I283" s="3">
        <v>2499</v>
      </c>
      <c r="J283" s="4">
        <v>0.05</v>
      </c>
      <c r="K283" s="3">
        <v>99</v>
      </c>
      <c r="L283" t="s">
        <v>39</v>
      </c>
      <c r="M283" t="s">
        <v>39</v>
      </c>
      <c r="N283" t="s">
        <v>40</v>
      </c>
      <c r="O283" t="s">
        <v>59</v>
      </c>
      <c r="P283" t="s">
        <v>33</v>
      </c>
      <c r="Q283">
        <v>5</v>
      </c>
      <c r="R283" s="3">
        <f t="shared" si="24"/>
        <v>2499</v>
      </c>
      <c r="S283" s="3">
        <f t="shared" si="25"/>
        <v>124.95</v>
      </c>
      <c r="T283" s="3">
        <f t="shared" si="26"/>
        <v>2473.0500000000002</v>
      </c>
      <c r="U283" s="3">
        <f t="shared" si="27"/>
        <v>723.75000000000023</v>
      </c>
      <c r="V283" s="4">
        <f t="shared" si="28"/>
        <v>0.29265481894826234</v>
      </c>
      <c r="W283" t="str">
        <f t="shared" si="29"/>
        <v>Aug</v>
      </c>
    </row>
    <row r="284" spans="1:23" x14ac:dyDescent="0.25">
      <c r="A284" t="s">
        <v>565</v>
      </c>
      <c r="B284" t="s">
        <v>226</v>
      </c>
      <c r="C284" s="2">
        <v>45948.224305555559</v>
      </c>
      <c r="D284" t="s">
        <v>169</v>
      </c>
      <c r="E284" t="s">
        <v>170</v>
      </c>
      <c r="F284" t="s">
        <v>98</v>
      </c>
      <c r="G284" t="s">
        <v>171</v>
      </c>
      <c r="H284">
        <v>2</v>
      </c>
      <c r="I284" s="3">
        <v>799</v>
      </c>
      <c r="J284" s="4">
        <v>0.05</v>
      </c>
      <c r="K284" s="3">
        <v>0</v>
      </c>
      <c r="L284" t="s">
        <v>39</v>
      </c>
      <c r="M284" t="s">
        <v>39</v>
      </c>
      <c r="N284" t="s">
        <v>31</v>
      </c>
      <c r="O284" t="s">
        <v>41</v>
      </c>
      <c r="P284" t="s">
        <v>33</v>
      </c>
      <c r="R284" s="3">
        <f t="shared" si="24"/>
        <v>1598</v>
      </c>
      <c r="S284" s="3">
        <f t="shared" si="25"/>
        <v>79.900000000000006</v>
      </c>
      <c r="T284" s="3">
        <f t="shared" si="26"/>
        <v>1518.1</v>
      </c>
      <c r="U284" s="3">
        <f t="shared" si="27"/>
        <v>399.5</v>
      </c>
      <c r="V284" s="4">
        <f t="shared" si="28"/>
        <v>0.26315789473684215</v>
      </c>
      <c r="W284" t="str">
        <f t="shared" si="29"/>
        <v>Oct</v>
      </c>
    </row>
    <row r="285" spans="1:23" x14ac:dyDescent="0.25">
      <c r="A285" t="s">
        <v>566</v>
      </c>
      <c r="B285" t="s">
        <v>567</v>
      </c>
      <c r="C285" s="2">
        <v>45664.293055555558</v>
      </c>
      <c r="D285" t="s">
        <v>62</v>
      </c>
      <c r="E285" t="s">
        <v>63</v>
      </c>
      <c r="F285" t="s">
        <v>46</v>
      </c>
      <c r="G285" t="s">
        <v>64</v>
      </c>
      <c r="H285">
        <v>1</v>
      </c>
      <c r="I285" s="3">
        <v>699</v>
      </c>
      <c r="J285" s="4">
        <v>0.05</v>
      </c>
      <c r="K285" s="3">
        <v>79</v>
      </c>
      <c r="L285" t="s">
        <v>39</v>
      </c>
      <c r="M285" t="s">
        <v>39</v>
      </c>
      <c r="N285" t="s">
        <v>50</v>
      </c>
      <c r="O285" t="s">
        <v>93</v>
      </c>
      <c r="P285" t="s">
        <v>52</v>
      </c>
      <c r="Q285">
        <v>5</v>
      </c>
      <c r="R285" s="3">
        <f t="shared" si="24"/>
        <v>699</v>
      </c>
      <c r="S285" s="3">
        <f t="shared" si="25"/>
        <v>34.950000000000003</v>
      </c>
      <c r="T285" s="3">
        <f t="shared" si="26"/>
        <v>743.05</v>
      </c>
      <c r="U285" s="3">
        <f t="shared" si="27"/>
        <v>253.75</v>
      </c>
      <c r="V285" s="4">
        <f t="shared" si="28"/>
        <v>0.34149788035798401</v>
      </c>
      <c r="W285" t="str">
        <f t="shared" si="29"/>
        <v>Jan</v>
      </c>
    </row>
    <row r="286" spans="1:23" x14ac:dyDescent="0.25">
      <c r="A286" t="s">
        <v>568</v>
      </c>
      <c r="B286" t="s">
        <v>188</v>
      </c>
      <c r="C286" s="2">
        <v>45785.581944444442</v>
      </c>
      <c r="D286" t="s">
        <v>77</v>
      </c>
      <c r="E286" t="s">
        <v>78</v>
      </c>
      <c r="F286" t="s">
        <v>79</v>
      </c>
      <c r="G286" t="s">
        <v>28</v>
      </c>
      <c r="H286">
        <v>1</v>
      </c>
      <c r="I286" s="3">
        <v>6499</v>
      </c>
      <c r="J286" s="4">
        <v>0.05</v>
      </c>
      <c r="K286" s="3">
        <v>59</v>
      </c>
      <c r="L286" t="s">
        <v>57</v>
      </c>
      <c r="M286" t="s">
        <v>58</v>
      </c>
      <c r="N286" t="s">
        <v>102</v>
      </c>
      <c r="O286" t="s">
        <v>51</v>
      </c>
      <c r="P286" t="s">
        <v>80</v>
      </c>
      <c r="Q286">
        <v>1</v>
      </c>
      <c r="R286" s="3">
        <f t="shared" si="24"/>
        <v>6499</v>
      </c>
      <c r="S286" s="3">
        <f t="shared" si="25"/>
        <v>324.95000000000005</v>
      </c>
      <c r="T286" s="3">
        <f t="shared" si="26"/>
        <v>6233.05</v>
      </c>
      <c r="U286" s="3">
        <f t="shared" si="27"/>
        <v>1683.7500000000009</v>
      </c>
      <c r="V286" s="4">
        <f t="shared" si="28"/>
        <v>0.27013259961014285</v>
      </c>
      <c r="W286" t="str">
        <f t="shared" si="29"/>
        <v>May</v>
      </c>
    </row>
    <row r="287" spans="1:23" x14ac:dyDescent="0.25">
      <c r="A287" t="s">
        <v>569</v>
      </c>
      <c r="B287" t="s">
        <v>116</v>
      </c>
      <c r="C287" s="2">
        <v>45922.059027777781</v>
      </c>
      <c r="D287" t="s">
        <v>62</v>
      </c>
      <c r="E287" t="s">
        <v>63</v>
      </c>
      <c r="F287" t="s">
        <v>46</v>
      </c>
      <c r="G287" t="s">
        <v>64</v>
      </c>
      <c r="H287">
        <v>1</v>
      </c>
      <c r="I287" s="3">
        <v>699</v>
      </c>
      <c r="J287" s="4">
        <v>0.1</v>
      </c>
      <c r="K287" s="3">
        <v>59</v>
      </c>
      <c r="L287" t="s">
        <v>39</v>
      </c>
      <c r="M287" t="s">
        <v>39</v>
      </c>
      <c r="N287" t="s">
        <v>71</v>
      </c>
      <c r="O287" t="s">
        <v>93</v>
      </c>
      <c r="P287" t="s">
        <v>33</v>
      </c>
      <c r="Q287">
        <v>5</v>
      </c>
      <c r="R287" s="3">
        <f t="shared" si="24"/>
        <v>699</v>
      </c>
      <c r="S287" s="3">
        <f t="shared" si="25"/>
        <v>69.900000000000006</v>
      </c>
      <c r="T287" s="3">
        <f t="shared" si="26"/>
        <v>688.1</v>
      </c>
      <c r="U287" s="3">
        <f t="shared" si="27"/>
        <v>198.80000000000007</v>
      </c>
      <c r="V287" s="4">
        <f t="shared" si="28"/>
        <v>0.28891149542217709</v>
      </c>
      <c r="W287" t="str">
        <f t="shared" si="29"/>
        <v>Sep</v>
      </c>
    </row>
    <row r="288" spans="1:23" x14ac:dyDescent="0.25">
      <c r="A288" t="s">
        <v>570</v>
      </c>
      <c r="B288" t="s">
        <v>571</v>
      </c>
      <c r="C288" s="2">
        <v>45807.784722222219</v>
      </c>
      <c r="D288" t="s">
        <v>90</v>
      </c>
      <c r="E288" t="s">
        <v>91</v>
      </c>
      <c r="F288" t="s">
        <v>37</v>
      </c>
      <c r="G288" t="s">
        <v>92</v>
      </c>
      <c r="H288">
        <v>1</v>
      </c>
      <c r="I288" s="3">
        <v>3499</v>
      </c>
      <c r="J288" s="4">
        <v>0.2</v>
      </c>
      <c r="K288" s="3">
        <v>99</v>
      </c>
      <c r="L288" t="s">
        <v>39</v>
      </c>
      <c r="M288" t="s">
        <v>39</v>
      </c>
      <c r="N288" t="s">
        <v>40</v>
      </c>
      <c r="O288" t="s">
        <v>51</v>
      </c>
      <c r="P288" t="s">
        <v>33</v>
      </c>
      <c r="Q288">
        <v>5</v>
      </c>
      <c r="R288" s="3">
        <f t="shared" si="24"/>
        <v>3499</v>
      </c>
      <c r="S288" s="3">
        <f t="shared" si="25"/>
        <v>699.80000000000007</v>
      </c>
      <c r="T288" s="3">
        <f t="shared" si="26"/>
        <v>2898.2</v>
      </c>
      <c r="U288" s="3">
        <f t="shared" si="27"/>
        <v>448.90000000000009</v>
      </c>
      <c r="V288" s="4">
        <f t="shared" si="28"/>
        <v>0.15488924159823342</v>
      </c>
      <c r="W288" t="str">
        <f t="shared" si="29"/>
        <v>May</v>
      </c>
    </row>
    <row r="289" spans="1:23" x14ac:dyDescent="0.25">
      <c r="A289" t="s">
        <v>572</v>
      </c>
      <c r="B289" t="s">
        <v>457</v>
      </c>
      <c r="C289" s="2">
        <v>45937.29791666667</v>
      </c>
      <c r="D289" t="s">
        <v>90</v>
      </c>
      <c r="E289" t="s">
        <v>91</v>
      </c>
      <c r="F289" t="s">
        <v>37</v>
      </c>
      <c r="G289" t="s">
        <v>92</v>
      </c>
      <c r="H289">
        <v>2</v>
      </c>
      <c r="I289" s="3">
        <v>3499</v>
      </c>
      <c r="J289" s="4">
        <v>0.1</v>
      </c>
      <c r="K289" s="3">
        <v>0</v>
      </c>
      <c r="L289" t="s">
        <v>113</v>
      </c>
      <c r="M289" t="s">
        <v>114</v>
      </c>
      <c r="N289" t="s">
        <v>102</v>
      </c>
      <c r="O289" t="s">
        <v>51</v>
      </c>
      <c r="P289" t="s">
        <v>33</v>
      </c>
      <c r="R289" s="3">
        <f t="shared" si="24"/>
        <v>6998</v>
      </c>
      <c r="S289" s="3">
        <f t="shared" si="25"/>
        <v>699.80000000000007</v>
      </c>
      <c r="T289" s="3">
        <f t="shared" si="26"/>
        <v>6298.2</v>
      </c>
      <c r="U289" s="3">
        <f t="shared" si="27"/>
        <v>1399.6000000000004</v>
      </c>
      <c r="V289" s="4">
        <f t="shared" si="28"/>
        <v>0.22222222222222229</v>
      </c>
      <c r="W289" t="str">
        <f t="shared" si="29"/>
        <v>Oct</v>
      </c>
    </row>
    <row r="290" spans="1:23" x14ac:dyDescent="0.25">
      <c r="A290" t="s">
        <v>573</v>
      </c>
      <c r="B290" t="s">
        <v>574</v>
      </c>
      <c r="C290" s="2">
        <v>45658.89166666667</v>
      </c>
      <c r="D290" t="s">
        <v>77</v>
      </c>
      <c r="E290" t="s">
        <v>78</v>
      </c>
      <c r="F290" t="s">
        <v>79</v>
      </c>
      <c r="G290" t="s">
        <v>28</v>
      </c>
      <c r="H290">
        <v>4</v>
      </c>
      <c r="I290" s="3">
        <v>6499</v>
      </c>
      <c r="J290" s="4">
        <v>0.2</v>
      </c>
      <c r="K290" s="3">
        <v>59</v>
      </c>
      <c r="L290" t="s">
        <v>39</v>
      </c>
      <c r="M290" t="s">
        <v>39</v>
      </c>
      <c r="N290" t="s">
        <v>50</v>
      </c>
      <c r="O290" t="s">
        <v>32</v>
      </c>
      <c r="P290" t="s">
        <v>80</v>
      </c>
      <c r="Q290">
        <v>2</v>
      </c>
      <c r="R290" s="3">
        <f t="shared" si="24"/>
        <v>25996</v>
      </c>
      <c r="S290" s="3">
        <f t="shared" si="25"/>
        <v>5199.2000000000007</v>
      </c>
      <c r="T290" s="3">
        <f t="shared" si="26"/>
        <v>20855.8</v>
      </c>
      <c r="U290" s="3">
        <f t="shared" si="27"/>
        <v>2658.6000000000022</v>
      </c>
      <c r="V290" s="4">
        <f t="shared" si="28"/>
        <v>0.12747533060347732</v>
      </c>
      <c r="W290" t="str">
        <f t="shared" si="29"/>
        <v>Jan</v>
      </c>
    </row>
    <row r="291" spans="1:23" x14ac:dyDescent="0.25">
      <c r="A291" t="s">
        <v>575</v>
      </c>
      <c r="B291" t="s">
        <v>576</v>
      </c>
      <c r="C291" s="2">
        <v>45730.928472222222</v>
      </c>
      <c r="D291" t="s">
        <v>96</v>
      </c>
      <c r="E291" t="s">
        <v>97</v>
      </c>
      <c r="F291" t="s">
        <v>98</v>
      </c>
      <c r="G291" t="s">
        <v>99</v>
      </c>
      <c r="H291">
        <v>4</v>
      </c>
      <c r="I291" s="3">
        <v>1499</v>
      </c>
      <c r="J291" s="4">
        <v>0</v>
      </c>
      <c r="K291" s="3">
        <v>49</v>
      </c>
      <c r="L291" t="s">
        <v>119</v>
      </c>
      <c r="M291" t="s">
        <v>120</v>
      </c>
      <c r="N291" t="s">
        <v>40</v>
      </c>
      <c r="O291" t="s">
        <v>51</v>
      </c>
      <c r="P291" t="s">
        <v>33</v>
      </c>
      <c r="Q291">
        <v>4</v>
      </c>
      <c r="R291" s="3">
        <f t="shared" si="24"/>
        <v>5996</v>
      </c>
      <c r="S291" s="3">
        <f t="shared" si="25"/>
        <v>0</v>
      </c>
      <c r="T291" s="3">
        <f t="shared" si="26"/>
        <v>6045</v>
      </c>
      <c r="U291" s="3">
        <f t="shared" si="27"/>
        <v>1847.8000000000002</v>
      </c>
      <c r="V291" s="4">
        <f t="shared" si="28"/>
        <v>0.30567411083540119</v>
      </c>
      <c r="W291" t="str">
        <f t="shared" si="29"/>
        <v>Mar</v>
      </c>
    </row>
    <row r="292" spans="1:23" x14ac:dyDescent="0.25">
      <c r="A292" t="s">
        <v>577</v>
      </c>
      <c r="B292" t="s">
        <v>578</v>
      </c>
      <c r="C292" s="2">
        <v>45916.194444444453</v>
      </c>
      <c r="D292" t="s">
        <v>77</v>
      </c>
      <c r="E292" t="s">
        <v>78</v>
      </c>
      <c r="F292" t="s">
        <v>79</v>
      </c>
      <c r="G292" t="s">
        <v>28</v>
      </c>
      <c r="H292">
        <v>2</v>
      </c>
      <c r="I292" s="3">
        <v>6499</v>
      </c>
      <c r="J292" s="4">
        <v>0</v>
      </c>
      <c r="K292" s="3">
        <v>99</v>
      </c>
      <c r="L292" t="s">
        <v>29</v>
      </c>
      <c r="M292" t="s">
        <v>30</v>
      </c>
      <c r="N292" t="s">
        <v>31</v>
      </c>
      <c r="O292" t="s">
        <v>59</v>
      </c>
      <c r="P292" t="s">
        <v>52</v>
      </c>
      <c r="R292" s="3">
        <f t="shared" si="24"/>
        <v>12998</v>
      </c>
      <c r="S292" s="3">
        <f t="shared" si="25"/>
        <v>0</v>
      </c>
      <c r="T292" s="3">
        <f t="shared" si="26"/>
        <v>13097</v>
      </c>
      <c r="U292" s="3">
        <f t="shared" si="27"/>
        <v>3998.4000000000015</v>
      </c>
      <c r="V292" s="4">
        <f t="shared" si="28"/>
        <v>0.30529128808124006</v>
      </c>
      <c r="W292" t="str">
        <f t="shared" si="29"/>
        <v>Sep</v>
      </c>
    </row>
    <row r="293" spans="1:23" x14ac:dyDescent="0.25">
      <c r="A293" t="s">
        <v>579</v>
      </c>
      <c r="B293" t="s">
        <v>536</v>
      </c>
      <c r="C293" s="2">
        <v>45819.530555555553</v>
      </c>
      <c r="D293" t="s">
        <v>105</v>
      </c>
      <c r="E293" t="s">
        <v>106</v>
      </c>
      <c r="F293" t="s">
        <v>37</v>
      </c>
      <c r="G293" t="s">
        <v>107</v>
      </c>
      <c r="H293">
        <v>1</v>
      </c>
      <c r="I293" s="3">
        <v>1799</v>
      </c>
      <c r="J293" s="4">
        <v>0.05</v>
      </c>
      <c r="K293" s="3">
        <v>59</v>
      </c>
      <c r="L293" t="s">
        <v>113</v>
      </c>
      <c r="M293" t="s">
        <v>114</v>
      </c>
      <c r="N293" t="s">
        <v>71</v>
      </c>
      <c r="O293" t="s">
        <v>41</v>
      </c>
      <c r="P293" t="s">
        <v>80</v>
      </c>
      <c r="Q293">
        <v>1</v>
      </c>
      <c r="R293" s="3">
        <f t="shared" si="24"/>
        <v>1799</v>
      </c>
      <c r="S293" s="3">
        <f t="shared" si="25"/>
        <v>89.95</v>
      </c>
      <c r="T293" s="3">
        <f t="shared" si="26"/>
        <v>1768.05</v>
      </c>
      <c r="U293" s="3">
        <f t="shared" si="27"/>
        <v>508.75</v>
      </c>
      <c r="V293" s="4">
        <f t="shared" si="28"/>
        <v>0.28774638726280366</v>
      </c>
      <c r="W293" t="str">
        <f t="shared" si="29"/>
        <v>Jun</v>
      </c>
    </row>
    <row r="294" spans="1:23" x14ac:dyDescent="0.25">
      <c r="A294" t="s">
        <v>580</v>
      </c>
      <c r="B294" t="s">
        <v>204</v>
      </c>
      <c r="C294" s="2">
        <v>45957.131249999999</v>
      </c>
      <c r="D294" t="s">
        <v>67</v>
      </c>
      <c r="E294" t="s">
        <v>68</v>
      </c>
      <c r="F294" t="s">
        <v>37</v>
      </c>
      <c r="G294" t="s">
        <v>38</v>
      </c>
      <c r="H294">
        <v>3</v>
      </c>
      <c r="I294" s="3">
        <v>1299</v>
      </c>
      <c r="J294" s="4">
        <v>0</v>
      </c>
      <c r="K294" s="3">
        <v>79</v>
      </c>
      <c r="L294" t="s">
        <v>100</v>
      </c>
      <c r="M294" t="s">
        <v>101</v>
      </c>
      <c r="N294" t="s">
        <v>71</v>
      </c>
      <c r="O294" t="s">
        <v>59</v>
      </c>
      <c r="P294" t="s">
        <v>33</v>
      </c>
      <c r="Q294">
        <v>1</v>
      </c>
      <c r="R294" s="3">
        <f t="shared" si="24"/>
        <v>3897</v>
      </c>
      <c r="S294" s="3">
        <f t="shared" si="25"/>
        <v>0</v>
      </c>
      <c r="T294" s="3">
        <f t="shared" si="26"/>
        <v>3976</v>
      </c>
      <c r="U294" s="3">
        <f t="shared" si="27"/>
        <v>1248.1000000000004</v>
      </c>
      <c r="V294" s="4">
        <f t="shared" si="28"/>
        <v>0.31390845070422546</v>
      </c>
      <c r="W294" t="str">
        <f t="shared" si="29"/>
        <v>Oct</v>
      </c>
    </row>
    <row r="295" spans="1:23" x14ac:dyDescent="0.25">
      <c r="A295" t="s">
        <v>581</v>
      </c>
      <c r="B295" t="s">
        <v>582</v>
      </c>
      <c r="C295" s="2">
        <v>45764.59652777778</v>
      </c>
      <c r="D295" t="s">
        <v>62</v>
      </c>
      <c r="E295" t="s">
        <v>63</v>
      </c>
      <c r="F295" t="s">
        <v>46</v>
      </c>
      <c r="G295" t="s">
        <v>64</v>
      </c>
      <c r="H295">
        <v>4</v>
      </c>
      <c r="I295" s="3">
        <v>699</v>
      </c>
      <c r="J295" s="4">
        <v>0.05</v>
      </c>
      <c r="K295" s="3">
        <v>0</v>
      </c>
      <c r="L295" t="s">
        <v>74</v>
      </c>
      <c r="M295" t="s">
        <v>49</v>
      </c>
      <c r="N295" t="s">
        <v>50</v>
      </c>
      <c r="O295" t="s">
        <v>51</v>
      </c>
      <c r="P295" t="s">
        <v>52</v>
      </c>
      <c r="R295" s="3">
        <f t="shared" si="24"/>
        <v>2796</v>
      </c>
      <c r="S295" s="3">
        <f t="shared" si="25"/>
        <v>139.80000000000001</v>
      </c>
      <c r="T295" s="3">
        <f t="shared" si="26"/>
        <v>2656.2</v>
      </c>
      <c r="U295" s="3">
        <f t="shared" si="27"/>
        <v>699</v>
      </c>
      <c r="V295" s="4">
        <f t="shared" si="28"/>
        <v>0.26315789473684215</v>
      </c>
      <c r="W295" t="str">
        <f t="shared" si="29"/>
        <v>Apr</v>
      </c>
    </row>
    <row r="296" spans="1:23" x14ac:dyDescent="0.25">
      <c r="A296" t="s">
        <v>583</v>
      </c>
      <c r="B296" t="s">
        <v>500</v>
      </c>
      <c r="C296" s="2">
        <v>45825.170138888891</v>
      </c>
      <c r="D296" t="s">
        <v>77</v>
      </c>
      <c r="E296" t="s">
        <v>78</v>
      </c>
      <c r="F296" t="s">
        <v>79</v>
      </c>
      <c r="G296" t="s">
        <v>28</v>
      </c>
      <c r="H296">
        <v>1</v>
      </c>
      <c r="I296" s="3">
        <v>6499</v>
      </c>
      <c r="J296" s="4">
        <v>0</v>
      </c>
      <c r="K296" s="3">
        <v>59</v>
      </c>
      <c r="L296" t="s">
        <v>125</v>
      </c>
      <c r="M296" t="s">
        <v>126</v>
      </c>
      <c r="N296" t="s">
        <v>102</v>
      </c>
      <c r="O296" t="s">
        <v>93</v>
      </c>
      <c r="P296" t="s">
        <v>80</v>
      </c>
      <c r="R296" s="3">
        <f t="shared" si="24"/>
        <v>6499</v>
      </c>
      <c r="S296" s="3">
        <f t="shared" si="25"/>
        <v>0</v>
      </c>
      <c r="T296" s="3">
        <f t="shared" si="26"/>
        <v>6558</v>
      </c>
      <c r="U296" s="3">
        <f t="shared" si="27"/>
        <v>2008.7000000000007</v>
      </c>
      <c r="V296" s="4">
        <f t="shared" si="28"/>
        <v>0.30629765172308643</v>
      </c>
      <c r="W296" t="str">
        <f t="shared" si="29"/>
        <v>Jun</v>
      </c>
    </row>
    <row r="297" spans="1:23" x14ac:dyDescent="0.25">
      <c r="A297" t="s">
        <v>584</v>
      </c>
      <c r="B297" t="s">
        <v>534</v>
      </c>
      <c r="C297" s="2">
        <v>45747.017361111109</v>
      </c>
      <c r="D297" t="s">
        <v>110</v>
      </c>
      <c r="E297" t="s">
        <v>111</v>
      </c>
      <c r="F297" t="s">
        <v>98</v>
      </c>
      <c r="G297" t="s">
        <v>112</v>
      </c>
      <c r="H297">
        <v>3</v>
      </c>
      <c r="I297" s="3">
        <v>2999</v>
      </c>
      <c r="J297" s="4">
        <v>0.15</v>
      </c>
      <c r="K297" s="3">
        <v>99</v>
      </c>
      <c r="L297" t="s">
        <v>48</v>
      </c>
      <c r="M297" t="s">
        <v>49</v>
      </c>
      <c r="N297" t="s">
        <v>31</v>
      </c>
      <c r="O297" t="s">
        <v>59</v>
      </c>
      <c r="P297" t="s">
        <v>52</v>
      </c>
      <c r="Q297">
        <v>1</v>
      </c>
      <c r="R297" s="3">
        <f t="shared" si="24"/>
        <v>8997</v>
      </c>
      <c r="S297" s="3">
        <f t="shared" si="25"/>
        <v>1349.55</v>
      </c>
      <c r="T297" s="3">
        <f t="shared" si="26"/>
        <v>7746.45</v>
      </c>
      <c r="U297" s="3">
        <f t="shared" si="27"/>
        <v>1448.5500000000002</v>
      </c>
      <c r="V297" s="4">
        <f t="shared" si="28"/>
        <v>0.18699533334624249</v>
      </c>
      <c r="W297" t="str">
        <f t="shared" si="29"/>
        <v>Mar</v>
      </c>
    </row>
    <row r="298" spans="1:23" x14ac:dyDescent="0.25">
      <c r="A298" t="s">
        <v>585</v>
      </c>
      <c r="B298" t="s">
        <v>445</v>
      </c>
      <c r="C298" s="2">
        <v>45771.175000000003</v>
      </c>
      <c r="D298" t="s">
        <v>105</v>
      </c>
      <c r="E298" t="s">
        <v>106</v>
      </c>
      <c r="F298" t="s">
        <v>37</v>
      </c>
      <c r="G298" t="s">
        <v>107</v>
      </c>
      <c r="H298">
        <v>1</v>
      </c>
      <c r="I298" s="3">
        <v>1799</v>
      </c>
      <c r="J298" s="4">
        <v>0.05</v>
      </c>
      <c r="K298" s="3">
        <v>0</v>
      </c>
      <c r="L298" t="s">
        <v>29</v>
      </c>
      <c r="M298" t="s">
        <v>30</v>
      </c>
      <c r="N298" t="s">
        <v>102</v>
      </c>
      <c r="O298" t="s">
        <v>51</v>
      </c>
      <c r="P298" t="s">
        <v>52</v>
      </c>
      <c r="R298" s="3">
        <f t="shared" si="24"/>
        <v>1799</v>
      </c>
      <c r="S298" s="3">
        <f t="shared" si="25"/>
        <v>89.95</v>
      </c>
      <c r="T298" s="3">
        <f t="shared" si="26"/>
        <v>1709.05</v>
      </c>
      <c r="U298" s="3">
        <f t="shared" si="27"/>
        <v>449.75</v>
      </c>
      <c r="V298" s="4">
        <f t="shared" si="28"/>
        <v>0.26315789473684209</v>
      </c>
      <c r="W298" t="str">
        <f t="shared" si="29"/>
        <v>Apr</v>
      </c>
    </row>
    <row r="299" spans="1:23" x14ac:dyDescent="0.25">
      <c r="A299" t="s">
        <v>586</v>
      </c>
      <c r="B299" t="s">
        <v>587</v>
      </c>
      <c r="C299" s="2">
        <v>45759.852777777778</v>
      </c>
      <c r="D299" t="s">
        <v>55</v>
      </c>
      <c r="E299" t="s">
        <v>56</v>
      </c>
      <c r="F299" t="s">
        <v>37</v>
      </c>
      <c r="G299" t="s">
        <v>38</v>
      </c>
      <c r="H299">
        <v>5</v>
      </c>
      <c r="I299" s="3">
        <v>2499</v>
      </c>
      <c r="J299" s="4">
        <v>0</v>
      </c>
      <c r="K299" s="3">
        <v>59</v>
      </c>
      <c r="L299" t="s">
        <v>39</v>
      </c>
      <c r="M299" t="s">
        <v>39</v>
      </c>
      <c r="N299" t="s">
        <v>31</v>
      </c>
      <c r="O299" t="s">
        <v>59</v>
      </c>
      <c r="P299" t="s">
        <v>33</v>
      </c>
      <c r="Q299">
        <v>1</v>
      </c>
      <c r="R299" s="3">
        <f t="shared" si="24"/>
        <v>12495</v>
      </c>
      <c r="S299" s="3">
        <f t="shared" si="25"/>
        <v>0</v>
      </c>
      <c r="T299" s="3">
        <f t="shared" si="26"/>
        <v>12554</v>
      </c>
      <c r="U299" s="3">
        <f t="shared" si="27"/>
        <v>3807.5</v>
      </c>
      <c r="V299" s="4">
        <f t="shared" si="28"/>
        <v>0.30328978811534174</v>
      </c>
      <c r="W299" t="str">
        <f t="shared" si="29"/>
        <v>Apr</v>
      </c>
    </row>
    <row r="300" spans="1:23" x14ac:dyDescent="0.25">
      <c r="A300" t="s">
        <v>588</v>
      </c>
      <c r="B300" t="s">
        <v>589</v>
      </c>
      <c r="C300" s="2">
        <v>45860.625694444447</v>
      </c>
      <c r="D300" t="s">
        <v>105</v>
      </c>
      <c r="E300" t="s">
        <v>106</v>
      </c>
      <c r="F300" t="s">
        <v>37</v>
      </c>
      <c r="G300" t="s">
        <v>107</v>
      </c>
      <c r="H300">
        <v>1</v>
      </c>
      <c r="I300" s="3">
        <v>1799</v>
      </c>
      <c r="J300" s="4">
        <v>0.2</v>
      </c>
      <c r="K300" s="3">
        <v>79</v>
      </c>
      <c r="L300" t="s">
        <v>125</v>
      </c>
      <c r="M300" t="s">
        <v>126</v>
      </c>
      <c r="N300" t="s">
        <v>71</v>
      </c>
      <c r="O300" t="s">
        <v>41</v>
      </c>
      <c r="P300" t="s">
        <v>52</v>
      </c>
      <c r="Q300">
        <v>2</v>
      </c>
      <c r="R300" s="3">
        <f t="shared" si="24"/>
        <v>1799</v>
      </c>
      <c r="S300" s="3">
        <f t="shared" si="25"/>
        <v>359.8</v>
      </c>
      <c r="T300" s="3">
        <f t="shared" si="26"/>
        <v>1518.2</v>
      </c>
      <c r="U300" s="3">
        <f t="shared" si="27"/>
        <v>258.90000000000009</v>
      </c>
      <c r="V300" s="4">
        <f t="shared" si="28"/>
        <v>0.17053089184560669</v>
      </c>
      <c r="W300" t="str">
        <f t="shared" si="29"/>
        <v>Jul</v>
      </c>
    </row>
    <row r="301" spans="1:23" x14ac:dyDescent="0.25">
      <c r="A301" t="s">
        <v>590</v>
      </c>
      <c r="B301" t="s">
        <v>591</v>
      </c>
      <c r="C301" s="2">
        <v>45734.068749999999</v>
      </c>
      <c r="D301" t="s">
        <v>110</v>
      </c>
      <c r="E301" t="s">
        <v>111</v>
      </c>
      <c r="F301" t="s">
        <v>98</v>
      </c>
      <c r="G301" t="s">
        <v>112</v>
      </c>
      <c r="H301">
        <v>1</v>
      </c>
      <c r="I301" s="3">
        <v>2999</v>
      </c>
      <c r="J301" s="4">
        <v>0.15</v>
      </c>
      <c r="K301" s="3">
        <v>49</v>
      </c>
      <c r="L301" t="s">
        <v>48</v>
      </c>
      <c r="M301" t="s">
        <v>49</v>
      </c>
      <c r="N301" t="s">
        <v>40</v>
      </c>
      <c r="O301" t="s">
        <v>59</v>
      </c>
      <c r="P301" t="s">
        <v>85</v>
      </c>
      <c r="Q301">
        <v>5</v>
      </c>
      <c r="R301" s="3">
        <f t="shared" si="24"/>
        <v>2999</v>
      </c>
      <c r="S301" s="3">
        <f t="shared" si="25"/>
        <v>449.84999999999997</v>
      </c>
      <c r="T301" s="3">
        <f t="shared" si="26"/>
        <v>2598.15</v>
      </c>
      <c r="U301" s="3">
        <f t="shared" si="27"/>
        <v>498.85000000000036</v>
      </c>
      <c r="V301" s="4">
        <f t="shared" si="28"/>
        <v>0.19200200142409035</v>
      </c>
      <c r="W301" t="str">
        <f t="shared" si="29"/>
        <v>Mar</v>
      </c>
    </row>
    <row r="302" spans="1:23" x14ac:dyDescent="0.25">
      <c r="A302" t="s">
        <v>592</v>
      </c>
      <c r="B302" t="s">
        <v>534</v>
      </c>
      <c r="C302" s="2">
        <v>45854.18472222222</v>
      </c>
      <c r="D302" t="s">
        <v>90</v>
      </c>
      <c r="E302" t="s">
        <v>91</v>
      </c>
      <c r="F302" t="s">
        <v>37</v>
      </c>
      <c r="G302" t="s">
        <v>92</v>
      </c>
      <c r="H302">
        <v>1</v>
      </c>
      <c r="I302" s="3">
        <v>3499</v>
      </c>
      <c r="J302" s="4">
        <v>0.2</v>
      </c>
      <c r="K302" s="3">
        <v>99</v>
      </c>
      <c r="L302" t="s">
        <v>39</v>
      </c>
      <c r="M302" t="s">
        <v>39</v>
      </c>
      <c r="N302" t="s">
        <v>102</v>
      </c>
      <c r="O302" t="s">
        <v>93</v>
      </c>
      <c r="P302" t="s">
        <v>33</v>
      </c>
      <c r="Q302">
        <v>4</v>
      </c>
      <c r="R302" s="3">
        <f t="shared" si="24"/>
        <v>3499</v>
      </c>
      <c r="S302" s="3">
        <f t="shared" si="25"/>
        <v>699.80000000000007</v>
      </c>
      <c r="T302" s="3">
        <f t="shared" si="26"/>
        <v>2898.2</v>
      </c>
      <c r="U302" s="3">
        <f t="shared" si="27"/>
        <v>448.90000000000009</v>
      </c>
      <c r="V302" s="4">
        <f t="shared" si="28"/>
        <v>0.15488924159823342</v>
      </c>
      <c r="W302" t="str">
        <f t="shared" si="29"/>
        <v>Jul</v>
      </c>
    </row>
    <row r="303" spans="1:23" x14ac:dyDescent="0.25">
      <c r="A303" t="s">
        <v>593</v>
      </c>
      <c r="B303" t="s">
        <v>366</v>
      </c>
      <c r="C303" s="2">
        <v>45906.498611111107</v>
      </c>
      <c r="D303" t="s">
        <v>77</v>
      </c>
      <c r="E303" t="s">
        <v>78</v>
      </c>
      <c r="F303" t="s">
        <v>79</v>
      </c>
      <c r="G303" t="s">
        <v>28</v>
      </c>
      <c r="H303">
        <v>2</v>
      </c>
      <c r="I303" s="3">
        <v>6499</v>
      </c>
      <c r="J303" s="4">
        <v>0.15</v>
      </c>
      <c r="K303" s="3">
        <v>59</v>
      </c>
      <c r="L303" t="s">
        <v>74</v>
      </c>
      <c r="M303" t="s">
        <v>49</v>
      </c>
      <c r="N303" t="s">
        <v>71</v>
      </c>
      <c r="O303" t="s">
        <v>41</v>
      </c>
      <c r="P303" t="s">
        <v>85</v>
      </c>
      <c r="Q303">
        <v>1</v>
      </c>
      <c r="R303" s="3">
        <f t="shared" si="24"/>
        <v>12998</v>
      </c>
      <c r="S303" s="3">
        <f t="shared" si="25"/>
        <v>1949.6999999999998</v>
      </c>
      <c r="T303" s="3">
        <f t="shared" si="26"/>
        <v>11107.3</v>
      </c>
      <c r="U303" s="3">
        <f t="shared" si="27"/>
        <v>2008.7000000000007</v>
      </c>
      <c r="V303" s="4">
        <f t="shared" si="28"/>
        <v>0.18084502984523698</v>
      </c>
      <c r="W303" t="str">
        <f t="shared" si="29"/>
        <v>Sep</v>
      </c>
    </row>
    <row r="304" spans="1:23" x14ac:dyDescent="0.25">
      <c r="A304" t="s">
        <v>594</v>
      </c>
      <c r="B304" t="s">
        <v>136</v>
      </c>
      <c r="C304" s="2">
        <v>45801.07708333333</v>
      </c>
      <c r="D304" t="s">
        <v>169</v>
      </c>
      <c r="E304" t="s">
        <v>170</v>
      </c>
      <c r="F304" t="s">
        <v>98</v>
      </c>
      <c r="G304" t="s">
        <v>171</v>
      </c>
      <c r="H304">
        <v>1</v>
      </c>
      <c r="I304" s="3">
        <v>799</v>
      </c>
      <c r="J304" s="4">
        <v>0.15</v>
      </c>
      <c r="K304" s="3">
        <v>59</v>
      </c>
      <c r="L304" t="s">
        <v>125</v>
      </c>
      <c r="M304" t="s">
        <v>126</v>
      </c>
      <c r="N304" t="s">
        <v>50</v>
      </c>
      <c r="O304" t="s">
        <v>41</v>
      </c>
      <c r="P304" t="s">
        <v>52</v>
      </c>
      <c r="Q304">
        <v>1</v>
      </c>
      <c r="R304" s="3">
        <f t="shared" si="24"/>
        <v>799</v>
      </c>
      <c r="S304" s="3">
        <f t="shared" si="25"/>
        <v>119.85</v>
      </c>
      <c r="T304" s="3">
        <f t="shared" si="26"/>
        <v>738.15</v>
      </c>
      <c r="U304" s="3">
        <f t="shared" si="27"/>
        <v>178.85000000000002</v>
      </c>
      <c r="V304" s="4">
        <f t="shared" si="28"/>
        <v>0.24229492650545287</v>
      </c>
      <c r="W304" t="str">
        <f t="shared" si="29"/>
        <v>May</v>
      </c>
    </row>
    <row r="305" spans="1:23" x14ac:dyDescent="0.25">
      <c r="A305" t="s">
        <v>595</v>
      </c>
      <c r="B305" t="s">
        <v>181</v>
      </c>
      <c r="C305" s="2">
        <v>45686.316666666673</v>
      </c>
      <c r="D305" t="s">
        <v>67</v>
      </c>
      <c r="E305" t="s">
        <v>68</v>
      </c>
      <c r="F305" t="s">
        <v>37</v>
      </c>
      <c r="G305" t="s">
        <v>38</v>
      </c>
      <c r="H305">
        <v>1</v>
      </c>
      <c r="I305" s="3">
        <v>1299</v>
      </c>
      <c r="J305" s="4">
        <v>0.05</v>
      </c>
      <c r="K305" s="3">
        <v>49</v>
      </c>
      <c r="L305" t="s">
        <v>113</v>
      </c>
      <c r="M305" t="s">
        <v>114</v>
      </c>
      <c r="N305" t="s">
        <v>50</v>
      </c>
      <c r="O305" t="s">
        <v>32</v>
      </c>
      <c r="P305" t="s">
        <v>52</v>
      </c>
      <c r="Q305">
        <v>3</v>
      </c>
      <c r="R305" s="3">
        <f t="shared" si="24"/>
        <v>1299</v>
      </c>
      <c r="S305" s="3">
        <f t="shared" si="25"/>
        <v>64.95</v>
      </c>
      <c r="T305" s="3">
        <f t="shared" si="26"/>
        <v>1283.05</v>
      </c>
      <c r="U305" s="3">
        <f t="shared" si="27"/>
        <v>373.75</v>
      </c>
      <c r="V305" s="4">
        <f t="shared" si="28"/>
        <v>0.29129807879661745</v>
      </c>
      <c r="W305" t="str">
        <f t="shared" si="29"/>
        <v>Jan</v>
      </c>
    </row>
    <row r="306" spans="1:23" x14ac:dyDescent="0.25">
      <c r="A306" t="s">
        <v>596</v>
      </c>
      <c r="B306" t="s">
        <v>597</v>
      </c>
      <c r="C306" s="2">
        <v>45672.947222222218</v>
      </c>
      <c r="D306" t="s">
        <v>77</v>
      </c>
      <c r="E306" t="s">
        <v>78</v>
      </c>
      <c r="F306" t="s">
        <v>79</v>
      </c>
      <c r="G306" t="s">
        <v>28</v>
      </c>
      <c r="H306">
        <v>4</v>
      </c>
      <c r="I306" s="3">
        <v>6499</v>
      </c>
      <c r="J306" s="4">
        <v>0.15</v>
      </c>
      <c r="K306" s="3">
        <v>99</v>
      </c>
      <c r="L306" t="s">
        <v>74</v>
      </c>
      <c r="M306" t="s">
        <v>49</v>
      </c>
      <c r="N306" t="s">
        <v>102</v>
      </c>
      <c r="O306" t="s">
        <v>41</v>
      </c>
      <c r="P306" t="s">
        <v>33</v>
      </c>
      <c r="R306" s="3">
        <f t="shared" si="24"/>
        <v>25996</v>
      </c>
      <c r="S306" s="3">
        <f t="shared" si="25"/>
        <v>3899.3999999999996</v>
      </c>
      <c r="T306" s="3">
        <f t="shared" si="26"/>
        <v>22195.599999999999</v>
      </c>
      <c r="U306" s="3">
        <f t="shared" si="27"/>
        <v>3998.4000000000015</v>
      </c>
      <c r="V306" s="4">
        <f t="shared" si="28"/>
        <v>0.18014381228712004</v>
      </c>
      <c r="W306" t="str">
        <f t="shared" si="29"/>
        <v>Jan</v>
      </c>
    </row>
    <row r="307" spans="1:23" x14ac:dyDescent="0.25">
      <c r="A307" t="s">
        <v>598</v>
      </c>
      <c r="B307" t="s">
        <v>82</v>
      </c>
      <c r="C307" s="2">
        <v>45909.045138888891</v>
      </c>
      <c r="D307" t="s">
        <v>90</v>
      </c>
      <c r="E307" t="s">
        <v>91</v>
      </c>
      <c r="F307" t="s">
        <v>37</v>
      </c>
      <c r="G307" t="s">
        <v>92</v>
      </c>
      <c r="H307">
        <v>1</v>
      </c>
      <c r="I307" s="3">
        <v>3499</v>
      </c>
      <c r="J307" s="4">
        <v>0</v>
      </c>
      <c r="K307" s="3">
        <v>99</v>
      </c>
      <c r="L307" t="s">
        <v>83</v>
      </c>
      <c r="M307" t="s">
        <v>84</v>
      </c>
      <c r="N307" t="s">
        <v>31</v>
      </c>
      <c r="O307" t="s">
        <v>32</v>
      </c>
      <c r="P307" t="s">
        <v>33</v>
      </c>
      <c r="Q307">
        <v>4</v>
      </c>
      <c r="R307" s="3">
        <f t="shared" si="24"/>
        <v>3499</v>
      </c>
      <c r="S307" s="3">
        <f t="shared" si="25"/>
        <v>0</v>
      </c>
      <c r="T307" s="3">
        <f t="shared" si="26"/>
        <v>3598</v>
      </c>
      <c r="U307" s="3">
        <f t="shared" si="27"/>
        <v>1148.7000000000003</v>
      </c>
      <c r="V307" s="4">
        <f t="shared" si="28"/>
        <v>0.31926070038910515</v>
      </c>
      <c r="W307" t="str">
        <f t="shared" si="29"/>
        <v>Sep</v>
      </c>
    </row>
    <row r="308" spans="1:23" x14ac:dyDescent="0.25">
      <c r="A308" t="s">
        <v>599</v>
      </c>
      <c r="B308" t="s">
        <v>600</v>
      </c>
      <c r="C308" s="2">
        <v>45761.181250000001</v>
      </c>
      <c r="D308" t="s">
        <v>35</v>
      </c>
      <c r="E308" t="s">
        <v>36</v>
      </c>
      <c r="F308" t="s">
        <v>37</v>
      </c>
      <c r="G308" t="s">
        <v>38</v>
      </c>
      <c r="H308">
        <v>4</v>
      </c>
      <c r="I308" s="3">
        <v>599</v>
      </c>
      <c r="J308" s="4">
        <v>0</v>
      </c>
      <c r="K308" s="3">
        <v>59</v>
      </c>
      <c r="L308" t="s">
        <v>74</v>
      </c>
      <c r="M308" t="s">
        <v>49</v>
      </c>
      <c r="N308" t="s">
        <v>31</v>
      </c>
      <c r="O308" t="s">
        <v>41</v>
      </c>
      <c r="P308" t="s">
        <v>80</v>
      </c>
      <c r="Q308">
        <v>5</v>
      </c>
      <c r="R308" s="3">
        <f t="shared" si="24"/>
        <v>2396</v>
      </c>
      <c r="S308" s="3">
        <f t="shared" si="25"/>
        <v>0</v>
      </c>
      <c r="T308" s="3">
        <f t="shared" si="26"/>
        <v>2455</v>
      </c>
      <c r="U308" s="3">
        <f t="shared" si="27"/>
        <v>777.80000000000018</v>
      </c>
      <c r="V308" s="4">
        <f t="shared" si="28"/>
        <v>0.31682281059063144</v>
      </c>
      <c r="W308" t="str">
        <f t="shared" si="29"/>
        <v>Apr</v>
      </c>
    </row>
    <row r="309" spans="1:23" x14ac:dyDescent="0.25">
      <c r="A309" t="s">
        <v>601</v>
      </c>
      <c r="B309" t="s">
        <v>602</v>
      </c>
      <c r="C309" s="2">
        <v>45927.461111111108</v>
      </c>
      <c r="D309" t="s">
        <v>77</v>
      </c>
      <c r="E309" t="s">
        <v>78</v>
      </c>
      <c r="F309" t="s">
        <v>79</v>
      </c>
      <c r="G309" t="s">
        <v>28</v>
      </c>
      <c r="H309">
        <v>3</v>
      </c>
      <c r="I309" s="3">
        <v>6499</v>
      </c>
      <c r="J309" s="4">
        <v>0.2</v>
      </c>
      <c r="K309" s="3">
        <v>79</v>
      </c>
      <c r="L309" t="s">
        <v>100</v>
      </c>
      <c r="M309" t="s">
        <v>101</v>
      </c>
      <c r="N309" t="s">
        <v>71</v>
      </c>
      <c r="O309" t="s">
        <v>51</v>
      </c>
      <c r="P309" t="s">
        <v>33</v>
      </c>
      <c r="Q309">
        <v>3</v>
      </c>
      <c r="R309" s="3">
        <f t="shared" si="24"/>
        <v>19497</v>
      </c>
      <c r="S309" s="3">
        <f t="shared" si="25"/>
        <v>3899.4</v>
      </c>
      <c r="T309" s="3">
        <f t="shared" si="26"/>
        <v>15676.6</v>
      </c>
      <c r="U309" s="3">
        <f t="shared" si="27"/>
        <v>2028.7000000000007</v>
      </c>
      <c r="V309" s="4">
        <f t="shared" si="28"/>
        <v>0.12940943827105372</v>
      </c>
      <c r="W309" t="str">
        <f t="shared" si="29"/>
        <v>Sep</v>
      </c>
    </row>
    <row r="310" spans="1:23" x14ac:dyDescent="0.25">
      <c r="A310" t="s">
        <v>603</v>
      </c>
      <c r="B310" t="s">
        <v>604</v>
      </c>
      <c r="C310" s="2">
        <v>45881.854861111111</v>
      </c>
      <c r="D310" t="s">
        <v>105</v>
      </c>
      <c r="E310" t="s">
        <v>106</v>
      </c>
      <c r="F310" t="s">
        <v>37</v>
      </c>
      <c r="G310" t="s">
        <v>107</v>
      </c>
      <c r="H310">
        <v>2</v>
      </c>
      <c r="I310" s="3">
        <v>1799</v>
      </c>
      <c r="J310" s="4">
        <v>0.05</v>
      </c>
      <c r="K310" s="3">
        <v>49</v>
      </c>
      <c r="L310" t="s">
        <v>100</v>
      </c>
      <c r="M310" t="s">
        <v>101</v>
      </c>
      <c r="N310" t="s">
        <v>102</v>
      </c>
      <c r="O310" t="s">
        <v>51</v>
      </c>
      <c r="P310" t="s">
        <v>80</v>
      </c>
      <c r="Q310">
        <v>2</v>
      </c>
      <c r="R310" s="3">
        <f t="shared" si="24"/>
        <v>3598</v>
      </c>
      <c r="S310" s="3">
        <f t="shared" si="25"/>
        <v>179.9</v>
      </c>
      <c r="T310" s="3">
        <f t="shared" si="26"/>
        <v>3467.1</v>
      </c>
      <c r="U310" s="3">
        <f t="shared" si="27"/>
        <v>948.5</v>
      </c>
      <c r="V310" s="4">
        <f t="shared" si="28"/>
        <v>0.27357157278417121</v>
      </c>
      <c r="W310" t="str">
        <f t="shared" si="29"/>
        <v>Aug</v>
      </c>
    </row>
    <row r="311" spans="1:23" x14ac:dyDescent="0.25">
      <c r="A311" t="s">
        <v>605</v>
      </c>
      <c r="B311" t="s">
        <v>181</v>
      </c>
      <c r="C311" s="2">
        <v>45851.406944444447</v>
      </c>
      <c r="D311" t="s">
        <v>25</v>
      </c>
      <c r="E311" t="s">
        <v>26</v>
      </c>
      <c r="F311" t="s">
        <v>27</v>
      </c>
      <c r="G311" t="s">
        <v>28</v>
      </c>
      <c r="H311">
        <v>3</v>
      </c>
      <c r="I311" s="3">
        <v>249</v>
      </c>
      <c r="J311" s="4">
        <v>0.05</v>
      </c>
      <c r="K311" s="3">
        <v>49</v>
      </c>
      <c r="L311" t="s">
        <v>125</v>
      </c>
      <c r="M311" t="s">
        <v>126</v>
      </c>
      <c r="N311" t="s">
        <v>31</v>
      </c>
      <c r="O311" t="s">
        <v>32</v>
      </c>
      <c r="P311" t="s">
        <v>80</v>
      </c>
      <c r="Q311">
        <v>4</v>
      </c>
      <c r="R311" s="3">
        <f t="shared" si="24"/>
        <v>747</v>
      </c>
      <c r="S311" s="3">
        <f t="shared" si="25"/>
        <v>37.35</v>
      </c>
      <c r="T311" s="3">
        <f t="shared" si="26"/>
        <v>758.65</v>
      </c>
      <c r="U311" s="3">
        <f t="shared" si="27"/>
        <v>235.75</v>
      </c>
      <c r="V311" s="4">
        <f t="shared" si="28"/>
        <v>0.31074935741119092</v>
      </c>
      <c r="W311" t="str">
        <f t="shared" si="29"/>
        <v>Jul</v>
      </c>
    </row>
    <row r="312" spans="1:23" x14ac:dyDescent="0.25">
      <c r="A312" t="s">
        <v>606</v>
      </c>
      <c r="B312" t="s">
        <v>607</v>
      </c>
      <c r="C312" s="2">
        <v>45820.801388888889</v>
      </c>
      <c r="D312" t="s">
        <v>44</v>
      </c>
      <c r="E312" t="s">
        <v>45</v>
      </c>
      <c r="F312" t="s">
        <v>46</v>
      </c>
      <c r="G312" t="s">
        <v>47</v>
      </c>
      <c r="H312">
        <v>1</v>
      </c>
      <c r="I312" s="3">
        <v>1199</v>
      </c>
      <c r="J312" s="4">
        <v>0.15</v>
      </c>
      <c r="K312" s="3">
        <v>0</v>
      </c>
      <c r="L312" t="s">
        <v>39</v>
      </c>
      <c r="M312" t="s">
        <v>39</v>
      </c>
      <c r="N312" t="s">
        <v>50</v>
      </c>
      <c r="O312" t="s">
        <v>51</v>
      </c>
      <c r="P312" t="s">
        <v>80</v>
      </c>
      <c r="R312" s="3">
        <f t="shared" si="24"/>
        <v>1199</v>
      </c>
      <c r="S312" s="3">
        <f t="shared" si="25"/>
        <v>179.85</v>
      </c>
      <c r="T312" s="3">
        <f t="shared" si="26"/>
        <v>1019.15</v>
      </c>
      <c r="U312" s="3">
        <f t="shared" si="27"/>
        <v>179.85000000000002</v>
      </c>
      <c r="V312" s="4">
        <f t="shared" si="28"/>
        <v>0.17647058823529416</v>
      </c>
      <c r="W312" t="str">
        <f t="shared" si="29"/>
        <v>Jun</v>
      </c>
    </row>
    <row r="313" spans="1:23" x14ac:dyDescent="0.25">
      <c r="A313" t="s">
        <v>608</v>
      </c>
      <c r="B313" t="s">
        <v>609</v>
      </c>
      <c r="C313" s="2">
        <v>45821.236111111109</v>
      </c>
      <c r="D313" t="s">
        <v>55</v>
      </c>
      <c r="E313" t="s">
        <v>56</v>
      </c>
      <c r="F313" t="s">
        <v>37</v>
      </c>
      <c r="G313" t="s">
        <v>38</v>
      </c>
      <c r="H313">
        <v>1</v>
      </c>
      <c r="I313" s="3">
        <v>2499</v>
      </c>
      <c r="J313" s="4">
        <v>0.2</v>
      </c>
      <c r="K313" s="3">
        <v>59</v>
      </c>
      <c r="L313" t="s">
        <v>113</v>
      </c>
      <c r="M313" t="s">
        <v>114</v>
      </c>
      <c r="N313" t="s">
        <v>31</v>
      </c>
      <c r="O313" t="s">
        <v>51</v>
      </c>
      <c r="P313" t="s">
        <v>33</v>
      </c>
      <c r="Q313">
        <v>2</v>
      </c>
      <c r="R313" s="3">
        <f t="shared" si="24"/>
        <v>2499</v>
      </c>
      <c r="S313" s="3">
        <f t="shared" si="25"/>
        <v>499.8</v>
      </c>
      <c r="T313" s="3">
        <f t="shared" si="26"/>
        <v>2058.1999999999998</v>
      </c>
      <c r="U313" s="3">
        <f t="shared" si="27"/>
        <v>308.89999999999986</v>
      </c>
      <c r="V313" s="4">
        <f t="shared" si="28"/>
        <v>0.15008259644349425</v>
      </c>
      <c r="W313" t="str">
        <f t="shared" si="29"/>
        <v>Jun</v>
      </c>
    </row>
    <row r="314" spans="1:23" x14ac:dyDescent="0.25">
      <c r="A314" t="s">
        <v>610</v>
      </c>
      <c r="B314" t="s">
        <v>508</v>
      </c>
      <c r="C314" s="2">
        <v>45713.958333333343</v>
      </c>
      <c r="D314" t="s">
        <v>67</v>
      </c>
      <c r="E314" t="s">
        <v>68</v>
      </c>
      <c r="F314" t="s">
        <v>37</v>
      </c>
      <c r="G314" t="s">
        <v>38</v>
      </c>
      <c r="H314">
        <v>1</v>
      </c>
      <c r="I314" s="3">
        <v>1299</v>
      </c>
      <c r="J314" s="4">
        <v>0.1</v>
      </c>
      <c r="K314" s="3">
        <v>79</v>
      </c>
      <c r="L314" t="s">
        <v>29</v>
      </c>
      <c r="M314" t="s">
        <v>30</v>
      </c>
      <c r="N314" t="s">
        <v>50</v>
      </c>
      <c r="O314" t="s">
        <v>59</v>
      </c>
      <c r="P314" t="s">
        <v>33</v>
      </c>
      <c r="Q314">
        <v>4</v>
      </c>
      <c r="R314" s="3">
        <f t="shared" si="24"/>
        <v>1299</v>
      </c>
      <c r="S314" s="3">
        <f t="shared" si="25"/>
        <v>129.9</v>
      </c>
      <c r="T314" s="3">
        <f t="shared" si="26"/>
        <v>1248.0999999999999</v>
      </c>
      <c r="U314" s="3">
        <f t="shared" si="27"/>
        <v>338.79999999999995</v>
      </c>
      <c r="V314" s="4">
        <f t="shared" si="28"/>
        <v>0.27145260796410542</v>
      </c>
      <c r="W314" t="str">
        <f t="shared" si="29"/>
        <v>Feb</v>
      </c>
    </row>
    <row r="315" spans="1:23" x14ac:dyDescent="0.25">
      <c r="A315" t="s">
        <v>611</v>
      </c>
      <c r="B315" t="s">
        <v>156</v>
      </c>
      <c r="C315" s="2">
        <v>45709.659722222219</v>
      </c>
      <c r="D315" t="s">
        <v>96</v>
      </c>
      <c r="E315" t="s">
        <v>97</v>
      </c>
      <c r="F315" t="s">
        <v>98</v>
      </c>
      <c r="G315" t="s">
        <v>99</v>
      </c>
      <c r="H315">
        <v>2</v>
      </c>
      <c r="I315" s="3">
        <v>1499</v>
      </c>
      <c r="J315" s="4">
        <v>0.2</v>
      </c>
      <c r="K315" s="3">
        <v>49</v>
      </c>
      <c r="L315" t="s">
        <v>74</v>
      </c>
      <c r="M315" t="s">
        <v>49</v>
      </c>
      <c r="N315" t="s">
        <v>40</v>
      </c>
      <c r="O315" t="s">
        <v>93</v>
      </c>
      <c r="P315" t="s">
        <v>85</v>
      </c>
      <c r="R315" s="3">
        <f t="shared" si="24"/>
        <v>2998</v>
      </c>
      <c r="S315" s="3">
        <f t="shared" si="25"/>
        <v>599.6</v>
      </c>
      <c r="T315" s="3">
        <f t="shared" si="26"/>
        <v>2447.4</v>
      </c>
      <c r="U315" s="3">
        <f t="shared" si="27"/>
        <v>348.80000000000018</v>
      </c>
      <c r="V315" s="4">
        <f t="shared" si="28"/>
        <v>0.14251859115796361</v>
      </c>
      <c r="W315" t="str">
        <f t="shared" si="29"/>
        <v>Feb</v>
      </c>
    </row>
    <row r="316" spans="1:23" x14ac:dyDescent="0.25">
      <c r="A316" t="s">
        <v>612</v>
      </c>
      <c r="B316" t="s">
        <v>354</v>
      </c>
      <c r="C316" s="2">
        <v>45791.12777777778</v>
      </c>
      <c r="D316" t="s">
        <v>35</v>
      </c>
      <c r="E316" t="s">
        <v>36</v>
      </c>
      <c r="F316" t="s">
        <v>37</v>
      </c>
      <c r="G316" t="s">
        <v>38</v>
      </c>
      <c r="H316">
        <v>1</v>
      </c>
      <c r="I316" s="3">
        <v>599</v>
      </c>
      <c r="J316" s="4">
        <v>0</v>
      </c>
      <c r="K316" s="3">
        <v>79</v>
      </c>
      <c r="L316" t="s">
        <v>48</v>
      </c>
      <c r="M316" t="s">
        <v>49</v>
      </c>
      <c r="N316" t="s">
        <v>31</v>
      </c>
      <c r="O316" t="s">
        <v>32</v>
      </c>
      <c r="P316" t="s">
        <v>33</v>
      </c>
      <c r="Q316">
        <v>1</v>
      </c>
      <c r="R316" s="3">
        <f t="shared" si="24"/>
        <v>599</v>
      </c>
      <c r="S316" s="3">
        <f t="shared" si="25"/>
        <v>0</v>
      </c>
      <c r="T316" s="3">
        <f t="shared" si="26"/>
        <v>678</v>
      </c>
      <c r="U316" s="3">
        <f t="shared" si="27"/>
        <v>258.70000000000005</v>
      </c>
      <c r="V316" s="4">
        <f t="shared" si="28"/>
        <v>0.38156342182890862</v>
      </c>
      <c r="W316" t="str">
        <f t="shared" si="29"/>
        <v>May</v>
      </c>
    </row>
    <row r="317" spans="1:23" x14ac:dyDescent="0.25">
      <c r="A317" t="s">
        <v>613</v>
      </c>
      <c r="B317" t="s">
        <v>265</v>
      </c>
      <c r="C317" s="2">
        <v>45905.917361111111</v>
      </c>
      <c r="D317" t="s">
        <v>169</v>
      </c>
      <c r="E317" t="s">
        <v>170</v>
      </c>
      <c r="F317" t="s">
        <v>98</v>
      </c>
      <c r="G317" t="s">
        <v>171</v>
      </c>
      <c r="H317">
        <v>5</v>
      </c>
      <c r="I317" s="3">
        <v>799</v>
      </c>
      <c r="J317" s="4">
        <v>0.2</v>
      </c>
      <c r="K317" s="3">
        <v>49</v>
      </c>
      <c r="L317" t="s">
        <v>125</v>
      </c>
      <c r="M317" t="s">
        <v>126</v>
      </c>
      <c r="N317" t="s">
        <v>50</v>
      </c>
      <c r="O317" t="s">
        <v>93</v>
      </c>
      <c r="P317" t="s">
        <v>52</v>
      </c>
      <c r="Q317">
        <v>1</v>
      </c>
      <c r="R317" s="3">
        <f t="shared" si="24"/>
        <v>3995</v>
      </c>
      <c r="S317" s="3">
        <f t="shared" si="25"/>
        <v>799</v>
      </c>
      <c r="T317" s="3">
        <f t="shared" si="26"/>
        <v>3245</v>
      </c>
      <c r="U317" s="3">
        <f t="shared" si="27"/>
        <v>448.5</v>
      </c>
      <c r="V317" s="4">
        <f t="shared" si="28"/>
        <v>0.13821263482280433</v>
      </c>
      <c r="W317" t="str">
        <f t="shared" si="29"/>
        <v>Sep</v>
      </c>
    </row>
    <row r="318" spans="1:23" x14ac:dyDescent="0.25">
      <c r="A318" t="s">
        <v>614</v>
      </c>
      <c r="B318" t="s">
        <v>76</v>
      </c>
      <c r="C318" s="2">
        <v>45867.940972222219</v>
      </c>
      <c r="D318" t="s">
        <v>169</v>
      </c>
      <c r="E318" t="s">
        <v>170</v>
      </c>
      <c r="F318" t="s">
        <v>98</v>
      </c>
      <c r="G318" t="s">
        <v>171</v>
      </c>
      <c r="H318">
        <v>5</v>
      </c>
      <c r="I318" s="3">
        <v>799</v>
      </c>
      <c r="J318" s="4">
        <v>0.2</v>
      </c>
      <c r="K318" s="3">
        <v>99</v>
      </c>
      <c r="L318" t="s">
        <v>113</v>
      </c>
      <c r="M318" t="s">
        <v>114</v>
      </c>
      <c r="N318" t="s">
        <v>71</v>
      </c>
      <c r="O318" t="s">
        <v>51</v>
      </c>
      <c r="P318" t="s">
        <v>80</v>
      </c>
      <c r="Q318">
        <v>2</v>
      </c>
      <c r="R318" s="3">
        <f t="shared" si="24"/>
        <v>3995</v>
      </c>
      <c r="S318" s="3">
        <f t="shared" si="25"/>
        <v>799</v>
      </c>
      <c r="T318" s="3">
        <f t="shared" si="26"/>
        <v>3295</v>
      </c>
      <c r="U318" s="3">
        <f t="shared" si="27"/>
        <v>498.5</v>
      </c>
      <c r="V318" s="4">
        <f t="shared" si="28"/>
        <v>0.15128983308042487</v>
      </c>
      <c r="W318" t="str">
        <f t="shared" si="29"/>
        <v>Jul</v>
      </c>
    </row>
    <row r="319" spans="1:23" x14ac:dyDescent="0.25">
      <c r="A319" t="s">
        <v>615</v>
      </c>
      <c r="B319" t="s">
        <v>616</v>
      </c>
      <c r="C319" s="2">
        <v>45939.631249999999</v>
      </c>
      <c r="D319" t="s">
        <v>55</v>
      </c>
      <c r="E319" t="s">
        <v>56</v>
      </c>
      <c r="F319" t="s">
        <v>37</v>
      </c>
      <c r="G319" t="s">
        <v>38</v>
      </c>
      <c r="H319">
        <v>1</v>
      </c>
      <c r="I319" s="3">
        <v>2499</v>
      </c>
      <c r="J319" s="4">
        <v>0.05</v>
      </c>
      <c r="K319" s="3">
        <v>0</v>
      </c>
      <c r="L319" t="s">
        <v>39</v>
      </c>
      <c r="M319" t="s">
        <v>39</v>
      </c>
      <c r="N319" t="s">
        <v>31</v>
      </c>
      <c r="O319" t="s">
        <v>51</v>
      </c>
      <c r="P319" t="s">
        <v>33</v>
      </c>
      <c r="R319" s="3">
        <f t="shared" si="24"/>
        <v>2499</v>
      </c>
      <c r="S319" s="3">
        <f t="shared" si="25"/>
        <v>124.95</v>
      </c>
      <c r="T319" s="3">
        <f t="shared" si="26"/>
        <v>2374.0500000000002</v>
      </c>
      <c r="U319" s="3">
        <f t="shared" si="27"/>
        <v>624.75000000000023</v>
      </c>
      <c r="V319" s="4">
        <f t="shared" si="28"/>
        <v>0.2631578947368422</v>
      </c>
      <c r="W319" t="str">
        <f t="shared" si="29"/>
        <v>Oct</v>
      </c>
    </row>
    <row r="320" spans="1:23" x14ac:dyDescent="0.25">
      <c r="A320" t="s">
        <v>617</v>
      </c>
      <c r="B320" t="s">
        <v>618</v>
      </c>
      <c r="C320" s="2">
        <v>45707.009027777778</v>
      </c>
      <c r="D320" t="s">
        <v>25</v>
      </c>
      <c r="E320" t="s">
        <v>26</v>
      </c>
      <c r="F320" t="s">
        <v>27</v>
      </c>
      <c r="G320" t="s">
        <v>28</v>
      </c>
      <c r="H320">
        <v>2</v>
      </c>
      <c r="I320" s="3">
        <v>249</v>
      </c>
      <c r="J320" s="4">
        <v>0.2</v>
      </c>
      <c r="K320" s="3">
        <v>59</v>
      </c>
      <c r="L320" t="s">
        <v>125</v>
      </c>
      <c r="M320" t="s">
        <v>126</v>
      </c>
      <c r="N320" t="s">
        <v>40</v>
      </c>
      <c r="O320" t="s">
        <v>93</v>
      </c>
      <c r="P320" t="s">
        <v>33</v>
      </c>
      <c r="Q320">
        <v>3</v>
      </c>
      <c r="R320" s="3">
        <f t="shared" si="24"/>
        <v>498</v>
      </c>
      <c r="S320" s="3">
        <f t="shared" si="25"/>
        <v>99.600000000000009</v>
      </c>
      <c r="T320" s="3">
        <f t="shared" si="26"/>
        <v>457.4</v>
      </c>
      <c r="U320" s="3">
        <f t="shared" si="27"/>
        <v>108.80000000000001</v>
      </c>
      <c r="V320" s="4">
        <f t="shared" si="28"/>
        <v>0.23786620026235247</v>
      </c>
      <c r="W320" t="str">
        <f t="shared" si="29"/>
        <v>Feb</v>
      </c>
    </row>
    <row r="321" spans="1:23" x14ac:dyDescent="0.25">
      <c r="A321" t="s">
        <v>619</v>
      </c>
      <c r="B321" t="s">
        <v>620</v>
      </c>
      <c r="C321" s="2">
        <v>45996.336805555547</v>
      </c>
      <c r="D321" t="s">
        <v>96</v>
      </c>
      <c r="E321" t="s">
        <v>97</v>
      </c>
      <c r="F321" t="s">
        <v>98</v>
      </c>
      <c r="G321" t="s">
        <v>99</v>
      </c>
      <c r="H321">
        <v>2</v>
      </c>
      <c r="I321" s="3">
        <v>1499</v>
      </c>
      <c r="J321" s="4">
        <v>0.15</v>
      </c>
      <c r="K321" s="3">
        <v>79</v>
      </c>
      <c r="L321" t="s">
        <v>119</v>
      </c>
      <c r="M321" t="s">
        <v>120</v>
      </c>
      <c r="N321" t="s">
        <v>71</v>
      </c>
      <c r="O321" t="s">
        <v>59</v>
      </c>
      <c r="P321" t="s">
        <v>80</v>
      </c>
      <c r="Q321">
        <v>3</v>
      </c>
      <c r="R321" s="3">
        <f t="shared" si="24"/>
        <v>2998</v>
      </c>
      <c r="S321" s="3">
        <f t="shared" si="25"/>
        <v>449.7</v>
      </c>
      <c r="T321" s="3">
        <f t="shared" si="26"/>
        <v>2627.3</v>
      </c>
      <c r="U321" s="3">
        <f t="shared" si="27"/>
        <v>528.70000000000027</v>
      </c>
      <c r="V321" s="4">
        <f t="shared" si="28"/>
        <v>0.2012332051916417</v>
      </c>
      <c r="W321" t="str">
        <f t="shared" si="29"/>
        <v>Dec</v>
      </c>
    </row>
    <row r="322" spans="1:23" x14ac:dyDescent="0.25">
      <c r="A322" t="s">
        <v>621</v>
      </c>
      <c r="B322" t="s">
        <v>440</v>
      </c>
      <c r="C322" s="2">
        <v>45883.594444444447</v>
      </c>
      <c r="D322" t="s">
        <v>105</v>
      </c>
      <c r="E322" t="s">
        <v>106</v>
      </c>
      <c r="F322" t="s">
        <v>37</v>
      </c>
      <c r="G322" t="s">
        <v>107</v>
      </c>
      <c r="H322">
        <v>1</v>
      </c>
      <c r="I322" s="3">
        <v>1799</v>
      </c>
      <c r="J322" s="4">
        <v>0.05</v>
      </c>
      <c r="K322" s="3">
        <v>99</v>
      </c>
      <c r="L322" t="s">
        <v>119</v>
      </c>
      <c r="M322" t="s">
        <v>120</v>
      </c>
      <c r="N322" t="s">
        <v>50</v>
      </c>
      <c r="O322" t="s">
        <v>93</v>
      </c>
      <c r="P322" t="s">
        <v>33</v>
      </c>
      <c r="Q322">
        <v>1</v>
      </c>
      <c r="R322" s="3">
        <f t="shared" ref="R322:R385" si="30">IFERROR(H322*I322,"")</f>
        <v>1799</v>
      </c>
      <c r="S322" s="3">
        <f t="shared" ref="S322:S385" si="31">IFERROR(R322*J322,"")</f>
        <v>89.95</v>
      </c>
      <c r="T322" s="3">
        <f t="shared" ref="T322:T385" si="32">IFERROR(R322-S322+K322,"")</f>
        <v>1808.05</v>
      </c>
      <c r="U322" s="3">
        <f t="shared" ref="U322:U385" si="33">IFERROR(T322-(R322*70%),"")</f>
        <v>548.75</v>
      </c>
      <c r="V322" s="4">
        <f t="shared" ref="V322:V385" si="34">IFERROR(U322/T322,"")</f>
        <v>0.30350377478498936</v>
      </c>
      <c r="W322" t="str">
        <f t="shared" ref="W322:W385" si="35">IFERROR(TEXT(C322,"mmm"),"")</f>
        <v>Aug</v>
      </c>
    </row>
    <row r="323" spans="1:23" x14ac:dyDescent="0.25">
      <c r="A323" t="s">
        <v>622</v>
      </c>
      <c r="B323" t="s">
        <v>623</v>
      </c>
      <c r="C323" s="2">
        <v>45869.759722222218</v>
      </c>
      <c r="D323" t="s">
        <v>25</v>
      </c>
      <c r="E323" t="s">
        <v>26</v>
      </c>
      <c r="F323" t="s">
        <v>27</v>
      </c>
      <c r="G323" t="s">
        <v>28</v>
      </c>
      <c r="H323">
        <v>3</v>
      </c>
      <c r="I323" s="3">
        <v>249</v>
      </c>
      <c r="J323" s="4"/>
      <c r="K323" s="3">
        <v>79</v>
      </c>
      <c r="L323" t="s">
        <v>74</v>
      </c>
      <c r="M323" t="s">
        <v>49</v>
      </c>
      <c r="N323" t="s">
        <v>40</v>
      </c>
      <c r="O323" t="s">
        <v>32</v>
      </c>
      <c r="P323" t="s">
        <v>85</v>
      </c>
      <c r="R323" s="3">
        <f t="shared" si="30"/>
        <v>747</v>
      </c>
      <c r="S323" s="3">
        <f t="shared" si="31"/>
        <v>0</v>
      </c>
      <c r="T323" s="3">
        <f t="shared" si="32"/>
        <v>826</v>
      </c>
      <c r="U323" s="3">
        <f t="shared" si="33"/>
        <v>303.10000000000002</v>
      </c>
      <c r="V323" s="4">
        <f t="shared" si="34"/>
        <v>0.36694915254237293</v>
      </c>
      <c r="W323" t="str">
        <f t="shared" si="35"/>
        <v>Jul</v>
      </c>
    </row>
    <row r="324" spans="1:23" x14ac:dyDescent="0.25">
      <c r="A324" t="s">
        <v>624</v>
      </c>
      <c r="B324" t="s">
        <v>392</v>
      </c>
      <c r="C324" s="2">
        <v>45901.378472222219</v>
      </c>
      <c r="D324" t="s">
        <v>90</v>
      </c>
      <c r="E324" t="s">
        <v>91</v>
      </c>
      <c r="F324" t="s">
        <v>37</v>
      </c>
      <c r="G324" t="s">
        <v>92</v>
      </c>
      <c r="H324">
        <v>3</v>
      </c>
      <c r="I324" s="3">
        <v>3499</v>
      </c>
      <c r="J324" s="4">
        <v>0.2</v>
      </c>
      <c r="K324" s="3">
        <v>0</v>
      </c>
      <c r="L324" t="s">
        <v>125</v>
      </c>
      <c r="M324" t="s">
        <v>126</v>
      </c>
      <c r="N324" t="s">
        <v>102</v>
      </c>
      <c r="O324" t="s">
        <v>32</v>
      </c>
      <c r="P324" t="s">
        <v>52</v>
      </c>
      <c r="R324" s="3">
        <f t="shared" si="30"/>
        <v>10497</v>
      </c>
      <c r="S324" s="3">
        <f t="shared" si="31"/>
        <v>2099.4</v>
      </c>
      <c r="T324" s="3">
        <f t="shared" si="32"/>
        <v>8397.6</v>
      </c>
      <c r="U324" s="3">
        <f t="shared" si="33"/>
        <v>1049.7000000000007</v>
      </c>
      <c r="V324" s="4">
        <f t="shared" si="34"/>
        <v>0.12500000000000008</v>
      </c>
      <c r="W324" t="str">
        <f t="shared" si="35"/>
        <v>Sep</v>
      </c>
    </row>
    <row r="325" spans="1:23" x14ac:dyDescent="0.25">
      <c r="A325" t="s">
        <v>625</v>
      </c>
      <c r="B325" t="s">
        <v>626</v>
      </c>
      <c r="C325" s="2">
        <v>45887.215277777781</v>
      </c>
      <c r="D325" t="s">
        <v>44</v>
      </c>
      <c r="E325" t="s">
        <v>45</v>
      </c>
      <c r="F325" t="s">
        <v>46</v>
      </c>
      <c r="G325" t="s">
        <v>47</v>
      </c>
      <c r="H325">
        <v>1</v>
      </c>
      <c r="I325" s="3">
        <v>1199</v>
      </c>
      <c r="J325" s="4">
        <v>0</v>
      </c>
      <c r="K325" s="3">
        <v>49</v>
      </c>
      <c r="L325" t="s">
        <v>627</v>
      </c>
      <c r="M325" t="s">
        <v>126</v>
      </c>
      <c r="N325" t="s">
        <v>40</v>
      </c>
      <c r="O325" t="s">
        <v>93</v>
      </c>
      <c r="P325" t="s">
        <v>33</v>
      </c>
      <c r="R325" s="3">
        <f t="shared" si="30"/>
        <v>1199</v>
      </c>
      <c r="S325" s="3">
        <f t="shared" si="31"/>
        <v>0</v>
      </c>
      <c r="T325" s="3">
        <f t="shared" si="32"/>
        <v>1248</v>
      </c>
      <c r="U325" s="3">
        <f t="shared" si="33"/>
        <v>408.70000000000005</v>
      </c>
      <c r="V325" s="4">
        <f t="shared" si="34"/>
        <v>0.32748397435897442</v>
      </c>
      <c r="W325" t="str">
        <f t="shared" si="35"/>
        <v>Aug</v>
      </c>
    </row>
    <row r="326" spans="1:23" x14ac:dyDescent="0.25">
      <c r="A326" t="s">
        <v>628</v>
      </c>
      <c r="B326" t="s">
        <v>138</v>
      </c>
      <c r="C326" s="2">
        <v>45979.203472222223</v>
      </c>
      <c r="D326" t="s">
        <v>96</v>
      </c>
      <c r="E326" t="s">
        <v>97</v>
      </c>
      <c r="F326" t="s">
        <v>98</v>
      </c>
      <c r="G326" t="s">
        <v>99</v>
      </c>
      <c r="H326">
        <v>5</v>
      </c>
      <c r="I326" s="3">
        <v>1499</v>
      </c>
      <c r="J326" s="4">
        <v>0.05</v>
      </c>
      <c r="K326" s="3">
        <v>59</v>
      </c>
      <c r="L326" t="s">
        <v>113</v>
      </c>
      <c r="M326" t="s">
        <v>114</v>
      </c>
      <c r="N326" t="s">
        <v>31</v>
      </c>
      <c r="O326" t="s">
        <v>59</v>
      </c>
      <c r="P326" t="s">
        <v>85</v>
      </c>
      <c r="Q326">
        <v>5</v>
      </c>
      <c r="R326" s="3">
        <f t="shared" si="30"/>
        <v>7495</v>
      </c>
      <c r="S326" s="3">
        <f t="shared" si="31"/>
        <v>374.75</v>
      </c>
      <c r="T326" s="3">
        <f t="shared" si="32"/>
        <v>7179.25</v>
      </c>
      <c r="U326" s="3">
        <f t="shared" si="33"/>
        <v>1932.75</v>
      </c>
      <c r="V326" s="4">
        <f t="shared" si="34"/>
        <v>0.26921335794128914</v>
      </c>
      <c r="W326" t="str">
        <f t="shared" si="35"/>
        <v>Nov</v>
      </c>
    </row>
    <row r="327" spans="1:23" x14ac:dyDescent="0.25">
      <c r="A327" t="s">
        <v>629</v>
      </c>
      <c r="B327" t="s">
        <v>623</v>
      </c>
      <c r="C327" s="2">
        <v>45799.686805555553</v>
      </c>
      <c r="D327" t="s">
        <v>96</v>
      </c>
      <c r="E327" t="s">
        <v>97</v>
      </c>
      <c r="F327" t="s">
        <v>98</v>
      </c>
      <c r="G327" t="s">
        <v>99</v>
      </c>
      <c r="H327">
        <v>1</v>
      </c>
      <c r="I327" s="3">
        <v>1499</v>
      </c>
      <c r="J327" s="4">
        <v>0.2</v>
      </c>
      <c r="K327" s="3">
        <v>99</v>
      </c>
      <c r="L327" t="s">
        <v>83</v>
      </c>
      <c r="M327" t="s">
        <v>84</v>
      </c>
      <c r="N327" t="s">
        <v>40</v>
      </c>
      <c r="O327" t="s">
        <v>93</v>
      </c>
      <c r="P327" t="s">
        <v>33</v>
      </c>
      <c r="Q327">
        <v>4</v>
      </c>
      <c r="R327" s="3">
        <f t="shared" si="30"/>
        <v>1499</v>
      </c>
      <c r="S327" s="3">
        <f t="shared" si="31"/>
        <v>299.8</v>
      </c>
      <c r="T327" s="3">
        <f t="shared" si="32"/>
        <v>1298.2</v>
      </c>
      <c r="U327" s="3">
        <f t="shared" si="33"/>
        <v>248.90000000000009</v>
      </c>
      <c r="V327" s="4">
        <f t="shared" si="34"/>
        <v>0.19172700662455713</v>
      </c>
      <c r="W327" t="str">
        <f t="shared" si="35"/>
        <v>May</v>
      </c>
    </row>
    <row r="328" spans="1:23" x14ac:dyDescent="0.25">
      <c r="A328" t="s">
        <v>630</v>
      </c>
      <c r="B328" t="s">
        <v>332</v>
      </c>
      <c r="C328" s="2">
        <v>45956.165972222218</v>
      </c>
      <c r="D328" t="s">
        <v>105</v>
      </c>
      <c r="E328" t="s">
        <v>106</v>
      </c>
      <c r="F328" t="s">
        <v>37</v>
      </c>
      <c r="G328" t="s">
        <v>107</v>
      </c>
      <c r="H328">
        <v>2</v>
      </c>
      <c r="I328" s="3">
        <v>1799</v>
      </c>
      <c r="J328" s="4">
        <v>0.15</v>
      </c>
      <c r="K328" s="3">
        <v>0</v>
      </c>
      <c r="L328" t="s">
        <v>100</v>
      </c>
      <c r="M328" t="s">
        <v>101</v>
      </c>
      <c r="N328" t="s">
        <v>102</v>
      </c>
      <c r="O328" t="s">
        <v>51</v>
      </c>
      <c r="P328" t="s">
        <v>33</v>
      </c>
      <c r="Q328">
        <v>4</v>
      </c>
      <c r="R328" s="3">
        <f t="shared" si="30"/>
        <v>3598</v>
      </c>
      <c r="S328" s="3">
        <f t="shared" si="31"/>
        <v>539.69999999999993</v>
      </c>
      <c r="T328" s="3">
        <f t="shared" si="32"/>
        <v>3058.3</v>
      </c>
      <c r="U328" s="3">
        <f t="shared" si="33"/>
        <v>539.70000000000027</v>
      </c>
      <c r="V328" s="4">
        <f t="shared" si="34"/>
        <v>0.17647058823529418</v>
      </c>
      <c r="W328" t="str">
        <f t="shared" si="35"/>
        <v>Oct</v>
      </c>
    </row>
    <row r="329" spans="1:23" x14ac:dyDescent="0.25">
      <c r="A329" t="s">
        <v>631</v>
      </c>
      <c r="B329" t="s">
        <v>128</v>
      </c>
      <c r="C329" s="2">
        <v>45950.8125</v>
      </c>
      <c r="D329" t="s">
        <v>110</v>
      </c>
      <c r="E329" t="s">
        <v>111</v>
      </c>
      <c r="F329" t="s">
        <v>98</v>
      </c>
      <c r="G329" t="s">
        <v>112</v>
      </c>
      <c r="H329">
        <v>2</v>
      </c>
      <c r="I329" s="3">
        <v>2999</v>
      </c>
      <c r="J329" s="4">
        <v>0</v>
      </c>
      <c r="K329" s="3">
        <v>59</v>
      </c>
      <c r="L329" t="s">
        <v>57</v>
      </c>
      <c r="M329" t="s">
        <v>58</v>
      </c>
      <c r="N329" t="s">
        <v>50</v>
      </c>
      <c r="O329" t="s">
        <v>32</v>
      </c>
      <c r="P329" t="s">
        <v>33</v>
      </c>
      <c r="Q329">
        <v>5</v>
      </c>
      <c r="R329" s="3">
        <f t="shared" si="30"/>
        <v>5998</v>
      </c>
      <c r="S329" s="3">
        <f t="shared" si="31"/>
        <v>0</v>
      </c>
      <c r="T329" s="3">
        <f t="shared" si="32"/>
        <v>6057</v>
      </c>
      <c r="U329" s="3">
        <f t="shared" si="33"/>
        <v>1858.4000000000005</v>
      </c>
      <c r="V329" s="4">
        <f t="shared" si="34"/>
        <v>0.30681855704143973</v>
      </c>
      <c r="W329" t="str">
        <f t="shared" si="35"/>
        <v>Oct</v>
      </c>
    </row>
    <row r="330" spans="1:23" x14ac:dyDescent="0.25">
      <c r="A330" t="s">
        <v>632</v>
      </c>
      <c r="B330" t="s">
        <v>73</v>
      </c>
      <c r="C330" s="2">
        <v>45827.927083333343</v>
      </c>
      <c r="D330" t="s">
        <v>25</v>
      </c>
      <c r="E330" t="s">
        <v>26</v>
      </c>
      <c r="F330" t="s">
        <v>27</v>
      </c>
      <c r="G330" t="s">
        <v>28</v>
      </c>
      <c r="H330">
        <v>1</v>
      </c>
      <c r="I330" s="3">
        <v>249</v>
      </c>
      <c r="J330" s="4">
        <v>0.2</v>
      </c>
      <c r="K330" s="3">
        <v>79</v>
      </c>
      <c r="L330" t="s">
        <v>57</v>
      </c>
      <c r="M330" t="s">
        <v>58</v>
      </c>
      <c r="N330" t="s">
        <v>71</v>
      </c>
      <c r="O330" t="s">
        <v>93</v>
      </c>
      <c r="P330" t="s">
        <v>33</v>
      </c>
      <c r="Q330">
        <v>3</v>
      </c>
      <c r="R330" s="3">
        <f t="shared" si="30"/>
        <v>249</v>
      </c>
      <c r="S330" s="3">
        <f t="shared" si="31"/>
        <v>49.800000000000004</v>
      </c>
      <c r="T330" s="3">
        <f t="shared" si="32"/>
        <v>278.2</v>
      </c>
      <c r="U330" s="3">
        <f t="shared" si="33"/>
        <v>103.9</v>
      </c>
      <c r="V330" s="4">
        <f t="shared" si="34"/>
        <v>0.37347232207045294</v>
      </c>
      <c r="W330" t="str">
        <f t="shared" si="35"/>
        <v>Jun</v>
      </c>
    </row>
    <row r="331" spans="1:23" x14ac:dyDescent="0.25">
      <c r="A331" t="s">
        <v>633</v>
      </c>
      <c r="B331" t="s">
        <v>634</v>
      </c>
      <c r="C331" s="2">
        <v>45909.946527777778</v>
      </c>
      <c r="D331" t="s">
        <v>110</v>
      </c>
      <c r="E331" t="s">
        <v>111</v>
      </c>
      <c r="F331" t="s">
        <v>98</v>
      </c>
      <c r="G331" t="s">
        <v>112</v>
      </c>
      <c r="H331">
        <v>1</v>
      </c>
      <c r="I331" s="3">
        <v>2999</v>
      </c>
      <c r="J331" s="4">
        <v>0</v>
      </c>
      <c r="K331" s="3">
        <v>49</v>
      </c>
      <c r="L331" t="s">
        <v>48</v>
      </c>
      <c r="M331" t="s">
        <v>49</v>
      </c>
      <c r="N331" t="s">
        <v>40</v>
      </c>
      <c r="O331" t="s">
        <v>635</v>
      </c>
      <c r="P331" t="s">
        <v>33</v>
      </c>
      <c r="Q331">
        <v>3</v>
      </c>
      <c r="R331" s="3">
        <f t="shared" si="30"/>
        <v>2999</v>
      </c>
      <c r="S331" s="3">
        <f t="shared" si="31"/>
        <v>0</v>
      </c>
      <c r="T331" s="3">
        <f t="shared" si="32"/>
        <v>3048</v>
      </c>
      <c r="U331" s="3">
        <f t="shared" si="33"/>
        <v>948.70000000000027</v>
      </c>
      <c r="V331" s="4">
        <f t="shared" si="34"/>
        <v>0.31125328083989512</v>
      </c>
      <c r="W331" t="str">
        <f t="shared" si="35"/>
        <v>Sep</v>
      </c>
    </row>
    <row r="332" spans="1:23" x14ac:dyDescent="0.25">
      <c r="A332" t="s">
        <v>636</v>
      </c>
      <c r="B332" t="s">
        <v>516</v>
      </c>
      <c r="C332" s="2">
        <v>45703.269444444442</v>
      </c>
      <c r="D332" t="s">
        <v>77</v>
      </c>
      <c r="E332" t="s">
        <v>78</v>
      </c>
      <c r="F332" t="s">
        <v>79</v>
      </c>
      <c r="G332" t="s">
        <v>28</v>
      </c>
      <c r="H332">
        <v>2</v>
      </c>
      <c r="I332" s="3">
        <v>6499</v>
      </c>
      <c r="J332" s="4">
        <v>0.1</v>
      </c>
      <c r="K332" s="3">
        <v>79</v>
      </c>
      <c r="L332" t="s">
        <v>57</v>
      </c>
      <c r="M332" t="s">
        <v>58</v>
      </c>
      <c r="N332" t="s">
        <v>71</v>
      </c>
      <c r="O332" t="s">
        <v>93</v>
      </c>
      <c r="P332" t="s">
        <v>33</v>
      </c>
      <c r="Q332">
        <v>5</v>
      </c>
      <c r="R332" s="3">
        <f t="shared" si="30"/>
        <v>12998</v>
      </c>
      <c r="S332" s="3">
        <f t="shared" si="31"/>
        <v>1299.8000000000002</v>
      </c>
      <c r="T332" s="3">
        <f t="shared" si="32"/>
        <v>11777.2</v>
      </c>
      <c r="U332" s="3">
        <f t="shared" si="33"/>
        <v>2678.6000000000022</v>
      </c>
      <c r="V332" s="4">
        <f t="shared" si="34"/>
        <v>0.22743945929422971</v>
      </c>
      <c r="W332" t="str">
        <f t="shared" si="35"/>
        <v>Feb</v>
      </c>
    </row>
    <row r="333" spans="1:23" x14ac:dyDescent="0.25">
      <c r="A333" t="s">
        <v>637</v>
      </c>
      <c r="B333" t="s">
        <v>589</v>
      </c>
      <c r="C333" s="2">
        <v>45917.505555555559</v>
      </c>
      <c r="D333" t="s">
        <v>105</v>
      </c>
      <c r="E333" t="s">
        <v>106</v>
      </c>
      <c r="F333" t="s">
        <v>37</v>
      </c>
      <c r="G333" t="s">
        <v>107</v>
      </c>
      <c r="H333">
        <v>1</v>
      </c>
      <c r="I333" s="3">
        <v>1799</v>
      </c>
      <c r="J333" s="4">
        <v>0.15</v>
      </c>
      <c r="K333" s="3">
        <v>0</v>
      </c>
      <c r="L333" t="s">
        <v>29</v>
      </c>
      <c r="M333" t="s">
        <v>30</v>
      </c>
      <c r="N333" t="s">
        <v>50</v>
      </c>
      <c r="O333" t="s">
        <v>41</v>
      </c>
      <c r="P333" t="s">
        <v>85</v>
      </c>
      <c r="R333" s="3">
        <f t="shared" si="30"/>
        <v>1799</v>
      </c>
      <c r="S333" s="3">
        <f t="shared" si="31"/>
        <v>269.84999999999997</v>
      </c>
      <c r="T333" s="3">
        <f t="shared" si="32"/>
        <v>1529.15</v>
      </c>
      <c r="U333" s="3">
        <f t="shared" si="33"/>
        <v>269.85000000000014</v>
      </c>
      <c r="V333" s="4">
        <f t="shared" si="34"/>
        <v>0.17647058823529418</v>
      </c>
      <c r="W333" t="str">
        <f t="shared" si="35"/>
        <v>Sep</v>
      </c>
    </row>
    <row r="334" spans="1:23" x14ac:dyDescent="0.25">
      <c r="A334" t="s">
        <v>638</v>
      </c>
      <c r="B334" t="s">
        <v>283</v>
      </c>
      <c r="C334" s="2">
        <v>45683.489583333343</v>
      </c>
      <c r="D334" t="s">
        <v>35</v>
      </c>
      <c r="E334" t="s">
        <v>36</v>
      </c>
      <c r="F334" t="s">
        <v>37</v>
      </c>
      <c r="G334" t="s">
        <v>38</v>
      </c>
      <c r="H334">
        <v>1</v>
      </c>
      <c r="I334" s="3">
        <v>599</v>
      </c>
      <c r="J334" s="4">
        <v>0.05</v>
      </c>
      <c r="K334" s="3">
        <v>59</v>
      </c>
      <c r="L334" t="s">
        <v>113</v>
      </c>
      <c r="M334" t="s">
        <v>114</v>
      </c>
      <c r="N334" t="s">
        <v>102</v>
      </c>
      <c r="O334" t="s">
        <v>59</v>
      </c>
      <c r="P334" t="s">
        <v>33</v>
      </c>
      <c r="R334" s="3">
        <f t="shared" si="30"/>
        <v>599</v>
      </c>
      <c r="S334" s="3">
        <f t="shared" si="31"/>
        <v>29.950000000000003</v>
      </c>
      <c r="T334" s="3">
        <f t="shared" si="32"/>
        <v>628.04999999999995</v>
      </c>
      <c r="U334" s="3">
        <f t="shared" si="33"/>
        <v>208.75</v>
      </c>
      <c r="V334" s="4">
        <f t="shared" si="34"/>
        <v>0.33237799538253326</v>
      </c>
      <c r="W334" t="str">
        <f t="shared" si="35"/>
        <v>Jan</v>
      </c>
    </row>
    <row r="335" spans="1:23" x14ac:dyDescent="0.25">
      <c r="A335" t="s">
        <v>639</v>
      </c>
      <c r="B335" t="s">
        <v>640</v>
      </c>
      <c r="C335" s="2">
        <v>45908.811111111107</v>
      </c>
      <c r="D335" t="s">
        <v>55</v>
      </c>
      <c r="E335" t="s">
        <v>56</v>
      </c>
      <c r="F335" t="s">
        <v>37</v>
      </c>
      <c r="G335" t="s">
        <v>38</v>
      </c>
      <c r="H335">
        <v>1</v>
      </c>
      <c r="I335" s="3">
        <v>2499</v>
      </c>
      <c r="J335" s="4">
        <v>0.1</v>
      </c>
      <c r="K335" s="3">
        <v>99</v>
      </c>
      <c r="L335" t="s">
        <v>39</v>
      </c>
      <c r="M335" t="s">
        <v>39</v>
      </c>
      <c r="N335" t="s">
        <v>71</v>
      </c>
      <c r="O335" t="s">
        <v>51</v>
      </c>
      <c r="P335" t="s">
        <v>33</v>
      </c>
      <c r="Q335">
        <v>2</v>
      </c>
      <c r="R335" s="3">
        <f t="shared" si="30"/>
        <v>2499</v>
      </c>
      <c r="S335" s="3">
        <f t="shared" si="31"/>
        <v>249.9</v>
      </c>
      <c r="T335" s="3">
        <f t="shared" si="32"/>
        <v>2348.1</v>
      </c>
      <c r="U335" s="3">
        <f t="shared" si="33"/>
        <v>598.79999999999995</v>
      </c>
      <c r="V335" s="4">
        <f t="shared" si="34"/>
        <v>0.25501469273029259</v>
      </c>
      <c r="W335" t="str">
        <f t="shared" si="35"/>
        <v>Sep</v>
      </c>
    </row>
    <row r="336" spans="1:23" x14ac:dyDescent="0.25">
      <c r="A336" t="s">
        <v>641</v>
      </c>
      <c r="B336" t="s">
        <v>642</v>
      </c>
      <c r="C336" s="2">
        <v>45855.048611111109</v>
      </c>
      <c r="D336" t="s">
        <v>110</v>
      </c>
      <c r="E336" t="s">
        <v>111</v>
      </c>
      <c r="F336" t="s">
        <v>98</v>
      </c>
      <c r="G336" t="s">
        <v>112</v>
      </c>
      <c r="H336">
        <v>1</v>
      </c>
      <c r="I336" s="3">
        <v>2999</v>
      </c>
      <c r="J336" s="4">
        <v>0</v>
      </c>
      <c r="K336" s="3">
        <v>49</v>
      </c>
      <c r="L336" t="s">
        <v>29</v>
      </c>
      <c r="M336" t="s">
        <v>30</v>
      </c>
      <c r="N336" t="s">
        <v>50</v>
      </c>
      <c r="O336" t="s">
        <v>51</v>
      </c>
      <c r="P336" t="s">
        <v>85</v>
      </c>
      <c r="R336" s="3">
        <f t="shared" si="30"/>
        <v>2999</v>
      </c>
      <c r="S336" s="3">
        <f t="shared" si="31"/>
        <v>0</v>
      </c>
      <c r="T336" s="3">
        <f t="shared" si="32"/>
        <v>3048</v>
      </c>
      <c r="U336" s="3">
        <f t="shared" si="33"/>
        <v>948.70000000000027</v>
      </c>
      <c r="V336" s="4">
        <f t="shared" si="34"/>
        <v>0.31125328083989512</v>
      </c>
      <c r="W336" t="str">
        <f t="shared" si="35"/>
        <v>Jul</v>
      </c>
    </row>
    <row r="337" spans="1:23" x14ac:dyDescent="0.25">
      <c r="A337" t="s">
        <v>643</v>
      </c>
      <c r="B337" t="s">
        <v>146</v>
      </c>
      <c r="C337" s="2">
        <v>46007.020833333343</v>
      </c>
      <c r="D337" t="s">
        <v>96</v>
      </c>
      <c r="E337" t="s">
        <v>97</v>
      </c>
      <c r="F337" t="s">
        <v>98</v>
      </c>
      <c r="G337" t="s">
        <v>99</v>
      </c>
      <c r="H337">
        <v>1</v>
      </c>
      <c r="I337" s="3">
        <v>1499</v>
      </c>
      <c r="J337" s="4">
        <v>0.2</v>
      </c>
      <c r="K337" s="3">
        <v>49</v>
      </c>
      <c r="L337" t="s">
        <v>83</v>
      </c>
      <c r="M337" t="s">
        <v>84</v>
      </c>
      <c r="N337" t="s">
        <v>50</v>
      </c>
      <c r="O337" t="s">
        <v>51</v>
      </c>
      <c r="P337" t="s">
        <v>33</v>
      </c>
      <c r="Q337">
        <v>5</v>
      </c>
      <c r="R337" s="3">
        <f t="shared" si="30"/>
        <v>1499</v>
      </c>
      <c r="S337" s="3">
        <f t="shared" si="31"/>
        <v>299.8</v>
      </c>
      <c r="T337" s="3">
        <f t="shared" si="32"/>
        <v>1248.2</v>
      </c>
      <c r="U337" s="3">
        <f t="shared" si="33"/>
        <v>198.90000000000009</v>
      </c>
      <c r="V337" s="4">
        <f t="shared" si="34"/>
        <v>0.15934946322704702</v>
      </c>
      <c r="W337" t="str">
        <f t="shared" si="35"/>
        <v>Dec</v>
      </c>
    </row>
    <row r="338" spans="1:23" x14ac:dyDescent="0.25">
      <c r="A338" t="s">
        <v>644</v>
      </c>
      <c r="B338" t="s">
        <v>296</v>
      </c>
      <c r="C338" s="2">
        <v>45850.478472222218</v>
      </c>
      <c r="D338" t="s">
        <v>110</v>
      </c>
      <c r="E338" t="s">
        <v>111</v>
      </c>
      <c r="F338" t="s">
        <v>98</v>
      </c>
      <c r="G338" t="s">
        <v>112</v>
      </c>
      <c r="H338">
        <v>1</v>
      </c>
      <c r="I338" s="3">
        <v>2999</v>
      </c>
      <c r="J338" s="4">
        <v>0</v>
      </c>
      <c r="K338" s="3">
        <v>79</v>
      </c>
      <c r="L338" t="s">
        <v>48</v>
      </c>
      <c r="M338" t="s">
        <v>49</v>
      </c>
      <c r="N338" t="s">
        <v>102</v>
      </c>
      <c r="O338" t="s">
        <v>32</v>
      </c>
      <c r="P338" t="s">
        <v>33</v>
      </c>
      <c r="Q338">
        <v>4</v>
      </c>
      <c r="R338" s="3">
        <f t="shared" si="30"/>
        <v>2999</v>
      </c>
      <c r="S338" s="3">
        <f t="shared" si="31"/>
        <v>0</v>
      </c>
      <c r="T338" s="3">
        <f t="shared" si="32"/>
        <v>3078</v>
      </c>
      <c r="U338" s="3">
        <f t="shared" si="33"/>
        <v>978.70000000000027</v>
      </c>
      <c r="V338" s="4">
        <f t="shared" si="34"/>
        <v>0.31796621182586104</v>
      </c>
      <c r="W338" t="str">
        <f t="shared" si="35"/>
        <v>Jul</v>
      </c>
    </row>
    <row r="339" spans="1:23" x14ac:dyDescent="0.25">
      <c r="A339" t="s">
        <v>645</v>
      </c>
      <c r="B339" t="s">
        <v>338</v>
      </c>
      <c r="C339" s="2">
        <v>45997.482638888891</v>
      </c>
      <c r="D339" t="s">
        <v>44</v>
      </c>
      <c r="E339" t="s">
        <v>45</v>
      </c>
      <c r="F339" t="s">
        <v>46</v>
      </c>
      <c r="G339" t="s">
        <v>47</v>
      </c>
      <c r="H339">
        <v>1</v>
      </c>
      <c r="I339" s="3">
        <v>1199</v>
      </c>
      <c r="J339" s="4">
        <v>0.15</v>
      </c>
      <c r="K339" s="3">
        <v>99</v>
      </c>
      <c r="L339" t="s">
        <v>29</v>
      </c>
      <c r="M339" t="s">
        <v>30</v>
      </c>
      <c r="N339" t="s">
        <v>71</v>
      </c>
      <c r="O339" t="s">
        <v>93</v>
      </c>
      <c r="P339" t="s">
        <v>80</v>
      </c>
      <c r="Q339">
        <v>4</v>
      </c>
      <c r="R339" s="3">
        <f t="shared" si="30"/>
        <v>1199</v>
      </c>
      <c r="S339" s="3">
        <f t="shared" si="31"/>
        <v>179.85</v>
      </c>
      <c r="T339" s="3">
        <f t="shared" si="32"/>
        <v>1118.1500000000001</v>
      </c>
      <c r="U339" s="3">
        <f t="shared" si="33"/>
        <v>278.85000000000014</v>
      </c>
      <c r="V339" s="4">
        <f t="shared" si="34"/>
        <v>0.24938514510575516</v>
      </c>
      <c r="W339" t="str">
        <f t="shared" si="35"/>
        <v>Dec</v>
      </c>
    </row>
    <row r="340" spans="1:23" x14ac:dyDescent="0.25">
      <c r="A340" t="s">
        <v>646</v>
      </c>
      <c r="B340" t="s">
        <v>466</v>
      </c>
      <c r="C340" s="2">
        <v>45985.454861111109</v>
      </c>
      <c r="D340" t="s">
        <v>55</v>
      </c>
      <c r="E340" t="s">
        <v>56</v>
      </c>
      <c r="F340" t="s">
        <v>37</v>
      </c>
      <c r="G340" t="s">
        <v>38</v>
      </c>
      <c r="H340">
        <v>5</v>
      </c>
      <c r="I340" s="3">
        <v>2499</v>
      </c>
      <c r="J340" s="4">
        <v>0.05</v>
      </c>
      <c r="K340" s="3">
        <v>59</v>
      </c>
      <c r="L340" t="s">
        <v>74</v>
      </c>
      <c r="M340" t="s">
        <v>49</v>
      </c>
      <c r="N340" t="s">
        <v>50</v>
      </c>
      <c r="O340" t="s">
        <v>32</v>
      </c>
      <c r="P340" t="s">
        <v>33</v>
      </c>
      <c r="R340" s="3">
        <f t="shared" si="30"/>
        <v>12495</v>
      </c>
      <c r="S340" s="3">
        <f t="shared" si="31"/>
        <v>624.75</v>
      </c>
      <c r="T340" s="3">
        <f t="shared" si="32"/>
        <v>11929.25</v>
      </c>
      <c r="U340" s="3">
        <f t="shared" si="33"/>
        <v>3182.75</v>
      </c>
      <c r="V340" s="4">
        <f t="shared" si="34"/>
        <v>0.26680218789949073</v>
      </c>
      <c r="W340" t="str">
        <f t="shared" si="35"/>
        <v>Nov</v>
      </c>
    </row>
    <row r="341" spans="1:23" x14ac:dyDescent="0.25">
      <c r="A341" t="s">
        <v>647</v>
      </c>
      <c r="B341" t="s">
        <v>311</v>
      </c>
      <c r="C341" s="2">
        <v>45965.529166666667</v>
      </c>
      <c r="D341" t="s">
        <v>67</v>
      </c>
      <c r="E341" t="s">
        <v>68</v>
      </c>
      <c r="F341" t="s">
        <v>37</v>
      </c>
      <c r="G341" t="s">
        <v>38</v>
      </c>
      <c r="H341">
        <v>3</v>
      </c>
      <c r="I341" s="3">
        <v>1299</v>
      </c>
      <c r="J341" s="4">
        <v>0.2</v>
      </c>
      <c r="K341" s="3">
        <v>49</v>
      </c>
      <c r="L341" t="s">
        <v>39</v>
      </c>
      <c r="M341" t="s">
        <v>39</v>
      </c>
      <c r="N341" t="s">
        <v>40</v>
      </c>
      <c r="O341" t="s">
        <v>51</v>
      </c>
      <c r="P341" t="s">
        <v>33</v>
      </c>
      <c r="Q341">
        <v>3</v>
      </c>
      <c r="R341" s="3">
        <f t="shared" si="30"/>
        <v>3897</v>
      </c>
      <c r="S341" s="3">
        <f t="shared" si="31"/>
        <v>779.40000000000009</v>
      </c>
      <c r="T341" s="3">
        <f t="shared" si="32"/>
        <v>3166.6</v>
      </c>
      <c r="U341" s="3">
        <f t="shared" si="33"/>
        <v>438.70000000000027</v>
      </c>
      <c r="V341" s="4">
        <f t="shared" si="34"/>
        <v>0.13853975873176286</v>
      </c>
      <c r="W341" t="str">
        <f t="shared" si="35"/>
        <v>Nov</v>
      </c>
    </row>
    <row r="342" spans="1:23" x14ac:dyDescent="0.25">
      <c r="A342" t="s">
        <v>648</v>
      </c>
      <c r="B342" t="s">
        <v>325</v>
      </c>
      <c r="C342" s="2">
        <v>45676.78125</v>
      </c>
      <c r="D342" t="s">
        <v>96</v>
      </c>
      <c r="E342" t="s">
        <v>97</v>
      </c>
      <c r="F342" t="s">
        <v>98</v>
      </c>
      <c r="G342" t="s">
        <v>99</v>
      </c>
      <c r="H342">
        <v>1</v>
      </c>
      <c r="I342" s="3">
        <v>1499</v>
      </c>
      <c r="J342" s="4">
        <v>0</v>
      </c>
      <c r="K342" s="3">
        <v>59</v>
      </c>
      <c r="L342" t="s">
        <v>57</v>
      </c>
      <c r="M342" t="s">
        <v>58</v>
      </c>
      <c r="N342" t="s">
        <v>102</v>
      </c>
      <c r="O342" t="s">
        <v>59</v>
      </c>
      <c r="P342" t="s">
        <v>85</v>
      </c>
      <c r="R342" s="3">
        <f t="shared" si="30"/>
        <v>1499</v>
      </c>
      <c r="S342" s="3">
        <f t="shared" si="31"/>
        <v>0</v>
      </c>
      <c r="T342" s="3">
        <f t="shared" si="32"/>
        <v>1558</v>
      </c>
      <c r="U342" s="3">
        <f t="shared" si="33"/>
        <v>508.70000000000005</v>
      </c>
      <c r="V342" s="4">
        <f t="shared" si="34"/>
        <v>0.32650834403080875</v>
      </c>
      <c r="W342" t="str">
        <f t="shared" si="35"/>
        <v>Jan</v>
      </c>
    </row>
    <row r="343" spans="1:23" x14ac:dyDescent="0.25">
      <c r="A343" t="s">
        <v>649</v>
      </c>
      <c r="B343" t="s">
        <v>124</v>
      </c>
      <c r="C343" s="2">
        <v>45745.913888888892</v>
      </c>
      <c r="D343" t="s">
        <v>169</v>
      </c>
      <c r="E343" t="s">
        <v>170</v>
      </c>
      <c r="F343" t="s">
        <v>98</v>
      </c>
      <c r="G343" t="s">
        <v>171</v>
      </c>
      <c r="H343">
        <v>1</v>
      </c>
      <c r="I343" s="3">
        <v>799</v>
      </c>
      <c r="J343" s="4">
        <v>0</v>
      </c>
      <c r="K343" s="3">
        <v>59</v>
      </c>
      <c r="L343" t="s">
        <v>83</v>
      </c>
      <c r="M343" t="s">
        <v>84</v>
      </c>
      <c r="N343" t="s">
        <v>40</v>
      </c>
      <c r="O343" t="s">
        <v>41</v>
      </c>
      <c r="P343" t="s">
        <v>85</v>
      </c>
      <c r="R343" s="3">
        <f t="shared" si="30"/>
        <v>799</v>
      </c>
      <c r="S343" s="3">
        <f t="shared" si="31"/>
        <v>0</v>
      </c>
      <c r="T343" s="3">
        <f t="shared" si="32"/>
        <v>858</v>
      </c>
      <c r="U343" s="3">
        <f t="shared" si="33"/>
        <v>298.70000000000005</v>
      </c>
      <c r="V343" s="4">
        <f t="shared" si="34"/>
        <v>0.34813519813519817</v>
      </c>
      <c r="W343" t="str">
        <f t="shared" si="35"/>
        <v>Mar</v>
      </c>
    </row>
    <row r="344" spans="1:23" x14ac:dyDescent="0.25">
      <c r="A344" t="s">
        <v>650</v>
      </c>
      <c r="B344" t="s">
        <v>325</v>
      </c>
      <c r="C344" s="2">
        <v>45751.914583333331</v>
      </c>
      <c r="D344" t="s">
        <v>110</v>
      </c>
      <c r="E344" t="s">
        <v>111</v>
      </c>
      <c r="F344" t="s">
        <v>98</v>
      </c>
      <c r="G344" t="s">
        <v>112</v>
      </c>
      <c r="H344">
        <v>3</v>
      </c>
      <c r="I344" s="3">
        <v>2999</v>
      </c>
      <c r="J344" s="4">
        <v>0.2</v>
      </c>
      <c r="K344" s="3">
        <v>0</v>
      </c>
      <c r="L344" t="s">
        <v>83</v>
      </c>
      <c r="M344" t="s">
        <v>84</v>
      </c>
      <c r="N344" t="s">
        <v>71</v>
      </c>
      <c r="O344" t="s">
        <v>41</v>
      </c>
      <c r="P344" t="s">
        <v>33</v>
      </c>
      <c r="R344" s="3">
        <f t="shared" si="30"/>
        <v>8997</v>
      </c>
      <c r="S344" s="3">
        <f t="shared" si="31"/>
        <v>1799.4</v>
      </c>
      <c r="T344" s="3">
        <f t="shared" si="32"/>
        <v>7197.6</v>
      </c>
      <c r="U344" s="3">
        <f t="shared" si="33"/>
        <v>899.70000000000073</v>
      </c>
      <c r="V344" s="4">
        <f t="shared" si="34"/>
        <v>0.12500000000000008</v>
      </c>
      <c r="W344" t="str">
        <f t="shared" si="35"/>
        <v>Apr</v>
      </c>
    </row>
    <row r="345" spans="1:23" x14ac:dyDescent="0.25">
      <c r="A345" t="s">
        <v>651</v>
      </c>
      <c r="B345" t="s">
        <v>411</v>
      </c>
      <c r="C345" s="2">
        <v>45827.469444444447</v>
      </c>
      <c r="D345" t="s">
        <v>110</v>
      </c>
      <c r="E345" t="s">
        <v>111</v>
      </c>
      <c r="F345" t="s">
        <v>98</v>
      </c>
      <c r="G345" t="s">
        <v>112</v>
      </c>
      <c r="H345">
        <v>3</v>
      </c>
      <c r="I345" s="3">
        <v>2999</v>
      </c>
      <c r="J345" s="4">
        <v>0.05</v>
      </c>
      <c r="K345" s="3">
        <v>79</v>
      </c>
      <c r="L345" t="s">
        <v>57</v>
      </c>
      <c r="M345" t="s">
        <v>58</v>
      </c>
      <c r="N345" t="s">
        <v>40</v>
      </c>
      <c r="O345" t="s">
        <v>93</v>
      </c>
      <c r="P345" t="s">
        <v>85</v>
      </c>
      <c r="R345" s="3">
        <f t="shared" si="30"/>
        <v>8997</v>
      </c>
      <c r="S345" s="3">
        <f t="shared" si="31"/>
        <v>449.85</v>
      </c>
      <c r="T345" s="3">
        <f t="shared" si="32"/>
        <v>8626.15</v>
      </c>
      <c r="U345" s="3">
        <f t="shared" si="33"/>
        <v>2328.25</v>
      </c>
      <c r="V345" s="4">
        <f t="shared" si="34"/>
        <v>0.26990604151330549</v>
      </c>
      <c r="W345" t="str">
        <f t="shared" si="35"/>
        <v>Jun</v>
      </c>
    </row>
    <row r="346" spans="1:23" x14ac:dyDescent="0.25">
      <c r="A346" t="s">
        <v>652</v>
      </c>
      <c r="B346" t="s">
        <v>450</v>
      </c>
      <c r="C346" s="2">
        <v>45975.104166666657</v>
      </c>
      <c r="D346" t="s">
        <v>25</v>
      </c>
      <c r="E346" t="s">
        <v>26</v>
      </c>
      <c r="F346" t="s">
        <v>27</v>
      </c>
      <c r="G346" t="s">
        <v>28</v>
      </c>
      <c r="H346">
        <v>2</v>
      </c>
      <c r="I346" s="3">
        <v>249</v>
      </c>
      <c r="J346" s="4">
        <v>0.15</v>
      </c>
      <c r="K346" s="3">
        <v>0</v>
      </c>
      <c r="L346" t="s">
        <v>627</v>
      </c>
      <c r="M346" t="s">
        <v>126</v>
      </c>
      <c r="N346" t="s">
        <v>102</v>
      </c>
      <c r="O346" t="s">
        <v>51</v>
      </c>
      <c r="P346" t="s">
        <v>33</v>
      </c>
      <c r="Q346">
        <v>4</v>
      </c>
      <c r="R346" s="3">
        <f t="shared" si="30"/>
        <v>498</v>
      </c>
      <c r="S346" s="3">
        <f t="shared" si="31"/>
        <v>74.7</v>
      </c>
      <c r="T346" s="3">
        <f t="shared" si="32"/>
        <v>423.3</v>
      </c>
      <c r="U346" s="3">
        <f t="shared" si="33"/>
        <v>74.700000000000045</v>
      </c>
      <c r="V346" s="4">
        <f t="shared" si="34"/>
        <v>0.17647058823529421</v>
      </c>
      <c r="W346" t="str">
        <f t="shared" si="35"/>
        <v>Nov</v>
      </c>
    </row>
    <row r="347" spans="1:23" x14ac:dyDescent="0.25">
      <c r="A347" t="s">
        <v>653</v>
      </c>
      <c r="B347" t="s">
        <v>142</v>
      </c>
      <c r="C347" s="2">
        <v>45760.43472222222</v>
      </c>
      <c r="D347" t="s">
        <v>35</v>
      </c>
      <c r="E347" t="s">
        <v>36</v>
      </c>
      <c r="F347" t="s">
        <v>37</v>
      </c>
      <c r="G347" t="s">
        <v>38</v>
      </c>
      <c r="H347">
        <v>1</v>
      </c>
      <c r="I347" s="3">
        <v>599</v>
      </c>
      <c r="J347" s="4">
        <v>0.1</v>
      </c>
      <c r="K347" s="3">
        <v>49</v>
      </c>
      <c r="L347" t="s">
        <v>100</v>
      </c>
      <c r="M347" t="s">
        <v>101</v>
      </c>
      <c r="N347" t="s">
        <v>50</v>
      </c>
      <c r="O347" t="s">
        <v>93</v>
      </c>
      <c r="P347" t="s">
        <v>85</v>
      </c>
      <c r="Q347">
        <v>4</v>
      </c>
      <c r="R347" s="3">
        <f t="shared" si="30"/>
        <v>599</v>
      </c>
      <c r="S347" s="3">
        <f t="shared" si="31"/>
        <v>59.900000000000006</v>
      </c>
      <c r="T347" s="3">
        <f t="shared" si="32"/>
        <v>588.1</v>
      </c>
      <c r="U347" s="3">
        <f t="shared" si="33"/>
        <v>168.80000000000007</v>
      </c>
      <c r="V347" s="4">
        <f t="shared" si="34"/>
        <v>0.28702601598367633</v>
      </c>
      <c r="W347" t="str">
        <f t="shared" si="35"/>
        <v>Apr</v>
      </c>
    </row>
    <row r="348" spans="1:23" x14ac:dyDescent="0.25">
      <c r="A348" t="s">
        <v>654</v>
      </c>
      <c r="B348" t="s">
        <v>243</v>
      </c>
      <c r="C348" s="2">
        <v>45687.019444444442</v>
      </c>
      <c r="D348" t="s">
        <v>169</v>
      </c>
      <c r="E348" t="s">
        <v>170</v>
      </c>
      <c r="F348" t="s">
        <v>98</v>
      </c>
      <c r="G348" t="s">
        <v>171</v>
      </c>
      <c r="H348">
        <v>1</v>
      </c>
      <c r="I348" s="3">
        <v>799</v>
      </c>
      <c r="J348" s="4">
        <v>0</v>
      </c>
      <c r="K348" s="3">
        <v>49</v>
      </c>
      <c r="L348" t="s">
        <v>100</v>
      </c>
      <c r="M348" t="s">
        <v>101</v>
      </c>
      <c r="N348" t="s">
        <v>50</v>
      </c>
      <c r="O348" t="s">
        <v>59</v>
      </c>
      <c r="P348" t="s">
        <v>33</v>
      </c>
      <c r="R348" s="3">
        <f t="shared" si="30"/>
        <v>799</v>
      </c>
      <c r="S348" s="3">
        <f t="shared" si="31"/>
        <v>0</v>
      </c>
      <c r="T348" s="3">
        <f t="shared" si="32"/>
        <v>848</v>
      </c>
      <c r="U348" s="3">
        <f t="shared" si="33"/>
        <v>288.70000000000005</v>
      </c>
      <c r="V348" s="4">
        <f t="shared" si="34"/>
        <v>0.3404481132075472</v>
      </c>
      <c r="W348" t="str">
        <f t="shared" si="35"/>
        <v>Jan</v>
      </c>
    </row>
    <row r="349" spans="1:23" x14ac:dyDescent="0.25">
      <c r="A349" t="s">
        <v>655</v>
      </c>
      <c r="B349" t="s">
        <v>656</v>
      </c>
      <c r="C349" s="2">
        <v>45982.559027777781</v>
      </c>
      <c r="D349" t="s">
        <v>55</v>
      </c>
      <c r="E349" t="s">
        <v>56</v>
      </c>
      <c r="F349" t="s">
        <v>37</v>
      </c>
      <c r="G349" t="s">
        <v>38</v>
      </c>
      <c r="H349">
        <v>2</v>
      </c>
      <c r="I349" s="3">
        <v>2499</v>
      </c>
      <c r="J349" s="4">
        <v>0.1</v>
      </c>
      <c r="K349" s="3">
        <v>79</v>
      </c>
      <c r="L349" t="s">
        <v>100</v>
      </c>
      <c r="M349" t="s">
        <v>101</v>
      </c>
      <c r="N349" t="s">
        <v>31</v>
      </c>
      <c r="O349" t="s">
        <v>32</v>
      </c>
      <c r="P349" t="s">
        <v>52</v>
      </c>
      <c r="Q349">
        <v>2</v>
      </c>
      <c r="R349" s="3">
        <f t="shared" si="30"/>
        <v>4998</v>
      </c>
      <c r="S349" s="3">
        <f t="shared" si="31"/>
        <v>499.8</v>
      </c>
      <c r="T349" s="3">
        <f t="shared" si="32"/>
        <v>4577.2</v>
      </c>
      <c r="U349" s="3">
        <f t="shared" si="33"/>
        <v>1078.5999999999999</v>
      </c>
      <c r="V349" s="4">
        <f t="shared" si="34"/>
        <v>0.23564624661365025</v>
      </c>
      <c r="W349" t="str">
        <f t="shared" si="35"/>
        <v>Nov</v>
      </c>
    </row>
    <row r="350" spans="1:23" x14ac:dyDescent="0.25">
      <c r="A350" t="s">
        <v>657</v>
      </c>
      <c r="B350" t="s">
        <v>534</v>
      </c>
      <c r="C350" s="2">
        <v>45822.675000000003</v>
      </c>
      <c r="D350" t="s">
        <v>77</v>
      </c>
      <c r="E350" t="s">
        <v>78</v>
      </c>
      <c r="F350" t="s">
        <v>79</v>
      </c>
      <c r="G350" t="s">
        <v>28</v>
      </c>
      <c r="H350">
        <v>4</v>
      </c>
      <c r="I350" s="3">
        <v>6499</v>
      </c>
      <c r="J350" s="4">
        <v>0.2</v>
      </c>
      <c r="K350" s="3">
        <v>0</v>
      </c>
      <c r="L350" t="s">
        <v>74</v>
      </c>
      <c r="M350" t="s">
        <v>49</v>
      </c>
      <c r="N350" t="s">
        <v>50</v>
      </c>
      <c r="O350" t="s">
        <v>51</v>
      </c>
      <c r="P350" t="s">
        <v>33</v>
      </c>
      <c r="Q350">
        <v>3</v>
      </c>
      <c r="R350" s="3">
        <f t="shared" si="30"/>
        <v>25996</v>
      </c>
      <c r="S350" s="3">
        <f t="shared" si="31"/>
        <v>5199.2000000000007</v>
      </c>
      <c r="T350" s="3">
        <f t="shared" si="32"/>
        <v>20796.8</v>
      </c>
      <c r="U350" s="3">
        <f t="shared" si="33"/>
        <v>2599.6000000000022</v>
      </c>
      <c r="V350" s="4">
        <f t="shared" si="34"/>
        <v>0.12500000000000011</v>
      </c>
      <c r="W350" t="str">
        <f t="shared" si="35"/>
        <v>Jun</v>
      </c>
    </row>
    <row r="351" spans="1:23" x14ac:dyDescent="0.25">
      <c r="A351" t="s">
        <v>658</v>
      </c>
      <c r="B351" t="s">
        <v>403</v>
      </c>
      <c r="C351" s="2">
        <v>45959.381944444453</v>
      </c>
      <c r="D351" t="s">
        <v>105</v>
      </c>
      <c r="E351" t="s">
        <v>106</v>
      </c>
      <c r="F351" t="s">
        <v>37</v>
      </c>
      <c r="G351" t="s">
        <v>107</v>
      </c>
      <c r="H351">
        <v>1</v>
      </c>
      <c r="I351" s="3">
        <v>1799</v>
      </c>
      <c r="J351" s="4">
        <v>0</v>
      </c>
      <c r="K351" s="3">
        <v>59</v>
      </c>
      <c r="L351" t="s">
        <v>29</v>
      </c>
      <c r="M351" t="s">
        <v>30</v>
      </c>
      <c r="N351" t="s">
        <v>40</v>
      </c>
      <c r="O351" t="s">
        <v>32</v>
      </c>
      <c r="P351" t="s">
        <v>33</v>
      </c>
      <c r="Q351">
        <v>5</v>
      </c>
      <c r="R351" s="3">
        <f t="shared" si="30"/>
        <v>1799</v>
      </c>
      <c r="S351" s="3">
        <f t="shared" si="31"/>
        <v>0</v>
      </c>
      <c r="T351" s="3">
        <f t="shared" si="32"/>
        <v>1858</v>
      </c>
      <c r="U351" s="3">
        <f t="shared" si="33"/>
        <v>598.70000000000005</v>
      </c>
      <c r="V351" s="4">
        <f t="shared" si="34"/>
        <v>0.32222820236813782</v>
      </c>
      <c r="W351" t="str">
        <f t="shared" si="35"/>
        <v>Oct</v>
      </c>
    </row>
    <row r="352" spans="1:23" x14ac:dyDescent="0.25">
      <c r="A352" t="s">
        <v>659</v>
      </c>
      <c r="B352" t="s">
        <v>660</v>
      </c>
      <c r="C352" s="2">
        <v>46009.181250000001</v>
      </c>
      <c r="D352" t="s">
        <v>62</v>
      </c>
      <c r="E352" t="s">
        <v>63</v>
      </c>
      <c r="F352" t="s">
        <v>46</v>
      </c>
      <c r="G352" t="s">
        <v>64</v>
      </c>
      <c r="H352">
        <v>1</v>
      </c>
      <c r="I352" s="3">
        <v>699</v>
      </c>
      <c r="J352" s="4">
        <v>0.05</v>
      </c>
      <c r="K352" s="3">
        <v>49</v>
      </c>
      <c r="L352" t="s">
        <v>74</v>
      </c>
      <c r="M352" t="s">
        <v>49</v>
      </c>
      <c r="N352" t="s">
        <v>40</v>
      </c>
      <c r="O352" t="s">
        <v>93</v>
      </c>
      <c r="P352" t="s">
        <v>52</v>
      </c>
      <c r="Q352">
        <v>2</v>
      </c>
      <c r="R352" s="3">
        <f t="shared" si="30"/>
        <v>699</v>
      </c>
      <c r="S352" s="3">
        <f t="shared" si="31"/>
        <v>34.950000000000003</v>
      </c>
      <c r="T352" s="3">
        <f t="shared" si="32"/>
        <v>713.05</v>
      </c>
      <c r="U352" s="3">
        <f t="shared" si="33"/>
        <v>223.75</v>
      </c>
      <c r="V352" s="4">
        <f t="shared" si="34"/>
        <v>0.31379286165065567</v>
      </c>
      <c r="W352" t="str">
        <f t="shared" si="35"/>
        <v>Dec</v>
      </c>
    </row>
    <row r="353" spans="1:23" x14ac:dyDescent="0.25">
      <c r="A353" t="s">
        <v>661</v>
      </c>
      <c r="B353" t="s">
        <v>662</v>
      </c>
      <c r="C353" s="2">
        <v>45669.772222222222</v>
      </c>
      <c r="D353" t="s">
        <v>67</v>
      </c>
      <c r="E353" t="s">
        <v>68</v>
      </c>
      <c r="F353" t="s">
        <v>37</v>
      </c>
      <c r="G353" t="s">
        <v>38</v>
      </c>
      <c r="H353">
        <v>1</v>
      </c>
      <c r="I353" s="3">
        <v>1299</v>
      </c>
      <c r="J353" s="4">
        <v>0</v>
      </c>
      <c r="K353" s="3">
        <v>59</v>
      </c>
      <c r="L353" t="s">
        <v>100</v>
      </c>
      <c r="M353" t="s">
        <v>101</v>
      </c>
      <c r="N353" t="s">
        <v>40</v>
      </c>
      <c r="O353" t="s">
        <v>51</v>
      </c>
      <c r="P353" t="s">
        <v>33</v>
      </c>
      <c r="R353" s="3">
        <f t="shared" si="30"/>
        <v>1299</v>
      </c>
      <c r="S353" s="3">
        <f t="shared" si="31"/>
        <v>0</v>
      </c>
      <c r="T353" s="3">
        <f t="shared" si="32"/>
        <v>1358</v>
      </c>
      <c r="U353" s="3">
        <f t="shared" si="33"/>
        <v>448.70000000000005</v>
      </c>
      <c r="V353" s="4">
        <f t="shared" si="34"/>
        <v>0.33041237113402067</v>
      </c>
      <c r="W353" t="str">
        <f t="shared" si="35"/>
        <v>Jan</v>
      </c>
    </row>
    <row r="354" spans="1:23" x14ac:dyDescent="0.25">
      <c r="A354" t="s">
        <v>663</v>
      </c>
      <c r="B354" t="s">
        <v>162</v>
      </c>
      <c r="C354" s="2">
        <v>45682.879166666673</v>
      </c>
      <c r="D354" t="s">
        <v>62</v>
      </c>
      <c r="E354" t="s">
        <v>63</v>
      </c>
      <c r="F354" t="s">
        <v>46</v>
      </c>
      <c r="G354" t="s">
        <v>64</v>
      </c>
      <c r="H354">
        <v>1</v>
      </c>
      <c r="I354" s="3">
        <v>699</v>
      </c>
      <c r="J354" s="4">
        <v>0</v>
      </c>
      <c r="K354" s="3">
        <v>0</v>
      </c>
      <c r="L354" t="s">
        <v>125</v>
      </c>
      <c r="M354" t="s">
        <v>126</v>
      </c>
      <c r="N354" t="s">
        <v>40</v>
      </c>
      <c r="O354" t="s">
        <v>59</v>
      </c>
      <c r="P354" t="s">
        <v>80</v>
      </c>
      <c r="Q354">
        <v>4</v>
      </c>
      <c r="R354" s="3">
        <f t="shared" si="30"/>
        <v>699</v>
      </c>
      <c r="S354" s="3">
        <f t="shared" si="31"/>
        <v>0</v>
      </c>
      <c r="T354" s="3">
        <f t="shared" si="32"/>
        <v>699</v>
      </c>
      <c r="U354" s="3">
        <f t="shared" si="33"/>
        <v>209.70000000000005</v>
      </c>
      <c r="V354" s="4">
        <f t="shared" si="34"/>
        <v>0.30000000000000004</v>
      </c>
      <c r="W354" t="str">
        <f t="shared" si="35"/>
        <v>Jan</v>
      </c>
    </row>
    <row r="355" spans="1:23" x14ac:dyDescent="0.25">
      <c r="A355" t="s">
        <v>664</v>
      </c>
      <c r="B355" t="s">
        <v>296</v>
      </c>
      <c r="C355" s="2">
        <v>46017.175694444442</v>
      </c>
      <c r="D355" t="s">
        <v>55</v>
      </c>
      <c r="E355" t="s">
        <v>56</v>
      </c>
      <c r="F355" t="s">
        <v>37</v>
      </c>
      <c r="G355" t="s">
        <v>38</v>
      </c>
      <c r="H355">
        <v>1</v>
      </c>
      <c r="I355" s="3">
        <v>2499</v>
      </c>
      <c r="J355" s="4">
        <v>0.2</v>
      </c>
      <c r="K355" s="3">
        <v>0</v>
      </c>
      <c r="L355" t="s">
        <v>83</v>
      </c>
      <c r="M355" t="s">
        <v>84</v>
      </c>
      <c r="N355" t="s">
        <v>40</v>
      </c>
      <c r="O355" t="s">
        <v>93</v>
      </c>
      <c r="P355" t="s">
        <v>80</v>
      </c>
      <c r="R355" s="3">
        <f t="shared" si="30"/>
        <v>2499</v>
      </c>
      <c r="S355" s="3">
        <f t="shared" si="31"/>
        <v>499.8</v>
      </c>
      <c r="T355" s="3">
        <f t="shared" si="32"/>
        <v>1999.2</v>
      </c>
      <c r="U355" s="3">
        <f t="shared" si="33"/>
        <v>249.90000000000009</v>
      </c>
      <c r="V355" s="4">
        <f t="shared" si="34"/>
        <v>0.12500000000000006</v>
      </c>
      <c r="W355" t="str">
        <f t="shared" si="35"/>
        <v>Dec</v>
      </c>
    </row>
    <row r="356" spans="1:23" x14ac:dyDescent="0.25">
      <c r="A356" t="s">
        <v>665</v>
      </c>
      <c r="B356" t="s">
        <v>411</v>
      </c>
      <c r="C356" s="2">
        <v>46016.18472222222</v>
      </c>
      <c r="D356" t="s">
        <v>62</v>
      </c>
      <c r="E356" t="s">
        <v>63</v>
      </c>
      <c r="F356" t="s">
        <v>46</v>
      </c>
      <c r="G356" t="s">
        <v>64</v>
      </c>
      <c r="H356">
        <v>2</v>
      </c>
      <c r="I356" s="3">
        <v>699</v>
      </c>
      <c r="J356" s="4">
        <v>0.15</v>
      </c>
      <c r="K356" s="3">
        <v>99</v>
      </c>
      <c r="L356" t="s">
        <v>48</v>
      </c>
      <c r="M356" t="s">
        <v>49</v>
      </c>
      <c r="N356" t="s">
        <v>71</v>
      </c>
      <c r="O356" t="s">
        <v>93</v>
      </c>
      <c r="P356" t="s">
        <v>33</v>
      </c>
      <c r="R356" s="3">
        <f t="shared" si="30"/>
        <v>1398</v>
      </c>
      <c r="S356" s="3">
        <f t="shared" si="31"/>
        <v>209.7</v>
      </c>
      <c r="T356" s="3">
        <f t="shared" si="32"/>
        <v>1287.3</v>
      </c>
      <c r="U356" s="3">
        <f t="shared" si="33"/>
        <v>308.70000000000005</v>
      </c>
      <c r="V356" s="4">
        <f t="shared" si="34"/>
        <v>0.23980424143556284</v>
      </c>
      <c r="W356" t="str">
        <f t="shared" si="35"/>
        <v>Dec</v>
      </c>
    </row>
    <row r="357" spans="1:23" x14ac:dyDescent="0.25">
      <c r="A357" t="s">
        <v>666</v>
      </c>
      <c r="B357" t="s">
        <v>168</v>
      </c>
      <c r="C357" s="2">
        <v>45760.370138888888</v>
      </c>
      <c r="D357" t="s">
        <v>55</v>
      </c>
      <c r="E357" t="s">
        <v>56</v>
      </c>
      <c r="F357" t="s">
        <v>37</v>
      </c>
      <c r="G357" t="s">
        <v>38</v>
      </c>
      <c r="H357">
        <v>1</v>
      </c>
      <c r="I357" s="3">
        <v>2499</v>
      </c>
      <c r="J357" s="4">
        <v>0</v>
      </c>
      <c r="K357" s="3">
        <v>59</v>
      </c>
      <c r="L357" t="s">
        <v>119</v>
      </c>
      <c r="M357" t="s">
        <v>120</v>
      </c>
      <c r="N357" t="s">
        <v>71</v>
      </c>
      <c r="O357" t="s">
        <v>41</v>
      </c>
      <c r="P357" t="s">
        <v>85</v>
      </c>
      <c r="Q357">
        <v>1</v>
      </c>
      <c r="R357" s="3">
        <f t="shared" si="30"/>
        <v>2499</v>
      </c>
      <c r="S357" s="3">
        <f t="shared" si="31"/>
        <v>0</v>
      </c>
      <c r="T357" s="3">
        <f t="shared" si="32"/>
        <v>2558</v>
      </c>
      <c r="U357" s="3">
        <f t="shared" si="33"/>
        <v>808.7</v>
      </c>
      <c r="V357" s="4">
        <f t="shared" si="34"/>
        <v>0.3161454261141517</v>
      </c>
      <c r="W357" t="str">
        <f t="shared" si="35"/>
        <v>Apr</v>
      </c>
    </row>
    <row r="358" spans="1:23" x14ac:dyDescent="0.25">
      <c r="A358" t="s">
        <v>667</v>
      </c>
      <c r="B358" t="s">
        <v>323</v>
      </c>
      <c r="C358" s="2">
        <v>46010.63958333333</v>
      </c>
      <c r="D358" t="s">
        <v>62</v>
      </c>
      <c r="E358" t="s">
        <v>63</v>
      </c>
      <c r="F358" t="s">
        <v>46</v>
      </c>
      <c r="G358" t="s">
        <v>64</v>
      </c>
      <c r="H358">
        <v>4</v>
      </c>
      <c r="I358" s="3">
        <v>699</v>
      </c>
      <c r="J358" s="4">
        <v>0</v>
      </c>
      <c r="K358" s="3">
        <v>0</v>
      </c>
      <c r="L358" t="s">
        <v>119</v>
      </c>
      <c r="M358" t="s">
        <v>120</v>
      </c>
      <c r="N358" t="s">
        <v>31</v>
      </c>
      <c r="O358" t="s">
        <v>32</v>
      </c>
      <c r="P358" t="s">
        <v>33</v>
      </c>
      <c r="R358" s="3">
        <f t="shared" si="30"/>
        <v>2796</v>
      </c>
      <c r="S358" s="3">
        <f t="shared" si="31"/>
        <v>0</v>
      </c>
      <c r="T358" s="3">
        <f t="shared" si="32"/>
        <v>2796</v>
      </c>
      <c r="U358" s="3">
        <f t="shared" si="33"/>
        <v>838.80000000000018</v>
      </c>
      <c r="V358" s="4">
        <f t="shared" si="34"/>
        <v>0.30000000000000004</v>
      </c>
      <c r="W358" t="str">
        <f t="shared" si="35"/>
        <v>Dec</v>
      </c>
    </row>
    <row r="359" spans="1:23" x14ac:dyDescent="0.25">
      <c r="A359" t="s">
        <v>668</v>
      </c>
      <c r="B359" t="s">
        <v>236</v>
      </c>
      <c r="C359" s="2">
        <v>45919.115277777782</v>
      </c>
      <c r="D359" t="s">
        <v>90</v>
      </c>
      <c r="E359" t="s">
        <v>91</v>
      </c>
      <c r="F359" t="s">
        <v>37</v>
      </c>
      <c r="G359" t="s">
        <v>92</v>
      </c>
      <c r="H359">
        <v>4</v>
      </c>
      <c r="I359" s="3">
        <v>3499</v>
      </c>
      <c r="J359" s="4">
        <v>0</v>
      </c>
      <c r="K359" s="3">
        <v>59</v>
      </c>
      <c r="L359" t="s">
        <v>100</v>
      </c>
      <c r="M359" t="s">
        <v>101</v>
      </c>
      <c r="N359" t="s">
        <v>40</v>
      </c>
      <c r="O359" t="s">
        <v>51</v>
      </c>
      <c r="P359" t="s">
        <v>80</v>
      </c>
      <c r="Q359">
        <v>3</v>
      </c>
      <c r="R359" s="3">
        <f t="shared" si="30"/>
        <v>13996</v>
      </c>
      <c r="S359" s="3">
        <f t="shared" si="31"/>
        <v>0</v>
      </c>
      <c r="T359" s="3">
        <f t="shared" si="32"/>
        <v>14055</v>
      </c>
      <c r="U359" s="3">
        <f t="shared" si="33"/>
        <v>4257.8000000000011</v>
      </c>
      <c r="V359" s="4">
        <f t="shared" si="34"/>
        <v>0.30293845606545722</v>
      </c>
      <c r="W359" t="str">
        <f t="shared" si="35"/>
        <v>Sep</v>
      </c>
    </row>
    <row r="360" spans="1:23" x14ac:dyDescent="0.25">
      <c r="A360" t="s">
        <v>669</v>
      </c>
      <c r="B360" t="s">
        <v>616</v>
      </c>
      <c r="C360" s="2">
        <v>45747.07916666667</v>
      </c>
      <c r="D360" t="s">
        <v>90</v>
      </c>
      <c r="E360" t="s">
        <v>91</v>
      </c>
      <c r="F360" t="s">
        <v>37</v>
      </c>
      <c r="G360" t="s">
        <v>92</v>
      </c>
      <c r="H360">
        <v>1</v>
      </c>
      <c r="I360" s="3">
        <v>3499</v>
      </c>
      <c r="J360" s="4">
        <v>0.05</v>
      </c>
      <c r="K360" s="3">
        <v>59</v>
      </c>
      <c r="L360" t="s">
        <v>670</v>
      </c>
      <c r="M360" t="s">
        <v>39</v>
      </c>
      <c r="N360" t="s">
        <v>31</v>
      </c>
      <c r="O360" t="s">
        <v>93</v>
      </c>
      <c r="P360" t="s">
        <v>33</v>
      </c>
      <c r="R360" s="3">
        <f t="shared" si="30"/>
        <v>3499</v>
      </c>
      <c r="S360" s="3">
        <f t="shared" si="31"/>
        <v>174.95000000000002</v>
      </c>
      <c r="T360" s="3">
        <f t="shared" si="32"/>
        <v>3383.05</v>
      </c>
      <c r="U360" s="3">
        <f t="shared" si="33"/>
        <v>933.75000000000045</v>
      </c>
      <c r="V360" s="4">
        <f t="shared" si="34"/>
        <v>0.27600833567343092</v>
      </c>
      <c r="W360" t="str">
        <f t="shared" si="35"/>
        <v>Mar</v>
      </c>
    </row>
    <row r="361" spans="1:23" x14ac:dyDescent="0.25">
      <c r="A361" t="s">
        <v>671</v>
      </c>
      <c r="B361" t="s">
        <v>73</v>
      </c>
      <c r="C361" s="2">
        <v>45997.840277777781</v>
      </c>
      <c r="D361" t="s">
        <v>35</v>
      </c>
      <c r="E361" t="s">
        <v>36</v>
      </c>
      <c r="F361" t="s">
        <v>37</v>
      </c>
      <c r="G361" t="s">
        <v>38</v>
      </c>
      <c r="H361">
        <v>3</v>
      </c>
      <c r="I361" s="3">
        <v>599</v>
      </c>
      <c r="J361" s="4">
        <v>0.05</v>
      </c>
      <c r="K361" s="3">
        <v>79</v>
      </c>
      <c r="L361" t="s">
        <v>39</v>
      </c>
      <c r="M361" t="s">
        <v>39</v>
      </c>
      <c r="N361" t="s">
        <v>31</v>
      </c>
      <c r="O361" t="s">
        <v>51</v>
      </c>
      <c r="P361" t="s">
        <v>33</v>
      </c>
      <c r="R361" s="3">
        <f t="shared" si="30"/>
        <v>1797</v>
      </c>
      <c r="S361" s="3">
        <f t="shared" si="31"/>
        <v>89.850000000000009</v>
      </c>
      <c r="T361" s="3">
        <f t="shared" si="32"/>
        <v>1786.15</v>
      </c>
      <c r="U361" s="3">
        <f t="shared" si="33"/>
        <v>528.25000000000023</v>
      </c>
      <c r="V361" s="4">
        <f t="shared" si="34"/>
        <v>0.29574783752764339</v>
      </c>
      <c r="W361" t="str">
        <f t="shared" si="35"/>
        <v>Dec</v>
      </c>
    </row>
    <row r="362" spans="1:23" x14ac:dyDescent="0.25">
      <c r="A362" t="s">
        <v>672</v>
      </c>
      <c r="B362" t="s">
        <v>673</v>
      </c>
      <c r="C362" s="2">
        <v>45862.595138888893</v>
      </c>
      <c r="D362" t="s">
        <v>169</v>
      </c>
      <c r="E362" t="s">
        <v>170</v>
      </c>
      <c r="F362" t="s">
        <v>98</v>
      </c>
      <c r="G362" t="s">
        <v>171</v>
      </c>
      <c r="H362">
        <v>1</v>
      </c>
      <c r="I362" s="3">
        <v>799</v>
      </c>
      <c r="J362" s="4">
        <v>0.2</v>
      </c>
      <c r="K362" s="3">
        <v>79</v>
      </c>
      <c r="L362" t="s">
        <v>100</v>
      </c>
      <c r="M362" t="s">
        <v>101</v>
      </c>
      <c r="N362" t="s">
        <v>50</v>
      </c>
      <c r="O362" t="s">
        <v>93</v>
      </c>
      <c r="P362" t="s">
        <v>52</v>
      </c>
      <c r="Q362">
        <v>2</v>
      </c>
      <c r="R362" s="3">
        <f t="shared" si="30"/>
        <v>799</v>
      </c>
      <c r="S362" s="3">
        <f t="shared" si="31"/>
        <v>159.80000000000001</v>
      </c>
      <c r="T362" s="3">
        <f t="shared" si="32"/>
        <v>718.2</v>
      </c>
      <c r="U362" s="3">
        <f t="shared" si="33"/>
        <v>158.90000000000009</v>
      </c>
      <c r="V362" s="4">
        <f t="shared" si="34"/>
        <v>0.22124756335282664</v>
      </c>
      <c r="W362" t="str">
        <f t="shared" si="35"/>
        <v>Jul</v>
      </c>
    </row>
    <row r="363" spans="1:23" x14ac:dyDescent="0.25">
      <c r="A363" t="s">
        <v>674</v>
      </c>
      <c r="B363" t="s">
        <v>675</v>
      </c>
      <c r="C363" s="2">
        <v>45739.143055555563</v>
      </c>
      <c r="D363" t="s">
        <v>77</v>
      </c>
      <c r="E363" t="s">
        <v>78</v>
      </c>
      <c r="F363" t="s">
        <v>79</v>
      </c>
      <c r="G363" t="s">
        <v>28</v>
      </c>
      <c r="H363">
        <v>5</v>
      </c>
      <c r="I363" s="3">
        <v>6499</v>
      </c>
      <c r="J363" s="4">
        <v>0.1</v>
      </c>
      <c r="K363" s="3">
        <v>99</v>
      </c>
      <c r="L363" t="s">
        <v>39</v>
      </c>
      <c r="M363" t="s">
        <v>39</v>
      </c>
      <c r="N363" t="s">
        <v>50</v>
      </c>
      <c r="O363" t="s">
        <v>32</v>
      </c>
      <c r="P363" t="s">
        <v>85</v>
      </c>
      <c r="Q363">
        <v>4</v>
      </c>
      <c r="R363" s="3">
        <f t="shared" si="30"/>
        <v>32495</v>
      </c>
      <c r="S363" s="3">
        <f t="shared" si="31"/>
        <v>3249.5</v>
      </c>
      <c r="T363" s="3">
        <f t="shared" si="32"/>
        <v>29344.5</v>
      </c>
      <c r="U363" s="3">
        <f t="shared" si="33"/>
        <v>6598</v>
      </c>
      <c r="V363" s="4">
        <f t="shared" si="34"/>
        <v>0.22484622331271617</v>
      </c>
      <c r="W363" t="str">
        <f t="shared" si="35"/>
        <v>Mar</v>
      </c>
    </row>
    <row r="364" spans="1:23" x14ac:dyDescent="0.25">
      <c r="A364" t="s">
        <v>676</v>
      </c>
      <c r="B364" t="s">
        <v>152</v>
      </c>
      <c r="C364" s="2">
        <v>46008.997916666667</v>
      </c>
      <c r="D364" t="s">
        <v>169</v>
      </c>
      <c r="E364" t="s">
        <v>170</v>
      </c>
      <c r="F364" t="s">
        <v>98</v>
      </c>
      <c r="G364" t="s">
        <v>171</v>
      </c>
      <c r="H364">
        <v>1</v>
      </c>
      <c r="I364" s="3">
        <v>799</v>
      </c>
      <c r="J364" s="4">
        <v>0.1</v>
      </c>
      <c r="K364" s="3">
        <v>79</v>
      </c>
      <c r="L364" t="s">
        <v>627</v>
      </c>
      <c r="M364" t="s">
        <v>126</v>
      </c>
      <c r="N364" t="s">
        <v>40</v>
      </c>
      <c r="O364" t="s">
        <v>59</v>
      </c>
      <c r="P364" t="s">
        <v>33</v>
      </c>
      <c r="Q364">
        <v>1</v>
      </c>
      <c r="R364" s="3">
        <f t="shared" si="30"/>
        <v>799</v>
      </c>
      <c r="S364" s="3">
        <f t="shared" si="31"/>
        <v>79.900000000000006</v>
      </c>
      <c r="T364" s="3">
        <f t="shared" si="32"/>
        <v>798.1</v>
      </c>
      <c r="U364" s="3">
        <f t="shared" si="33"/>
        <v>238.80000000000007</v>
      </c>
      <c r="V364" s="4">
        <f t="shared" si="34"/>
        <v>0.29921062523493303</v>
      </c>
      <c r="W364" t="str">
        <f t="shared" si="35"/>
        <v>Dec</v>
      </c>
    </row>
    <row r="365" spans="1:23" x14ac:dyDescent="0.25">
      <c r="A365" t="s">
        <v>677</v>
      </c>
      <c r="C365" s="2">
        <v>45664.954861111109</v>
      </c>
      <c r="D365" t="s">
        <v>55</v>
      </c>
      <c r="E365" t="s">
        <v>56</v>
      </c>
      <c r="F365" t="s">
        <v>37</v>
      </c>
      <c r="G365" t="s">
        <v>38</v>
      </c>
      <c r="H365">
        <v>2</v>
      </c>
      <c r="I365" s="3">
        <v>2499</v>
      </c>
      <c r="J365" s="4">
        <v>0.15</v>
      </c>
      <c r="K365" s="3">
        <v>99</v>
      </c>
      <c r="L365" t="s">
        <v>48</v>
      </c>
      <c r="M365" t="s">
        <v>49</v>
      </c>
      <c r="N365" t="s">
        <v>50</v>
      </c>
      <c r="O365" t="s">
        <v>51</v>
      </c>
      <c r="P365" t="s">
        <v>80</v>
      </c>
      <c r="Q365">
        <v>5</v>
      </c>
      <c r="R365" s="3">
        <f t="shared" si="30"/>
        <v>4998</v>
      </c>
      <c r="S365" s="3">
        <f t="shared" si="31"/>
        <v>749.69999999999993</v>
      </c>
      <c r="T365" s="3">
        <f t="shared" si="32"/>
        <v>4347.3</v>
      </c>
      <c r="U365" s="3">
        <f t="shared" si="33"/>
        <v>848.70000000000027</v>
      </c>
      <c r="V365" s="4">
        <f t="shared" si="34"/>
        <v>0.19522462217928374</v>
      </c>
      <c r="W365" t="str">
        <f t="shared" si="35"/>
        <v>Jan</v>
      </c>
    </row>
    <row r="366" spans="1:23" x14ac:dyDescent="0.25">
      <c r="A366" t="s">
        <v>678</v>
      </c>
      <c r="B366" t="s">
        <v>567</v>
      </c>
      <c r="C366" s="2">
        <v>45996.96875</v>
      </c>
      <c r="D366" t="s">
        <v>62</v>
      </c>
      <c r="E366" t="s">
        <v>63</v>
      </c>
      <c r="F366" t="s">
        <v>46</v>
      </c>
      <c r="G366" t="s">
        <v>64</v>
      </c>
      <c r="H366">
        <v>1</v>
      </c>
      <c r="I366" s="3">
        <v>699</v>
      </c>
      <c r="J366" s="4">
        <v>0.05</v>
      </c>
      <c r="K366" s="3">
        <v>79</v>
      </c>
      <c r="L366" t="s">
        <v>125</v>
      </c>
      <c r="M366" t="s">
        <v>126</v>
      </c>
      <c r="N366" t="s">
        <v>102</v>
      </c>
      <c r="O366" t="s">
        <v>32</v>
      </c>
      <c r="P366" t="s">
        <v>52</v>
      </c>
      <c r="Q366">
        <v>1</v>
      </c>
      <c r="R366" s="3">
        <f t="shared" si="30"/>
        <v>699</v>
      </c>
      <c r="S366" s="3">
        <f t="shared" si="31"/>
        <v>34.950000000000003</v>
      </c>
      <c r="T366" s="3">
        <f t="shared" si="32"/>
        <v>743.05</v>
      </c>
      <c r="U366" s="3">
        <f t="shared" si="33"/>
        <v>253.75</v>
      </c>
      <c r="V366" s="4">
        <f t="shared" si="34"/>
        <v>0.34149788035798401</v>
      </c>
      <c r="W366" t="str">
        <f t="shared" si="35"/>
        <v>Dec</v>
      </c>
    </row>
    <row r="367" spans="1:23" x14ac:dyDescent="0.25">
      <c r="A367" t="s">
        <v>679</v>
      </c>
      <c r="B367" t="s">
        <v>298</v>
      </c>
      <c r="C367" s="2">
        <v>45898.663194444453</v>
      </c>
      <c r="D367" t="s">
        <v>35</v>
      </c>
      <c r="E367" t="s">
        <v>36</v>
      </c>
      <c r="F367" t="s">
        <v>37</v>
      </c>
      <c r="G367" t="s">
        <v>38</v>
      </c>
      <c r="H367">
        <v>2</v>
      </c>
      <c r="I367" s="3">
        <v>599</v>
      </c>
      <c r="J367" s="4">
        <v>0</v>
      </c>
      <c r="K367" s="3">
        <v>79</v>
      </c>
      <c r="L367" t="s">
        <v>100</v>
      </c>
      <c r="M367" t="s">
        <v>101</v>
      </c>
      <c r="N367" t="s">
        <v>50</v>
      </c>
      <c r="O367" t="s">
        <v>51</v>
      </c>
      <c r="P367" t="s">
        <v>33</v>
      </c>
      <c r="Q367">
        <v>3</v>
      </c>
      <c r="R367" s="3">
        <f t="shared" si="30"/>
        <v>1198</v>
      </c>
      <c r="S367" s="3">
        <f t="shared" si="31"/>
        <v>0</v>
      </c>
      <c r="T367" s="3">
        <f t="shared" si="32"/>
        <v>1277</v>
      </c>
      <c r="U367" s="3">
        <f t="shared" si="33"/>
        <v>438.40000000000009</v>
      </c>
      <c r="V367" s="4">
        <f t="shared" si="34"/>
        <v>0.34330462020360225</v>
      </c>
      <c r="W367" t="str">
        <f t="shared" si="35"/>
        <v>Aug</v>
      </c>
    </row>
    <row r="368" spans="1:23" x14ac:dyDescent="0.25">
      <c r="A368" t="s">
        <v>680</v>
      </c>
      <c r="B368" t="s">
        <v>681</v>
      </c>
      <c r="C368" s="2">
        <v>45987.517361111109</v>
      </c>
      <c r="D368" t="s">
        <v>35</v>
      </c>
      <c r="E368" t="s">
        <v>36</v>
      </c>
      <c r="F368" t="s">
        <v>37</v>
      </c>
      <c r="G368" t="s">
        <v>38</v>
      </c>
      <c r="H368">
        <v>1</v>
      </c>
      <c r="I368" s="3">
        <v>599</v>
      </c>
      <c r="J368" s="4">
        <v>0</v>
      </c>
      <c r="K368" s="3">
        <v>79</v>
      </c>
      <c r="L368" t="s">
        <v>83</v>
      </c>
      <c r="M368" t="s">
        <v>84</v>
      </c>
      <c r="N368" t="s">
        <v>102</v>
      </c>
      <c r="O368" t="s">
        <v>59</v>
      </c>
      <c r="P368" t="s">
        <v>33</v>
      </c>
      <c r="Q368">
        <v>1</v>
      </c>
      <c r="R368" s="3">
        <f t="shared" si="30"/>
        <v>599</v>
      </c>
      <c r="S368" s="3">
        <f t="shared" si="31"/>
        <v>0</v>
      </c>
      <c r="T368" s="3">
        <f t="shared" si="32"/>
        <v>678</v>
      </c>
      <c r="U368" s="3">
        <f t="shared" si="33"/>
        <v>258.70000000000005</v>
      </c>
      <c r="V368" s="4">
        <f t="shared" si="34"/>
        <v>0.38156342182890862</v>
      </c>
      <c r="W368" t="str">
        <f t="shared" si="35"/>
        <v>Nov</v>
      </c>
    </row>
    <row r="369" spans="1:23" x14ac:dyDescent="0.25">
      <c r="A369" t="s">
        <v>682</v>
      </c>
      <c r="B369" t="s">
        <v>683</v>
      </c>
      <c r="C369" s="2">
        <v>45912.986805555563</v>
      </c>
      <c r="D369" t="s">
        <v>90</v>
      </c>
      <c r="E369" t="s">
        <v>91</v>
      </c>
      <c r="F369" t="s">
        <v>37</v>
      </c>
      <c r="G369" t="s">
        <v>92</v>
      </c>
      <c r="H369">
        <v>1</v>
      </c>
      <c r="I369" s="3">
        <v>3499</v>
      </c>
      <c r="J369" s="4">
        <v>0</v>
      </c>
      <c r="K369" s="3">
        <v>79</v>
      </c>
      <c r="L369" t="s">
        <v>119</v>
      </c>
      <c r="M369" t="s">
        <v>120</v>
      </c>
      <c r="N369" t="s">
        <v>31</v>
      </c>
      <c r="O369" t="s">
        <v>32</v>
      </c>
      <c r="P369" t="s">
        <v>33</v>
      </c>
      <c r="Q369">
        <v>5</v>
      </c>
      <c r="R369" s="3">
        <f t="shared" si="30"/>
        <v>3499</v>
      </c>
      <c r="S369" s="3">
        <f t="shared" si="31"/>
        <v>0</v>
      </c>
      <c r="T369" s="3">
        <f t="shared" si="32"/>
        <v>3578</v>
      </c>
      <c r="U369" s="3">
        <f t="shared" si="33"/>
        <v>1128.7000000000003</v>
      </c>
      <c r="V369" s="4">
        <f t="shared" si="34"/>
        <v>0.31545556176634998</v>
      </c>
      <c r="W369" t="str">
        <f t="shared" si="35"/>
        <v>Sep</v>
      </c>
    </row>
    <row r="370" spans="1:23" x14ac:dyDescent="0.25">
      <c r="A370" t="s">
        <v>684</v>
      </c>
      <c r="B370" t="s">
        <v>685</v>
      </c>
      <c r="C370" s="2">
        <v>45974.84652777778</v>
      </c>
      <c r="D370" t="s">
        <v>35</v>
      </c>
      <c r="E370" t="s">
        <v>36</v>
      </c>
      <c r="F370" t="s">
        <v>37</v>
      </c>
      <c r="G370" t="s">
        <v>38</v>
      </c>
      <c r="H370">
        <v>3</v>
      </c>
      <c r="I370" s="3">
        <v>599</v>
      </c>
      <c r="J370" s="4">
        <v>0.15</v>
      </c>
      <c r="K370" s="3">
        <v>49</v>
      </c>
      <c r="L370" t="s">
        <v>29</v>
      </c>
      <c r="M370" t="s">
        <v>30</v>
      </c>
      <c r="N370" t="s">
        <v>71</v>
      </c>
      <c r="O370" t="s">
        <v>51</v>
      </c>
      <c r="P370" t="s">
        <v>85</v>
      </c>
      <c r="R370" s="3">
        <f t="shared" si="30"/>
        <v>1797</v>
      </c>
      <c r="S370" s="3">
        <f t="shared" si="31"/>
        <v>269.55</v>
      </c>
      <c r="T370" s="3">
        <f t="shared" si="32"/>
        <v>1576.45</v>
      </c>
      <c r="U370" s="3">
        <f t="shared" si="33"/>
        <v>318.55000000000018</v>
      </c>
      <c r="V370" s="4">
        <f t="shared" si="34"/>
        <v>0.20206793745440715</v>
      </c>
      <c r="W370" t="str">
        <f t="shared" si="35"/>
        <v>Nov</v>
      </c>
    </row>
    <row r="371" spans="1:23" x14ac:dyDescent="0.25">
      <c r="A371" t="s">
        <v>686</v>
      </c>
      <c r="B371" t="s">
        <v>166</v>
      </c>
      <c r="C371" s="2">
        <v>45827.742361111108</v>
      </c>
      <c r="D371" t="s">
        <v>35</v>
      </c>
      <c r="E371" t="s">
        <v>36</v>
      </c>
      <c r="F371" t="s">
        <v>37</v>
      </c>
      <c r="G371" t="s">
        <v>38</v>
      </c>
      <c r="H371">
        <v>3</v>
      </c>
      <c r="I371" s="3">
        <v>599</v>
      </c>
      <c r="J371" s="4">
        <v>0.15</v>
      </c>
      <c r="K371" s="3">
        <v>79</v>
      </c>
      <c r="L371" t="s">
        <v>113</v>
      </c>
      <c r="M371" t="s">
        <v>114</v>
      </c>
      <c r="N371" t="s">
        <v>40</v>
      </c>
      <c r="O371" t="s">
        <v>93</v>
      </c>
      <c r="P371" t="s">
        <v>85</v>
      </c>
      <c r="Q371">
        <v>1</v>
      </c>
      <c r="R371" s="3">
        <f t="shared" si="30"/>
        <v>1797</v>
      </c>
      <c r="S371" s="3">
        <f t="shared" si="31"/>
        <v>269.55</v>
      </c>
      <c r="T371" s="3">
        <f t="shared" si="32"/>
        <v>1606.45</v>
      </c>
      <c r="U371" s="3">
        <f t="shared" si="33"/>
        <v>348.55000000000018</v>
      </c>
      <c r="V371" s="4">
        <f t="shared" si="34"/>
        <v>0.21696909334246331</v>
      </c>
      <c r="W371" t="str">
        <f t="shared" si="35"/>
        <v>Jun</v>
      </c>
    </row>
    <row r="372" spans="1:23" x14ac:dyDescent="0.25">
      <c r="A372" t="s">
        <v>687</v>
      </c>
      <c r="B372" t="s">
        <v>267</v>
      </c>
      <c r="C372" s="2">
        <v>45839.868750000001</v>
      </c>
      <c r="D372" t="s">
        <v>25</v>
      </c>
      <c r="E372" t="s">
        <v>26</v>
      </c>
      <c r="F372" t="s">
        <v>27</v>
      </c>
      <c r="G372" t="s">
        <v>28</v>
      </c>
      <c r="H372">
        <v>1</v>
      </c>
      <c r="I372" s="3">
        <v>249</v>
      </c>
      <c r="J372" s="4">
        <v>0.15</v>
      </c>
      <c r="K372" s="3">
        <v>99</v>
      </c>
      <c r="L372" t="s">
        <v>113</v>
      </c>
      <c r="M372" t="s">
        <v>114</v>
      </c>
      <c r="N372" t="s">
        <v>31</v>
      </c>
      <c r="O372" t="s">
        <v>93</v>
      </c>
      <c r="P372" t="s">
        <v>33</v>
      </c>
      <c r="Q372">
        <v>2</v>
      </c>
      <c r="R372" s="3">
        <f t="shared" si="30"/>
        <v>249</v>
      </c>
      <c r="S372" s="3">
        <f t="shared" si="31"/>
        <v>37.35</v>
      </c>
      <c r="T372" s="3">
        <f t="shared" si="32"/>
        <v>310.64999999999998</v>
      </c>
      <c r="U372" s="3">
        <f t="shared" si="33"/>
        <v>136.35</v>
      </c>
      <c r="V372" s="4">
        <f t="shared" si="34"/>
        <v>0.43891839690970547</v>
      </c>
      <c r="W372" t="str">
        <f t="shared" si="35"/>
        <v>Jul</v>
      </c>
    </row>
    <row r="373" spans="1:23" x14ac:dyDescent="0.25">
      <c r="A373" t="s">
        <v>688</v>
      </c>
      <c r="B373" t="s">
        <v>207</v>
      </c>
      <c r="C373" s="2">
        <v>45867.136111111111</v>
      </c>
      <c r="D373" t="s">
        <v>90</v>
      </c>
      <c r="E373" t="s">
        <v>91</v>
      </c>
      <c r="F373" t="s">
        <v>37</v>
      </c>
      <c r="G373" t="s">
        <v>92</v>
      </c>
      <c r="H373">
        <v>3</v>
      </c>
      <c r="I373" s="3">
        <v>3499</v>
      </c>
      <c r="J373" s="4">
        <v>0</v>
      </c>
      <c r="K373" s="3">
        <v>49</v>
      </c>
      <c r="L373" t="s">
        <v>100</v>
      </c>
      <c r="M373" t="s">
        <v>101</v>
      </c>
      <c r="N373" t="s">
        <v>40</v>
      </c>
      <c r="O373" t="s">
        <v>41</v>
      </c>
      <c r="P373" t="s">
        <v>85</v>
      </c>
      <c r="Q373">
        <v>4</v>
      </c>
      <c r="R373" s="3">
        <f t="shared" si="30"/>
        <v>10497</v>
      </c>
      <c r="S373" s="3">
        <f t="shared" si="31"/>
        <v>0</v>
      </c>
      <c r="T373" s="3">
        <f t="shared" si="32"/>
        <v>10546</v>
      </c>
      <c r="U373" s="3">
        <f t="shared" si="33"/>
        <v>3198.1000000000004</v>
      </c>
      <c r="V373" s="4">
        <f t="shared" si="34"/>
        <v>0.30325241797838048</v>
      </c>
      <c r="W373" t="str">
        <f t="shared" si="35"/>
        <v>Jul</v>
      </c>
    </row>
    <row r="374" spans="1:23" x14ac:dyDescent="0.25">
      <c r="A374" t="s">
        <v>689</v>
      </c>
      <c r="B374" t="s">
        <v>690</v>
      </c>
      <c r="C374" s="2">
        <v>45870.082638888889</v>
      </c>
      <c r="D374" t="s">
        <v>67</v>
      </c>
      <c r="E374" t="s">
        <v>68</v>
      </c>
      <c r="F374" t="s">
        <v>37</v>
      </c>
      <c r="G374" t="s">
        <v>38</v>
      </c>
      <c r="H374">
        <v>1</v>
      </c>
      <c r="I374" s="3">
        <v>1299</v>
      </c>
      <c r="J374" s="4">
        <v>0.2</v>
      </c>
      <c r="K374" s="3">
        <v>99</v>
      </c>
      <c r="L374" t="s">
        <v>74</v>
      </c>
      <c r="M374" t="s">
        <v>49</v>
      </c>
      <c r="N374" t="s">
        <v>40</v>
      </c>
      <c r="O374" t="s">
        <v>59</v>
      </c>
      <c r="P374" t="s">
        <v>80</v>
      </c>
      <c r="R374" s="3">
        <f t="shared" si="30"/>
        <v>1299</v>
      </c>
      <c r="S374" s="3">
        <f t="shared" si="31"/>
        <v>259.8</v>
      </c>
      <c r="T374" s="3">
        <f t="shared" si="32"/>
        <v>1138.2</v>
      </c>
      <c r="U374" s="3">
        <f t="shared" si="33"/>
        <v>228.90000000000009</v>
      </c>
      <c r="V374" s="4">
        <f t="shared" si="34"/>
        <v>0.20110701107011078</v>
      </c>
      <c r="W374" t="str">
        <f t="shared" si="35"/>
        <v>Aug</v>
      </c>
    </row>
    <row r="375" spans="1:23" x14ac:dyDescent="0.25">
      <c r="A375" t="s">
        <v>691</v>
      </c>
      <c r="B375" t="s">
        <v>692</v>
      </c>
      <c r="C375" s="2">
        <v>45913.022916666669</v>
      </c>
      <c r="D375" t="s">
        <v>44</v>
      </c>
      <c r="E375" t="s">
        <v>45</v>
      </c>
      <c r="F375" t="s">
        <v>46</v>
      </c>
      <c r="G375" t="s">
        <v>47</v>
      </c>
      <c r="H375">
        <v>1</v>
      </c>
      <c r="I375" s="3">
        <v>1199</v>
      </c>
      <c r="J375" s="4">
        <v>0</v>
      </c>
      <c r="K375" s="3">
        <v>99</v>
      </c>
      <c r="L375" t="s">
        <v>83</v>
      </c>
      <c r="M375" t="s">
        <v>84</v>
      </c>
      <c r="N375" t="s">
        <v>102</v>
      </c>
      <c r="O375" t="s">
        <v>59</v>
      </c>
      <c r="P375" t="s">
        <v>80</v>
      </c>
      <c r="Q375">
        <v>5</v>
      </c>
      <c r="R375" s="3">
        <f t="shared" si="30"/>
        <v>1199</v>
      </c>
      <c r="S375" s="3">
        <f t="shared" si="31"/>
        <v>0</v>
      </c>
      <c r="T375" s="3">
        <f t="shared" si="32"/>
        <v>1298</v>
      </c>
      <c r="U375" s="3">
        <f t="shared" si="33"/>
        <v>458.70000000000005</v>
      </c>
      <c r="V375" s="4">
        <f t="shared" si="34"/>
        <v>0.35338983050847461</v>
      </c>
      <c r="W375" t="str">
        <f t="shared" si="35"/>
        <v>Sep</v>
      </c>
    </row>
    <row r="376" spans="1:23" x14ac:dyDescent="0.25">
      <c r="A376" t="s">
        <v>693</v>
      </c>
      <c r="B376" t="s">
        <v>298</v>
      </c>
      <c r="C376" s="2">
        <v>45723.14166666667</v>
      </c>
      <c r="D376" t="s">
        <v>105</v>
      </c>
      <c r="E376" t="s">
        <v>106</v>
      </c>
      <c r="F376" t="s">
        <v>37</v>
      </c>
      <c r="G376" t="s">
        <v>107</v>
      </c>
      <c r="H376">
        <v>1</v>
      </c>
      <c r="I376" s="3">
        <v>1799</v>
      </c>
      <c r="J376" s="4">
        <v>0.15</v>
      </c>
      <c r="K376" s="3">
        <v>99</v>
      </c>
      <c r="L376" t="s">
        <v>125</v>
      </c>
      <c r="M376" t="s">
        <v>126</v>
      </c>
      <c r="N376" t="s">
        <v>102</v>
      </c>
      <c r="O376" t="s">
        <v>59</v>
      </c>
      <c r="P376" t="s">
        <v>80</v>
      </c>
      <c r="Q376">
        <v>4</v>
      </c>
      <c r="R376" s="3">
        <f t="shared" si="30"/>
        <v>1799</v>
      </c>
      <c r="S376" s="3">
        <f t="shared" si="31"/>
        <v>269.84999999999997</v>
      </c>
      <c r="T376" s="3">
        <f t="shared" si="32"/>
        <v>1628.15</v>
      </c>
      <c r="U376" s="3">
        <f t="shared" si="33"/>
        <v>368.85000000000014</v>
      </c>
      <c r="V376" s="4">
        <f t="shared" si="34"/>
        <v>0.22654546571261869</v>
      </c>
      <c r="W376" t="str">
        <f t="shared" si="35"/>
        <v>Mar</v>
      </c>
    </row>
    <row r="377" spans="1:23" x14ac:dyDescent="0.25">
      <c r="A377" t="s">
        <v>694</v>
      </c>
      <c r="B377" t="s">
        <v>695</v>
      </c>
      <c r="C377" s="2">
        <v>45833.394444444442</v>
      </c>
      <c r="D377" t="s">
        <v>44</v>
      </c>
      <c r="E377" t="s">
        <v>45</v>
      </c>
      <c r="F377" t="s">
        <v>46</v>
      </c>
      <c r="G377" t="s">
        <v>47</v>
      </c>
      <c r="H377">
        <v>1</v>
      </c>
      <c r="I377" s="3">
        <v>1199</v>
      </c>
      <c r="J377" s="4">
        <v>0</v>
      </c>
      <c r="K377" s="3">
        <v>79</v>
      </c>
      <c r="L377" t="s">
        <v>113</v>
      </c>
      <c r="M377" t="s">
        <v>114</v>
      </c>
      <c r="N377" t="s">
        <v>71</v>
      </c>
      <c r="O377" t="s">
        <v>32</v>
      </c>
      <c r="P377" t="s">
        <v>33</v>
      </c>
      <c r="R377" s="3">
        <f t="shared" si="30"/>
        <v>1199</v>
      </c>
      <c r="S377" s="3">
        <f t="shared" si="31"/>
        <v>0</v>
      </c>
      <c r="T377" s="3">
        <f t="shared" si="32"/>
        <v>1278</v>
      </c>
      <c r="U377" s="3">
        <f t="shared" si="33"/>
        <v>438.70000000000005</v>
      </c>
      <c r="V377" s="4">
        <f t="shared" si="34"/>
        <v>0.34327073552425669</v>
      </c>
      <c r="W377" t="str">
        <f t="shared" si="35"/>
        <v>Jun</v>
      </c>
    </row>
    <row r="378" spans="1:23" x14ac:dyDescent="0.25">
      <c r="A378" t="s">
        <v>696</v>
      </c>
      <c r="B378" t="s">
        <v>697</v>
      </c>
      <c r="C378" s="2">
        <v>45760.277083333327</v>
      </c>
      <c r="D378" t="s">
        <v>169</v>
      </c>
      <c r="E378" t="s">
        <v>170</v>
      </c>
      <c r="F378" t="s">
        <v>98</v>
      </c>
      <c r="G378" t="s">
        <v>171</v>
      </c>
      <c r="H378">
        <v>2</v>
      </c>
      <c r="I378" s="3">
        <v>799</v>
      </c>
      <c r="J378" s="4">
        <v>0.05</v>
      </c>
      <c r="K378" s="3">
        <v>59</v>
      </c>
      <c r="L378" t="s">
        <v>83</v>
      </c>
      <c r="M378" t="s">
        <v>84</v>
      </c>
      <c r="N378" t="s">
        <v>50</v>
      </c>
      <c r="O378" t="s">
        <v>32</v>
      </c>
      <c r="P378" t="s">
        <v>80</v>
      </c>
      <c r="Q378">
        <v>5</v>
      </c>
      <c r="R378" s="3">
        <f t="shared" si="30"/>
        <v>1598</v>
      </c>
      <c r="S378" s="3">
        <f t="shared" si="31"/>
        <v>79.900000000000006</v>
      </c>
      <c r="T378" s="3">
        <f t="shared" si="32"/>
        <v>1577.1</v>
      </c>
      <c r="U378" s="3">
        <f t="shared" si="33"/>
        <v>458.5</v>
      </c>
      <c r="V378" s="4">
        <f t="shared" si="34"/>
        <v>0.29072347980470487</v>
      </c>
      <c r="W378" t="str">
        <f t="shared" si="35"/>
        <v>Apr</v>
      </c>
    </row>
    <row r="379" spans="1:23" x14ac:dyDescent="0.25">
      <c r="A379" t="s">
        <v>698</v>
      </c>
      <c r="B379" t="s">
        <v>224</v>
      </c>
      <c r="C379" s="2">
        <v>45838.729166666657</v>
      </c>
      <c r="D379" t="s">
        <v>77</v>
      </c>
      <c r="E379" t="s">
        <v>78</v>
      </c>
      <c r="F379" t="s">
        <v>79</v>
      </c>
      <c r="G379" t="s">
        <v>28</v>
      </c>
      <c r="H379">
        <v>2</v>
      </c>
      <c r="I379" s="3">
        <v>6499</v>
      </c>
      <c r="J379" s="4">
        <v>0.15</v>
      </c>
      <c r="K379" s="3">
        <v>79</v>
      </c>
      <c r="L379" t="s">
        <v>74</v>
      </c>
      <c r="M379" t="s">
        <v>49</v>
      </c>
      <c r="N379" t="s">
        <v>71</v>
      </c>
      <c r="O379" t="s">
        <v>59</v>
      </c>
      <c r="P379" t="s">
        <v>85</v>
      </c>
      <c r="R379" s="3">
        <f t="shared" si="30"/>
        <v>12998</v>
      </c>
      <c r="S379" s="3">
        <f t="shared" si="31"/>
        <v>1949.6999999999998</v>
      </c>
      <c r="T379" s="3">
        <f t="shared" si="32"/>
        <v>11127.3</v>
      </c>
      <c r="U379" s="3">
        <f t="shared" si="33"/>
        <v>2028.7000000000007</v>
      </c>
      <c r="V379" s="4">
        <f t="shared" si="34"/>
        <v>0.18231736360123307</v>
      </c>
      <c r="W379" t="str">
        <f t="shared" si="35"/>
        <v>Jun</v>
      </c>
    </row>
    <row r="380" spans="1:23" x14ac:dyDescent="0.25">
      <c r="A380" t="s">
        <v>699</v>
      </c>
      <c r="B380" t="s">
        <v>89</v>
      </c>
      <c r="C380" s="2">
        <v>45853.168749999997</v>
      </c>
      <c r="D380" t="s">
        <v>35</v>
      </c>
      <c r="E380" t="s">
        <v>36</v>
      </c>
      <c r="F380" t="s">
        <v>37</v>
      </c>
      <c r="G380" t="s">
        <v>38</v>
      </c>
      <c r="H380">
        <v>1</v>
      </c>
      <c r="I380" s="3">
        <v>599</v>
      </c>
      <c r="J380" s="4">
        <v>0</v>
      </c>
      <c r="K380" s="3">
        <v>49</v>
      </c>
      <c r="L380" t="s">
        <v>83</v>
      </c>
      <c r="M380" t="s">
        <v>84</v>
      </c>
      <c r="N380" t="s">
        <v>50</v>
      </c>
      <c r="O380" t="s">
        <v>51</v>
      </c>
      <c r="P380" t="s">
        <v>80</v>
      </c>
      <c r="R380" s="3">
        <f t="shared" si="30"/>
        <v>599</v>
      </c>
      <c r="S380" s="3">
        <f t="shared" si="31"/>
        <v>0</v>
      </c>
      <c r="T380" s="3">
        <f t="shared" si="32"/>
        <v>648</v>
      </c>
      <c r="U380" s="3">
        <f t="shared" si="33"/>
        <v>228.70000000000005</v>
      </c>
      <c r="V380" s="4">
        <f t="shared" si="34"/>
        <v>0.35293209876543219</v>
      </c>
      <c r="W380" t="str">
        <f t="shared" si="35"/>
        <v>Jul</v>
      </c>
    </row>
    <row r="381" spans="1:23" x14ac:dyDescent="0.25">
      <c r="A381" t="s">
        <v>700</v>
      </c>
      <c r="B381" t="s">
        <v>536</v>
      </c>
      <c r="C381" s="2">
        <v>46011.384027777778</v>
      </c>
      <c r="D381" t="s">
        <v>110</v>
      </c>
      <c r="E381" t="s">
        <v>111</v>
      </c>
      <c r="F381" t="s">
        <v>98</v>
      </c>
      <c r="G381" t="s">
        <v>112</v>
      </c>
      <c r="H381">
        <v>3</v>
      </c>
      <c r="I381" s="3">
        <v>2999</v>
      </c>
      <c r="J381" s="4">
        <v>0</v>
      </c>
      <c r="K381" s="3">
        <v>59</v>
      </c>
      <c r="L381" t="s">
        <v>100</v>
      </c>
      <c r="M381" t="s">
        <v>101</v>
      </c>
      <c r="N381" t="s">
        <v>31</v>
      </c>
      <c r="O381" t="s">
        <v>32</v>
      </c>
      <c r="P381" t="s">
        <v>85</v>
      </c>
      <c r="R381" s="3">
        <f t="shared" si="30"/>
        <v>8997</v>
      </c>
      <c r="S381" s="3">
        <f t="shared" si="31"/>
        <v>0</v>
      </c>
      <c r="T381" s="3">
        <f t="shared" si="32"/>
        <v>9056</v>
      </c>
      <c r="U381" s="3">
        <f t="shared" si="33"/>
        <v>2758.1000000000004</v>
      </c>
      <c r="V381" s="4">
        <f t="shared" si="34"/>
        <v>0.30456051236749121</v>
      </c>
      <c r="W381" t="str">
        <f t="shared" si="35"/>
        <v>Dec</v>
      </c>
    </row>
    <row r="382" spans="1:23" x14ac:dyDescent="0.25">
      <c r="A382" t="s">
        <v>701</v>
      </c>
      <c r="B382" t="s">
        <v>702</v>
      </c>
      <c r="C382" s="2">
        <v>45989.724999999999</v>
      </c>
      <c r="D382" t="s">
        <v>25</v>
      </c>
      <c r="E382" t="s">
        <v>26</v>
      </c>
      <c r="F382" t="s">
        <v>27</v>
      </c>
      <c r="G382" t="s">
        <v>28</v>
      </c>
      <c r="H382">
        <v>3</v>
      </c>
      <c r="I382" s="3">
        <v>249</v>
      </c>
      <c r="J382" s="4">
        <v>0.15</v>
      </c>
      <c r="K382" s="3">
        <v>59</v>
      </c>
      <c r="L382" t="s">
        <v>193</v>
      </c>
      <c r="M382" t="s">
        <v>84</v>
      </c>
      <c r="N382" t="s">
        <v>40</v>
      </c>
      <c r="O382" t="s">
        <v>59</v>
      </c>
      <c r="P382" t="s">
        <v>33</v>
      </c>
      <c r="Q382">
        <v>4</v>
      </c>
      <c r="R382" s="3">
        <f t="shared" si="30"/>
        <v>747</v>
      </c>
      <c r="S382" s="3">
        <f t="shared" si="31"/>
        <v>112.05</v>
      </c>
      <c r="T382" s="3">
        <f t="shared" si="32"/>
        <v>693.95</v>
      </c>
      <c r="U382" s="3">
        <f t="shared" si="33"/>
        <v>171.05000000000007</v>
      </c>
      <c r="V382" s="4">
        <f t="shared" si="34"/>
        <v>0.24648749909935883</v>
      </c>
      <c r="W382" t="str">
        <f t="shared" si="35"/>
        <v>Nov</v>
      </c>
    </row>
    <row r="383" spans="1:23" x14ac:dyDescent="0.25">
      <c r="A383" t="s">
        <v>703</v>
      </c>
      <c r="B383" t="s">
        <v>175</v>
      </c>
      <c r="C383" s="2">
        <v>45685.032638888893</v>
      </c>
      <c r="D383" t="s">
        <v>25</v>
      </c>
      <c r="E383" t="s">
        <v>26</v>
      </c>
      <c r="F383" t="s">
        <v>27</v>
      </c>
      <c r="G383" t="s">
        <v>28</v>
      </c>
      <c r="H383">
        <v>4</v>
      </c>
      <c r="I383" s="3">
        <v>249</v>
      </c>
      <c r="J383" s="4">
        <v>0</v>
      </c>
      <c r="K383" s="3">
        <v>99</v>
      </c>
      <c r="L383" t="s">
        <v>74</v>
      </c>
      <c r="M383" t="s">
        <v>49</v>
      </c>
      <c r="N383" t="s">
        <v>50</v>
      </c>
      <c r="O383" t="s">
        <v>51</v>
      </c>
      <c r="P383" t="s">
        <v>33</v>
      </c>
      <c r="R383" s="3">
        <f t="shared" si="30"/>
        <v>996</v>
      </c>
      <c r="S383" s="3">
        <f t="shared" si="31"/>
        <v>0</v>
      </c>
      <c r="T383" s="3">
        <f t="shared" si="32"/>
        <v>1095</v>
      </c>
      <c r="U383" s="3">
        <f t="shared" si="33"/>
        <v>397.80000000000007</v>
      </c>
      <c r="V383" s="4">
        <f t="shared" si="34"/>
        <v>0.36328767123287675</v>
      </c>
      <c r="W383" t="str">
        <f t="shared" si="35"/>
        <v>Jan</v>
      </c>
    </row>
    <row r="384" spans="1:23" x14ac:dyDescent="0.25">
      <c r="A384" t="s">
        <v>704</v>
      </c>
      <c r="B384" t="s">
        <v>130</v>
      </c>
      <c r="C384" s="2">
        <v>45758.966666666667</v>
      </c>
      <c r="D384" t="s">
        <v>44</v>
      </c>
      <c r="E384" t="s">
        <v>45</v>
      </c>
      <c r="F384" t="s">
        <v>46</v>
      </c>
      <c r="G384" t="s">
        <v>47</v>
      </c>
      <c r="H384">
        <v>2</v>
      </c>
      <c r="I384" s="3">
        <v>1199</v>
      </c>
      <c r="J384" s="4">
        <v>0.1</v>
      </c>
      <c r="K384" s="3">
        <v>49</v>
      </c>
      <c r="L384" t="s">
        <v>83</v>
      </c>
      <c r="M384" t="s">
        <v>84</v>
      </c>
      <c r="N384" t="s">
        <v>50</v>
      </c>
      <c r="O384" t="s">
        <v>41</v>
      </c>
      <c r="P384" t="s">
        <v>33</v>
      </c>
      <c r="R384" s="3">
        <f t="shared" si="30"/>
        <v>2398</v>
      </c>
      <c r="S384" s="3">
        <f t="shared" si="31"/>
        <v>239.8</v>
      </c>
      <c r="T384" s="3">
        <f t="shared" si="32"/>
        <v>2207.1999999999998</v>
      </c>
      <c r="U384" s="3">
        <f t="shared" si="33"/>
        <v>528.59999999999991</v>
      </c>
      <c r="V384" s="4">
        <f t="shared" si="34"/>
        <v>0.23948894527002534</v>
      </c>
      <c r="W384" t="str">
        <f t="shared" si="35"/>
        <v>Apr</v>
      </c>
    </row>
    <row r="385" spans="1:23" x14ac:dyDescent="0.25">
      <c r="A385" t="s">
        <v>705</v>
      </c>
      <c r="B385" t="s">
        <v>136</v>
      </c>
      <c r="C385" s="2">
        <v>45877.357638888891</v>
      </c>
      <c r="D385" t="s">
        <v>62</v>
      </c>
      <c r="E385" t="s">
        <v>63</v>
      </c>
      <c r="F385" t="s">
        <v>46</v>
      </c>
      <c r="G385" t="s">
        <v>64</v>
      </c>
      <c r="H385">
        <v>1</v>
      </c>
      <c r="I385" s="3">
        <v>699</v>
      </c>
      <c r="J385" s="4">
        <v>0</v>
      </c>
      <c r="K385" s="3">
        <v>49</v>
      </c>
      <c r="L385" t="s">
        <v>29</v>
      </c>
      <c r="M385" t="s">
        <v>30</v>
      </c>
      <c r="N385" t="s">
        <v>71</v>
      </c>
      <c r="O385" t="s">
        <v>93</v>
      </c>
      <c r="P385" t="s">
        <v>33</v>
      </c>
      <c r="Q385">
        <v>3</v>
      </c>
      <c r="R385" s="3">
        <f t="shared" si="30"/>
        <v>699</v>
      </c>
      <c r="S385" s="3">
        <f t="shared" si="31"/>
        <v>0</v>
      </c>
      <c r="T385" s="3">
        <f t="shared" si="32"/>
        <v>748</v>
      </c>
      <c r="U385" s="3">
        <f t="shared" si="33"/>
        <v>258.70000000000005</v>
      </c>
      <c r="V385" s="4">
        <f t="shared" si="34"/>
        <v>0.34585561497326212</v>
      </c>
      <c r="W385" t="str">
        <f t="shared" si="35"/>
        <v>Aug</v>
      </c>
    </row>
    <row r="386" spans="1:23" x14ac:dyDescent="0.25">
      <c r="A386" t="s">
        <v>706</v>
      </c>
      <c r="B386" t="s">
        <v>707</v>
      </c>
      <c r="C386" s="2">
        <v>45823.793749999997</v>
      </c>
      <c r="D386" t="s">
        <v>90</v>
      </c>
      <c r="E386" t="s">
        <v>91</v>
      </c>
      <c r="F386" t="s">
        <v>37</v>
      </c>
      <c r="G386" t="s">
        <v>92</v>
      </c>
      <c r="H386">
        <v>1</v>
      </c>
      <c r="I386" s="3">
        <v>3499</v>
      </c>
      <c r="J386" s="4">
        <v>0.15</v>
      </c>
      <c r="K386" s="3">
        <v>59</v>
      </c>
      <c r="L386" t="s">
        <v>100</v>
      </c>
      <c r="M386" t="s">
        <v>101</v>
      </c>
      <c r="N386" t="s">
        <v>102</v>
      </c>
      <c r="O386" t="s">
        <v>32</v>
      </c>
      <c r="P386" t="s">
        <v>80</v>
      </c>
      <c r="Q386">
        <v>3</v>
      </c>
      <c r="R386" s="3">
        <f t="shared" ref="R386:R449" si="36">IFERROR(H386*I386,"")</f>
        <v>3499</v>
      </c>
      <c r="S386" s="3">
        <f t="shared" ref="S386:S449" si="37">IFERROR(R386*J386,"")</f>
        <v>524.85</v>
      </c>
      <c r="T386" s="3">
        <f t="shared" ref="T386:T449" si="38">IFERROR(R386-S386+K386,"")</f>
        <v>3033.15</v>
      </c>
      <c r="U386" s="3">
        <f t="shared" ref="U386:U449" si="39">IFERROR(T386-(R386*70%),"")</f>
        <v>583.85000000000036</v>
      </c>
      <c r="V386" s="4">
        <f t="shared" ref="V386:V449" si="40">IFERROR(U386/T386,"")</f>
        <v>0.19248965596821796</v>
      </c>
      <c r="W386" t="str">
        <f t="shared" ref="W386:W449" si="41">IFERROR(TEXT(C386,"mmm"),"")</f>
        <v>Jun</v>
      </c>
    </row>
    <row r="387" spans="1:23" x14ac:dyDescent="0.25">
      <c r="A387" t="s">
        <v>708</v>
      </c>
      <c r="B387" t="s">
        <v>709</v>
      </c>
      <c r="C387" s="2">
        <v>45752.669444444437</v>
      </c>
      <c r="D387" t="s">
        <v>55</v>
      </c>
      <c r="E387" t="s">
        <v>56</v>
      </c>
      <c r="F387" t="s">
        <v>37</v>
      </c>
      <c r="G387" t="s">
        <v>38</v>
      </c>
      <c r="H387">
        <v>2</v>
      </c>
      <c r="I387" s="3">
        <v>2499</v>
      </c>
      <c r="J387" s="4">
        <v>0</v>
      </c>
      <c r="K387" s="3">
        <v>79</v>
      </c>
      <c r="L387" t="s">
        <v>74</v>
      </c>
      <c r="M387" t="s">
        <v>49</v>
      </c>
      <c r="N387" t="s">
        <v>102</v>
      </c>
      <c r="O387" t="s">
        <v>59</v>
      </c>
      <c r="P387" t="s">
        <v>85</v>
      </c>
      <c r="Q387">
        <v>1</v>
      </c>
      <c r="R387" s="3">
        <f t="shared" si="36"/>
        <v>4998</v>
      </c>
      <c r="S387" s="3">
        <f t="shared" si="37"/>
        <v>0</v>
      </c>
      <c r="T387" s="3">
        <f t="shared" si="38"/>
        <v>5077</v>
      </c>
      <c r="U387" s="3">
        <f t="shared" si="39"/>
        <v>1578.4</v>
      </c>
      <c r="V387" s="4">
        <f t="shared" si="40"/>
        <v>0.31089225920819386</v>
      </c>
      <c r="W387" t="str">
        <f t="shared" si="41"/>
        <v>Apr</v>
      </c>
    </row>
    <row r="388" spans="1:23" x14ac:dyDescent="0.25">
      <c r="A388" t="s">
        <v>710</v>
      </c>
      <c r="B388" t="s">
        <v>300</v>
      </c>
      <c r="C388" s="2">
        <v>45997.431250000001</v>
      </c>
      <c r="D388" t="s">
        <v>169</v>
      </c>
      <c r="E388" t="s">
        <v>170</v>
      </c>
      <c r="F388" t="s">
        <v>98</v>
      </c>
      <c r="G388" t="s">
        <v>171</v>
      </c>
      <c r="H388">
        <v>3</v>
      </c>
      <c r="I388" s="3">
        <v>799</v>
      </c>
      <c r="J388" s="4">
        <v>0.05</v>
      </c>
      <c r="K388" s="3">
        <v>49</v>
      </c>
      <c r="L388" t="s">
        <v>113</v>
      </c>
      <c r="M388" t="s">
        <v>114</v>
      </c>
      <c r="N388" t="s">
        <v>40</v>
      </c>
      <c r="O388" t="s">
        <v>32</v>
      </c>
      <c r="P388" t="s">
        <v>33</v>
      </c>
      <c r="R388" s="3">
        <f t="shared" si="36"/>
        <v>2397</v>
      </c>
      <c r="S388" s="3">
        <f t="shared" si="37"/>
        <v>119.85000000000001</v>
      </c>
      <c r="T388" s="3">
        <f t="shared" si="38"/>
        <v>2326.15</v>
      </c>
      <c r="U388" s="3">
        <f t="shared" si="39"/>
        <v>648.25000000000023</v>
      </c>
      <c r="V388" s="4">
        <f t="shared" si="40"/>
        <v>0.27867936289577205</v>
      </c>
      <c r="W388" t="str">
        <f t="shared" si="41"/>
        <v>Dec</v>
      </c>
    </row>
    <row r="389" spans="1:23" x14ac:dyDescent="0.25">
      <c r="A389" t="s">
        <v>711</v>
      </c>
      <c r="B389" t="s">
        <v>571</v>
      </c>
      <c r="C389" s="2">
        <v>45835.59375</v>
      </c>
      <c r="D389" t="s">
        <v>25</v>
      </c>
      <c r="E389" t="s">
        <v>26</v>
      </c>
      <c r="F389" t="s">
        <v>27</v>
      </c>
      <c r="G389" t="s">
        <v>28</v>
      </c>
      <c r="H389">
        <v>1</v>
      </c>
      <c r="I389" s="3">
        <v>249</v>
      </c>
      <c r="J389" s="4">
        <v>0.15</v>
      </c>
      <c r="K389" s="3">
        <v>99</v>
      </c>
      <c r="L389" t="s">
        <v>39</v>
      </c>
      <c r="M389" t="s">
        <v>39</v>
      </c>
      <c r="N389" t="s">
        <v>31</v>
      </c>
      <c r="O389" t="s">
        <v>51</v>
      </c>
      <c r="P389" t="s">
        <v>80</v>
      </c>
      <c r="Q389">
        <v>4</v>
      </c>
      <c r="R389" s="3">
        <f t="shared" si="36"/>
        <v>249</v>
      </c>
      <c r="S389" s="3">
        <f t="shared" si="37"/>
        <v>37.35</v>
      </c>
      <c r="T389" s="3">
        <f t="shared" si="38"/>
        <v>310.64999999999998</v>
      </c>
      <c r="U389" s="3">
        <f t="shared" si="39"/>
        <v>136.35</v>
      </c>
      <c r="V389" s="4">
        <f t="shared" si="40"/>
        <v>0.43891839690970547</v>
      </c>
      <c r="W389" t="str">
        <f t="shared" si="41"/>
        <v>Jun</v>
      </c>
    </row>
    <row r="390" spans="1:23" x14ac:dyDescent="0.25">
      <c r="A390" t="s">
        <v>712</v>
      </c>
      <c r="B390" t="s">
        <v>713</v>
      </c>
      <c r="C390" s="2">
        <v>45802.040277777778</v>
      </c>
      <c r="D390" t="s">
        <v>55</v>
      </c>
      <c r="E390" t="s">
        <v>56</v>
      </c>
      <c r="F390" t="s">
        <v>37</v>
      </c>
      <c r="G390" t="s">
        <v>38</v>
      </c>
      <c r="H390">
        <v>1</v>
      </c>
      <c r="I390" s="3">
        <v>2499</v>
      </c>
      <c r="J390" s="4">
        <v>0.05</v>
      </c>
      <c r="K390" s="3">
        <v>99</v>
      </c>
      <c r="L390" t="s">
        <v>57</v>
      </c>
      <c r="M390" t="s">
        <v>58</v>
      </c>
      <c r="N390" t="s">
        <v>40</v>
      </c>
      <c r="O390" t="s">
        <v>59</v>
      </c>
      <c r="P390" t="s">
        <v>85</v>
      </c>
      <c r="Q390">
        <v>1</v>
      </c>
      <c r="R390" s="3">
        <f t="shared" si="36"/>
        <v>2499</v>
      </c>
      <c r="S390" s="3">
        <f t="shared" si="37"/>
        <v>124.95</v>
      </c>
      <c r="T390" s="3">
        <f t="shared" si="38"/>
        <v>2473.0500000000002</v>
      </c>
      <c r="U390" s="3">
        <f t="shared" si="39"/>
        <v>723.75000000000023</v>
      </c>
      <c r="V390" s="4">
        <f t="shared" si="40"/>
        <v>0.29265481894826234</v>
      </c>
      <c r="W390" t="str">
        <f t="shared" si="41"/>
        <v>May</v>
      </c>
    </row>
    <row r="391" spans="1:23" x14ac:dyDescent="0.25">
      <c r="A391" t="s">
        <v>714</v>
      </c>
      <c r="B391" t="s">
        <v>715</v>
      </c>
      <c r="C391" s="2">
        <v>45700.131944444453</v>
      </c>
      <c r="D391" t="s">
        <v>110</v>
      </c>
      <c r="E391" t="s">
        <v>111</v>
      </c>
      <c r="F391" t="s">
        <v>98</v>
      </c>
      <c r="G391" t="s">
        <v>112</v>
      </c>
      <c r="H391">
        <v>1</v>
      </c>
      <c r="I391" s="3">
        <v>2999</v>
      </c>
      <c r="J391" s="4">
        <v>0.15</v>
      </c>
      <c r="K391" s="3">
        <v>0</v>
      </c>
      <c r="L391" t="s">
        <v>113</v>
      </c>
      <c r="M391" t="s">
        <v>114</v>
      </c>
      <c r="N391" t="s">
        <v>50</v>
      </c>
      <c r="O391" t="s">
        <v>41</v>
      </c>
      <c r="P391" t="s">
        <v>85</v>
      </c>
      <c r="R391" s="3">
        <f t="shared" si="36"/>
        <v>2999</v>
      </c>
      <c r="S391" s="3">
        <f t="shared" si="37"/>
        <v>449.84999999999997</v>
      </c>
      <c r="T391" s="3">
        <f t="shared" si="38"/>
        <v>2549.15</v>
      </c>
      <c r="U391" s="3">
        <f t="shared" si="39"/>
        <v>449.85000000000036</v>
      </c>
      <c r="V391" s="4">
        <f t="shared" si="40"/>
        <v>0.17647058823529427</v>
      </c>
      <c r="W391" t="str">
        <f t="shared" si="41"/>
        <v>Feb</v>
      </c>
    </row>
    <row r="392" spans="1:23" x14ac:dyDescent="0.25">
      <c r="A392" t="s">
        <v>716</v>
      </c>
      <c r="B392" t="s">
        <v>717</v>
      </c>
      <c r="C392" s="2">
        <v>45763.745138888888</v>
      </c>
      <c r="D392" t="s">
        <v>25</v>
      </c>
      <c r="E392" t="s">
        <v>26</v>
      </c>
      <c r="F392" t="s">
        <v>27</v>
      </c>
      <c r="G392" t="s">
        <v>28</v>
      </c>
      <c r="H392">
        <v>3</v>
      </c>
      <c r="I392" s="3">
        <v>249</v>
      </c>
      <c r="J392" s="4">
        <v>0.2</v>
      </c>
      <c r="K392" s="3">
        <v>79</v>
      </c>
      <c r="L392" t="s">
        <v>209</v>
      </c>
      <c r="M392" t="s">
        <v>58</v>
      </c>
      <c r="N392" t="s">
        <v>50</v>
      </c>
      <c r="O392" t="s">
        <v>93</v>
      </c>
      <c r="P392" t="s">
        <v>80</v>
      </c>
      <c r="Q392">
        <v>4</v>
      </c>
      <c r="R392" s="3">
        <f t="shared" si="36"/>
        <v>747</v>
      </c>
      <c r="S392" s="3">
        <f t="shared" si="37"/>
        <v>149.4</v>
      </c>
      <c r="T392" s="3">
        <f t="shared" si="38"/>
        <v>676.6</v>
      </c>
      <c r="U392" s="3">
        <f t="shared" si="39"/>
        <v>153.70000000000005</v>
      </c>
      <c r="V392" s="4">
        <f t="shared" si="40"/>
        <v>0.22716523795447832</v>
      </c>
      <c r="W392" t="str">
        <f t="shared" si="41"/>
        <v>Apr</v>
      </c>
    </row>
    <row r="393" spans="1:23" x14ac:dyDescent="0.25">
      <c r="A393" t="s">
        <v>718</v>
      </c>
      <c r="B393" t="s">
        <v>179</v>
      </c>
      <c r="C393" s="2">
        <v>45695.049305555563</v>
      </c>
      <c r="D393" t="s">
        <v>77</v>
      </c>
      <c r="E393" t="s">
        <v>78</v>
      </c>
      <c r="F393" t="s">
        <v>79</v>
      </c>
      <c r="G393" t="s">
        <v>28</v>
      </c>
      <c r="H393">
        <v>1</v>
      </c>
      <c r="I393" s="3">
        <v>6499</v>
      </c>
      <c r="J393" s="4">
        <v>0.15</v>
      </c>
      <c r="K393" s="3">
        <v>0</v>
      </c>
      <c r="L393" t="s">
        <v>74</v>
      </c>
      <c r="M393" t="s">
        <v>49</v>
      </c>
      <c r="N393" t="s">
        <v>50</v>
      </c>
      <c r="O393" t="s">
        <v>51</v>
      </c>
      <c r="P393" t="s">
        <v>33</v>
      </c>
      <c r="Q393">
        <v>4</v>
      </c>
      <c r="R393" s="3">
        <f t="shared" si="36"/>
        <v>6499</v>
      </c>
      <c r="S393" s="3">
        <f t="shared" si="37"/>
        <v>974.84999999999991</v>
      </c>
      <c r="T393" s="3">
        <f t="shared" si="38"/>
        <v>5524.15</v>
      </c>
      <c r="U393" s="3">
        <f t="shared" si="39"/>
        <v>974.85000000000036</v>
      </c>
      <c r="V393" s="4">
        <f t="shared" si="40"/>
        <v>0.17647058823529418</v>
      </c>
      <c r="W393" t="str">
        <f t="shared" si="41"/>
        <v>Feb</v>
      </c>
    </row>
    <row r="394" spans="1:23" x14ac:dyDescent="0.25">
      <c r="A394" t="s">
        <v>719</v>
      </c>
      <c r="B394" t="s">
        <v>224</v>
      </c>
      <c r="C394" s="2">
        <v>45879.417361111111</v>
      </c>
      <c r="D394" t="s">
        <v>96</v>
      </c>
      <c r="E394" t="s">
        <v>97</v>
      </c>
      <c r="F394" t="s">
        <v>98</v>
      </c>
      <c r="G394" t="s">
        <v>99</v>
      </c>
      <c r="H394">
        <v>2</v>
      </c>
      <c r="I394" s="3">
        <v>1499</v>
      </c>
      <c r="J394" s="4">
        <v>0.2</v>
      </c>
      <c r="K394" s="3">
        <v>0</v>
      </c>
      <c r="L394" t="s">
        <v>119</v>
      </c>
      <c r="M394" t="s">
        <v>120</v>
      </c>
      <c r="N394" t="s">
        <v>31</v>
      </c>
      <c r="O394" t="s">
        <v>32</v>
      </c>
      <c r="P394" t="s">
        <v>52</v>
      </c>
      <c r="Q394">
        <v>1</v>
      </c>
      <c r="R394" s="3">
        <f t="shared" si="36"/>
        <v>2998</v>
      </c>
      <c r="S394" s="3">
        <f t="shared" si="37"/>
        <v>599.6</v>
      </c>
      <c r="T394" s="3">
        <f t="shared" si="38"/>
        <v>2398.4</v>
      </c>
      <c r="U394" s="3">
        <f t="shared" si="39"/>
        <v>299.80000000000018</v>
      </c>
      <c r="V394" s="4">
        <f t="shared" si="40"/>
        <v>0.12500000000000008</v>
      </c>
      <c r="W394" t="str">
        <f t="shared" si="41"/>
        <v>Aug</v>
      </c>
    </row>
    <row r="395" spans="1:23" x14ac:dyDescent="0.25">
      <c r="A395" t="s">
        <v>720</v>
      </c>
      <c r="B395" t="s">
        <v>296</v>
      </c>
      <c r="C395" s="2">
        <v>45695.499305555553</v>
      </c>
      <c r="D395" t="s">
        <v>77</v>
      </c>
      <c r="E395" t="s">
        <v>78</v>
      </c>
      <c r="F395" t="s">
        <v>79</v>
      </c>
      <c r="G395" t="s">
        <v>28</v>
      </c>
      <c r="H395">
        <v>1</v>
      </c>
      <c r="I395" s="3">
        <v>6499</v>
      </c>
      <c r="J395" s="4">
        <v>0</v>
      </c>
      <c r="K395" s="3">
        <v>59</v>
      </c>
      <c r="L395" t="s">
        <v>125</v>
      </c>
      <c r="M395" t="s">
        <v>126</v>
      </c>
      <c r="N395" t="s">
        <v>102</v>
      </c>
      <c r="O395" t="s">
        <v>93</v>
      </c>
      <c r="P395" t="s">
        <v>85</v>
      </c>
      <c r="Q395">
        <v>3</v>
      </c>
      <c r="R395" s="3">
        <f t="shared" si="36"/>
        <v>6499</v>
      </c>
      <c r="S395" s="3">
        <f t="shared" si="37"/>
        <v>0</v>
      </c>
      <c r="T395" s="3">
        <f t="shared" si="38"/>
        <v>6558</v>
      </c>
      <c r="U395" s="3">
        <f t="shared" si="39"/>
        <v>2008.7000000000007</v>
      </c>
      <c r="V395" s="4">
        <f t="shared" si="40"/>
        <v>0.30629765172308643</v>
      </c>
      <c r="W395" t="str">
        <f t="shared" si="41"/>
        <v>Feb</v>
      </c>
    </row>
    <row r="396" spans="1:23" x14ac:dyDescent="0.25">
      <c r="A396" t="s">
        <v>721</v>
      </c>
      <c r="B396" t="s">
        <v>255</v>
      </c>
      <c r="C396" s="2">
        <v>45996.020833333343</v>
      </c>
      <c r="D396" t="s">
        <v>90</v>
      </c>
      <c r="E396" t="s">
        <v>91</v>
      </c>
      <c r="F396" t="s">
        <v>37</v>
      </c>
      <c r="G396" t="s">
        <v>92</v>
      </c>
      <c r="H396">
        <v>1</v>
      </c>
      <c r="I396" s="3">
        <v>3499</v>
      </c>
      <c r="J396" s="4">
        <v>0.15</v>
      </c>
      <c r="K396" s="3">
        <v>49</v>
      </c>
      <c r="L396" t="s">
        <v>57</v>
      </c>
      <c r="M396" t="s">
        <v>58</v>
      </c>
      <c r="N396" t="s">
        <v>40</v>
      </c>
      <c r="O396" t="s">
        <v>32</v>
      </c>
      <c r="P396" t="s">
        <v>33</v>
      </c>
      <c r="Q396">
        <v>3</v>
      </c>
      <c r="R396" s="3">
        <f t="shared" si="36"/>
        <v>3499</v>
      </c>
      <c r="S396" s="3">
        <f t="shared" si="37"/>
        <v>524.85</v>
      </c>
      <c r="T396" s="3">
        <f t="shared" si="38"/>
        <v>3023.15</v>
      </c>
      <c r="U396" s="3">
        <f t="shared" si="39"/>
        <v>573.85000000000036</v>
      </c>
      <c r="V396" s="4">
        <f t="shared" si="40"/>
        <v>0.18981856672675862</v>
      </c>
      <c r="W396" t="str">
        <f t="shared" si="41"/>
        <v>Dec</v>
      </c>
    </row>
    <row r="397" spans="1:23" x14ac:dyDescent="0.25">
      <c r="A397" t="s">
        <v>722</v>
      </c>
      <c r="B397" t="s">
        <v>690</v>
      </c>
      <c r="C397" s="2">
        <v>45989.458333333343</v>
      </c>
      <c r="D397" t="s">
        <v>25</v>
      </c>
      <c r="E397" t="s">
        <v>26</v>
      </c>
      <c r="F397" t="s">
        <v>27</v>
      </c>
      <c r="G397" t="s">
        <v>28</v>
      </c>
      <c r="H397">
        <v>1</v>
      </c>
      <c r="I397" s="3">
        <v>249</v>
      </c>
      <c r="J397" s="4">
        <v>0.15</v>
      </c>
      <c r="K397" s="3">
        <v>49</v>
      </c>
      <c r="L397" t="s">
        <v>100</v>
      </c>
      <c r="M397" t="s">
        <v>101</v>
      </c>
      <c r="N397" t="s">
        <v>31</v>
      </c>
      <c r="O397" t="s">
        <v>93</v>
      </c>
      <c r="P397" t="s">
        <v>85</v>
      </c>
      <c r="Q397">
        <v>5</v>
      </c>
      <c r="R397" s="3">
        <f t="shared" si="36"/>
        <v>249</v>
      </c>
      <c r="S397" s="3">
        <f t="shared" si="37"/>
        <v>37.35</v>
      </c>
      <c r="T397" s="3">
        <f t="shared" si="38"/>
        <v>260.64999999999998</v>
      </c>
      <c r="U397" s="3">
        <f t="shared" si="39"/>
        <v>86.35</v>
      </c>
      <c r="V397" s="4">
        <f t="shared" si="40"/>
        <v>0.331287166698638</v>
      </c>
      <c r="W397" t="str">
        <f t="shared" si="41"/>
        <v>Nov</v>
      </c>
    </row>
    <row r="398" spans="1:23" x14ac:dyDescent="0.25">
      <c r="A398" t="s">
        <v>723</v>
      </c>
      <c r="B398" t="s">
        <v>319</v>
      </c>
      <c r="C398" s="2">
        <v>45701.384027777778</v>
      </c>
      <c r="D398" t="s">
        <v>44</v>
      </c>
      <c r="E398" t="s">
        <v>45</v>
      </c>
      <c r="F398" t="s">
        <v>46</v>
      </c>
      <c r="G398" t="s">
        <v>47</v>
      </c>
      <c r="H398">
        <v>2</v>
      </c>
      <c r="I398" s="3"/>
      <c r="J398" s="4">
        <v>0.2</v>
      </c>
      <c r="K398" s="3">
        <v>59</v>
      </c>
      <c r="L398" t="s">
        <v>57</v>
      </c>
      <c r="M398" t="s">
        <v>58</v>
      </c>
      <c r="N398" t="s">
        <v>40</v>
      </c>
      <c r="O398" t="s">
        <v>32</v>
      </c>
      <c r="P398" t="s">
        <v>80</v>
      </c>
      <c r="Q398">
        <v>2</v>
      </c>
      <c r="R398" s="3">
        <f t="shared" si="36"/>
        <v>0</v>
      </c>
      <c r="S398" s="3">
        <f t="shared" si="37"/>
        <v>0</v>
      </c>
      <c r="T398" s="3">
        <f t="shared" si="38"/>
        <v>59</v>
      </c>
      <c r="U398" s="3">
        <f t="shared" si="39"/>
        <v>59</v>
      </c>
      <c r="V398" s="4">
        <f t="shared" si="40"/>
        <v>1</v>
      </c>
      <c r="W398" t="str">
        <f t="shared" si="41"/>
        <v>Feb</v>
      </c>
    </row>
    <row r="399" spans="1:23" x14ac:dyDescent="0.25">
      <c r="A399" t="s">
        <v>724</v>
      </c>
      <c r="B399" t="s">
        <v>356</v>
      </c>
      <c r="C399" s="2">
        <v>45787.254861111112</v>
      </c>
      <c r="D399" t="s">
        <v>105</v>
      </c>
      <c r="E399" t="s">
        <v>106</v>
      </c>
      <c r="F399" t="s">
        <v>37</v>
      </c>
      <c r="G399" t="s">
        <v>107</v>
      </c>
      <c r="H399">
        <v>1</v>
      </c>
      <c r="I399" s="3">
        <v>1799</v>
      </c>
      <c r="J399" s="4">
        <v>0.2</v>
      </c>
      <c r="K399" s="3">
        <v>99</v>
      </c>
      <c r="L399" t="s">
        <v>100</v>
      </c>
      <c r="M399" t="s">
        <v>101</v>
      </c>
      <c r="N399" t="s">
        <v>102</v>
      </c>
      <c r="O399" t="s">
        <v>59</v>
      </c>
      <c r="P399" t="s">
        <v>33</v>
      </c>
      <c r="R399" s="3">
        <f t="shared" si="36"/>
        <v>1799</v>
      </c>
      <c r="S399" s="3">
        <f t="shared" si="37"/>
        <v>359.8</v>
      </c>
      <c r="T399" s="3">
        <f t="shared" si="38"/>
        <v>1538.2</v>
      </c>
      <c r="U399" s="3">
        <f t="shared" si="39"/>
        <v>278.90000000000009</v>
      </c>
      <c r="V399" s="4">
        <f t="shared" si="40"/>
        <v>0.18131582369002736</v>
      </c>
      <c r="W399" t="str">
        <f t="shared" si="41"/>
        <v>May</v>
      </c>
    </row>
    <row r="400" spans="1:23" x14ac:dyDescent="0.25">
      <c r="A400" t="s">
        <v>725</v>
      </c>
      <c r="B400" t="s">
        <v>134</v>
      </c>
      <c r="C400" s="2">
        <v>45692.337500000001</v>
      </c>
      <c r="D400" t="s">
        <v>62</v>
      </c>
      <c r="E400" t="s">
        <v>63</v>
      </c>
      <c r="F400" t="s">
        <v>46</v>
      </c>
      <c r="G400" t="s">
        <v>64</v>
      </c>
      <c r="H400">
        <v>1</v>
      </c>
      <c r="I400" s="3">
        <v>699</v>
      </c>
      <c r="J400" s="4">
        <v>0.2</v>
      </c>
      <c r="K400" s="3">
        <v>99</v>
      </c>
      <c r="L400" t="s">
        <v>29</v>
      </c>
      <c r="M400" t="s">
        <v>30</v>
      </c>
      <c r="N400" t="s">
        <v>71</v>
      </c>
      <c r="O400" t="s">
        <v>51</v>
      </c>
      <c r="P400" t="s">
        <v>33</v>
      </c>
      <c r="Q400">
        <v>2</v>
      </c>
      <c r="R400" s="3">
        <f t="shared" si="36"/>
        <v>699</v>
      </c>
      <c r="S400" s="3">
        <f t="shared" si="37"/>
        <v>139.80000000000001</v>
      </c>
      <c r="T400" s="3">
        <f t="shared" si="38"/>
        <v>658.2</v>
      </c>
      <c r="U400" s="3">
        <f t="shared" si="39"/>
        <v>168.90000000000009</v>
      </c>
      <c r="V400" s="4">
        <f t="shared" si="40"/>
        <v>0.25660893345487706</v>
      </c>
      <c r="W400" t="str">
        <f t="shared" si="41"/>
        <v>Feb</v>
      </c>
    </row>
    <row r="401" spans="1:23" x14ac:dyDescent="0.25">
      <c r="A401" t="s">
        <v>726</v>
      </c>
      <c r="C401" s="2">
        <v>45975.122916666667</v>
      </c>
      <c r="D401" t="s">
        <v>25</v>
      </c>
      <c r="E401" t="s">
        <v>26</v>
      </c>
      <c r="F401" t="s">
        <v>27</v>
      </c>
      <c r="G401" t="s">
        <v>28</v>
      </c>
      <c r="H401">
        <v>1</v>
      </c>
      <c r="I401" s="3">
        <v>249</v>
      </c>
      <c r="J401" s="4">
        <v>0.05</v>
      </c>
      <c r="K401" s="3">
        <v>79</v>
      </c>
      <c r="L401" t="s">
        <v>113</v>
      </c>
      <c r="M401" t="s">
        <v>114</v>
      </c>
      <c r="N401" t="s">
        <v>71</v>
      </c>
      <c r="O401" t="s">
        <v>32</v>
      </c>
      <c r="P401" t="s">
        <v>33</v>
      </c>
      <c r="R401" s="3">
        <f t="shared" si="36"/>
        <v>249</v>
      </c>
      <c r="S401" s="3">
        <f t="shared" si="37"/>
        <v>12.450000000000001</v>
      </c>
      <c r="T401" s="3">
        <f t="shared" si="38"/>
        <v>315.55</v>
      </c>
      <c r="U401" s="3">
        <f t="shared" si="39"/>
        <v>141.25000000000003</v>
      </c>
      <c r="V401" s="4">
        <f t="shared" si="40"/>
        <v>0.44763112026620194</v>
      </c>
      <c r="W401" t="str">
        <f t="shared" si="41"/>
        <v>Nov</v>
      </c>
    </row>
    <row r="402" spans="1:23" x14ac:dyDescent="0.25">
      <c r="A402" t="s">
        <v>727</v>
      </c>
      <c r="B402" t="s">
        <v>656</v>
      </c>
      <c r="C402" s="2">
        <v>45948.493750000001</v>
      </c>
      <c r="D402" t="s">
        <v>110</v>
      </c>
      <c r="E402" t="s">
        <v>111</v>
      </c>
      <c r="F402" t="s">
        <v>98</v>
      </c>
      <c r="G402" t="s">
        <v>112</v>
      </c>
      <c r="H402">
        <v>1</v>
      </c>
      <c r="I402" s="3">
        <v>2999</v>
      </c>
      <c r="J402" s="4">
        <v>0.1</v>
      </c>
      <c r="K402" s="3">
        <v>49</v>
      </c>
      <c r="L402" t="s">
        <v>125</v>
      </c>
      <c r="M402" t="s">
        <v>126</v>
      </c>
      <c r="N402" t="s">
        <v>71</v>
      </c>
      <c r="O402" t="s">
        <v>41</v>
      </c>
      <c r="P402" t="s">
        <v>33</v>
      </c>
      <c r="R402" s="3">
        <f t="shared" si="36"/>
        <v>2999</v>
      </c>
      <c r="S402" s="3">
        <f t="shared" si="37"/>
        <v>299.90000000000003</v>
      </c>
      <c r="T402" s="3">
        <f t="shared" si="38"/>
        <v>2748.1</v>
      </c>
      <c r="U402" s="3">
        <f t="shared" si="39"/>
        <v>648.80000000000018</v>
      </c>
      <c r="V402" s="4">
        <f t="shared" si="40"/>
        <v>0.23609038972380925</v>
      </c>
      <c r="W402" t="str">
        <f t="shared" si="41"/>
        <v>Oct</v>
      </c>
    </row>
    <row r="403" spans="1:23" x14ac:dyDescent="0.25">
      <c r="A403" t="s">
        <v>728</v>
      </c>
      <c r="B403" t="s">
        <v>198</v>
      </c>
      <c r="C403" s="2">
        <v>45842.196527777778</v>
      </c>
      <c r="D403" t="s">
        <v>67</v>
      </c>
      <c r="E403" t="s">
        <v>68</v>
      </c>
      <c r="F403" t="s">
        <v>37</v>
      </c>
      <c r="G403" t="s">
        <v>38</v>
      </c>
      <c r="H403">
        <v>1</v>
      </c>
      <c r="I403" s="3">
        <v>1299</v>
      </c>
      <c r="J403" s="4">
        <v>0.05</v>
      </c>
      <c r="K403" s="3">
        <v>79</v>
      </c>
      <c r="L403" t="s">
        <v>57</v>
      </c>
      <c r="M403" t="s">
        <v>58</v>
      </c>
      <c r="N403" t="s">
        <v>40</v>
      </c>
      <c r="O403" t="s">
        <v>51</v>
      </c>
      <c r="P403" t="s">
        <v>80</v>
      </c>
      <c r="R403" s="3">
        <f t="shared" si="36"/>
        <v>1299</v>
      </c>
      <c r="S403" s="3">
        <f t="shared" si="37"/>
        <v>64.95</v>
      </c>
      <c r="T403" s="3">
        <f t="shared" si="38"/>
        <v>1313.05</v>
      </c>
      <c r="U403" s="3">
        <f t="shared" si="39"/>
        <v>403.75</v>
      </c>
      <c r="V403" s="4">
        <f t="shared" si="40"/>
        <v>0.30749019458512622</v>
      </c>
      <c r="W403" t="str">
        <f t="shared" si="41"/>
        <v>Jul</v>
      </c>
    </row>
    <row r="404" spans="1:23" x14ac:dyDescent="0.25">
      <c r="A404" t="s">
        <v>729</v>
      </c>
      <c r="B404" t="s">
        <v>211</v>
      </c>
      <c r="C404" s="2">
        <v>45747.859722222223</v>
      </c>
      <c r="D404" t="s">
        <v>110</v>
      </c>
      <c r="E404" t="s">
        <v>111</v>
      </c>
      <c r="F404" t="s">
        <v>98</v>
      </c>
      <c r="G404" t="s">
        <v>112</v>
      </c>
      <c r="H404">
        <v>2</v>
      </c>
      <c r="I404" s="3">
        <v>2999</v>
      </c>
      <c r="J404" s="4">
        <v>0.05</v>
      </c>
      <c r="K404" s="3">
        <v>49</v>
      </c>
      <c r="L404" t="s">
        <v>119</v>
      </c>
      <c r="M404" t="s">
        <v>120</v>
      </c>
      <c r="N404" t="s">
        <v>50</v>
      </c>
      <c r="O404" t="s">
        <v>51</v>
      </c>
      <c r="P404" t="s">
        <v>33</v>
      </c>
      <c r="R404" s="3">
        <f t="shared" si="36"/>
        <v>5998</v>
      </c>
      <c r="S404" s="3">
        <f t="shared" si="37"/>
        <v>299.90000000000003</v>
      </c>
      <c r="T404" s="3">
        <f t="shared" si="38"/>
        <v>5747.1</v>
      </c>
      <c r="U404" s="3">
        <f t="shared" si="39"/>
        <v>1548.5000000000009</v>
      </c>
      <c r="V404" s="4">
        <f t="shared" si="40"/>
        <v>0.26944023942510148</v>
      </c>
      <c r="W404" t="str">
        <f t="shared" si="41"/>
        <v>Mar</v>
      </c>
    </row>
    <row r="405" spans="1:23" x14ac:dyDescent="0.25">
      <c r="A405" t="s">
        <v>730</v>
      </c>
      <c r="B405" t="s">
        <v>731</v>
      </c>
      <c r="C405" s="2">
        <v>45667.694444444453</v>
      </c>
      <c r="D405" t="s">
        <v>25</v>
      </c>
      <c r="E405" t="s">
        <v>26</v>
      </c>
      <c r="F405" t="s">
        <v>27</v>
      </c>
      <c r="G405" t="s">
        <v>28</v>
      </c>
      <c r="H405">
        <v>2</v>
      </c>
      <c r="I405" s="3">
        <v>249</v>
      </c>
      <c r="J405" s="4">
        <v>0.15</v>
      </c>
      <c r="K405" s="3">
        <v>99</v>
      </c>
      <c r="L405" t="s">
        <v>29</v>
      </c>
      <c r="M405" t="s">
        <v>30</v>
      </c>
      <c r="N405" t="s">
        <v>102</v>
      </c>
      <c r="O405" t="s">
        <v>41</v>
      </c>
      <c r="P405" t="s">
        <v>33</v>
      </c>
      <c r="Q405">
        <v>1</v>
      </c>
      <c r="R405" s="3">
        <f t="shared" si="36"/>
        <v>498</v>
      </c>
      <c r="S405" s="3">
        <f t="shared" si="37"/>
        <v>74.7</v>
      </c>
      <c r="T405" s="3">
        <f t="shared" si="38"/>
        <v>522.29999999999995</v>
      </c>
      <c r="U405" s="3">
        <f t="shared" si="39"/>
        <v>173.7</v>
      </c>
      <c r="V405" s="4">
        <f t="shared" si="40"/>
        <v>0.33256748994830559</v>
      </c>
      <c r="W405" t="str">
        <f t="shared" si="41"/>
        <v>Jan</v>
      </c>
    </row>
    <row r="406" spans="1:23" x14ac:dyDescent="0.25">
      <c r="A406" t="s">
        <v>732</v>
      </c>
      <c r="B406" t="s">
        <v>733</v>
      </c>
      <c r="C406" s="2">
        <v>45934.65347222222</v>
      </c>
      <c r="D406" t="s">
        <v>62</v>
      </c>
      <c r="E406" t="s">
        <v>63</v>
      </c>
      <c r="F406" t="s">
        <v>46</v>
      </c>
      <c r="G406" t="s">
        <v>64</v>
      </c>
      <c r="H406">
        <v>2</v>
      </c>
      <c r="I406" s="3">
        <v>699</v>
      </c>
      <c r="J406" s="4">
        <v>0.05</v>
      </c>
      <c r="K406" s="3">
        <v>79</v>
      </c>
      <c r="L406" t="s">
        <v>48</v>
      </c>
      <c r="M406" t="s">
        <v>49</v>
      </c>
      <c r="N406" t="s">
        <v>102</v>
      </c>
      <c r="O406" t="s">
        <v>51</v>
      </c>
      <c r="P406" t="s">
        <v>33</v>
      </c>
      <c r="Q406">
        <v>2</v>
      </c>
      <c r="R406" s="3">
        <f t="shared" si="36"/>
        <v>1398</v>
      </c>
      <c r="S406" s="3">
        <f t="shared" si="37"/>
        <v>69.900000000000006</v>
      </c>
      <c r="T406" s="3">
        <f t="shared" si="38"/>
        <v>1407.1</v>
      </c>
      <c r="U406" s="3">
        <f t="shared" si="39"/>
        <v>428.5</v>
      </c>
      <c r="V406" s="4">
        <f t="shared" si="40"/>
        <v>0.30452704143273401</v>
      </c>
      <c r="W406" t="str">
        <f t="shared" si="41"/>
        <v>Oct</v>
      </c>
    </row>
    <row r="407" spans="1:23" x14ac:dyDescent="0.25">
      <c r="A407" t="s">
        <v>734</v>
      </c>
      <c r="B407" t="s">
        <v>660</v>
      </c>
      <c r="C407" s="2">
        <v>45861.480555555558</v>
      </c>
      <c r="D407" t="s">
        <v>90</v>
      </c>
      <c r="E407" t="s">
        <v>91</v>
      </c>
      <c r="F407" t="s">
        <v>37</v>
      </c>
      <c r="G407" t="s">
        <v>92</v>
      </c>
      <c r="H407">
        <v>2</v>
      </c>
      <c r="I407" s="3">
        <v>3499</v>
      </c>
      <c r="J407" s="4">
        <v>0.2</v>
      </c>
      <c r="K407" s="3">
        <v>49</v>
      </c>
      <c r="L407" t="s">
        <v>83</v>
      </c>
      <c r="M407" t="s">
        <v>84</v>
      </c>
      <c r="N407" t="s">
        <v>102</v>
      </c>
      <c r="O407" t="s">
        <v>41</v>
      </c>
      <c r="P407" t="s">
        <v>33</v>
      </c>
      <c r="Q407">
        <v>4</v>
      </c>
      <c r="R407" s="3">
        <f t="shared" si="36"/>
        <v>6998</v>
      </c>
      <c r="S407" s="3">
        <f t="shared" si="37"/>
        <v>1399.6000000000001</v>
      </c>
      <c r="T407" s="3">
        <f t="shared" si="38"/>
        <v>5647.4</v>
      </c>
      <c r="U407" s="3">
        <f t="shared" si="39"/>
        <v>748.80000000000018</v>
      </c>
      <c r="V407" s="4">
        <f t="shared" si="40"/>
        <v>0.13259198923398383</v>
      </c>
      <c r="W407" t="str">
        <f t="shared" si="41"/>
        <v>Jul</v>
      </c>
    </row>
    <row r="408" spans="1:23" x14ac:dyDescent="0.25">
      <c r="A408" t="s">
        <v>735</v>
      </c>
      <c r="B408" t="s">
        <v>289</v>
      </c>
      <c r="C408" s="2">
        <v>45947.913194444453</v>
      </c>
      <c r="D408" t="s">
        <v>105</v>
      </c>
      <c r="E408" t="s">
        <v>106</v>
      </c>
      <c r="F408" t="s">
        <v>37</v>
      </c>
      <c r="G408" t="s">
        <v>107</v>
      </c>
      <c r="H408">
        <v>2</v>
      </c>
      <c r="I408" s="3">
        <v>1799</v>
      </c>
      <c r="J408" s="4">
        <v>0.2</v>
      </c>
      <c r="K408" s="3">
        <v>79</v>
      </c>
      <c r="L408" t="s">
        <v>100</v>
      </c>
      <c r="M408" t="s">
        <v>101</v>
      </c>
      <c r="N408" t="s">
        <v>31</v>
      </c>
      <c r="O408" t="s">
        <v>41</v>
      </c>
      <c r="P408" t="s">
        <v>33</v>
      </c>
      <c r="R408" s="3">
        <f t="shared" si="36"/>
        <v>3598</v>
      </c>
      <c r="S408" s="3">
        <f t="shared" si="37"/>
        <v>719.6</v>
      </c>
      <c r="T408" s="3">
        <f t="shared" si="38"/>
        <v>2957.4</v>
      </c>
      <c r="U408" s="3">
        <f t="shared" si="39"/>
        <v>438.80000000000018</v>
      </c>
      <c r="V408" s="4">
        <f t="shared" si="40"/>
        <v>0.14837357138026649</v>
      </c>
      <c r="W408" t="str">
        <f t="shared" si="41"/>
        <v>Oct</v>
      </c>
    </row>
    <row r="409" spans="1:23" x14ac:dyDescent="0.25">
      <c r="A409" t="s">
        <v>736</v>
      </c>
      <c r="B409" t="s">
        <v>737</v>
      </c>
      <c r="C409" s="2">
        <v>45847.293055555558</v>
      </c>
      <c r="D409" t="s">
        <v>90</v>
      </c>
      <c r="E409" t="s">
        <v>91</v>
      </c>
      <c r="F409" t="s">
        <v>37</v>
      </c>
      <c r="G409" t="s">
        <v>92</v>
      </c>
      <c r="H409">
        <v>1</v>
      </c>
      <c r="I409" s="3">
        <v>3499</v>
      </c>
      <c r="J409" s="4">
        <v>0</v>
      </c>
      <c r="K409" s="3">
        <v>99</v>
      </c>
      <c r="L409" t="s">
        <v>113</v>
      </c>
      <c r="M409" t="s">
        <v>114</v>
      </c>
      <c r="N409" t="s">
        <v>40</v>
      </c>
      <c r="O409" t="s">
        <v>59</v>
      </c>
      <c r="P409" t="s">
        <v>80</v>
      </c>
      <c r="Q409">
        <v>4</v>
      </c>
      <c r="R409" s="3">
        <f t="shared" si="36"/>
        <v>3499</v>
      </c>
      <c r="S409" s="3">
        <f t="shared" si="37"/>
        <v>0</v>
      </c>
      <c r="T409" s="3">
        <f t="shared" si="38"/>
        <v>3598</v>
      </c>
      <c r="U409" s="3">
        <f t="shared" si="39"/>
        <v>1148.7000000000003</v>
      </c>
      <c r="V409" s="4">
        <f t="shared" si="40"/>
        <v>0.31926070038910515</v>
      </c>
      <c r="W409" t="str">
        <f t="shared" si="41"/>
        <v>Jul</v>
      </c>
    </row>
    <row r="410" spans="1:23" x14ac:dyDescent="0.25">
      <c r="A410" t="s">
        <v>738</v>
      </c>
      <c r="B410" t="s">
        <v>739</v>
      </c>
      <c r="C410" s="2">
        <v>45823.15625</v>
      </c>
      <c r="D410" t="s">
        <v>35</v>
      </c>
      <c r="E410" t="s">
        <v>36</v>
      </c>
      <c r="F410" t="s">
        <v>37</v>
      </c>
      <c r="G410" t="s">
        <v>38</v>
      </c>
      <c r="H410">
        <v>5</v>
      </c>
      <c r="I410" s="3">
        <v>599</v>
      </c>
      <c r="J410" s="4">
        <v>0.2</v>
      </c>
      <c r="K410" s="3">
        <v>59</v>
      </c>
      <c r="L410" t="s">
        <v>39</v>
      </c>
      <c r="M410" t="s">
        <v>39</v>
      </c>
      <c r="N410" t="s">
        <v>102</v>
      </c>
      <c r="O410" t="s">
        <v>32</v>
      </c>
      <c r="P410" t="s">
        <v>85</v>
      </c>
      <c r="Q410">
        <v>5</v>
      </c>
      <c r="R410" s="3">
        <f t="shared" si="36"/>
        <v>2995</v>
      </c>
      <c r="S410" s="3">
        <f t="shared" si="37"/>
        <v>599</v>
      </c>
      <c r="T410" s="3">
        <f t="shared" si="38"/>
        <v>2455</v>
      </c>
      <c r="U410" s="3">
        <f t="shared" si="39"/>
        <v>358.5</v>
      </c>
      <c r="V410" s="4">
        <f t="shared" si="40"/>
        <v>0.14602851323828919</v>
      </c>
      <c r="W410" t="str">
        <f t="shared" si="41"/>
        <v>Jun</v>
      </c>
    </row>
    <row r="411" spans="1:23" x14ac:dyDescent="0.25">
      <c r="A411" t="s">
        <v>740</v>
      </c>
      <c r="B411" t="s">
        <v>347</v>
      </c>
      <c r="C411" s="2">
        <v>45845.77847222222</v>
      </c>
      <c r="D411" t="s">
        <v>105</v>
      </c>
      <c r="E411" t="s">
        <v>106</v>
      </c>
      <c r="F411" t="s">
        <v>37</v>
      </c>
      <c r="G411" t="s">
        <v>107</v>
      </c>
      <c r="H411">
        <v>2</v>
      </c>
      <c r="I411" s="3">
        <v>1799</v>
      </c>
      <c r="J411" s="4">
        <v>0.15</v>
      </c>
      <c r="K411" s="3">
        <v>59</v>
      </c>
      <c r="L411" t="s">
        <v>57</v>
      </c>
      <c r="M411" t="s">
        <v>58</v>
      </c>
      <c r="N411" t="s">
        <v>50</v>
      </c>
      <c r="O411" t="s">
        <v>32</v>
      </c>
      <c r="P411" t="s">
        <v>33</v>
      </c>
      <c r="Q411">
        <v>4</v>
      </c>
      <c r="R411" s="3">
        <f t="shared" si="36"/>
        <v>3598</v>
      </c>
      <c r="S411" s="3">
        <f t="shared" si="37"/>
        <v>539.69999999999993</v>
      </c>
      <c r="T411" s="3">
        <f t="shared" si="38"/>
        <v>3117.3</v>
      </c>
      <c r="U411" s="3">
        <f t="shared" si="39"/>
        <v>598.70000000000027</v>
      </c>
      <c r="V411" s="4">
        <f t="shared" si="40"/>
        <v>0.19205722901228636</v>
      </c>
      <c r="W411" t="str">
        <f t="shared" si="41"/>
        <v>Jul</v>
      </c>
    </row>
    <row r="412" spans="1:23" x14ac:dyDescent="0.25">
      <c r="A412" t="s">
        <v>741</v>
      </c>
      <c r="B412" t="s">
        <v>660</v>
      </c>
      <c r="C412" s="2">
        <v>45904.791666666657</v>
      </c>
      <c r="D412" t="s">
        <v>169</v>
      </c>
      <c r="E412" t="s">
        <v>170</v>
      </c>
      <c r="F412" t="s">
        <v>98</v>
      </c>
      <c r="G412" t="s">
        <v>171</v>
      </c>
      <c r="H412">
        <v>2</v>
      </c>
      <c r="I412" s="3">
        <v>799</v>
      </c>
      <c r="J412" s="4">
        <v>0</v>
      </c>
      <c r="K412" s="3">
        <v>79</v>
      </c>
      <c r="L412" t="s">
        <v>74</v>
      </c>
      <c r="M412" t="s">
        <v>49</v>
      </c>
      <c r="N412" t="s">
        <v>430</v>
      </c>
      <c r="O412" t="s">
        <v>93</v>
      </c>
      <c r="P412" t="s">
        <v>85</v>
      </c>
      <c r="Q412">
        <v>5</v>
      </c>
      <c r="R412" s="3">
        <f t="shared" si="36"/>
        <v>1598</v>
      </c>
      <c r="S412" s="3">
        <f t="shared" si="37"/>
        <v>0</v>
      </c>
      <c r="T412" s="3">
        <f t="shared" si="38"/>
        <v>1677</v>
      </c>
      <c r="U412" s="3">
        <f t="shared" si="39"/>
        <v>558.40000000000009</v>
      </c>
      <c r="V412" s="4">
        <f t="shared" si="40"/>
        <v>0.33297555158020281</v>
      </c>
      <c r="W412" t="str">
        <f t="shared" si="41"/>
        <v>Sep</v>
      </c>
    </row>
    <row r="413" spans="1:23" x14ac:dyDescent="0.25">
      <c r="A413" t="s">
        <v>742</v>
      </c>
      <c r="B413" t="s">
        <v>118</v>
      </c>
      <c r="C413" s="2">
        <v>45753.224305555559</v>
      </c>
      <c r="D413" t="s">
        <v>25</v>
      </c>
      <c r="E413" t="s">
        <v>26</v>
      </c>
      <c r="F413" t="s">
        <v>27</v>
      </c>
      <c r="G413" t="s">
        <v>28</v>
      </c>
      <c r="H413">
        <v>1</v>
      </c>
      <c r="I413" s="3">
        <v>249</v>
      </c>
      <c r="J413" s="4">
        <v>0.2</v>
      </c>
      <c r="K413" s="3">
        <v>0</v>
      </c>
      <c r="L413" t="s">
        <v>743</v>
      </c>
      <c r="M413" t="s">
        <v>49</v>
      </c>
      <c r="N413" t="s">
        <v>40</v>
      </c>
      <c r="O413" t="s">
        <v>51</v>
      </c>
      <c r="P413" t="s">
        <v>85</v>
      </c>
      <c r="R413" s="3">
        <f t="shared" si="36"/>
        <v>249</v>
      </c>
      <c r="S413" s="3">
        <f t="shared" si="37"/>
        <v>49.800000000000004</v>
      </c>
      <c r="T413" s="3">
        <f t="shared" si="38"/>
        <v>199.2</v>
      </c>
      <c r="U413" s="3">
        <f t="shared" si="39"/>
        <v>24.900000000000006</v>
      </c>
      <c r="V413" s="4">
        <f t="shared" si="40"/>
        <v>0.12500000000000003</v>
      </c>
      <c r="W413" t="str">
        <f t="shared" si="41"/>
        <v>Apr</v>
      </c>
    </row>
    <row r="414" spans="1:23" x14ac:dyDescent="0.25">
      <c r="A414" t="s">
        <v>744</v>
      </c>
      <c r="B414" t="s">
        <v>745</v>
      </c>
      <c r="C414" s="2">
        <v>45903.275694444441</v>
      </c>
      <c r="D414" t="s">
        <v>55</v>
      </c>
      <c r="E414" t="s">
        <v>56</v>
      </c>
      <c r="F414" t="s">
        <v>37</v>
      </c>
      <c r="G414" t="s">
        <v>38</v>
      </c>
      <c r="H414">
        <v>2</v>
      </c>
      <c r="I414" s="3">
        <v>2499</v>
      </c>
      <c r="J414" s="4">
        <v>0.2</v>
      </c>
      <c r="K414" s="3">
        <v>79</v>
      </c>
      <c r="L414" t="s">
        <v>119</v>
      </c>
      <c r="M414" t="s">
        <v>120</v>
      </c>
      <c r="N414" t="s">
        <v>50</v>
      </c>
      <c r="O414" t="s">
        <v>93</v>
      </c>
      <c r="P414" t="s">
        <v>33</v>
      </c>
      <c r="Q414">
        <v>2</v>
      </c>
      <c r="R414" s="3">
        <f t="shared" si="36"/>
        <v>4998</v>
      </c>
      <c r="S414" s="3">
        <f t="shared" si="37"/>
        <v>999.6</v>
      </c>
      <c r="T414" s="3">
        <f t="shared" si="38"/>
        <v>4077.4</v>
      </c>
      <c r="U414" s="3">
        <f t="shared" si="39"/>
        <v>578.80000000000018</v>
      </c>
      <c r="V414" s="4">
        <f t="shared" si="40"/>
        <v>0.14195320547407667</v>
      </c>
      <c r="W414" t="str">
        <f t="shared" si="41"/>
        <v>Sep</v>
      </c>
    </row>
    <row r="415" spans="1:23" x14ac:dyDescent="0.25">
      <c r="A415" t="s">
        <v>746</v>
      </c>
      <c r="B415" t="s">
        <v>510</v>
      </c>
      <c r="C415" s="2">
        <v>45980.668055555558</v>
      </c>
      <c r="D415" t="s">
        <v>44</v>
      </c>
      <c r="E415" t="s">
        <v>45</v>
      </c>
      <c r="F415" t="s">
        <v>46</v>
      </c>
      <c r="G415" t="s">
        <v>47</v>
      </c>
      <c r="H415">
        <v>1</v>
      </c>
      <c r="I415" s="3">
        <v>1199</v>
      </c>
      <c r="J415" s="4">
        <v>0</v>
      </c>
      <c r="K415" s="3">
        <v>0</v>
      </c>
      <c r="L415" t="s">
        <v>125</v>
      </c>
      <c r="M415" t="s">
        <v>126</v>
      </c>
      <c r="N415" t="s">
        <v>71</v>
      </c>
      <c r="O415" t="s">
        <v>41</v>
      </c>
      <c r="P415" t="s">
        <v>85</v>
      </c>
      <c r="Q415">
        <v>5</v>
      </c>
      <c r="R415" s="3">
        <f t="shared" si="36"/>
        <v>1199</v>
      </c>
      <c r="S415" s="3">
        <f t="shared" si="37"/>
        <v>0</v>
      </c>
      <c r="T415" s="3">
        <f t="shared" si="38"/>
        <v>1199</v>
      </c>
      <c r="U415" s="3">
        <f t="shared" si="39"/>
        <v>359.70000000000005</v>
      </c>
      <c r="V415" s="4">
        <f t="shared" si="40"/>
        <v>0.30000000000000004</v>
      </c>
      <c r="W415" t="str">
        <f t="shared" si="41"/>
        <v>Nov</v>
      </c>
    </row>
    <row r="416" spans="1:23" x14ac:dyDescent="0.25">
      <c r="A416" t="s">
        <v>747</v>
      </c>
      <c r="B416" t="s">
        <v>748</v>
      </c>
      <c r="C416" s="2">
        <v>45984.038888888892</v>
      </c>
      <c r="D416" t="s">
        <v>96</v>
      </c>
      <c r="E416" t="s">
        <v>97</v>
      </c>
      <c r="F416" t="s">
        <v>98</v>
      </c>
      <c r="G416" t="s">
        <v>99</v>
      </c>
      <c r="H416">
        <v>4</v>
      </c>
      <c r="I416" s="3">
        <v>1499</v>
      </c>
      <c r="J416" s="4">
        <v>0.2</v>
      </c>
      <c r="K416" s="3">
        <v>59</v>
      </c>
      <c r="L416" t="s">
        <v>125</v>
      </c>
      <c r="M416" t="s">
        <v>126</v>
      </c>
      <c r="N416" t="s">
        <v>50</v>
      </c>
      <c r="O416" t="s">
        <v>59</v>
      </c>
      <c r="P416" t="s">
        <v>80</v>
      </c>
      <c r="Q416">
        <v>5</v>
      </c>
      <c r="R416" s="3">
        <f t="shared" si="36"/>
        <v>5996</v>
      </c>
      <c r="S416" s="3">
        <f t="shared" si="37"/>
        <v>1199.2</v>
      </c>
      <c r="T416" s="3">
        <f t="shared" si="38"/>
        <v>4855.8</v>
      </c>
      <c r="U416" s="3">
        <f t="shared" si="39"/>
        <v>658.60000000000036</v>
      </c>
      <c r="V416" s="4">
        <f t="shared" si="40"/>
        <v>0.13563161579966232</v>
      </c>
      <c r="W416" t="str">
        <f t="shared" si="41"/>
        <v>Nov</v>
      </c>
    </row>
    <row r="417" spans="1:23" x14ac:dyDescent="0.25">
      <c r="A417" t="s">
        <v>749</v>
      </c>
      <c r="B417" t="s">
        <v>164</v>
      </c>
      <c r="C417" s="2">
        <v>45868.79791666667</v>
      </c>
      <c r="D417" t="s">
        <v>90</v>
      </c>
      <c r="E417" t="s">
        <v>91</v>
      </c>
      <c r="F417" t="s">
        <v>37</v>
      </c>
      <c r="G417" t="s">
        <v>92</v>
      </c>
      <c r="H417">
        <v>1</v>
      </c>
      <c r="I417" s="3">
        <v>3499</v>
      </c>
      <c r="J417" s="4">
        <v>0</v>
      </c>
      <c r="K417" s="3">
        <v>99</v>
      </c>
      <c r="L417" t="s">
        <v>119</v>
      </c>
      <c r="M417" t="s">
        <v>120</v>
      </c>
      <c r="N417" t="s">
        <v>71</v>
      </c>
      <c r="O417" t="s">
        <v>41</v>
      </c>
      <c r="P417" t="s">
        <v>85</v>
      </c>
      <c r="R417" s="3">
        <f t="shared" si="36"/>
        <v>3499</v>
      </c>
      <c r="S417" s="3">
        <f t="shared" si="37"/>
        <v>0</v>
      </c>
      <c r="T417" s="3">
        <f t="shared" si="38"/>
        <v>3598</v>
      </c>
      <c r="U417" s="3">
        <f t="shared" si="39"/>
        <v>1148.7000000000003</v>
      </c>
      <c r="V417" s="4">
        <f t="shared" si="40"/>
        <v>0.31926070038910515</v>
      </c>
      <c r="W417" t="str">
        <f t="shared" si="41"/>
        <v>Jul</v>
      </c>
    </row>
    <row r="418" spans="1:23" x14ac:dyDescent="0.25">
      <c r="A418" t="s">
        <v>750</v>
      </c>
      <c r="B418" t="s">
        <v>697</v>
      </c>
      <c r="C418" s="2">
        <v>45963.75277777778</v>
      </c>
      <c r="D418" t="s">
        <v>25</v>
      </c>
      <c r="E418" t="s">
        <v>26</v>
      </c>
      <c r="F418" t="s">
        <v>27</v>
      </c>
      <c r="G418" t="s">
        <v>28</v>
      </c>
      <c r="H418">
        <v>4</v>
      </c>
      <c r="I418" s="3">
        <v>249</v>
      </c>
      <c r="J418" s="4">
        <v>0.1</v>
      </c>
      <c r="K418" s="3">
        <v>79</v>
      </c>
      <c r="L418" t="s">
        <v>74</v>
      </c>
      <c r="M418" t="s">
        <v>49</v>
      </c>
      <c r="N418" t="s">
        <v>31</v>
      </c>
      <c r="O418" t="s">
        <v>93</v>
      </c>
      <c r="P418" t="s">
        <v>33</v>
      </c>
      <c r="Q418">
        <v>2</v>
      </c>
      <c r="R418" s="3">
        <f t="shared" si="36"/>
        <v>996</v>
      </c>
      <c r="S418" s="3">
        <f t="shared" si="37"/>
        <v>99.600000000000009</v>
      </c>
      <c r="T418" s="3">
        <f t="shared" si="38"/>
        <v>975.4</v>
      </c>
      <c r="U418" s="3">
        <f t="shared" si="39"/>
        <v>278.20000000000005</v>
      </c>
      <c r="V418" s="4">
        <f t="shared" si="40"/>
        <v>0.28521632150912452</v>
      </c>
      <c r="W418" t="str">
        <f t="shared" si="41"/>
        <v>Nov</v>
      </c>
    </row>
    <row r="419" spans="1:23" x14ac:dyDescent="0.25">
      <c r="A419" t="s">
        <v>751</v>
      </c>
      <c r="B419" t="s">
        <v>662</v>
      </c>
      <c r="C419" s="2">
        <v>45734.79583333333</v>
      </c>
      <c r="D419" t="s">
        <v>62</v>
      </c>
      <c r="E419" t="s">
        <v>63</v>
      </c>
      <c r="F419" t="s">
        <v>46</v>
      </c>
      <c r="G419" t="s">
        <v>64</v>
      </c>
      <c r="H419">
        <v>2</v>
      </c>
      <c r="I419" s="3">
        <v>699</v>
      </c>
      <c r="J419" s="4">
        <v>0.1</v>
      </c>
      <c r="K419" s="3">
        <v>99</v>
      </c>
      <c r="L419" t="s">
        <v>83</v>
      </c>
      <c r="M419" t="s">
        <v>84</v>
      </c>
      <c r="N419" t="s">
        <v>102</v>
      </c>
      <c r="O419" t="s">
        <v>32</v>
      </c>
      <c r="P419" t="s">
        <v>33</v>
      </c>
      <c r="R419" s="3">
        <f t="shared" si="36"/>
        <v>1398</v>
      </c>
      <c r="S419" s="3">
        <f t="shared" si="37"/>
        <v>139.80000000000001</v>
      </c>
      <c r="T419" s="3">
        <f t="shared" si="38"/>
        <v>1357.2</v>
      </c>
      <c r="U419" s="3">
        <f t="shared" si="39"/>
        <v>378.60000000000014</v>
      </c>
      <c r="V419" s="4">
        <f t="shared" si="40"/>
        <v>0.27895667550839975</v>
      </c>
      <c r="W419" t="str">
        <f t="shared" si="41"/>
        <v>Mar</v>
      </c>
    </row>
    <row r="420" spans="1:23" x14ac:dyDescent="0.25">
      <c r="A420" t="s">
        <v>752</v>
      </c>
      <c r="B420" t="s">
        <v>623</v>
      </c>
      <c r="C420" s="2">
        <v>45724.81527777778</v>
      </c>
      <c r="D420" t="s">
        <v>55</v>
      </c>
      <c r="E420" t="s">
        <v>56</v>
      </c>
      <c r="F420" t="s">
        <v>37</v>
      </c>
      <c r="G420" t="s">
        <v>38</v>
      </c>
      <c r="H420">
        <v>2</v>
      </c>
      <c r="I420" s="3">
        <v>2499</v>
      </c>
      <c r="J420" s="4">
        <v>0.2</v>
      </c>
      <c r="K420" s="3">
        <v>79</v>
      </c>
      <c r="L420" t="s">
        <v>29</v>
      </c>
      <c r="M420" t="s">
        <v>30</v>
      </c>
      <c r="N420" t="s">
        <v>40</v>
      </c>
      <c r="O420" t="s">
        <v>51</v>
      </c>
      <c r="P420" t="s">
        <v>33</v>
      </c>
      <c r="R420" s="3">
        <f t="shared" si="36"/>
        <v>4998</v>
      </c>
      <c r="S420" s="3">
        <f t="shared" si="37"/>
        <v>999.6</v>
      </c>
      <c r="T420" s="3">
        <f t="shared" si="38"/>
        <v>4077.4</v>
      </c>
      <c r="U420" s="3">
        <f t="shared" si="39"/>
        <v>578.80000000000018</v>
      </c>
      <c r="V420" s="4">
        <f t="shared" si="40"/>
        <v>0.14195320547407667</v>
      </c>
      <c r="W420" t="str">
        <f t="shared" si="41"/>
        <v>Mar</v>
      </c>
    </row>
    <row r="421" spans="1:23" x14ac:dyDescent="0.25">
      <c r="A421" t="s">
        <v>753</v>
      </c>
      <c r="B421" t="s">
        <v>754</v>
      </c>
      <c r="C421" s="2">
        <v>45904.515277777777</v>
      </c>
      <c r="D421" t="s">
        <v>35</v>
      </c>
      <c r="E421" t="s">
        <v>36</v>
      </c>
      <c r="F421" t="s">
        <v>37</v>
      </c>
      <c r="G421" t="s">
        <v>38</v>
      </c>
      <c r="H421">
        <v>1</v>
      </c>
      <c r="I421" s="3">
        <v>599</v>
      </c>
      <c r="J421" s="4">
        <v>0.2</v>
      </c>
      <c r="K421" s="3">
        <v>99</v>
      </c>
      <c r="L421" t="s">
        <v>83</v>
      </c>
      <c r="M421" t="s">
        <v>84</v>
      </c>
      <c r="N421" t="s">
        <v>40</v>
      </c>
      <c r="O421" t="s">
        <v>41</v>
      </c>
      <c r="P421" t="s">
        <v>85</v>
      </c>
      <c r="Q421">
        <v>3</v>
      </c>
      <c r="R421" s="3">
        <f t="shared" si="36"/>
        <v>599</v>
      </c>
      <c r="S421" s="3">
        <f t="shared" si="37"/>
        <v>119.80000000000001</v>
      </c>
      <c r="T421" s="3">
        <f t="shared" si="38"/>
        <v>578.20000000000005</v>
      </c>
      <c r="U421" s="3">
        <f t="shared" si="39"/>
        <v>158.90000000000009</v>
      </c>
      <c r="V421" s="4">
        <f t="shared" si="40"/>
        <v>0.27481840193704615</v>
      </c>
      <c r="W421" t="str">
        <f t="shared" si="41"/>
        <v>Sep</v>
      </c>
    </row>
    <row r="422" spans="1:23" x14ac:dyDescent="0.25">
      <c r="A422" t="s">
        <v>755</v>
      </c>
      <c r="B422" t="s">
        <v>466</v>
      </c>
      <c r="C422" s="2">
        <v>45700.401388888888</v>
      </c>
      <c r="D422" t="s">
        <v>90</v>
      </c>
      <c r="E422" t="s">
        <v>91</v>
      </c>
      <c r="F422" t="s">
        <v>37</v>
      </c>
      <c r="G422" t="s">
        <v>92</v>
      </c>
      <c r="H422">
        <v>4</v>
      </c>
      <c r="I422" s="3">
        <v>3499</v>
      </c>
      <c r="J422" s="4">
        <v>0.1</v>
      </c>
      <c r="K422" s="3">
        <v>59</v>
      </c>
      <c r="L422" t="s">
        <v>113</v>
      </c>
      <c r="M422" t="s">
        <v>114</v>
      </c>
      <c r="N422" t="s">
        <v>31</v>
      </c>
      <c r="O422" t="s">
        <v>93</v>
      </c>
      <c r="P422" t="s">
        <v>85</v>
      </c>
      <c r="Q422">
        <v>5</v>
      </c>
      <c r="R422" s="3">
        <f t="shared" si="36"/>
        <v>13996</v>
      </c>
      <c r="S422" s="3">
        <f t="shared" si="37"/>
        <v>1399.6000000000001</v>
      </c>
      <c r="T422" s="3">
        <f t="shared" si="38"/>
        <v>12655.4</v>
      </c>
      <c r="U422" s="3">
        <f t="shared" si="39"/>
        <v>2858.2000000000007</v>
      </c>
      <c r="V422" s="4">
        <f t="shared" si="40"/>
        <v>0.22584825450005538</v>
      </c>
      <c r="W422" t="str">
        <f t="shared" si="41"/>
        <v>Feb</v>
      </c>
    </row>
    <row r="423" spans="1:23" x14ac:dyDescent="0.25">
      <c r="A423" t="s">
        <v>756</v>
      </c>
      <c r="B423" t="s">
        <v>387</v>
      </c>
      <c r="C423" s="2">
        <v>45850.842361111107</v>
      </c>
      <c r="D423" t="s">
        <v>62</v>
      </c>
      <c r="E423" t="s">
        <v>63</v>
      </c>
      <c r="F423" t="s">
        <v>46</v>
      </c>
      <c r="G423" t="s">
        <v>64</v>
      </c>
      <c r="H423">
        <v>2</v>
      </c>
      <c r="I423" s="3">
        <v>699</v>
      </c>
      <c r="J423" s="4">
        <v>0.05</v>
      </c>
      <c r="K423" s="3">
        <v>79</v>
      </c>
      <c r="L423" t="s">
        <v>29</v>
      </c>
      <c r="M423" t="s">
        <v>30</v>
      </c>
      <c r="N423" t="s">
        <v>31</v>
      </c>
      <c r="O423" t="s">
        <v>41</v>
      </c>
      <c r="P423" t="s">
        <v>80</v>
      </c>
      <c r="Q423">
        <v>4</v>
      </c>
      <c r="R423" s="3">
        <f t="shared" si="36"/>
        <v>1398</v>
      </c>
      <c r="S423" s="3">
        <f t="shared" si="37"/>
        <v>69.900000000000006</v>
      </c>
      <c r="T423" s="3">
        <f t="shared" si="38"/>
        <v>1407.1</v>
      </c>
      <c r="U423" s="3">
        <f t="shared" si="39"/>
        <v>428.5</v>
      </c>
      <c r="V423" s="4">
        <f t="shared" si="40"/>
        <v>0.30452704143273401</v>
      </c>
      <c r="W423" t="str">
        <f t="shared" si="41"/>
        <v>Jul</v>
      </c>
    </row>
    <row r="424" spans="1:23" x14ac:dyDescent="0.25">
      <c r="A424" t="s">
        <v>757</v>
      </c>
      <c r="B424" t="s">
        <v>280</v>
      </c>
      <c r="C424" s="2">
        <v>45932.566666666673</v>
      </c>
      <c r="D424" t="s">
        <v>25</v>
      </c>
      <c r="E424" t="s">
        <v>26</v>
      </c>
      <c r="F424" t="s">
        <v>27</v>
      </c>
      <c r="G424" t="s">
        <v>28</v>
      </c>
      <c r="H424">
        <v>1</v>
      </c>
      <c r="I424" s="3">
        <v>249</v>
      </c>
      <c r="J424" s="4">
        <v>0.15</v>
      </c>
      <c r="K424" s="3">
        <v>59</v>
      </c>
      <c r="L424" t="s">
        <v>125</v>
      </c>
      <c r="M424" t="s">
        <v>126</v>
      </c>
      <c r="N424" t="s">
        <v>50</v>
      </c>
      <c r="O424" t="s">
        <v>59</v>
      </c>
      <c r="P424" t="s">
        <v>33</v>
      </c>
      <c r="Q424">
        <v>5</v>
      </c>
      <c r="R424" s="3">
        <f t="shared" si="36"/>
        <v>249</v>
      </c>
      <c r="S424" s="3">
        <f t="shared" si="37"/>
        <v>37.35</v>
      </c>
      <c r="T424" s="3">
        <f t="shared" si="38"/>
        <v>270.64999999999998</v>
      </c>
      <c r="U424" s="3">
        <f t="shared" si="39"/>
        <v>96.35</v>
      </c>
      <c r="V424" s="4">
        <f t="shared" si="40"/>
        <v>0.35599482726768888</v>
      </c>
      <c r="W424" t="str">
        <f t="shared" si="41"/>
        <v>Oct</v>
      </c>
    </row>
    <row r="425" spans="1:23" x14ac:dyDescent="0.25">
      <c r="A425" t="s">
        <v>758</v>
      </c>
      <c r="B425" t="s">
        <v>759</v>
      </c>
      <c r="C425" s="2">
        <v>45944.729166666657</v>
      </c>
      <c r="D425" t="s">
        <v>62</v>
      </c>
      <c r="E425" t="s">
        <v>63</v>
      </c>
      <c r="F425" t="s">
        <v>46</v>
      </c>
      <c r="G425" t="s">
        <v>64</v>
      </c>
      <c r="H425">
        <v>1</v>
      </c>
      <c r="I425" s="3">
        <v>699</v>
      </c>
      <c r="J425" s="4">
        <v>0.05</v>
      </c>
      <c r="K425" s="3">
        <v>99</v>
      </c>
      <c r="L425" t="s">
        <v>760</v>
      </c>
      <c r="M425" t="s">
        <v>120</v>
      </c>
      <c r="N425" t="s">
        <v>40</v>
      </c>
      <c r="O425" t="s">
        <v>41</v>
      </c>
      <c r="P425" t="s">
        <v>33</v>
      </c>
      <c r="R425" s="3">
        <f t="shared" si="36"/>
        <v>699</v>
      </c>
      <c r="S425" s="3">
        <f t="shared" si="37"/>
        <v>34.950000000000003</v>
      </c>
      <c r="T425" s="3">
        <f t="shared" si="38"/>
        <v>763.05</v>
      </c>
      <c r="U425" s="3">
        <f t="shared" si="39"/>
        <v>273.75</v>
      </c>
      <c r="V425" s="4">
        <f t="shared" si="40"/>
        <v>0.35875761745626106</v>
      </c>
      <c r="W425" t="str">
        <f t="shared" si="41"/>
        <v>Oct</v>
      </c>
    </row>
    <row r="426" spans="1:23" x14ac:dyDescent="0.25">
      <c r="A426" t="s">
        <v>761</v>
      </c>
      <c r="B426" t="s">
        <v>228</v>
      </c>
      <c r="C426" s="2">
        <v>45886.923611111109</v>
      </c>
      <c r="D426" t="s">
        <v>25</v>
      </c>
      <c r="E426" t="s">
        <v>26</v>
      </c>
      <c r="F426" t="s">
        <v>27</v>
      </c>
      <c r="G426" t="s">
        <v>28</v>
      </c>
      <c r="H426">
        <v>2</v>
      </c>
      <c r="I426" s="3">
        <v>249</v>
      </c>
      <c r="J426" s="4">
        <v>0</v>
      </c>
      <c r="K426" s="3">
        <v>99</v>
      </c>
      <c r="L426" t="s">
        <v>29</v>
      </c>
      <c r="M426" t="s">
        <v>30</v>
      </c>
      <c r="N426" t="s">
        <v>71</v>
      </c>
      <c r="O426" t="s">
        <v>32</v>
      </c>
      <c r="P426" t="s">
        <v>33</v>
      </c>
      <c r="Q426">
        <v>5</v>
      </c>
      <c r="R426" s="3">
        <f t="shared" si="36"/>
        <v>498</v>
      </c>
      <c r="S426" s="3">
        <f t="shared" si="37"/>
        <v>0</v>
      </c>
      <c r="T426" s="3">
        <f t="shared" si="38"/>
        <v>597</v>
      </c>
      <c r="U426" s="3">
        <f t="shared" si="39"/>
        <v>248.40000000000003</v>
      </c>
      <c r="V426" s="4">
        <f t="shared" si="40"/>
        <v>0.41608040201005031</v>
      </c>
      <c r="W426" t="str">
        <f t="shared" si="41"/>
        <v>Aug</v>
      </c>
    </row>
    <row r="427" spans="1:23" x14ac:dyDescent="0.25">
      <c r="A427" t="s">
        <v>762</v>
      </c>
      <c r="B427" t="s">
        <v>265</v>
      </c>
      <c r="C427" s="2">
        <v>45983.035416666673</v>
      </c>
      <c r="D427" t="s">
        <v>77</v>
      </c>
      <c r="E427" t="s">
        <v>78</v>
      </c>
      <c r="F427" t="s">
        <v>79</v>
      </c>
      <c r="G427" t="s">
        <v>28</v>
      </c>
      <c r="H427">
        <v>1</v>
      </c>
      <c r="I427" s="3">
        <v>6499</v>
      </c>
      <c r="J427" s="4">
        <v>0</v>
      </c>
      <c r="K427" s="3">
        <v>79</v>
      </c>
      <c r="L427" t="s">
        <v>39</v>
      </c>
      <c r="M427" t="s">
        <v>39</v>
      </c>
      <c r="N427" t="s">
        <v>31</v>
      </c>
      <c r="O427" t="s">
        <v>93</v>
      </c>
      <c r="P427" t="s">
        <v>33</v>
      </c>
      <c r="Q427">
        <v>3</v>
      </c>
      <c r="R427" s="3">
        <f t="shared" si="36"/>
        <v>6499</v>
      </c>
      <c r="S427" s="3">
        <f t="shared" si="37"/>
        <v>0</v>
      </c>
      <c r="T427" s="3">
        <f t="shared" si="38"/>
        <v>6578</v>
      </c>
      <c r="U427" s="3">
        <f t="shared" si="39"/>
        <v>2028.7000000000007</v>
      </c>
      <c r="V427" s="4">
        <f t="shared" si="40"/>
        <v>0.30840681058072372</v>
      </c>
      <c r="W427" t="str">
        <f t="shared" si="41"/>
        <v>Nov</v>
      </c>
    </row>
    <row r="428" spans="1:23" x14ac:dyDescent="0.25">
      <c r="A428" t="s">
        <v>763</v>
      </c>
      <c r="B428" t="s">
        <v>332</v>
      </c>
      <c r="C428" s="2">
        <v>45677.974999999999</v>
      </c>
      <c r="D428" t="s">
        <v>67</v>
      </c>
      <c r="E428" t="s">
        <v>68</v>
      </c>
      <c r="F428" t="s">
        <v>37</v>
      </c>
      <c r="G428" t="s">
        <v>38</v>
      </c>
      <c r="H428">
        <v>1</v>
      </c>
      <c r="I428" s="3">
        <v>1299</v>
      </c>
      <c r="J428" s="4">
        <v>0.15</v>
      </c>
      <c r="K428" s="3">
        <v>99</v>
      </c>
      <c r="L428" t="s">
        <v>74</v>
      </c>
      <c r="M428" t="s">
        <v>49</v>
      </c>
      <c r="N428" t="s">
        <v>102</v>
      </c>
      <c r="O428" t="s">
        <v>93</v>
      </c>
      <c r="P428" t="s">
        <v>52</v>
      </c>
      <c r="R428" s="3">
        <f t="shared" si="36"/>
        <v>1299</v>
      </c>
      <c r="S428" s="3">
        <f t="shared" si="37"/>
        <v>194.85</v>
      </c>
      <c r="T428" s="3">
        <f t="shared" si="38"/>
        <v>1203.1500000000001</v>
      </c>
      <c r="U428" s="3">
        <f t="shared" si="39"/>
        <v>293.85000000000014</v>
      </c>
      <c r="V428" s="4">
        <f t="shared" si="40"/>
        <v>0.24423388604912116</v>
      </c>
      <c r="W428" t="str">
        <f t="shared" si="41"/>
        <v>Jan</v>
      </c>
    </row>
    <row r="429" spans="1:23" x14ac:dyDescent="0.25">
      <c r="A429" t="s">
        <v>764</v>
      </c>
      <c r="B429" t="s">
        <v>765</v>
      </c>
      <c r="C429" s="2">
        <v>45761.915972222218</v>
      </c>
      <c r="D429" t="s">
        <v>105</v>
      </c>
      <c r="E429" t="s">
        <v>106</v>
      </c>
      <c r="F429" t="s">
        <v>37</v>
      </c>
      <c r="G429" t="s">
        <v>107</v>
      </c>
      <c r="H429">
        <v>1</v>
      </c>
      <c r="I429" s="3">
        <v>1799</v>
      </c>
      <c r="J429" s="4">
        <v>0.05</v>
      </c>
      <c r="K429" s="3">
        <v>49</v>
      </c>
      <c r="L429" t="s">
        <v>119</v>
      </c>
      <c r="M429" t="s">
        <v>120</v>
      </c>
      <c r="N429" t="s">
        <v>102</v>
      </c>
      <c r="O429" t="s">
        <v>32</v>
      </c>
      <c r="P429" t="s">
        <v>85</v>
      </c>
      <c r="Q429">
        <v>5</v>
      </c>
      <c r="R429" s="3">
        <f t="shared" si="36"/>
        <v>1799</v>
      </c>
      <c r="S429" s="3">
        <f t="shared" si="37"/>
        <v>89.95</v>
      </c>
      <c r="T429" s="3">
        <f t="shared" si="38"/>
        <v>1758.05</v>
      </c>
      <c r="U429" s="3">
        <f t="shared" si="39"/>
        <v>498.75</v>
      </c>
      <c r="V429" s="4">
        <f t="shared" si="40"/>
        <v>0.28369500298626321</v>
      </c>
      <c r="W429" t="str">
        <f t="shared" si="41"/>
        <v>Apr</v>
      </c>
    </row>
    <row r="430" spans="1:23" x14ac:dyDescent="0.25">
      <c r="A430" t="s">
        <v>766</v>
      </c>
      <c r="B430" t="s">
        <v>234</v>
      </c>
      <c r="C430" s="2">
        <v>46003.057638888888</v>
      </c>
      <c r="D430" t="s">
        <v>77</v>
      </c>
      <c r="E430" t="s">
        <v>78</v>
      </c>
      <c r="F430" t="s">
        <v>79</v>
      </c>
      <c r="G430" t="s">
        <v>28</v>
      </c>
      <c r="H430">
        <v>2</v>
      </c>
      <c r="I430" s="3">
        <v>6499</v>
      </c>
      <c r="J430" s="4">
        <v>0.2</v>
      </c>
      <c r="K430" s="3">
        <v>0</v>
      </c>
      <c r="L430" t="s">
        <v>113</v>
      </c>
      <c r="M430" t="s">
        <v>114</v>
      </c>
      <c r="N430" t="s">
        <v>31</v>
      </c>
      <c r="O430" t="s">
        <v>51</v>
      </c>
      <c r="P430" t="s">
        <v>33</v>
      </c>
      <c r="R430" s="3">
        <f t="shared" si="36"/>
        <v>12998</v>
      </c>
      <c r="S430" s="3">
        <f t="shared" si="37"/>
        <v>2599.6000000000004</v>
      </c>
      <c r="T430" s="3">
        <f t="shared" si="38"/>
        <v>10398.4</v>
      </c>
      <c r="U430" s="3">
        <f t="shared" si="39"/>
        <v>1299.8000000000011</v>
      </c>
      <c r="V430" s="4">
        <f t="shared" si="40"/>
        <v>0.12500000000000011</v>
      </c>
      <c r="W430" t="str">
        <f t="shared" si="41"/>
        <v>Dec</v>
      </c>
    </row>
    <row r="431" spans="1:23" x14ac:dyDescent="0.25">
      <c r="A431" t="s">
        <v>767</v>
      </c>
      <c r="B431" t="s">
        <v>582</v>
      </c>
      <c r="C431" s="2">
        <v>45865.758333333331</v>
      </c>
      <c r="D431" t="s">
        <v>96</v>
      </c>
      <c r="E431" t="s">
        <v>97</v>
      </c>
      <c r="F431" t="s">
        <v>98</v>
      </c>
      <c r="G431" t="s">
        <v>99</v>
      </c>
      <c r="H431">
        <v>2</v>
      </c>
      <c r="I431" s="3">
        <v>1499</v>
      </c>
      <c r="J431" s="4">
        <v>0</v>
      </c>
      <c r="K431" s="3">
        <v>0</v>
      </c>
      <c r="L431" t="s">
        <v>74</v>
      </c>
      <c r="M431" t="s">
        <v>49</v>
      </c>
      <c r="N431" t="s">
        <v>102</v>
      </c>
      <c r="O431" t="s">
        <v>51</v>
      </c>
      <c r="P431" t="s">
        <v>85</v>
      </c>
      <c r="R431" s="3">
        <f t="shared" si="36"/>
        <v>2998</v>
      </c>
      <c r="S431" s="3">
        <f t="shared" si="37"/>
        <v>0</v>
      </c>
      <c r="T431" s="3">
        <f t="shared" si="38"/>
        <v>2998</v>
      </c>
      <c r="U431" s="3">
        <f t="shared" si="39"/>
        <v>899.40000000000009</v>
      </c>
      <c r="V431" s="4">
        <f t="shared" si="40"/>
        <v>0.30000000000000004</v>
      </c>
      <c r="W431" t="str">
        <f t="shared" si="41"/>
        <v>Jul</v>
      </c>
    </row>
    <row r="432" spans="1:23" x14ac:dyDescent="0.25">
      <c r="A432" t="s">
        <v>768</v>
      </c>
      <c r="B432" t="s">
        <v>179</v>
      </c>
      <c r="C432" s="2">
        <v>45799.318055555559</v>
      </c>
      <c r="D432" t="s">
        <v>62</v>
      </c>
      <c r="E432" t="s">
        <v>63</v>
      </c>
      <c r="F432" t="s">
        <v>46</v>
      </c>
      <c r="G432" t="s">
        <v>64</v>
      </c>
      <c r="H432">
        <v>1</v>
      </c>
      <c r="I432" s="3">
        <v>699</v>
      </c>
      <c r="J432" s="4">
        <v>0.1</v>
      </c>
      <c r="K432" s="3">
        <v>79</v>
      </c>
      <c r="L432" t="s">
        <v>125</v>
      </c>
      <c r="M432" t="s">
        <v>126</v>
      </c>
      <c r="N432" t="s">
        <v>31</v>
      </c>
      <c r="O432" t="s">
        <v>51</v>
      </c>
      <c r="P432" t="s">
        <v>33</v>
      </c>
      <c r="Q432">
        <v>2</v>
      </c>
      <c r="R432" s="3">
        <f t="shared" si="36"/>
        <v>699</v>
      </c>
      <c r="S432" s="3">
        <f t="shared" si="37"/>
        <v>69.900000000000006</v>
      </c>
      <c r="T432" s="3">
        <f t="shared" si="38"/>
        <v>708.1</v>
      </c>
      <c r="U432" s="3">
        <f t="shared" si="39"/>
        <v>218.80000000000007</v>
      </c>
      <c r="V432" s="4">
        <f t="shared" si="40"/>
        <v>0.30899590453325809</v>
      </c>
      <c r="W432" t="str">
        <f t="shared" si="41"/>
        <v>May</v>
      </c>
    </row>
    <row r="433" spans="1:23" x14ac:dyDescent="0.25">
      <c r="A433" t="s">
        <v>769</v>
      </c>
      <c r="B433" t="s">
        <v>360</v>
      </c>
      <c r="C433" s="2">
        <v>45695.679166666669</v>
      </c>
      <c r="D433" t="s">
        <v>96</v>
      </c>
      <c r="E433" t="s">
        <v>97</v>
      </c>
      <c r="F433" t="s">
        <v>98</v>
      </c>
      <c r="G433" t="s">
        <v>99</v>
      </c>
      <c r="H433">
        <v>1</v>
      </c>
      <c r="I433" s="3">
        <v>1499</v>
      </c>
      <c r="J433" s="4">
        <v>0</v>
      </c>
      <c r="K433" s="3">
        <v>99</v>
      </c>
      <c r="L433" t="s">
        <v>83</v>
      </c>
      <c r="M433" t="s">
        <v>84</v>
      </c>
      <c r="N433" t="s">
        <v>102</v>
      </c>
      <c r="O433" t="s">
        <v>32</v>
      </c>
      <c r="P433" t="s">
        <v>33</v>
      </c>
      <c r="Q433">
        <v>3</v>
      </c>
      <c r="R433" s="3">
        <f t="shared" si="36"/>
        <v>1499</v>
      </c>
      <c r="S433" s="3">
        <f t="shared" si="37"/>
        <v>0</v>
      </c>
      <c r="T433" s="3">
        <f t="shared" si="38"/>
        <v>1598</v>
      </c>
      <c r="U433" s="3">
        <f t="shared" si="39"/>
        <v>548.70000000000005</v>
      </c>
      <c r="V433" s="4">
        <f t="shared" si="40"/>
        <v>0.34336670838548189</v>
      </c>
      <c r="W433" t="str">
        <f t="shared" si="41"/>
        <v>Feb</v>
      </c>
    </row>
    <row r="434" spans="1:23" x14ac:dyDescent="0.25">
      <c r="A434" t="s">
        <v>770</v>
      </c>
      <c r="B434" t="s">
        <v>454</v>
      </c>
      <c r="C434" s="2">
        <v>45946.65902777778</v>
      </c>
      <c r="D434" t="s">
        <v>77</v>
      </c>
      <c r="E434" t="s">
        <v>78</v>
      </c>
      <c r="F434" t="s">
        <v>79</v>
      </c>
      <c r="G434" t="s">
        <v>28</v>
      </c>
      <c r="H434">
        <v>4</v>
      </c>
      <c r="I434" s="3">
        <v>6499</v>
      </c>
      <c r="J434" s="4">
        <v>0.05</v>
      </c>
      <c r="K434" s="3">
        <v>79</v>
      </c>
      <c r="L434" t="s">
        <v>119</v>
      </c>
      <c r="M434" t="s">
        <v>120</v>
      </c>
      <c r="N434" t="s">
        <v>102</v>
      </c>
      <c r="O434" t="s">
        <v>93</v>
      </c>
      <c r="P434" t="s">
        <v>33</v>
      </c>
      <c r="Q434">
        <v>4</v>
      </c>
      <c r="R434" s="3">
        <f t="shared" si="36"/>
        <v>25996</v>
      </c>
      <c r="S434" s="3">
        <f t="shared" si="37"/>
        <v>1299.8000000000002</v>
      </c>
      <c r="T434" s="3">
        <f t="shared" si="38"/>
        <v>24775.200000000001</v>
      </c>
      <c r="U434" s="3">
        <f t="shared" si="39"/>
        <v>6578.0000000000036</v>
      </c>
      <c r="V434" s="4">
        <f t="shared" si="40"/>
        <v>0.2655074429267979</v>
      </c>
      <c r="W434" t="str">
        <f t="shared" si="41"/>
        <v>Oct</v>
      </c>
    </row>
    <row r="435" spans="1:23" x14ac:dyDescent="0.25">
      <c r="A435" t="s">
        <v>771</v>
      </c>
      <c r="B435" t="s">
        <v>683</v>
      </c>
      <c r="C435" s="2">
        <v>45982.321527777778</v>
      </c>
      <c r="D435" t="s">
        <v>55</v>
      </c>
      <c r="E435" t="s">
        <v>56</v>
      </c>
      <c r="F435" t="s">
        <v>37</v>
      </c>
      <c r="G435" t="s">
        <v>38</v>
      </c>
      <c r="H435">
        <v>1</v>
      </c>
      <c r="I435" s="3">
        <v>2499</v>
      </c>
      <c r="J435" s="4">
        <v>0</v>
      </c>
      <c r="K435" s="3">
        <v>59</v>
      </c>
      <c r="L435" t="s">
        <v>48</v>
      </c>
      <c r="M435" t="s">
        <v>49</v>
      </c>
      <c r="N435" t="s">
        <v>71</v>
      </c>
      <c r="O435" t="s">
        <v>32</v>
      </c>
      <c r="P435" t="s">
        <v>80</v>
      </c>
      <c r="Q435">
        <v>5</v>
      </c>
      <c r="R435" s="3">
        <f t="shared" si="36"/>
        <v>2499</v>
      </c>
      <c r="S435" s="3">
        <f t="shared" si="37"/>
        <v>0</v>
      </c>
      <c r="T435" s="3">
        <f t="shared" si="38"/>
        <v>2558</v>
      </c>
      <c r="U435" s="3">
        <f t="shared" si="39"/>
        <v>808.7</v>
      </c>
      <c r="V435" s="4">
        <f t="shared" si="40"/>
        <v>0.3161454261141517</v>
      </c>
      <c r="W435" t="str">
        <f t="shared" si="41"/>
        <v>Nov</v>
      </c>
    </row>
    <row r="436" spans="1:23" x14ac:dyDescent="0.25">
      <c r="A436" t="s">
        <v>772</v>
      </c>
      <c r="B436" t="s">
        <v>773</v>
      </c>
      <c r="C436" s="2">
        <v>45705.529861111107</v>
      </c>
      <c r="D436" t="s">
        <v>35</v>
      </c>
      <c r="E436" t="s">
        <v>36</v>
      </c>
      <c r="F436" t="s">
        <v>37</v>
      </c>
      <c r="G436" t="s">
        <v>38</v>
      </c>
      <c r="H436">
        <v>1</v>
      </c>
      <c r="I436" s="3">
        <v>599</v>
      </c>
      <c r="J436" s="4">
        <v>0.05</v>
      </c>
      <c r="K436" s="3">
        <v>0</v>
      </c>
      <c r="L436" t="s">
        <v>48</v>
      </c>
      <c r="M436" t="s">
        <v>49</v>
      </c>
      <c r="N436" t="s">
        <v>50</v>
      </c>
      <c r="O436" t="s">
        <v>59</v>
      </c>
      <c r="P436" t="s">
        <v>80</v>
      </c>
      <c r="Q436">
        <v>3</v>
      </c>
      <c r="R436" s="3">
        <f t="shared" si="36"/>
        <v>599</v>
      </c>
      <c r="S436" s="3">
        <f t="shared" si="37"/>
        <v>29.950000000000003</v>
      </c>
      <c r="T436" s="3">
        <f t="shared" si="38"/>
        <v>569.04999999999995</v>
      </c>
      <c r="U436" s="3">
        <f t="shared" si="39"/>
        <v>149.75</v>
      </c>
      <c r="V436" s="4">
        <f t="shared" si="40"/>
        <v>0.26315789473684215</v>
      </c>
      <c r="W436" t="str">
        <f t="shared" si="41"/>
        <v>Feb</v>
      </c>
    </row>
    <row r="437" spans="1:23" x14ac:dyDescent="0.25">
      <c r="A437" t="s">
        <v>774</v>
      </c>
      <c r="B437" t="s">
        <v>502</v>
      </c>
      <c r="C437" s="2">
        <v>45795.240972222222</v>
      </c>
      <c r="D437" t="s">
        <v>169</v>
      </c>
      <c r="E437" t="s">
        <v>170</v>
      </c>
      <c r="F437" t="s">
        <v>98</v>
      </c>
      <c r="G437" t="s">
        <v>171</v>
      </c>
      <c r="H437">
        <v>3</v>
      </c>
      <c r="I437" s="3">
        <v>799</v>
      </c>
      <c r="J437" s="4">
        <v>0</v>
      </c>
      <c r="K437" s="3">
        <v>79</v>
      </c>
      <c r="L437" t="s">
        <v>113</v>
      </c>
      <c r="M437" t="s">
        <v>114</v>
      </c>
      <c r="N437" t="s">
        <v>50</v>
      </c>
      <c r="O437" t="s">
        <v>41</v>
      </c>
      <c r="P437" t="s">
        <v>80</v>
      </c>
      <c r="R437" s="3">
        <f t="shared" si="36"/>
        <v>2397</v>
      </c>
      <c r="S437" s="3">
        <f t="shared" si="37"/>
        <v>0</v>
      </c>
      <c r="T437" s="3">
        <f t="shared" si="38"/>
        <v>2476</v>
      </c>
      <c r="U437" s="3">
        <f t="shared" si="39"/>
        <v>798.10000000000014</v>
      </c>
      <c r="V437" s="4">
        <f t="shared" si="40"/>
        <v>0.32233441033925692</v>
      </c>
      <c r="W437" t="str">
        <f t="shared" si="41"/>
        <v>May</v>
      </c>
    </row>
    <row r="438" spans="1:23" x14ac:dyDescent="0.25">
      <c r="A438" t="s">
        <v>775</v>
      </c>
      <c r="B438" t="s">
        <v>376</v>
      </c>
      <c r="C438" s="2">
        <v>45785.806944444441</v>
      </c>
      <c r="D438" t="s">
        <v>110</v>
      </c>
      <c r="E438" t="s">
        <v>111</v>
      </c>
      <c r="F438" t="s">
        <v>98</v>
      </c>
      <c r="G438" t="s">
        <v>112</v>
      </c>
      <c r="H438">
        <v>1</v>
      </c>
      <c r="I438" s="3">
        <v>2999</v>
      </c>
      <c r="J438" s="4">
        <v>0</v>
      </c>
      <c r="K438" s="3">
        <v>0</v>
      </c>
      <c r="L438" t="s">
        <v>113</v>
      </c>
      <c r="M438" t="s">
        <v>114</v>
      </c>
      <c r="N438" t="s">
        <v>40</v>
      </c>
      <c r="O438" t="s">
        <v>32</v>
      </c>
      <c r="P438" t="s">
        <v>33</v>
      </c>
      <c r="Q438">
        <v>1</v>
      </c>
      <c r="R438" s="3">
        <f t="shared" si="36"/>
        <v>2999</v>
      </c>
      <c r="S438" s="3">
        <f t="shared" si="37"/>
        <v>0</v>
      </c>
      <c r="T438" s="3">
        <f t="shared" si="38"/>
        <v>2999</v>
      </c>
      <c r="U438" s="3">
        <f t="shared" si="39"/>
        <v>899.70000000000027</v>
      </c>
      <c r="V438" s="4">
        <f t="shared" si="40"/>
        <v>0.3000000000000001</v>
      </c>
      <c r="W438" t="str">
        <f t="shared" si="41"/>
        <v>May</v>
      </c>
    </row>
    <row r="439" spans="1:23" x14ac:dyDescent="0.25">
      <c r="A439" t="s">
        <v>776</v>
      </c>
      <c r="B439" t="s">
        <v>707</v>
      </c>
      <c r="C439" s="2">
        <v>45848.805555555547</v>
      </c>
      <c r="D439" t="s">
        <v>62</v>
      </c>
      <c r="E439" t="s">
        <v>63</v>
      </c>
      <c r="F439" t="s">
        <v>46</v>
      </c>
      <c r="G439" t="s">
        <v>64</v>
      </c>
      <c r="H439">
        <v>3</v>
      </c>
      <c r="I439" s="3">
        <v>699</v>
      </c>
      <c r="J439" s="4">
        <v>0.15</v>
      </c>
      <c r="K439" s="3">
        <v>59</v>
      </c>
      <c r="L439" t="s">
        <v>39</v>
      </c>
      <c r="M439" t="s">
        <v>39</v>
      </c>
      <c r="N439" t="s">
        <v>50</v>
      </c>
      <c r="O439" t="s">
        <v>32</v>
      </c>
      <c r="P439" t="s">
        <v>52</v>
      </c>
      <c r="Q439">
        <v>3</v>
      </c>
      <c r="R439" s="3">
        <f t="shared" si="36"/>
        <v>2097</v>
      </c>
      <c r="S439" s="3">
        <f t="shared" si="37"/>
        <v>314.55</v>
      </c>
      <c r="T439" s="3">
        <f t="shared" si="38"/>
        <v>1841.45</v>
      </c>
      <c r="U439" s="3">
        <f t="shared" si="39"/>
        <v>373.55000000000018</v>
      </c>
      <c r="V439" s="4">
        <f t="shared" si="40"/>
        <v>0.20285644464959687</v>
      </c>
      <c r="W439" t="str">
        <f t="shared" si="41"/>
        <v>Jul</v>
      </c>
    </row>
    <row r="440" spans="1:23" x14ac:dyDescent="0.25">
      <c r="A440" t="s">
        <v>777</v>
      </c>
      <c r="B440" t="s">
        <v>381</v>
      </c>
      <c r="C440" s="2">
        <v>45723.064583333333</v>
      </c>
      <c r="D440" t="s">
        <v>96</v>
      </c>
      <c r="E440" t="s">
        <v>97</v>
      </c>
      <c r="F440" t="s">
        <v>98</v>
      </c>
      <c r="G440" t="s">
        <v>99</v>
      </c>
      <c r="H440">
        <v>3</v>
      </c>
      <c r="I440" s="3">
        <v>1499</v>
      </c>
      <c r="J440" s="4">
        <v>0.1</v>
      </c>
      <c r="K440" s="3">
        <v>99</v>
      </c>
      <c r="L440" t="s">
        <v>113</v>
      </c>
      <c r="M440" t="s">
        <v>114</v>
      </c>
      <c r="N440" t="s">
        <v>102</v>
      </c>
      <c r="O440" t="s">
        <v>51</v>
      </c>
      <c r="P440" t="s">
        <v>52</v>
      </c>
      <c r="Q440">
        <v>4</v>
      </c>
      <c r="R440" s="3">
        <f t="shared" si="36"/>
        <v>4497</v>
      </c>
      <c r="S440" s="3">
        <f t="shared" si="37"/>
        <v>449.70000000000005</v>
      </c>
      <c r="T440" s="3">
        <f t="shared" si="38"/>
        <v>4146.3</v>
      </c>
      <c r="U440" s="3">
        <f t="shared" si="39"/>
        <v>998.40000000000055</v>
      </c>
      <c r="V440" s="4">
        <f t="shared" si="40"/>
        <v>0.2407929961652559</v>
      </c>
      <c r="W440" t="str">
        <f t="shared" si="41"/>
        <v>Mar</v>
      </c>
    </row>
    <row r="441" spans="1:23" x14ac:dyDescent="0.25">
      <c r="A441" t="s">
        <v>778</v>
      </c>
      <c r="B441" t="s">
        <v>779</v>
      </c>
      <c r="C441" s="2">
        <v>45719.939583333333</v>
      </c>
      <c r="D441" t="s">
        <v>25</v>
      </c>
      <c r="E441" t="s">
        <v>26</v>
      </c>
      <c r="F441" t="s">
        <v>27</v>
      </c>
      <c r="G441" t="s">
        <v>28</v>
      </c>
      <c r="H441">
        <v>2</v>
      </c>
      <c r="I441" s="3">
        <v>249</v>
      </c>
      <c r="J441" s="4">
        <v>0.05</v>
      </c>
      <c r="K441" s="3">
        <v>0</v>
      </c>
      <c r="L441" t="s">
        <v>780</v>
      </c>
      <c r="M441" t="s">
        <v>101</v>
      </c>
      <c r="N441" t="s">
        <v>50</v>
      </c>
      <c r="O441" t="s">
        <v>59</v>
      </c>
      <c r="P441" t="s">
        <v>52</v>
      </c>
      <c r="Q441">
        <v>5</v>
      </c>
      <c r="R441" s="3">
        <f t="shared" si="36"/>
        <v>498</v>
      </c>
      <c r="S441" s="3">
        <f t="shared" si="37"/>
        <v>24.900000000000002</v>
      </c>
      <c r="T441" s="3">
        <f t="shared" si="38"/>
        <v>473.1</v>
      </c>
      <c r="U441" s="3">
        <f t="shared" si="39"/>
        <v>124.50000000000006</v>
      </c>
      <c r="V441" s="4">
        <f t="shared" si="40"/>
        <v>0.2631578947368422</v>
      </c>
      <c r="W441" t="str">
        <f t="shared" si="41"/>
        <v>Mar</v>
      </c>
    </row>
    <row r="442" spans="1:23" x14ac:dyDescent="0.25">
      <c r="A442" t="s">
        <v>781</v>
      </c>
      <c r="B442" t="s">
        <v>782</v>
      </c>
      <c r="C442" s="2">
        <v>45790.232638888891</v>
      </c>
      <c r="D442" t="s">
        <v>55</v>
      </c>
      <c r="E442" t="s">
        <v>56</v>
      </c>
      <c r="F442" t="s">
        <v>37</v>
      </c>
      <c r="G442" t="s">
        <v>38</v>
      </c>
      <c r="H442">
        <v>1</v>
      </c>
      <c r="I442" s="3">
        <v>2499</v>
      </c>
      <c r="J442" s="4">
        <v>0</v>
      </c>
      <c r="K442" s="3">
        <v>59</v>
      </c>
      <c r="L442" t="s">
        <v>74</v>
      </c>
      <c r="M442" t="s">
        <v>49</v>
      </c>
      <c r="N442" t="s">
        <v>102</v>
      </c>
      <c r="O442" t="s">
        <v>51</v>
      </c>
      <c r="P442" t="s">
        <v>33</v>
      </c>
      <c r="Q442">
        <v>3</v>
      </c>
      <c r="R442" s="3">
        <f t="shared" si="36"/>
        <v>2499</v>
      </c>
      <c r="S442" s="3">
        <f t="shared" si="37"/>
        <v>0</v>
      </c>
      <c r="T442" s="3">
        <f t="shared" si="38"/>
        <v>2558</v>
      </c>
      <c r="U442" s="3">
        <f t="shared" si="39"/>
        <v>808.7</v>
      </c>
      <c r="V442" s="4">
        <f t="shared" si="40"/>
        <v>0.3161454261141517</v>
      </c>
      <c r="W442" t="str">
        <f t="shared" si="41"/>
        <v>May</v>
      </c>
    </row>
    <row r="443" spans="1:23" x14ac:dyDescent="0.25">
      <c r="A443" t="s">
        <v>783</v>
      </c>
      <c r="B443" t="s">
        <v>214</v>
      </c>
      <c r="C443" s="2">
        <v>45872.95</v>
      </c>
      <c r="D443" t="s">
        <v>105</v>
      </c>
      <c r="E443" t="s">
        <v>106</v>
      </c>
      <c r="F443" t="s">
        <v>37</v>
      </c>
      <c r="G443" t="s">
        <v>107</v>
      </c>
      <c r="I443" s="3">
        <v>1799</v>
      </c>
      <c r="J443" s="4">
        <v>0.05</v>
      </c>
      <c r="K443" s="3">
        <v>79</v>
      </c>
      <c r="L443" t="s">
        <v>119</v>
      </c>
      <c r="M443" t="s">
        <v>120</v>
      </c>
      <c r="N443" t="s">
        <v>40</v>
      </c>
      <c r="O443" t="s">
        <v>41</v>
      </c>
      <c r="P443" t="s">
        <v>33</v>
      </c>
      <c r="Q443">
        <v>5</v>
      </c>
      <c r="R443" s="3">
        <f t="shared" si="36"/>
        <v>0</v>
      </c>
      <c r="S443" s="3">
        <f t="shared" si="37"/>
        <v>0</v>
      </c>
      <c r="T443" s="3">
        <f t="shared" si="38"/>
        <v>79</v>
      </c>
      <c r="U443" s="3">
        <f t="shared" si="39"/>
        <v>79</v>
      </c>
      <c r="V443" s="4">
        <f t="shared" si="40"/>
        <v>1</v>
      </c>
      <c r="W443" t="str">
        <f t="shared" si="41"/>
        <v>Aug</v>
      </c>
    </row>
    <row r="444" spans="1:23" x14ac:dyDescent="0.25">
      <c r="A444" t="s">
        <v>784</v>
      </c>
      <c r="B444" t="s">
        <v>450</v>
      </c>
      <c r="C444" s="2">
        <v>45709.970138888893</v>
      </c>
      <c r="D444" t="s">
        <v>105</v>
      </c>
      <c r="E444" t="s">
        <v>106</v>
      </c>
      <c r="F444" t="s">
        <v>37</v>
      </c>
      <c r="G444" t="s">
        <v>107</v>
      </c>
      <c r="H444">
        <v>2</v>
      </c>
      <c r="I444" s="3">
        <v>1799</v>
      </c>
      <c r="J444" s="4">
        <v>0.15</v>
      </c>
      <c r="K444" s="3">
        <v>79</v>
      </c>
      <c r="L444" t="s">
        <v>125</v>
      </c>
      <c r="M444" t="s">
        <v>126</v>
      </c>
      <c r="N444" t="s">
        <v>50</v>
      </c>
      <c r="O444" t="s">
        <v>41</v>
      </c>
      <c r="P444" t="s">
        <v>33</v>
      </c>
      <c r="R444" s="3">
        <f t="shared" si="36"/>
        <v>3598</v>
      </c>
      <c r="S444" s="3">
        <f t="shared" si="37"/>
        <v>539.69999999999993</v>
      </c>
      <c r="T444" s="3">
        <f t="shared" si="38"/>
        <v>3137.3</v>
      </c>
      <c r="U444" s="3">
        <f t="shared" si="39"/>
        <v>618.70000000000027</v>
      </c>
      <c r="V444" s="4">
        <f t="shared" si="40"/>
        <v>0.19720779013801684</v>
      </c>
      <c r="W444" t="str">
        <f t="shared" si="41"/>
        <v>Feb</v>
      </c>
    </row>
    <row r="445" spans="1:23" x14ac:dyDescent="0.25">
      <c r="A445" t="s">
        <v>785</v>
      </c>
      <c r="B445" t="s">
        <v>224</v>
      </c>
      <c r="C445" s="2">
        <v>45662.226388888892</v>
      </c>
      <c r="D445" t="s">
        <v>77</v>
      </c>
      <c r="E445" t="s">
        <v>78</v>
      </c>
      <c r="F445" t="s">
        <v>79</v>
      </c>
      <c r="G445" t="s">
        <v>28</v>
      </c>
      <c r="H445">
        <v>2</v>
      </c>
      <c r="I445" s="3">
        <v>6499</v>
      </c>
      <c r="J445" s="4">
        <v>0</v>
      </c>
      <c r="K445" s="3">
        <v>99</v>
      </c>
      <c r="L445" t="s">
        <v>100</v>
      </c>
      <c r="M445" t="s">
        <v>101</v>
      </c>
      <c r="N445" t="s">
        <v>71</v>
      </c>
      <c r="O445" t="s">
        <v>59</v>
      </c>
      <c r="P445" t="s">
        <v>52</v>
      </c>
      <c r="Q445">
        <v>3</v>
      </c>
      <c r="R445" s="3">
        <f t="shared" si="36"/>
        <v>12998</v>
      </c>
      <c r="S445" s="3">
        <f t="shared" si="37"/>
        <v>0</v>
      </c>
      <c r="T445" s="3">
        <f t="shared" si="38"/>
        <v>13097</v>
      </c>
      <c r="U445" s="3">
        <f t="shared" si="39"/>
        <v>3998.4000000000015</v>
      </c>
      <c r="V445" s="4">
        <f t="shared" si="40"/>
        <v>0.30529128808124006</v>
      </c>
      <c r="W445" t="str">
        <f t="shared" si="41"/>
        <v>Jan</v>
      </c>
    </row>
    <row r="446" spans="1:23" x14ac:dyDescent="0.25">
      <c r="A446" t="s">
        <v>786</v>
      </c>
      <c r="B446" t="s">
        <v>302</v>
      </c>
      <c r="C446" s="2">
        <v>45682.504166666673</v>
      </c>
      <c r="D446" t="s">
        <v>110</v>
      </c>
      <c r="E446" t="s">
        <v>111</v>
      </c>
      <c r="F446" t="s">
        <v>98</v>
      </c>
      <c r="G446" t="s">
        <v>112</v>
      </c>
      <c r="H446">
        <v>3</v>
      </c>
      <c r="I446" s="3">
        <v>2999</v>
      </c>
      <c r="J446" s="4">
        <v>0</v>
      </c>
      <c r="K446" s="3">
        <v>0</v>
      </c>
      <c r="L446" t="s">
        <v>83</v>
      </c>
      <c r="M446" t="s">
        <v>84</v>
      </c>
      <c r="N446" t="s">
        <v>71</v>
      </c>
      <c r="O446" t="s">
        <v>59</v>
      </c>
      <c r="P446" t="s">
        <v>80</v>
      </c>
      <c r="R446" s="3">
        <f t="shared" si="36"/>
        <v>8997</v>
      </c>
      <c r="S446" s="3">
        <f t="shared" si="37"/>
        <v>0</v>
      </c>
      <c r="T446" s="3">
        <f t="shared" si="38"/>
        <v>8997</v>
      </c>
      <c r="U446" s="3">
        <f t="shared" si="39"/>
        <v>2699.1000000000004</v>
      </c>
      <c r="V446" s="4">
        <f t="shared" si="40"/>
        <v>0.30000000000000004</v>
      </c>
      <c r="W446" t="str">
        <f t="shared" si="41"/>
        <v>Jan</v>
      </c>
    </row>
    <row r="447" spans="1:23" x14ac:dyDescent="0.25">
      <c r="A447" t="s">
        <v>787</v>
      </c>
      <c r="B447" t="s">
        <v>360</v>
      </c>
      <c r="C447" s="2">
        <v>45829.349305555559</v>
      </c>
      <c r="D447" t="s">
        <v>25</v>
      </c>
      <c r="E447" t="s">
        <v>26</v>
      </c>
      <c r="F447" t="s">
        <v>27</v>
      </c>
      <c r="G447" t="s">
        <v>28</v>
      </c>
      <c r="H447">
        <v>1</v>
      </c>
      <c r="I447" s="3">
        <v>249</v>
      </c>
      <c r="J447" s="4">
        <v>0.15</v>
      </c>
      <c r="K447" s="3">
        <v>99</v>
      </c>
      <c r="L447" t="s">
        <v>29</v>
      </c>
      <c r="M447" t="s">
        <v>30</v>
      </c>
      <c r="N447" t="s">
        <v>71</v>
      </c>
      <c r="O447" t="s">
        <v>93</v>
      </c>
      <c r="P447" t="s">
        <v>33</v>
      </c>
      <c r="Q447">
        <v>4</v>
      </c>
      <c r="R447" s="3">
        <f t="shared" si="36"/>
        <v>249</v>
      </c>
      <c r="S447" s="3">
        <f t="shared" si="37"/>
        <v>37.35</v>
      </c>
      <c r="T447" s="3">
        <f t="shared" si="38"/>
        <v>310.64999999999998</v>
      </c>
      <c r="U447" s="3">
        <f t="shared" si="39"/>
        <v>136.35</v>
      </c>
      <c r="V447" s="4">
        <f t="shared" si="40"/>
        <v>0.43891839690970547</v>
      </c>
      <c r="W447" t="str">
        <f t="shared" si="41"/>
        <v>Jun</v>
      </c>
    </row>
    <row r="448" spans="1:23" x14ac:dyDescent="0.25">
      <c r="A448" t="s">
        <v>788</v>
      </c>
      <c r="B448" t="s">
        <v>561</v>
      </c>
      <c r="C448" s="2">
        <v>45968.275000000001</v>
      </c>
      <c r="D448" t="s">
        <v>55</v>
      </c>
      <c r="E448" t="s">
        <v>56</v>
      </c>
      <c r="F448" t="s">
        <v>37</v>
      </c>
      <c r="G448" t="s">
        <v>38</v>
      </c>
      <c r="H448">
        <v>3</v>
      </c>
      <c r="I448" s="3">
        <v>2499</v>
      </c>
      <c r="J448" s="4">
        <v>0.2</v>
      </c>
      <c r="K448" s="3">
        <v>99</v>
      </c>
      <c r="L448" t="s">
        <v>74</v>
      </c>
      <c r="M448" t="s">
        <v>49</v>
      </c>
      <c r="N448" t="s">
        <v>71</v>
      </c>
      <c r="O448" t="s">
        <v>51</v>
      </c>
      <c r="P448" t="s">
        <v>85</v>
      </c>
      <c r="Q448">
        <v>3</v>
      </c>
      <c r="R448" s="3">
        <f t="shared" si="36"/>
        <v>7497</v>
      </c>
      <c r="S448" s="3">
        <f t="shared" si="37"/>
        <v>1499.4</v>
      </c>
      <c r="T448" s="3">
        <f t="shared" si="38"/>
        <v>6096.6</v>
      </c>
      <c r="U448" s="3">
        <f t="shared" si="39"/>
        <v>848.70000000000073</v>
      </c>
      <c r="V448" s="4">
        <f t="shared" si="40"/>
        <v>0.13920873929731337</v>
      </c>
      <c r="W448" t="str">
        <f t="shared" si="41"/>
        <v>Nov</v>
      </c>
    </row>
    <row r="449" spans="1:23" x14ac:dyDescent="0.25">
      <c r="A449" t="s">
        <v>789</v>
      </c>
      <c r="B449" t="s">
        <v>358</v>
      </c>
      <c r="C449" s="2">
        <v>45886.1</v>
      </c>
      <c r="D449" t="s">
        <v>25</v>
      </c>
      <c r="E449" t="s">
        <v>26</v>
      </c>
      <c r="F449" t="s">
        <v>27</v>
      </c>
      <c r="G449" t="s">
        <v>28</v>
      </c>
      <c r="H449">
        <v>2</v>
      </c>
      <c r="I449" s="3">
        <v>249</v>
      </c>
      <c r="J449" s="4">
        <v>0.05</v>
      </c>
      <c r="K449" s="3">
        <v>79</v>
      </c>
      <c r="L449" t="s">
        <v>83</v>
      </c>
      <c r="M449" t="s">
        <v>84</v>
      </c>
      <c r="N449" t="s">
        <v>50</v>
      </c>
      <c r="O449" t="s">
        <v>51</v>
      </c>
      <c r="P449" t="s">
        <v>85</v>
      </c>
      <c r="Q449">
        <v>4</v>
      </c>
      <c r="R449" s="3">
        <f t="shared" si="36"/>
        <v>498</v>
      </c>
      <c r="S449" s="3">
        <f t="shared" si="37"/>
        <v>24.900000000000002</v>
      </c>
      <c r="T449" s="3">
        <f t="shared" si="38"/>
        <v>552.1</v>
      </c>
      <c r="U449" s="3">
        <f t="shared" si="39"/>
        <v>203.50000000000006</v>
      </c>
      <c r="V449" s="4">
        <f t="shared" si="40"/>
        <v>0.36859264625973565</v>
      </c>
      <c r="W449" t="str">
        <f t="shared" si="41"/>
        <v>Aug</v>
      </c>
    </row>
    <row r="450" spans="1:23" x14ac:dyDescent="0.25">
      <c r="A450" t="s">
        <v>790</v>
      </c>
      <c r="B450" t="s">
        <v>425</v>
      </c>
      <c r="C450" s="2">
        <v>45694.090277777781</v>
      </c>
      <c r="D450" t="s">
        <v>25</v>
      </c>
      <c r="E450" t="s">
        <v>26</v>
      </c>
      <c r="F450" t="s">
        <v>27</v>
      </c>
      <c r="G450" t="s">
        <v>28</v>
      </c>
      <c r="H450">
        <v>2</v>
      </c>
      <c r="I450" s="3">
        <v>249</v>
      </c>
      <c r="J450" s="4">
        <v>0</v>
      </c>
      <c r="K450" s="3">
        <v>59</v>
      </c>
      <c r="L450" t="s">
        <v>125</v>
      </c>
      <c r="M450" t="s">
        <v>126</v>
      </c>
      <c r="N450" t="s">
        <v>71</v>
      </c>
      <c r="O450" t="s">
        <v>51</v>
      </c>
      <c r="P450" t="s">
        <v>33</v>
      </c>
      <c r="Q450">
        <v>5</v>
      </c>
      <c r="R450" s="3">
        <f t="shared" ref="R450:R513" si="42">IFERROR(H450*I450,"")</f>
        <v>498</v>
      </c>
      <c r="S450" s="3">
        <f t="shared" ref="S450:S513" si="43">IFERROR(R450*J450,"")</f>
        <v>0</v>
      </c>
      <c r="T450" s="3">
        <f t="shared" ref="T450:T513" si="44">IFERROR(R450-S450+K450,"")</f>
        <v>557</v>
      </c>
      <c r="U450" s="3">
        <f t="shared" ref="U450:U513" si="45">IFERROR(T450-(R450*70%),"")</f>
        <v>208.40000000000003</v>
      </c>
      <c r="V450" s="4">
        <f t="shared" ref="V450:V513" si="46">IFERROR(U450/T450,"")</f>
        <v>0.37414721723518857</v>
      </c>
      <c r="W450" t="str">
        <f t="shared" ref="W450:W513" si="47">IFERROR(TEXT(C450,"mmm"),"")</f>
        <v>Feb</v>
      </c>
    </row>
    <row r="451" spans="1:23" x14ac:dyDescent="0.25">
      <c r="A451" t="s">
        <v>791</v>
      </c>
      <c r="B451" t="s">
        <v>683</v>
      </c>
      <c r="C451" s="2">
        <v>45885.490972222222</v>
      </c>
      <c r="D451" t="s">
        <v>25</v>
      </c>
      <c r="E451" t="s">
        <v>26</v>
      </c>
      <c r="F451" t="s">
        <v>27</v>
      </c>
      <c r="G451" t="s">
        <v>28</v>
      </c>
      <c r="H451">
        <v>1</v>
      </c>
      <c r="I451" s="3">
        <v>249</v>
      </c>
      <c r="J451" s="4">
        <v>0.15</v>
      </c>
      <c r="K451" s="3">
        <v>79</v>
      </c>
      <c r="L451" t="s">
        <v>57</v>
      </c>
      <c r="M451" t="s">
        <v>58</v>
      </c>
      <c r="N451" t="s">
        <v>50</v>
      </c>
      <c r="O451" t="s">
        <v>41</v>
      </c>
      <c r="P451" t="s">
        <v>85</v>
      </c>
      <c r="R451" s="3">
        <f t="shared" si="42"/>
        <v>249</v>
      </c>
      <c r="S451" s="3">
        <f t="shared" si="43"/>
        <v>37.35</v>
      </c>
      <c r="T451" s="3">
        <f t="shared" si="44"/>
        <v>290.64999999999998</v>
      </c>
      <c r="U451" s="3">
        <f t="shared" si="45"/>
        <v>116.35</v>
      </c>
      <c r="V451" s="4">
        <f t="shared" si="46"/>
        <v>0.4003096507827284</v>
      </c>
      <c r="W451" t="str">
        <f t="shared" si="47"/>
        <v>Aug</v>
      </c>
    </row>
    <row r="452" spans="1:23" x14ac:dyDescent="0.25">
      <c r="A452" t="s">
        <v>792</v>
      </c>
      <c r="B452" t="s">
        <v>148</v>
      </c>
      <c r="C452" s="2">
        <v>45996.365972222222</v>
      </c>
      <c r="D452" t="s">
        <v>35</v>
      </c>
      <c r="E452" t="s">
        <v>36</v>
      </c>
      <c r="F452" t="s">
        <v>37</v>
      </c>
      <c r="G452" t="s">
        <v>38</v>
      </c>
      <c r="I452" s="3">
        <v>599</v>
      </c>
      <c r="J452" s="4">
        <v>0.2</v>
      </c>
      <c r="K452" s="3">
        <v>0</v>
      </c>
      <c r="L452" t="s">
        <v>100</v>
      </c>
      <c r="M452" t="s">
        <v>101</v>
      </c>
      <c r="N452" t="s">
        <v>50</v>
      </c>
      <c r="O452" t="s">
        <v>59</v>
      </c>
      <c r="P452" t="s">
        <v>80</v>
      </c>
      <c r="Q452">
        <v>1</v>
      </c>
      <c r="R452" s="3">
        <f t="shared" si="42"/>
        <v>0</v>
      </c>
      <c r="S452" s="3">
        <f t="shared" si="43"/>
        <v>0</v>
      </c>
      <c r="T452" s="3">
        <f t="shared" si="44"/>
        <v>0</v>
      </c>
      <c r="U452" s="3">
        <f t="shared" si="45"/>
        <v>0</v>
      </c>
      <c r="V452" s="4" t="str">
        <f t="shared" si="46"/>
        <v/>
      </c>
      <c r="W452" t="str">
        <f t="shared" si="47"/>
        <v>Dec</v>
      </c>
    </row>
    <row r="453" spans="1:23" x14ac:dyDescent="0.25">
      <c r="A453" t="s">
        <v>793</v>
      </c>
      <c r="B453" t="s">
        <v>527</v>
      </c>
      <c r="C453" s="2">
        <v>45900.710416666669</v>
      </c>
      <c r="D453" t="s">
        <v>55</v>
      </c>
      <c r="E453" t="s">
        <v>56</v>
      </c>
      <c r="F453" t="s">
        <v>37</v>
      </c>
      <c r="G453" t="s">
        <v>38</v>
      </c>
      <c r="H453">
        <v>4</v>
      </c>
      <c r="I453" s="3">
        <v>2499</v>
      </c>
      <c r="J453" s="4">
        <v>0.1</v>
      </c>
      <c r="K453" s="3">
        <v>99</v>
      </c>
      <c r="L453" t="s">
        <v>29</v>
      </c>
      <c r="M453" t="s">
        <v>30</v>
      </c>
      <c r="N453" t="s">
        <v>31</v>
      </c>
      <c r="O453" t="s">
        <v>51</v>
      </c>
      <c r="P453" t="s">
        <v>33</v>
      </c>
      <c r="Q453">
        <v>5</v>
      </c>
      <c r="R453" s="3">
        <f t="shared" si="42"/>
        <v>9996</v>
      </c>
      <c r="S453" s="3">
        <f t="shared" si="43"/>
        <v>999.6</v>
      </c>
      <c r="T453" s="3">
        <f t="shared" si="44"/>
        <v>9095.4</v>
      </c>
      <c r="U453" s="3">
        <f t="shared" si="45"/>
        <v>2098.1999999999998</v>
      </c>
      <c r="V453" s="4">
        <f t="shared" si="46"/>
        <v>0.23068804010818655</v>
      </c>
      <c r="W453" t="str">
        <f t="shared" si="47"/>
        <v>Aug</v>
      </c>
    </row>
    <row r="454" spans="1:23" x14ac:dyDescent="0.25">
      <c r="A454" t="s">
        <v>794</v>
      </c>
      <c r="B454" t="s">
        <v>175</v>
      </c>
      <c r="C454" s="2">
        <v>45857.384722222218</v>
      </c>
      <c r="D454" t="s">
        <v>105</v>
      </c>
      <c r="E454" t="s">
        <v>106</v>
      </c>
      <c r="F454" t="s">
        <v>37</v>
      </c>
      <c r="G454" t="s">
        <v>107</v>
      </c>
      <c r="H454">
        <v>2</v>
      </c>
      <c r="I454" s="3">
        <v>1799</v>
      </c>
      <c r="J454" s="4">
        <v>0.2</v>
      </c>
      <c r="K454" s="3">
        <v>59</v>
      </c>
      <c r="L454" t="s">
        <v>29</v>
      </c>
      <c r="M454" t="s">
        <v>30</v>
      </c>
      <c r="N454" t="s">
        <v>50</v>
      </c>
      <c r="O454" t="s">
        <v>41</v>
      </c>
      <c r="P454" t="s">
        <v>33</v>
      </c>
      <c r="Q454">
        <v>5</v>
      </c>
      <c r="R454" s="3">
        <f t="shared" si="42"/>
        <v>3598</v>
      </c>
      <c r="S454" s="3">
        <f t="shared" si="43"/>
        <v>719.6</v>
      </c>
      <c r="T454" s="3">
        <f t="shared" si="44"/>
        <v>2937.4</v>
      </c>
      <c r="U454" s="3">
        <f t="shared" si="45"/>
        <v>418.80000000000018</v>
      </c>
      <c r="V454" s="4">
        <f t="shared" si="46"/>
        <v>0.1425750663852387</v>
      </c>
      <c r="W454" t="str">
        <f t="shared" si="47"/>
        <v>Jul</v>
      </c>
    </row>
    <row r="455" spans="1:23" x14ac:dyDescent="0.25">
      <c r="A455" t="s">
        <v>795</v>
      </c>
      <c r="B455" t="s">
        <v>315</v>
      </c>
      <c r="C455" s="2">
        <v>45840.454861111109</v>
      </c>
      <c r="D455" t="s">
        <v>105</v>
      </c>
      <c r="E455" t="s">
        <v>106</v>
      </c>
      <c r="F455" t="s">
        <v>37</v>
      </c>
      <c r="G455" t="s">
        <v>107</v>
      </c>
      <c r="H455">
        <v>1</v>
      </c>
      <c r="I455" s="3">
        <v>1799</v>
      </c>
      <c r="J455" s="4">
        <v>0.1</v>
      </c>
      <c r="K455" s="3">
        <v>99</v>
      </c>
      <c r="L455" t="s">
        <v>39</v>
      </c>
      <c r="M455" t="s">
        <v>39</v>
      </c>
      <c r="N455" t="s">
        <v>102</v>
      </c>
      <c r="O455" t="s">
        <v>59</v>
      </c>
      <c r="P455" t="s">
        <v>52</v>
      </c>
      <c r="Q455">
        <v>2</v>
      </c>
      <c r="R455" s="3">
        <f t="shared" si="42"/>
        <v>1799</v>
      </c>
      <c r="S455" s="3">
        <f t="shared" si="43"/>
        <v>179.9</v>
      </c>
      <c r="T455" s="3">
        <f t="shared" si="44"/>
        <v>1718.1</v>
      </c>
      <c r="U455" s="3">
        <f t="shared" si="45"/>
        <v>458.79999999999995</v>
      </c>
      <c r="V455" s="4">
        <f t="shared" si="46"/>
        <v>0.26703917117746345</v>
      </c>
      <c r="W455" t="str">
        <f t="shared" si="47"/>
        <v>Jul</v>
      </c>
    </row>
    <row r="456" spans="1:23" x14ac:dyDescent="0.25">
      <c r="A456" t="s">
        <v>796</v>
      </c>
      <c r="B456" t="s">
        <v>265</v>
      </c>
      <c r="C456" s="2">
        <v>45963.611111111109</v>
      </c>
      <c r="D456" t="s">
        <v>77</v>
      </c>
      <c r="E456" t="s">
        <v>78</v>
      </c>
      <c r="F456" t="s">
        <v>79</v>
      </c>
      <c r="G456" t="s">
        <v>28</v>
      </c>
      <c r="H456">
        <v>1</v>
      </c>
      <c r="I456" s="3">
        <v>6499</v>
      </c>
      <c r="J456" s="4">
        <v>0.2</v>
      </c>
      <c r="K456" s="3">
        <v>99</v>
      </c>
      <c r="L456" t="s">
        <v>83</v>
      </c>
      <c r="M456" t="s">
        <v>84</v>
      </c>
      <c r="N456" t="s">
        <v>102</v>
      </c>
      <c r="O456" t="s">
        <v>32</v>
      </c>
      <c r="P456" t="s">
        <v>80</v>
      </c>
      <c r="Q456">
        <v>3</v>
      </c>
      <c r="R456" s="3">
        <f t="shared" si="42"/>
        <v>6499</v>
      </c>
      <c r="S456" s="3">
        <f t="shared" si="43"/>
        <v>1299.8000000000002</v>
      </c>
      <c r="T456" s="3">
        <f t="shared" si="44"/>
        <v>5298.2</v>
      </c>
      <c r="U456" s="3">
        <f t="shared" si="45"/>
        <v>748.90000000000055</v>
      </c>
      <c r="V456" s="4">
        <f t="shared" si="46"/>
        <v>0.14134989241629242</v>
      </c>
      <c r="W456" t="str">
        <f t="shared" si="47"/>
        <v>Nov</v>
      </c>
    </row>
    <row r="457" spans="1:23" x14ac:dyDescent="0.25">
      <c r="A457" t="s">
        <v>797</v>
      </c>
      <c r="B457" t="s">
        <v>43</v>
      </c>
      <c r="C457" s="2">
        <v>45703.59652777778</v>
      </c>
      <c r="D457" t="s">
        <v>169</v>
      </c>
      <c r="E457" t="s">
        <v>170</v>
      </c>
      <c r="F457" t="s">
        <v>98</v>
      </c>
      <c r="G457" t="s">
        <v>171</v>
      </c>
      <c r="H457">
        <v>2</v>
      </c>
      <c r="I457" s="3">
        <v>799</v>
      </c>
      <c r="J457" s="4">
        <v>0.1</v>
      </c>
      <c r="K457" s="3">
        <v>59</v>
      </c>
      <c r="L457" t="s">
        <v>119</v>
      </c>
      <c r="M457" t="s">
        <v>120</v>
      </c>
      <c r="N457" t="s">
        <v>71</v>
      </c>
      <c r="O457" t="s">
        <v>93</v>
      </c>
      <c r="P457" t="s">
        <v>33</v>
      </c>
      <c r="Q457">
        <v>1</v>
      </c>
      <c r="R457" s="3">
        <f t="shared" si="42"/>
        <v>1598</v>
      </c>
      <c r="S457" s="3">
        <f t="shared" si="43"/>
        <v>159.80000000000001</v>
      </c>
      <c r="T457" s="3">
        <f t="shared" si="44"/>
        <v>1497.2</v>
      </c>
      <c r="U457" s="3">
        <f t="shared" si="45"/>
        <v>378.60000000000014</v>
      </c>
      <c r="V457" s="4">
        <f t="shared" si="46"/>
        <v>0.25287202778519913</v>
      </c>
      <c r="W457" t="str">
        <f t="shared" si="47"/>
        <v>Feb</v>
      </c>
    </row>
    <row r="458" spans="1:23" x14ac:dyDescent="0.25">
      <c r="A458" t="s">
        <v>798</v>
      </c>
      <c r="B458" t="s">
        <v>634</v>
      </c>
      <c r="C458" s="2">
        <v>45898.708333333343</v>
      </c>
      <c r="D458" t="s">
        <v>62</v>
      </c>
      <c r="E458" t="s">
        <v>63</v>
      </c>
      <c r="F458" t="s">
        <v>46</v>
      </c>
      <c r="G458" t="s">
        <v>64</v>
      </c>
      <c r="H458">
        <v>1</v>
      </c>
      <c r="I458" s="3">
        <v>699</v>
      </c>
      <c r="J458" s="4"/>
      <c r="K458" s="3">
        <v>79</v>
      </c>
      <c r="L458" t="s">
        <v>100</v>
      </c>
      <c r="M458" t="s">
        <v>101</v>
      </c>
      <c r="N458" t="s">
        <v>31</v>
      </c>
      <c r="O458" t="s">
        <v>59</v>
      </c>
      <c r="P458" t="s">
        <v>80</v>
      </c>
      <c r="R458" s="3">
        <f t="shared" si="42"/>
        <v>699</v>
      </c>
      <c r="S458" s="3">
        <f t="shared" si="43"/>
        <v>0</v>
      </c>
      <c r="T458" s="3">
        <f t="shared" si="44"/>
        <v>778</v>
      </c>
      <c r="U458" s="3">
        <f t="shared" si="45"/>
        <v>288.70000000000005</v>
      </c>
      <c r="V458" s="4">
        <f t="shared" si="46"/>
        <v>0.37107969151670955</v>
      </c>
      <c r="W458" t="str">
        <f t="shared" si="47"/>
        <v>Aug</v>
      </c>
    </row>
    <row r="459" spans="1:23" x14ac:dyDescent="0.25">
      <c r="A459" t="s">
        <v>799</v>
      </c>
      <c r="B459" t="s">
        <v>800</v>
      </c>
      <c r="C459" s="2">
        <v>45661.724305555559</v>
      </c>
      <c r="D459" t="s">
        <v>110</v>
      </c>
      <c r="E459" t="s">
        <v>111</v>
      </c>
      <c r="F459" t="s">
        <v>98</v>
      </c>
      <c r="G459" t="s">
        <v>112</v>
      </c>
      <c r="H459">
        <v>1</v>
      </c>
      <c r="I459" s="3">
        <v>2999</v>
      </c>
      <c r="J459" s="4">
        <v>0.1</v>
      </c>
      <c r="K459" s="3">
        <v>99</v>
      </c>
      <c r="L459" t="s">
        <v>125</v>
      </c>
      <c r="M459" t="s">
        <v>126</v>
      </c>
      <c r="N459" t="s">
        <v>40</v>
      </c>
      <c r="O459" t="s">
        <v>41</v>
      </c>
      <c r="P459" t="s">
        <v>33</v>
      </c>
      <c r="Q459">
        <v>2</v>
      </c>
      <c r="R459" s="3">
        <f t="shared" si="42"/>
        <v>2999</v>
      </c>
      <c r="S459" s="3">
        <f t="shared" si="43"/>
        <v>299.90000000000003</v>
      </c>
      <c r="T459" s="3">
        <f t="shared" si="44"/>
        <v>2798.1</v>
      </c>
      <c r="U459" s="3">
        <f t="shared" si="45"/>
        <v>698.80000000000018</v>
      </c>
      <c r="V459" s="4">
        <f t="shared" si="46"/>
        <v>0.24974089560773388</v>
      </c>
      <c r="W459" t="str">
        <f t="shared" si="47"/>
        <v>Jan</v>
      </c>
    </row>
    <row r="460" spans="1:23" x14ac:dyDescent="0.25">
      <c r="A460" t="s">
        <v>801</v>
      </c>
      <c r="B460" t="s">
        <v>516</v>
      </c>
      <c r="C460" s="2">
        <v>45770.336805555547</v>
      </c>
      <c r="D460" t="s">
        <v>77</v>
      </c>
      <c r="E460" t="s">
        <v>78</v>
      </c>
      <c r="F460" t="s">
        <v>79</v>
      </c>
      <c r="G460" t="s">
        <v>28</v>
      </c>
      <c r="H460">
        <v>3</v>
      </c>
      <c r="I460" s="3">
        <v>6499</v>
      </c>
      <c r="J460" s="4">
        <v>0.2</v>
      </c>
      <c r="K460" s="3">
        <v>49</v>
      </c>
      <c r="L460" t="s">
        <v>57</v>
      </c>
      <c r="M460" t="s">
        <v>58</v>
      </c>
      <c r="N460" t="s">
        <v>102</v>
      </c>
      <c r="O460" t="s">
        <v>51</v>
      </c>
      <c r="P460" t="s">
        <v>52</v>
      </c>
      <c r="Q460">
        <v>3</v>
      </c>
      <c r="R460" s="3">
        <f t="shared" si="42"/>
        <v>19497</v>
      </c>
      <c r="S460" s="3">
        <f t="shared" si="43"/>
        <v>3899.4</v>
      </c>
      <c r="T460" s="3">
        <f t="shared" si="44"/>
        <v>15646.6</v>
      </c>
      <c r="U460" s="3">
        <f t="shared" si="45"/>
        <v>1998.7000000000007</v>
      </c>
      <c r="V460" s="4">
        <f t="shared" si="46"/>
        <v>0.12774021193102658</v>
      </c>
      <c r="W460" t="str">
        <f t="shared" si="47"/>
        <v>Apr</v>
      </c>
    </row>
    <row r="461" spans="1:23" x14ac:dyDescent="0.25">
      <c r="A461" t="s">
        <v>802</v>
      </c>
      <c r="B461" t="s">
        <v>403</v>
      </c>
      <c r="C461" s="2">
        <v>45869.287499999999</v>
      </c>
      <c r="D461" t="s">
        <v>25</v>
      </c>
      <c r="E461" t="s">
        <v>26</v>
      </c>
      <c r="F461" t="s">
        <v>27</v>
      </c>
      <c r="G461" t="s">
        <v>28</v>
      </c>
      <c r="H461">
        <v>3</v>
      </c>
      <c r="I461" s="3">
        <v>249</v>
      </c>
      <c r="J461" s="4"/>
      <c r="K461" s="3">
        <v>49</v>
      </c>
      <c r="L461" t="s">
        <v>83</v>
      </c>
      <c r="M461" t="s">
        <v>84</v>
      </c>
      <c r="N461" t="s">
        <v>31</v>
      </c>
      <c r="O461" t="s">
        <v>59</v>
      </c>
      <c r="P461" t="s">
        <v>33</v>
      </c>
      <c r="Q461">
        <v>5</v>
      </c>
      <c r="R461" s="3">
        <f t="shared" si="42"/>
        <v>747</v>
      </c>
      <c r="S461" s="3">
        <f t="shared" si="43"/>
        <v>0</v>
      </c>
      <c r="T461" s="3">
        <f t="shared" si="44"/>
        <v>796</v>
      </c>
      <c r="U461" s="3">
        <f t="shared" si="45"/>
        <v>273.10000000000002</v>
      </c>
      <c r="V461" s="4">
        <f t="shared" si="46"/>
        <v>0.34309045226130658</v>
      </c>
      <c r="W461" t="str">
        <f t="shared" si="47"/>
        <v>Jul</v>
      </c>
    </row>
    <row r="462" spans="1:23" x14ac:dyDescent="0.25">
      <c r="A462" t="s">
        <v>803</v>
      </c>
      <c r="B462" t="s">
        <v>224</v>
      </c>
      <c r="C462" s="2">
        <v>45909.263888888891</v>
      </c>
      <c r="D462" t="s">
        <v>90</v>
      </c>
      <c r="E462" t="s">
        <v>91</v>
      </c>
      <c r="F462" t="s">
        <v>37</v>
      </c>
      <c r="G462" t="s">
        <v>92</v>
      </c>
      <c r="H462">
        <v>2</v>
      </c>
      <c r="I462" s="3">
        <v>3499</v>
      </c>
      <c r="J462" s="4">
        <v>0</v>
      </c>
      <c r="K462" s="3">
        <v>0</v>
      </c>
      <c r="L462" t="s">
        <v>48</v>
      </c>
      <c r="M462" t="s">
        <v>49</v>
      </c>
      <c r="N462" t="s">
        <v>31</v>
      </c>
      <c r="O462" t="s">
        <v>41</v>
      </c>
      <c r="P462" t="s">
        <v>33</v>
      </c>
      <c r="Q462">
        <v>1</v>
      </c>
      <c r="R462" s="3">
        <f t="shared" si="42"/>
        <v>6998</v>
      </c>
      <c r="S462" s="3">
        <f t="shared" si="43"/>
        <v>0</v>
      </c>
      <c r="T462" s="3">
        <f t="shared" si="44"/>
        <v>6998</v>
      </c>
      <c r="U462" s="3">
        <f t="shared" si="45"/>
        <v>2099.4000000000005</v>
      </c>
      <c r="V462" s="4">
        <f t="shared" si="46"/>
        <v>0.3000000000000001</v>
      </c>
      <c r="W462" t="str">
        <f t="shared" si="47"/>
        <v>Sep</v>
      </c>
    </row>
    <row r="463" spans="1:23" x14ac:dyDescent="0.25">
      <c r="A463" t="s">
        <v>804</v>
      </c>
      <c r="B463" t="s">
        <v>805</v>
      </c>
      <c r="C463" s="2">
        <v>45882.958333333343</v>
      </c>
      <c r="D463" t="s">
        <v>110</v>
      </c>
      <c r="E463" t="s">
        <v>111</v>
      </c>
      <c r="F463" t="s">
        <v>98</v>
      </c>
      <c r="G463" t="s">
        <v>112</v>
      </c>
      <c r="H463">
        <v>1</v>
      </c>
      <c r="I463" s="3">
        <v>2999</v>
      </c>
      <c r="J463" s="4">
        <v>0</v>
      </c>
      <c r="K463" s="3">
        <v>49</v>
      </c>
      <c r="L463" t="s">
        <v>48</v>
      </c>
      <c r="M463" t="s">
        <v>49</v>
      </c>
      <c r="N463" t="s">
        <v>40</v>
      </c>
      <c r="O463" t="s">
        <v>41</v>
      </c>
      <c r="P463" t="s">
        <v>33</v>
      </c>
      <c r="Q463">
        <v>3</v>
      </c>
      <c r="R463" s="3">
        <f t="shared" si="42"/>
        <v>2999</v>
      </c>
      <c r="S463" s="3">
        <f t="shared" si="43"/>
        <v>0</v>
      </c>
      <c r="T463" s="3">
        <f t="shared" si="44"/>
        <v>3048</v>
      </c>
      <c r="U463" s="3">
        <f t="shared" si="45"/>
        <v>948.70000000000027</v>
      </c>
      <c r="V463" s="4">
        <f t="shared" si="46"/>
        <v>0.31125328083989512</v>
      </c>
      <c r="W463" t="str">
        <f t="shared" si="47"/>
        <v>Aug</v>
      </c>
    </row>
    <row r="464" spans="1:23" x14ac:dyDescent="0.25">
      <c r="A464" t="s">
        <v>806</v>
      </c>
      <c r="B464" t="s">
        <v>618</v>
      </c>
      <c r="C464" s="2">
        <v>45913.478472222218</v>
      </c>
      <c r="D464" t="s">
        <v>96</v>
      </c>
      <c r="E464" t="s">
        <v>97</v>
      </c>
      <c r="F464" t="s">
        <v>98</v>
      </c>
      <c r="G464" t="s">
        <v>99</v>
      </c>
      <c r="H464">
        <v>3</v>
      </c>
      <c r="I464" s="3">
        <v>1499</v>
      </c>
      <c r="J464" s="4">
        <v>0</v>
      </c>
      <c r="K464" s="3">
        <v>59</v>
      </c>
      <c r="L464" t="s">
        <v>48</v>
      </c>
      <c r="M464" t="s">
        <v>49</v>
      </c>
      <c r="N464" t="s">
        <v>50</v>
      </c>
      <c r="O464" t="s">
        <v>93</v>
      </c>
      <c r="P464" t="s">
        <v>80</v>
      </c>
      <c r="Q464">
        <v>3</v>
      </c>
      <c r="R464" s="3">
        <f t="shared" si="42"/>
        <v>4497</v>
      </c>
      <c r="S464" s="3">
        <f t="shared" si="43"/>
        <v>0</v>
      </c>
      <c r="T464" s="3">
        <f t="shared" si="44"/>
        <v>4556</v>
      </c>
      <c r="U464" s="3">
        <f t="shared" si="45"/>
        <v>1408.1000000000004</v>
      </c>
      <c r="V464" s="4">
        <f t="shared" si="46"/>
        <v>0.30906496927129068</v>
      </c>
      <c r="W464" t="str">
        <f t="shared" si="47"/>
        <v>Sep</v>
      </c>
    </row>
    <row r="465" spans="1:23" x14ac:dyDescent="0.25">
      <c r="A465" t="s">
        <v>807</v>
      </c>
      <c r="B465" t="s">
        <v>587</v>
      </c>
      <c r="C465" s="2">
        <v>45750.289583333331</v>
      </c>
      <c r="D465" t="s">
        <v>96</v>
      </c>
      <c r="E465" t="s">
        <v>97</v>
      </c>
      <c r="F465" t="s">
        <v>98</v>
      </c>
      <c r="G465" t="s">
        <v>99</v>
      </c>
      <c r="H465">
        <v>2</v>
      </c>
      <c r="I465" s="3">
        <v>1499</v>
      </c>
      <c r="J465" s="4">
        <v>0.1</v>
      </c>
      <c r="K465" s="3">
        <v>0</v>
      </c>
      <c r="L465" t="s">
        <v>29</v>
      </c>
      <c r="M465" t="s">
        <v>30</v>
      </c>
      <c r="N465" t="s">
        <v>50</v>
      </c>
      <c r="O465" t="s">
        <v>59</v>
      </c>
      <c r="P465" t="s">
        <v>33</v>
      </c>
      <c r="R465" s="3">
        <f t="shared" si="42"/>
        <v>2998</v>
      </c>
      <c r="S465" s="3">
        <f t="shared" si="43"/>
        <v>299.8</v>
      </c>
      <c r="T465" s="3">
        <f t="shared" si="44"/>
        <v>2698.2</v>
      </c>
      <c r="U465" s="3">
        <f t="shared" si="45"/>
        <v>599.59999999999991</v>
      </c>
      <c r="V465" s="4">
        <f t="shared" si="46"/>
        <v>0.22222222222222221</v>
      </c>
      <c r="W465" t="str">
        <f t="shared" si="47"/>
        <v>Apr</v>
      </c>
    </row>
    <row r="466" spans="1:23" x14ac:dyDescent="0.25">
      <c r="A466" t="s">
        <v>808</v>
      </c>
      <c r="B466" t="s">
        <v>809</v>
      </c>
      <c r="C466" s="2">
        <v>45675.270138888889</v>
      </c>
      <c r="D466" t="s">
        <v>90</v>
      </c>
      <c r="E466" t="s">
        <v>91</v>
      </c>
      <c r="F466" t="s">
        <v>37</v>
      </c>
      <c r="G466" t="s">
        <v>92</v>
      </c>
      <c r="H466">
        <v>2</v>
      </c>
      <c r="I466" s="3">
        <v>3499</v>
      </c>
      <c r="J466" s="4">
        <v>0</v>
      </c>
      <c r="K466" s="3">
        <v>99</v>
      </c>
      <c r="L466" t="s">
        <v>113</v>
      </c>
      <c r="M466" t="s">
        <v>114</v>
      </c>
      <c r="N466" t="s">
        <v>40</v>
      </c>
      <c r="O466" t="s">
        <v>59</v>
      </c>
      <c r="P466" t="s">
        <v>80</v>
      </c>
      <c r="R466" s="3">
        <f t="shared" si="42"/>
        <v>6998</v>
      </c>
      <c r="S466" s="3">
        <f t="shared" si="43"/>
        <v>0</v>
      </c>
      <c r="T466" s="3">
        <f t="shared" si="44"/>
        <v>7097</v>
      </c>
      <c r="U466" s="3">
        <f t="shared" si="45"/>
        <v>2198.4000000000005</v>
      </c>
      <c r="V466" s="4">
        <f t="shared" si="46"/>
        <v>0.30976468930534035</v>
      </c>
      <c r="W466" t="str">
        <f t="shared" si="47"/>
        <v>Jan</v>
      </c>
    </row>
    <row r="467" spans="1:23" x14ac:dyDescent="0.25">
      <c r="A467" t="s">
        <v>810</v>
      </c>
      <c r="C467" s="2">
        <v>45679.999305555553</v>
      </c>
      <c r="D467" t="s">
        <v>110</v>
      </c>
      <c r="E467" t="s">
        <v>111</v>
      </c>
      <c r="F467" t="s">
        <v>98</v>
      </c>
      <c r="G467" t="s">
        <v>112</v>
      </c>
      <c r="H467">
        <v>1</v>
      </c>
      <c r="I467" s="3">
        <v>2999</v>
      </c>
      <c r="J467" s="4">
        <v>0.15</v>
      </c>
      <c r="K467" s="3">
        <v>0</v>
      </c>
      <c r="L467" t="s">
        <v>74</v>
      </c>
      <c r="M467" t="s">
        <v>49</v>
      </c>
      <c r="N467" t="s">
        <v>40</v>
      </c>
      <c r="O467" t="s">
        <v>51</v>
      </c>
      <c r="P467" t="s">
        <v>85</v>
      </c>
      <c r="Q467">
        <v>2</v>
      </c>
      <c r="R467" s="3">
        <f t="shared" si="42"/>
        <v>2999</v>
      </c>
      <c r="S467" s="3">
        <f t="shared" si="43"/>
        <v>449.84999999999997</v>
      </c>
      <c r="T467" s="3">
        <f t="shared" si="44"/>
        <v>2549.15</v>
      </c>
      <c r="U467" s="3">
        <f t="shared" si="45"/>
        <v>449.85000000000036</v>
      </c>
      <c r="V467" s="4">
        <f t="shared" si="46"/>
        <v>0.17647058823529427</v>
      </c>
      <c r="W467" t="str">
        <f t="shared" si="47"/>
        <v>Jan</v>
      </c>
    </row>
    <row r="468" spans="1:23" x14ac:dyDescent="0.25">
      <c r="A468" t="s">
        <v>811</v>
      </c>
      <c r="B468" t="s">
        <v>805</v>
      </c>
      <c r="C468" s="2">
        <v>45769.135416666657</v>
      </c>
      <c r="D468" t="s">
        <v>169</v>
      </c>
      <c r="E468" t="s">
        <v>170</v>
      </c>
      <c r="F468" t="s">
        <v>98</v>
      </c>
      <c r="G468" t="s">
        <v>171</v>
      </c>
      <c r="H468">
        <v>3</v>
      </c>
      <c r="I468" s="3">
        <v>799</v>
      </c>
      <c r="J468" s="4">
        <v>0.1</v>
      </c>
      <c r="K468" s="3">
        <v>59</v>
      </c>
      <c r="L468" t="s">
        <v>39</v>
      </c>
      <c r="M468" t="s">
        <v>39</v>
      </c>
      <c r="N468" t="s">
        <v>50</v>
      </c>
      <c r="O468" t="s">
        <v>51</v>
      </c>
      <c r="P468" t="s">
        <v>80</v>
      </c>
      <c r="Q468">
        <v>5</v>
      </c>
      <c r="R468" s="3">
        <f t="shared" si="42"/>
        <v>2397</v>
      </c>
      <c r="S468" s="3">
        <f t="shared" si="43"/>
        <v>239.70000000000002</v>
      </c>
      <c r="T468" s="3">
        <f t="shared" si="44"/>
        <v>2216.3000000000002</v>
      </c>
      <c r="U468" s="3">
        <f t="shared" si="45"/>
        <v>538.40000000000032</v>
      </c>
      <c r="V468" s="4">
        <f t="shared" si="46"/>
        <v>0.24292740152506442</v>
      </c>
      <c r="W468" t="str">
        <f t="shared" si="47"/>
        <v>Apr</v>
      </c>
    </row>
    <row r="469" spans="1:23" x14ac:dyDescent="0.25">
      <c r="A469" t="s">
        <v>812</v>
      </c>
      <c r="B469" t="s">
        <v>43</v>
      </c>
      <c r="C469" s="2">
        <v>45662.067361111112</v>
      </c>
      <c r="D469" t="s">
        <v>55</v>
      </c>
      <c r="E469" t="s">
        <v>56</v>
      </c>
      <c r="F469" t="s">
        <v>37</v>
      </c>
      <c r="G469" t="s">
        <v>38</v>
      </c>
      <c r="H469">
        <v>3</v>
      </c>
      <c r="I469" s="3">
        <v>2499</v>
      </c>
      <c r="J469" s="4">
        <v>0.1</v>
      </c>
      <c r="K469" s="3">
        <v>99</v>
      </c>
      <c r="L469" t="s">
        <v>57</v>
      </c>
      <c r="M469" t="s">
        <v>58</v>
      </c>
      <c r="N469" t="s">
        <v>71</v>
      </c>
      <c r="O469" t="s">
        <v>93</v>
      </c>
      <c r="P469" t="s">
        <v>80</v>
      </c>
      <c r="Q469">
        <v>2</v>
      </c>
      <c r="R469" s="3">
        <f t="shared" si="42"/>
        <v>7497</v>
      </c>
      <c r="S469" s="3">
        <f t="shared" si="43"/>
        <v>749.7</v>
      </c>
      <c r="T469" s="3">
        <f t="shared" si="44"/>
        <v>6846.3</v>
      </c>
      <c r="U469" s="3">
        <f t="shared" si="45"/>
        <v>1598.4000000000005</v>
      </c>
      <c r="V469" s="4">
        <f t="shared" si="46"/>
        <v>0.23346917313001189</v>
      </c>
      <c r="W469" t="str">
        <f t="shared" si="47"/>
        <v>Jan</v>
      </c>
    </row>
    <row r="470" spans="1:23" x14ac:dyDescent="0.25">
      <c r="A470" t="s">
        <v>813</v>
      </c>
      <c r="B470" t="s">
        <v>814</v>
      </c>
      <c r="C470" s="2">
        <v>45974.457638888889</v>
      </c>
      <c r="D470" t="s">
        <v>105</v>
      </c>
      <c r="E470" t="s">
        <v>106</v>
      </c>
      <c r="F470" t="s">
        <v>37</v>
      </c>
      <c r="G470" t="s">
        <v>107</v>
      </c>
      <c r="H470">
        <v>1</v>
      </c>
      <c r="I470" s="3">
        <v>1799</v>
      </c>
      <c r="J470" s="4">
        <v>0</v>
      </c>
      <c r="K470" s="3">
        <v>0</v>
      </c>
      <c r="L470" t="s">
        <v>119</v>
      </c>
      <c r="M470" t="s">
        <v>120</v>
      </c>
      <c r="N470" t="s">
        <v>50</v>
      </c>
      <c r="O470" t="s">
        <v>32</v>
      </c>
      <c r="P470" t="s">
        <v>80</v>
      </c>
      <c r="R470" s="3">
        <f t="shared" si="42"/>
        <v>1799</v>
      </c>
      <c r="S470" s="3">
        <f t="shared" si="43"/>
        <v>0</v>
      </c>
      <c r="T470" s="3">
        <f t="shared" si="44"/>
        <v>1799</v>
      </c>
      <c r="U470" s="3">
        <f t="shared" si="45"/>
        <v>539.70000000000005</v>
      </c>
      <c r="V470" s="4">
        <f t="shared" si="46"/>
        <v>0.30000000000000004</v>
      </c>
      <c r="W470" t="str">
        <f t="shared" si="47"/>
        <v>Nov</v>
      </c>
    </row>
    <row r="471" spans="1:23" x14ac:dyDescent="0.25">
      <c r="A471" t="s">
        <v>815</v>
      </c>
      <c r="B471" t="s">
        <v>160</v>
      </c>
      <c r="C471" s="2">
        <v>45820.743055555547</v>
      </c>
      <c r="D471" t="s">
        <v>55</v>
      </c>
      <c r="E471" t="s">
        <v>56</v>
      </c>
      <c r="F471" t="s">
        <v>37</v>
      </c>
      <c r="G471" t="s">
        <v>38</v>
      </c>
      <c r="H471">
        <v>2</v>
      </c>
      <c r="I471" s="3">
        <v>2499</v>
      </c>
      <c r="J471" s="4">
        <v>0.05</v>
      </c>
      <c r="K471" s="3">
        <v>79</v>
      </c>
      <c r="L471" t="s">
        <v>100</v>
      </c>
      <c r="M471" t="s">
        <v>101</v>
      </c>
      <c r="N471" t="s">
        <v>31</v>
      </c>
      <c r="O471" t="s">
        <v>59</v>
      </c>
      <c r="P471" t="s">
        <v>80</v>
      </c>
      <c r="Q471">
        <v>3</v>
      </c>
      <c r="R471" s="3">
        <f t="shared" si="42"/>
        <v>4998</v>
      </c>
      <c r="S471" s="3">
        <f t="shared" si="43"/>
        <v>249.9</v>
      </c>
      <c r="T471" s="3">
        <f t="shared" si="44"/>
        <v>4827.1000000000004</v>
      </c>
      <c r="U471" s="3">
        <f t="shared" si="45"/>
        <v>1328.5000000000005</v>
      </c>
      <c r="V471" s="4">
        <f t="shared" si="46"/>
        <v>0.27521700399825988</v>
      </c>
      <c r="W471" t="str">
        <f t="shared" si="47"/>
        <v>Jun</v>
      </c>
    </row>
    <row r="472" spans="1:23" x14ac:dyDescent="0.25">
      <c r="A472" t="s">
        <v>816</v>
      </c>
      <c r="B472" t="s">
        <v>448</v>
      </c>
      <c r="C472" s="2">
        <v>45678.65625</v>
      </c>
      <c r="D472" t="s">
        <v>77</v>
      </c>
      <c r="E472" t="s">
        <v>78</v>
      </c>
      <c r="F472" t="s">
        <v>79</v>
      </c>
      <c r="G472" t="s">
        <v>28</v>
      </c>
      <c r="H472">
        <v>1</v>
      </c>
      <c r="I472" s="3">
        <v>6499</v>
      </c>
      <c r="J472" s="4">
        <v>0.15</v>
      </c>
      <c r="K472" s="3">
        <v>59</v>
      </c>
      <c r="L472" t="s">
        <v>100</v>
      </c>
      <c r="M472" t="s">
        <v>101</v>
      </c>
      <c r="N472" t="s">
        <v>40</v>
      </c>
      <c r="O472" t="s">
        <v>41</v>
      </c>
      <c r="P472" t="s">
        <v>52</v>
      </c>
      <c r="Q472">
        <v>5</v>
      </c>
      <c r="R472" s="3">
        <f t="shared" si="42"/>
        <v>6499</v>
      </c>
      <c r="S472" s="3">
        <f t="shared" si="43"/>
        <v>974.84999999999991</v>
      </c>
      <c r="T472" s="3">
        <f t="shared" si="44"/>
        <v>5583.15</v>
      </c>
      <c r="U472" s="3">
        <f t="shared" si="45"/>
        <v>1033.8500000000004</v>
      </c>
      <c r="V472" s="4">
        <f t="shared" si="46"/>
        <v>0.18517324449459543</v>
      </c>
      <c r="W472" t="str">
        <f t="shared" si="47"/>
        <v>Jan</v>
      </c>
    </row>
    <row r="473" spans="1:23" x14ac:dyDescent="0.25">
      <c r="A473" t="s">
        <v>817</v>
      </c>
      <c r="B473" t="s">
        <v>818</v>
      </c>
      <c r="C473" s="2">
        <v>45897.371527777781</v>
      </c>
      <c r="D473" t="s">
        <v>105</v>
      </c>
      <c r="E473" t="s">
        <v>106</v>
      </c>
      <c r="F473" t="s">
        <v>37</v>
      </c>
      <c r="G473" t="s">
        <v>107</v>
      </c>
      <c r="H473">
        <v>1</v>
      </c>
      <c r="I473" s="3">
        <v>1799</v>
      </c>
      <c r="J473" s="4">
        <v>0.15</v>
      </c>
      <c r="K473" s="3">
        <v>49</v>
      </c>
      <c r="L473" t="s">
        <v>83</v>
      </c>
      <c r="M473" t="s">
        <v>84</v>
      </c>
      <c r="N473" t="s">
        <v>102</v>
      </c>
      <c r="O473" t="s">
        <v>41</v>
      </c>
      <c r="P473" t="s">
        <v>85</v>
      </c>
      <c r="Q473">
        <v>4</v>
      </c>
      <c r="R473" s="3">
        <f t="shared" si="42"/>
        <v>1799</v>
      </c>
      <c r="S473" s="3">
        <f t="shared" si="43"/>
        <v>269.84999999999997</v>
      </c>
      <c r="T473" s="3">
        <f t="shared" si="44"/>
        <v>1578.15</v>
      </c>
      <c r="U473" s="3">
        <f t="shared" si="45"/>
        <v>318.85000000000014</v>
      </c>
      <c r="V473" s="4">
        <f t="shared" si="46"/>
        <v>0.20204036371701051</v>
      </c>
      <c r="W473" t="str">
        <f t="shared" si="47"/>
        <v>Aug</v>
      </c>
    </row>
    <row r="474" spans="1:23" x14ac:dyDescent="0.25">
      <c r="A474" t="s">
        <v>819</v>
      </c>
      <c r="B474" t="s">
        <v>620</v>
      </c>
      <c r="C474" s="2">
        <v>45890.03402777778</v>
      </c>
      <c r="D474" t="s">
        <v>110</v>
      </c>
      <c r="E474" t="s">
        <v>111</v>
      </c>
      <c r="F474" t="s">
        <v>98</v>
      </c>
      <c r="G474" t="s">
        <v>112</v>
      </c>
      <c r="H474">
        <v>2</v>
      </c>
      <c r="I474" s="3">
        <v>2999</v>
      </c>
      <c r="J474" s="4">
        <v>0.15</v>
      </c>
      <c r="K474" s="3">
        <v>79</v>
      </c>
      <c r="L474" t="s">
        <v>48</v>
      </c>
      <c r="M474" t="s">
        <v>49</v>
      </c>
      <c r="N474" t="s">
        <v>31</v>
      </c>
      <c r="O474" t="s">
        <v>32</v>
      </c>
      <c r="P474" t="s">
        <v>80</v>
      </c>
      <c r="R474" s="3">
        <f t="shared" si="42"/>
        <v>5998</v>
      </c>
      <c r="S474" s="3">
        <f t="shared" si="43"/>
        <v>899.69999999999993</v>
      </c>
      <c r="T474" s="3">
        <f t="shared" si="44"/>
        <v>5177.3</v>
      </c>
      <c r="U474" s="3">
        <f t="shared" si="45"/>
        <v>978.70000000000073</v>
      </c>
      <c r="V474" s="4">
        <f t="shared" si="46"/>
        <v>0.18903675661058866</v>
      </c>
      <c r="W474" t="str">
        <f t="shared" si="47"/>
        <v>Aug</v>
      </c>
    </row>
    <row r="475" spans="1:23" x14ac:dyDescent="0.25">
      <c r="A475" t="s">
        <v>820</v>
      </c>
      <c r="B475" t="s">
        <v>607</v>
      </c>
      <c r="C475" s="2">
        <v>45690.898611111108</v>
      </c>
      <c r="D475" t="s">
        <v>169</v>
      </c>
      <c r="E475" t="s">
        <v>170</v>
      </c>
      <c r="F475" t="s">
        <v>98</v>
      </c>
      <c r="G475" t="s">
        <v>171</v>
      </c>
      <c r="H475">
        <v>1</v>
      </c>
      <c r="I475" s="3">
        <v>799</v>
      </c>
      <c r="J475" s="4">
        <v>0</v>
      </c>
      <c r="K475" s="3">
        <v>99</v>
      </c>
      <c r="L475" t="s">
        <v>125</v>
      </c>
      <c r="M475" t="s">
        <v>126</v>
      </c>
      <c r="N475" t="s">
        <v>102</v>
      </c>
      <c r="O475" t="s">
        <v>41</v>
      </c>
      <c r="P475" t="s">
        <v>52</v>
      </c>
      <c r="Q475">
        <v>5</v>
      </c>
      <c r="R475" s="3">
        <f t="shared" si="42"/>
        <v>799</v>
      </c>
      <c r="S475" s="3">
        <f t="shared" si="43"/>
        <v>0</v>
      </c>
      <c r="T475" s="3">
        <f t="shared" si="44"/>
        <v>898</v>
      </c>
      <c r="U475" s="3">
        <f t="shared" si="45"/>
        <v>338.70000000000005</v>
      </c>
      <c r="V475" s="4">
        <f t="shared" si="46"/>
        <v>0.37717149220489982</v>
      </c>
      <c r="W475" t="str">
        <f t="shared" si="47"/>
        <v>Feb</v>
      </c>
    </row>
    <row r="476" spans="1:23" x14ac:dyDescent="0.25">
      <c r="A476" t="s">
        <v>821</v>
      </c>
      <c r="B476" t="s">
        <v>150</v>
      </c>
      <c r="C476" s="2">
        <v>45822.129166666673</v>
      </c>
      <c r="D476" t="s">
        <v>110</v>
      </c>
      <c r="E476" t="s">
        <v>111</v>
      </c>
      <c r="F476" t="s">
        <v>98</v>
      </c>
      <c r="G476" t="s">
        <v>112</v>
      </c>
      <c r="H476">
        <v>1</v>
      </c>
      <c r="I476" s="3">
        <v>2999</v>
      </c>
      <c r="J476" s="4">
        <v>0.2</v>
      </c>
      <c r="K476" s="3">
        <v>0</v>
      </c>
      <c r="L476" t="s">
        <v>74</v>
      </c>
      <c r="M476" t="s">
        <v>49</v>
      </c>
      <c r="N476" t="s">
        <v>50</v>
      </c>
      <c r="O476" t="s">
        <v>41</v>
      </c>
      <c r="P476" t="s">
        <v>85</v>
      </c>
      <c r="R476" s="3">
        <f t="shared" si="42"/>
        <v>2999</v>
      </c>
      <c r="S476" s="3">
        <f t="shared" si="43"/>
        <v>599.80000000000007</v>
      </c>
      <c r="T476" s="3">
        <f t="shared" si="44"/>
        <v>2399.1999999999998</v>
      </c>
      <c r="U476" s="3">
        <f t="shared" si="45"/>
        <v>299.90000000000009</v>
      </c>
      <c r="V476" s="4">
        <f t="shared" si="46"/>
        <v>0.12500000000000006</v>
      </c>
      <c r="W476" t="str">
        <f t="shared" si="47"/>
        <v>Jun</v>
      </c>
    </row>
    <row r="477" spans="1:23" x14ac:dyDescent="0.25">
      <c r="A477" t="s">
        <v>822</v>
      </c>
      <c r="B477" t="s">
        <v>104</v>
      </c>
      <c r="C477" s="2">
        <v>45756.126388888893</v>
      </c>
      <c r="D477" t="s">
        <v>35</v>
      </c>
      <c r="E477" t="s">
        <v>36</v>
      </c>
      <c r="F477" t="s">
        <v>37</v>
      </c>
      <c r="G477" t="s">
        <v>38</v>
      </c>
      <c r="H477">
        <v>1</v>
      </c>
      <c r="I477" s="3">
        <v>599</v>
      </c>
      <c r="J477" s="4">
        <v>0.2</v>
      </c>
      <c r="K477" s="3">
        <v>79</v>
      </c>
      <c r="L477" t="s">
        <v>113</v>
      </c>
      <c r="M477" t="s">
        <v>114</v>
      </c>
      <c r="N477" t="s">
        <v>102</v>
      </c>
      <c r="O477" t="s">
        <v>32</v>
      </c>
      <c r="P477" t="s">
        <v>85</v>
      </c>
      <c r="R477" s="3">
        <f t="shared" si="42"/>
        <v>599</v>
      </c>
      <c r="S477" s="3">
        <f t="shared" si="43"/>
        <v>119.80000000000001</v>
      </c>
      <c r="T477" s="3">
        <f t="shared" si="44"/>
        <v>558.20000000000005</v>
      </c>
      <c r="U477" s="3">
        <f t="shared" si="45"/>
        <v>138.90000000000009</v>
      </c>
      <c r="V477" s="4">
        <f t="shared" si="46"/>
        <v>0.24883554281619505</v>
      </c>
      <c r="W477" t="str">
        <f t="shared" si="47"/>
        <v>Apr</v>
      </c>
    </row>
    <row r="478" spans="1:23" x14ac:dyDescent="0.25">
      <c r="A478" t="s">
        <v>823</v>
      </c>
      <c r="B478" t="s">
        <v>707</v>
      </c>
      <c r="C478" s="2">
        <v>45771.822916666657</v>
      </c>
      <c r="D478" t="s">
        <v>44</v>
      </c>
      <c r="E478" t="s">
        <v>45</v>
      </c>
      <c r="F478" t="s">
        <v>46</v>
      </c>
      <c r="G478" t="s">
        <v>47</v>
      </c>
      <c r="H478">
        <v>1</v>
      </c>
      <c r="I478" s="3">
        <v>1199</v>
      </c>
      <c r="J478" s="4">
        <v>0</v>
      </c>
      <c r="K478" s="3">
        <v>49</v>
      </c>
      <c r="L478" t="s">
        <v>48</v>
      </c>
      <c r="M478" t="s">
        <v>49</v>
      </c>
      <c r="N478" t="s">
        <v>31</v>
      </c>
      <c r="O478" t="s">
        <v>59</v>
      </c>
      <c r="P478" t="s">
        <v>33</v>
      </c>
      <c r="R478" s="3">
        <f t="shared" si="42"/>
        <v>1199</v>
      </c>
      <c r="S478" s="3">
        <f t="shared" si="43"/>
        <v>0</v>
      </c>
      <c r="T478" s="3">
        <f t="shared" si="44"/>
        <v>1248</v>
      </c>
      <c r="U478" s="3">
        <f t="shared" si="45"/>
        <v>408.70000000000005</v>
      </c>
      <c r="V478" s="4">
        <f t="shared" si="46"/>
        <v>0.32748397435897442</v>
      </c>
      <c r="W478" t="str">
        <f t="shared" si="47"/>
        <v>Apr</v>
      </c>
    </row>
    <row r="479" spans="1:23" x14ac:dyDescent="0.25">
      <c r="A479" t="s">
        <v>824</v>
      </c>
      <c r="B479" t="s">
        <v>89</v>
      </c>
      <c r="C479" s="2">
        <v>45870.493055555547</v>
      </c>
      <c r="D479" t="s">
        <v>25</v>
      </c>
      <c r="E479" t="s">
        <v>26</v>
      </c>
      <c r="F479" t="s">
        <v>27</v>
      </c>
      <c r="G479" t="s">
        <v>28</v>
      </c>
      <c r="H479">
        <v>1</v>
      </c>
      <c r="I479" s="3">
        <v>249</v>
      </c>
      <c r="J479" s="4">
        <v>0</v>
      </c>
      <c r="K479" s="3">
        <v>99</v>
      </c>
      <c r="L479" t="s">
        <v>39</v>
      </c>
      <c r="M479" t="s">
        <v>39</v>
      </c>
      <c r="N479" t="s">
        <v>102</v>
      </c>
      <c r="O479" t="s">
        <v>93</v>
      </c>
      <c r="P479" t="s">
        <v>80</v>
      </c>
      <c r="R479" s="3">
        <f t="shared" si="42"/>
        <v>249</v>
      </c>
      <c r="S479" s="3">
        <f t="shared" si="43"/>
        <v>0</v>
      </c>
      <c r="T479" s="3">
        <f t="shared" si="44"/>
        <v>348</v>
      </c>
      <c r="U479" s="3">
        <f t="shared" si="45"/>
        <v>173.70000000000002</v>
      </c>
      <c r="V479" s="4">
        <f t="shared" si="46"/>
        <v>0.49913793103448278</v>
      </c>
      <c r="W479" t="str">
        <f t="shared" si="47"/>
        <v>Aug</v>
      </c>
    </row>
    <row r="480" spans="1:23" x14ac:dyDescent="0.25">
      <c r="A480" t="s">
        <v>825</v>
      </c>
      <c r="B480" t="s">
        <v>109</v>
      </c>
      <c r="C480" s="2">
        <v>45768.67083333333</v>
      </c>
      <c r="D480" t="s">
        <v>55</v>
      </c>
      <c r="E480" t="s">
        <v>56</v>
      </c>
      <c r="F480" t="s">
        <v>37</v>
      </c>
      <c r="G480" t="s">
        <v>38</v>
      </c>
      <c r="H480">
        <v>1</v>
      </c>
      <c r="I480" s="3">
        <v>2499</v>
      </c>
      <c r="J480" s="4">
        <v>0.2</v>
      </c>
      <c r="K480" s="3">
        <v>49</v>
      </c>
      <c r="L480" t="s">
        <v>48</v>
      </c>
      <c r="M480" t="s">
        <v>49</v>
      </c>
      <c r="N480" t="s">
        <v>40</v>
      </c>
      <c r="O480" t="s">
        <v>41</v>
      </c>
      <c r="P480" t="s">
        <v>33</v>
      </c>
      <c r="Q480">
        <v>2</v>
      </c>
      <c r="R480" s="3">
        <f t="shared" si="42"/>
        <v>2499</v>
      </c>
      <c r="S480" s="3">
        <f t="shared" si="43"/>
        <v>499.8</v>
      </c>
      <c r="T480" s="3">
        <f t="shared" si="44"/>
        <v>2048.1999999999998</v>
      </c>
      <c r="U480" s="3">
        <f t="shared" si="45"/>
        <v>298.89999999999986</v>
      </c>
      <c r="V480" s="4">
        <f t="shared" si="46"/>
        <v>0.14593301435406694</v>
      </c>
      <c r="W480" t="str">
        <f t="shared" si="47"/>
        <v>Apr</v>
      </c>
    </row>
    <row r="481" spans="1:23" x14ac:dyDescent="0.25">
      <c r="A481" t="s">
        <v>826</v>
      </c>
      <c r="B481" t="s">
        <v>243</v>
      </c>
      <c r="C481" s="2">
        <v>45749.740972222222</v>
      </c>
      <c r="D481" t="s">
        <v>62</v>
      </c>
      <c r="E481" t="s">
        <v>63</v>
      </c>
      <c r="F481" t="s">
        <v>46</v>
      </c>
      <c r="G481" t="s">
        <v>64</v>
      </c>
      <c r="H481">
        <v>2</v>
      </c>
      <c r="I481" s="3">
        <v>699</v>
      </c>
      <c r="J481" s="4">
        <v>0.1</v>
      </c>
      <c r="K481" s="3">
        <v>0</v>
      </c>
      <c r="L481" t="s">
        <v>113</v>
      </c>
      <c r="M481" t="s">
        <v>114</v>
      </c>
      <c r="N481" t="s">
        <v>71</v>
      </c>
      <c r="O481" t="s">
        <v>59</v>
      </c>
      <c r="P481" t="s">
        <v>85</v>
      </c>
      <c r="R481" s="3">
        <f t="shared" si="42"/>
        <v>1398</v>
      </c>
      <c r="S481" s="3">
        <f t="shared" si="43"/>
        <v>139.80000000000001</v>
      </c>
      <c r="T481" s="3">
        <f t="shared" si="44"/>
        <v>1258.2</v>
      </c>
      <c r="U481" s="3">
        <f t="shared" si="45"/>
        <v>279.60000000000014</v>
      </c>
      <c r="V481" s="4">
        <f t="shared" si="46"/>
        <v>0.22222222222222232</v>
      </c>
      <c r="W481" t="str">
        <f t="shared" si="47"/>
        <v>Apr</v>
      </c>
    </row>
    <row r="482" spans="1:23" x14ac:dyDescent="0.25">
      <c r="A482" t="s">
        <v>827</v>
      </c>
      <c r="B482" t="s">
        <v>234</v>
      </c>
      <c r="C482" s="2">
        <v>45743.232638888891</v>
      </c>
      <c r="D482" t="s">
        <v>25</v>
      </c>
      <c r="E482" t="s">
        <v>26</v>
      </c>
      <c r="F482" t="s">
        <v>27</v>
      </c>
      <c r="G482" t="s">
        <v>28</v>
      </c>
      <c r="H482">
        <v>3</v>
      </c>
      <c r="I482" s="3">
        <v>249</v>
      </c>
      <c r="J482" s="4">
        <v>0.15</v>
      </c>
      <c r="K482" s="3">
        <v>59</v>
      </c>
      <c r="L482" t="s">
        <v>57</v>
      </c>
      <c r="M482" t="s">
        <v>58</v>
      </c>
      <c r="N482" t="s">
        <v>102</v>
      </c>
      <c r="O482" t="s">
        <v>32</v>
      </c>
      <c r="P482" t="s">
        <v>52</v>
      </c>
      <c r="Q482">
        <v>4</v>
      </c>
      <c r="R482" s="3">
        <f t="shared" si="42"/>
        <v>747</v>
      </c>
      <c r="S482" s="3">
        <f t="shared" si="43"/>
        <v>112.05</v>
      </c>
      <c r="T482" s="3">
        <f t="shared" si="44"/>
        <v>693.95</v>
      </c>
      <c r="U482" s="3">
        <f t="shared" si="45"/>
        <v>171.05000000000007</v>
      </c>
      <c r="V482" s="4">
        <f t="shared" si="46"/>
        <v>0.24648749909935883</v>
      </c>
      <c r="W482" t="str">
        <f t="shared" si="47"/>
        <v>Mar</v>
      </c>
    </row>
    <row r="483" spans="1:23" x14ac:dyDescent="0.25">
      <c r="A483" t="s">
        <v>828</v>
      </c>
      <c r="B483" t="s">
        <v>216</v>
      </c>
      <c r="C483" s="2">
        <v>45824.476388888892</v>
      </c>
      <c r="D483" t="s">
        <v>169</v>
      </c>
      <c r="E483" t="s">
        <v>170</v>
      </c>
      <c r="F483" t="s">
        <v>98</v>
      </c>
      <c r="G483" t="s">
        <v>171</v>
      </c>
      <c r="H483">
        <v>2</v>
      </c>
      <c r="I483" s="3">
        <v>799</v>
      </c>
      <c r="J483" s="4">
        <v>0.1</v>
      </c>
      <c r="K483" s="3">
        <v>59</v>
      </c>
      <c r="L483" t="s">
        <v>74</v>
      </c>
      <c r="M483" t="s">
        <v>49</v>
      </c>
      <c r="N483" t="s">
        <v>102</v>
      </c>
      <c r="O483" t="s">
        <v>32</v>
      </c>
      <c r="P483" t="s">
        <v>80</v>
      </c>
      <c r="Q483">
        <v>2</v>
      </c>
      <c r="R483" s="3">
        <f t="shared" si="42"/>
        <v>1598</v>
      </c>
      <c r="S483" s="3">
        <f t="shared" si="43"/>
        <v>159.80000000000001</v>
      </c>
      <c r="T483" s="3">
        <f t="shared" si="44"/>
        <v>1497.2</v>
      </c>
      <c r="U483" s="3">
        <f t="shared" si="45"/>
        <v>378.60000000000014</v>
      </c>
      <c r="V483" s="4">
        <f t="shared" si="46"/>
        <v>0.25287202778519913</v>
      </c>
      <c r="W483" t="str">
        <f t="shared" si="47"/>
        <v>Jun</v>
      </c>
    </row>
    <row r="484" spans="1:23" x14ac:dyDescent="0.25">
      <c r="A484" t="s">
        <v>829</v>
      </c>
      <c r="B484" t="s">
        <v>765</v>
      </c>
      <c r="C484" s="2">
        <v>45788.477777777778</v>
      </c>
      <c r="D484" t="s">
        <v>96</v>
      </c>
      <c r="E484" t="s">
        <v>97</v>
      </c>
      <c r="F484" t="s">
        <v>98</v>
      </c>
      <c r="G484" t="s">
        <v>99</v>
      </c>
      <c r="H484">
        <v>4</v>
      </c>
      <c r="I484" s="3">
        <v>1499</v>
      </c>
      <c r="J484" s="4">
        <v>0.1</v>
      </c>
      <c r="K484" s="3">
        <v>0</v>
      </c>
      <c r="L484" t="s">
        <v>83</v>
      </c>
      <c r="M484" t="s">
        <v>84</v>
      </c>
      <c r="N484" t="s">
        <v>71</v>
      </c>
      <c r="O484" t="s">
        <v>32</v>
      </c>
      <c r="P484" t="s">
        <v>52</v>
      </c>
      <c r="Q484">
        <v>1</v>
      </c>
      <c r="R484" s="3">
        <f t="shared" si="42"/>
        <v>5996</v>
      </c>
      <c r="S484" s="3">
        <f t="shared" si="43"/>
        <v>599.6</v>
      </c>
      <c r="T484" s="3">
        <f t="shared" si="44"/>
        <v>5396.4</v>
      </c>
      <c r="U484" s="3">
        <f t="shared" si="45"/>
        <v>1199.1999999999998</v>
      </c>
      <c r="V484" s="4">
        <f t="shared" si="46"/>
        <v>0.22222222222222221</v>
      </c>
      <c r="W484" t="str">
        <f t="shared" si="47"/>
        <v>May</v>
      </c>
    </row>
    <row r="485" spans="1:23" x14ac:dyDescent="0.25">
      <c r="A485" t="s">
        <v>830</v>
      </c>
      <c r="B485" t="s">
        <v>745</v>
      </c>
      <c r="C485" s="2">
        <v>45812.013194444437</v>
      </c>
      <c r="D485" t="s">
        <v>62</v>
      </c>
      <c r="E485" t="s">
        <v>63</v>
      </c>
      <c r="F485" t="s">
        <v>46</v>
      </c>
      <c r="G485" t="s">
        <v>64</v>
      </c>
      <c r="H485">
        <v>5</v>
      </c>
      <c r="I485" s="3">
        <v>699</v>
      </c>
      <c r="J485" s="4">
        <v>0</v>
      </c>
      <c r="K485" s="3">
        <v>59</v>
      </c>
      <c r="L485" t="s">
        <v>100</v>
      </c>
      <c r="M485" t="s">
        <v>101</v>
      </c>
      <c r="N485" t="s">
        <v>71</v>
      </c>
      <c r="O485" t="s">
        <v>32</v>
      </c>
      <c r="P485" t="s">
        <v>33</v>
      </c>
      <c r="Q485">
        <v>5</v>
      </c>
      <c r="R485" s="3">
        <f t="shared" si="42"/>
        <v>3495</v>
      </c>
      <c r="S485" s="3">
        <f t="shared" si="43"/>
        <v>0</v>
      </c>
      <c r="T485" s="3">
        <f t="shared" si="44"/>
        <v>3554</v>
      </c>
      <c r="U485" s="3">
        <f t="shared" si="45"/>
        <v>1107.5</v>
      </c>
      <c r="V485" s="4">
        <f t="shared" si="46"/>
        <v>0.31162070906021383</v>
      </c>
      <c r="W485" t="str">
        <f t="shared" si="47"/>
        <v>Jun</v>
      </c>
    </row>
    <row r="486" spans="1:23" x14ac:dyDescent="0.25">
      <c r="A486" t="s">
        <v>831</v>
      </c>
      <c r="B486" t="s">
        <v>345</v>
      </c>
      <c r="C486" s="2">
        <v>45737.126388888893</v>
      </c>
      <c r="D486" t="s">
        <v>62</v>
      </c>
      <c r="E486" t="s">
        <v>63</v>
      </c>
      <c r="F486" t="s">
        <v>46</v>
      </c>
      <c r="G486" t="s">
        <v>64</v>
      </c>
      <c r="H486">
        <v>4</v>
      </c>
      <c r="I486" s="3">
        <v>699</v>
      </c>
      <c r="J486" s="4"/>
      <c r="K486" s="3">
        <v>49</v>
      </c>
      <c r="L486" t="s">
        <v>125</v>
      </c>
      <c r="M486" t="s">
        <v>126</v>
      </c>
      <c r="N486" t="s">
        <v>71</v>
      </c>
      <c r="O486" t="s">
        <v>51</v>
      </c>
      <c r="P486" t="s">
        <v>52</v>
      </c>
      <c r="Q486">
        <v>5</v>
      </c>
      <c r="R486" s="3">
        <f t="shared" si="42"/>
        <v>2796</v>
      </c>
      <c r="S486" s="3">
        <f t="shared" si="43"/>
        <v>0</v>
      </c>
      <c r="T486" s="3">
        <f t="shared" si="44"/>
        <v>2845</v>
      </c>
      <c r="U486" s="3">
        <f t="shared" si="45"/>
        <v>887.80000000000018</v>
      </c>
      <c r="V486" s="4">
        <f t="shared" si="46"/>
        <v>0.3120562390158173</v>
      </c>
      <c r="W486" t="str">
        <f t="shared" si="47"/>
        <v>Mar</v>
      </c>
    </row>
    <row r="487" spans="1:23" x14ac:dyDescent="0.25">
      <c r="A487" t="s">
        <v>832</v>
      </c>
      <c r="C487" s="2">
        <v>45811.10833333333</v>
      </c>
      <c r="D487" t="s">
        <v>67</v>
      </c>
      <c r="E487" t="s">
        <v>68</v>
      </c>
      <c r="F487" t="s">
        <v>37</v>
      </c>
      <c r="G487" t="s">
        <v>38</v>
      </c>
      <c r="H487">
        <v>1</v>
      </c>
      <c r="I487" s="3">
        <v>1299</v>
      </c>
      <c r="J487" s="4">
        <v>0.15</v>
      </c>
      <c r="K487" s="3">
        <v>49</v>
      </c>
      <c r="L487" t="s">
        <v>113</v>
      </c>
      <c r="M487" t="s">
        <v>114</v>
      </c>
      <c r="N487" t="s">
        <v>71</v>
      </c>
      <c r="O487" t="s">
        <v>59</v>
      </c>
      <c r="P487" t="s">
        <v>52</v>
      </c>
      <c r="Q487">
        <v>2</v>
      </c>
      <c r="R487" s="3">
        <f t="shared" si="42"/>
        <v>1299</v>
      </c>
      <c r="S487" s="3">
        <f t="shared" si="43"/>
        <v>194.85</v>
      </c>
      <c r="T487" s="3">
        <f t="shared" si="44"/>
        <v>1153.1500000000001</v>
      </c>
      <c r="U487" s="3">
        <f t="shared" si="45"/>
        <v>243.85000000000014</v>
      </c>
      <c r="V487" s="4">
        <f t="shared" si="46"/>
        <v>0.21146425009755895</v>
      </c>
      <c r="W487" t="str">
        <f t="shared" si="47"/>
        <v>Jun</v>
      </c>
    </row>
    <row r="488" spans="1:23" x14ac:dyDescent="0.25">
      <c r="A488" t="s">
        <v>833</v>
      </c>
      <c r="B488" t="s">
        <v>450</v>
      </c>
      <c r="C488" s="2">
        <v>45706.820138888892</v>
      </c>
      <c r="D488" t="s">
        <v>90</v>
      </c>
      <c r="E488" t="s">
        <v>91</v>
      </c>
      <c r="F488" t="s">
        <v>37</v>
      </c>
      <c r="G488" t="s">
        <v>92</v>
      </c>
      <c r="H488">
        <v>3</v>
      </c>
      <c r="I488" s="3">
        <v>3499</v>
      </c>
      <c r="J488" s="4">
        <v>0</v>
      </c>
      <c r="K488" s="3">
        <v>99</v>
      </c>
      <c r="L488" t="s">
        <v>125</v>
      </c>
      <c r="M488" t="s">
        <v>126</v>
      </c>
      <c r="N488" t="s">
        <v>31</v>
      </c>
      <c r="O488" t="s">
        <v>93</v>
      </c>
      <c r="P488" t="s">
        <v>33</v>
      </c>
      <c r="R488" s="3">
        <f t="shared" si="42"/>
        <v>10497</v>
      </c>
      <c r="S488" s="3">
        <f t="shared" si="43"/>
        <v>0</v>
      </c>
      <c r="T488" s="3">
        <f t="shared" si="44"/>
        <v>10596</v>
      </c>
      <c r="U488" s="3">
        <f t="shared" si="45"/>
        <v>3248.1000000000004</v>
      </c>
      <c r="V488" s="4">
        <f t="shared" si="46"/>
        <v>0.30654020385050967</v>
      </c>
      <c r="W488" t="str">
        <f t="shared" si="47"/>
        <v>Feb</v>
      </c>
    </row>
    <row r="489" spans="1:23" x14ac:dyDescent="0.25">
      <c r="A489" t="s">
        <v>834</v>
      </c>
      <c r="B489" t="s">
        <v>835</v>
      </c>
      <c r="C489" s="2">
        <v>45880.582638888889</v>
      </c>
      <c r="D489" t="s">
        <v>169</v>
      </c>
      <c r="E489" t="s">
        <v>170</v>
      </c>
      <c r="F489" t="s">
        <v>98</v>
      </c>
      <c r="G489" t="s">
        <v>171</v>
      </c>
      <c r="H489">
        <v>3</v>
      </c>
      <c r="I489" s="3">
        <v>799</v>
      </c>
      <c r="J489" s="4">
        <v>0</v>
      </c>
      <c r="K489" s="3">
        <v>99</v>
      </c>
      <c r="L489" t="s">
        <v>74</v>
      </c>
      <c r="M489" t="s">
        <v>49</v>
      </c>
      <c r="N489" t="s">
        <v>40</v>
      </c>
      <c r="O489" t="s">
        <v>93</v>
      </c>
      <c r="P489" t="s">
        <v>33</v>
      </c>
      <c r="Q489">
        <v>3</v>
      </c>
      <c r="R489" s="3">
        <f t="shared" si="42"/>
        <v>2397</v>
      </c>
      <c r="S489" s="3">
        <f t="shared" si="43"/>
        <v>0</v>
      </c>
      <c r="T489" s="3">
        <f t="shared" si="44"/>
        <v>2496</v>
      </c>
      <c r="U489" s="3">
        <f t="shared" si="45"/>
        <v>818.10000000000014</v>
      </c>
      <c r="V489" s="4">
        <f t="shared" si="46"/>
        <v>0.32776442307692311</v>
      </c>
      <c r="W489" t="str">
        <f t="shared" si="47"/>
        <v>Aug</v>
      </c>
    </row>
    <row r="490" spans="1:23" x14ac:dyDescent="0.25">
      <c r="A490" t="s">
        <v>836</v>
      </c>
      <c r="B490" t="s">
        <v>837</v>
      </c>
      <c r="C490" s="2">
        <v>45947.180555555547</v>
      </c>
      <c r="D490" t="s">
        <v>62</v>
      </c>
      <c r="E490" t="s">
        <v>63</v>
      </c>
      <c r="F490" t="s">
        <v>46</v>
      </c>
      <c r="G490" t="s">
        <v>64</v>
      </c>
      <c r="H490">
        <v>1</v>
      </c>
      <c r="I490" s="3">
        <v>699</v>
      </c>
      <c r="J490" s="4">
        <v>0.2</v>
      </c>
      <c r="K490" s="3">
        <v>49</v>
      </c>
      <c r="L490" t="s">
        <v>39</v>
      </c>
      <c r="M490" t="s">
        <v>39</v>
      </c>
      <c r="N490" t="s">
        <v>31</v>
      </c>
      <c r="O490" t="s">
        <v>59</v>
      </c>
      <c r="P490" t="s">
        <v>85</v>
      </c>
      <c r="Q490">
        <v>4</v>
      </c>
      <c r="R490" s="3">
        <f t="shared" si="42"/>
        <v>699</v>
      </c>
      <c r="S490" s="3">
        <f t="shared" si="43"/>
        <v>139.80000000000001</v>
      </c>
      <c r="T490" s="3">
        <f t="shared" si="44"/>
        <v>608.20000000000005</v>
      </c>
      <c r="U490" s="3">
        <f t="shared" si="45"/>
        <v>118.90000000000009</v>
      </c>
      <c r="V490" s="4">
        <f t="shared" si="46"/>
        <v>0.19549490299243683</v>
      </c>
      <c r="W490" t="str">
        <f t="shared" si="47"/>
        <v>Oct</v>
      </c>
    </row>
    <row r="491" spans="1:23" x14ac:dyDescent="0.25">
      <c r="A491" t="s">
        <v>838</v>
      </c>
      <c r="B491" t="s">
        <v>539</v>
      </c>
      <c r="C491" s="2">
        <v>45771.554166666669</v>
      </c>
      <c r="D491" t="s">
        <v>44</v>
      </c>
      <c r="E491" t="s">
        <v>45</v>
      </c>
      <c r="F491" t="s">
        <v>46</v>
      </c>
      <c r="G491" t="s">
        <v>47</v>
      </c>
      <c r="H491">
        <v>2</v>
      </c>
      <c r="I491" s="3">
        <v>1199</v>
      </c>
      <c r="J491" s="4">
        <v>0</v>
      </c>
      <c r="K491" s="3">
        <v>49</v>
      </c>
      <c r="L491" t="s">
        <v>125</v>
      </c>
      <c r="M491" t="s">
        <v>126</v>
      </c>
      <c r="N491" t="s">
        <v>31</v>
      </c>
      <c r="O491" t="s">
        <v>59</v>
      </c>
      <c r="P491" t="s">
        <v>52</v>
      </c>
      <c r="Q491">
        <v>5</v>
      </c>
      <c r="R491" s="3">
        <f t="shared" si="42"/>
        <v>2398</v>
      </c>
      <c r="S491" s="3">
        <f t="shared" si="43"/>
        <v>0</v>
      </c>
      <c r="T491" s="3">
        <f t="shared" si="44"/>
        <v>2447</v>
      </c>
      <c r="U491" s="3">
        <f t="shared" si="45"/>
        <v>768.40000000000009</v>
      </c>
      <c r="V491" s="4">
        <f t="shared" si="46"/>
        <v>0.31401716387413164</v>
      </c>
      <c r="W491" t="str">
        <f t="shared" si="47"/>
        <v>Apr</v>
      </c>
    </row>
    <row r="492" spans="1:23" x14ac:dyDescent="0.25">
      <c r="A492" t="s">
        <v>839</v>
      </c>
      <c r="B492" t="s">
        <v>255</v>
      </c>
      <c r="C492" s="2">
        <v>45792.100694444453</v>
      </c>
      <c r="D492" t="s">
        <v>77</v>
      </c>
      <c r="E492" t="s">
        <v>78</v>
      </c>
      <c r="F492" t="s">
        <v>79</v>
      </c>
      <c r="G492" t="s">
        <v>28</v>
      </c>
      <c r="H492">
        <v>2</v>
      </c>
      <c r="I492" s="3">
        <v>6499</v>
      </c>
      <c r="J492" s="4">
        <v>0.1</v>
      </c>
      <c r="K492" s="3">
        <v>49</v>
      </c>
      <c r="L492" t="s">
        <v>39</v>
      </c>
      <c r="M492" t="s">
        <v>39</v>
      </c>
      <c r="N492" t="s">
        <v>40</v>
      </c>
      <c r="O492" t="s">
        <v>32</v>
      </c>
      <c r="P492" t="s">
        <v>85</v>
      </c>
      <c r="Q492">
        <v>2</v>
      </c>
      <c r="R492" s="3">
        <f t="shared" si="42"/>
        <v>12998</v>
      </c>
      <c r="S492" s="3">
        <f t="shared" si="43"/>
        <v>1299.8000000000002</v>
      </c>
      <c r="T492" s="3">
        <f t="shared" si="44"/>
        <v>11747.2</v>
      </c>
      <c r="U492" s="3">
        <f t="shared" si="45"/>
        <v>2648.6000000000022</v>
      </c>
      <c r="V492" s="4">
        <f t="shared" si="46"/>
        <v>0.22546649414328537</v>
      </c>
      <c r="W492" t="str">
        <f t="shared" si="47"/>
        <v>May</v>
      </c>
    </row>
    <row r="493" spans="1:23" x14ac:dyDescent="0.25">
      <c r="A493" t="s">
        <v>840</v>
      </c>
      <c r="B493" t="s">
        <v>571</v>
      </c>
      <c r="C493" s="2">
        <v>45758.73541666667</v>
      </c>
      <c r="D493" t="s">
        <v>90</v>
      </c>
      <c r="E493" t="s">
        <v>91</v>
      </c>
      <c r="F493" t="s">
        <v>37</v>
      </c>
      <c r="G493" t="s">
        <v>92</v>
      </c>
      <c r="H493">
        <v>2</v>
      </c>
      <c r="I493" s="3">
        <v>3499</v>
      </c>
      <c r="J493" s="4">
        <v>0.15</v>
      </c>
      <c r="K493" s="3">
        <v>49</v>
      </c>
      <c r="L493" t="s">
        <v>57</v>
      </c>
      <c r="M493" t="s">
        <v>58</v>
      </c>
      <c r="N493" t="s">
        <v>31</v>
      </c>
      <c r="O493" t="s">
        <v>51</v>
      </c>
      <c r="P493" t="s">
        <v>80</v>
      </c>
      <c r="R493" s="3">
        <f t="shared" si="42"/>
        <v>6998</v>
      </c>
      <c r="S493" s="3">
        <f t="shared" si="43"/>
        <v>1049.7</v>
      </c>
      <c r="T493" s="3">
        <f t="shared" si="44"/>
        <v>5997.3</v>
      </c>
      <c r="U493" s="3">
        <f t="shared" si="45"/>
        <v>1098.7000000000007</v>
      </c>
      <c r="V493" s="4">
        <f t="shared" si="46"/>
        <v>0.18319910626448579</v>
      </c>
      <c r="W493" t="str">
        <f t="shared" si="47"/>
        <v>Apr</v>
      </c>
    </row>
    <row r="494" spans="1:23" x14ac:dyDescent="0.25">
      <c r="A494" t="s">
        <v>841</v>
      </c>
      <c r="B494" t="s">
        <v>842</v>
      </c>
      <c r="C494" s="2">
        <v>45952.088194444441</v>
      </c>
      <c r="D494" t="s">
        <v>96</v>
      </c>
      <c r="E494" t="s">
        <v>97</v>
      </c>
      <c r="F494" t="s">
        <v>98</v>
      </c>
      <c r="G494" t="s">
        <v>99</v>
      </c>
      <c r="H494">
        <v>2</v>
      </c>
      <c r="I494" s="3">
        <v>1499</v>
      </c>
      <c r="J494" s="4">
        <v>0.1</v>
      </c>
      <c r="K494" s="3">
        <v>79</v>
      </c>
      <c r="L494" t="s">
        <v>74</v>
      </c>
      <c r="M494" t="s">
        <v>49</v>
      </c>
      <c r="N494" t="s">
        <v>71</v>
      </c>
      <c r="O494" t="s">
        <v>41</v>
      </c>
      <c r="P494" t="s">
        <v>80</v>
      </c>
      <c r="Q494">
        <v>3</v>
      </c>
      <c r="R494" s="3">
        <f t="shared" si="42"/>
        <v>2998</v>
      </c>
      <c r="S494" s="3">
        <f t="shared" si="43"/>
        <v>299.8</v>
      </c>
      <c r="T494" s="3">
        <f t="shared" si="44"/>
        <v>2777.2</v>
      </c>
      <c r="U494" s="3">
        <f t="shared" si="45"/>
        <v>678.59999999999991</v>
      </c>
      <c r="V494" s="4">
        <f t="shared" si="46"/>
        <v>0.24434682413942099</v>
      </c>
      <c r="W494" t="str">
        <f t="shared" si="47"/>
        <v>Oct</v>
      </c>
    </row>
    <row r="495" spans="1:23" x14ac:dyDescent="0.25">
      <c r="A495" t="s">
        <v>843</v>
      </c>
      <c r="B495" t="s">
        <v>358</v>
      </c>
      <c r="C495" s="2">
        <v>45814.223611111112</v>
      </c>
      <c r="D495" t="s">
        <v>169</v>
      </c>
      <c r="E495" t="s">
        <v>170</v>
      </c>
      <c r="F495" t="s">
        <v>98</v>
      </c>
      <c r="G495" t="s">
        <v>171</v>
      </c>
      <c r="H495">
        <v>2</v>
      </c>
      <c r="I495" s="3">
        <v>799</v>
      </c>
      <c r="J495" s="4">
        <v>0.1</v>
      </c>
      <c r="K495" s="3">
        <v>99</v>
      </c>
      <c r="L495" t="s">
        <v>125</v>
      </c>
      <c r="M495" t="s">
        <v>126</v>
      </c>
      <c r="N495" t="s">
        <v>40</v>
      </c>
      <c r="O495" t="s">
        <v>93</v>
      </c>
      <c r="P495" t="s">
        <v>85</v>
      </c>
      <c r="R495" s="3">
        <f t="shared" si="42"/>
        <v>1598</v>
      </c>
      <c r="S495" s="3">
        <f t="shared" si="43"/>
        <v>159.80000000000001</v>
      </c>
      <c r="T495" s="3">
        <f t="shared" si="44"/>
        <v>1537.2</v>
      </c>
      <c r="U495" s="3">
        <f t="shared" si="45"/>
        <v>418.60000000000014</v>
      </c>
      <c r="V495" s="4">
        <f t="shared" si="46"/>
        <v>0.2723132969034609</v>
      </c>
      <c r="W495" t="str">
        <f t="shared" si="47"/>
        <v>Jun</v>
      </c>
    </row>
    <row r="496" spans="1:23" x14ac:dyDescent="0.25">
      <c r="A496" t="s">
        <v>844</v>
      </c>
      <c r="B496" t="s">
        <v>571</v>
      </c>
      <c r="C496" s="2">
        <v>45737.995833333327</v>
      </c>
      <c r="D496" t="s">
        <v>67</v>
      </c>
      <c r="E496" t="s">
        <v>68</v>
      </c>
      <c r="F496" t="s">
        <v>37</v>
      </c>
      <c r="G496" t="s">
        <v>38</v>
      </c>
      <c r="H496">
        <v>2</v>
      </c>
      <c r="I496" s="3">
        <v>1299</v>
      </c>
      <c r="J496" s="4">
        <v>0</v>
      </c>
      <c r="K496" s="3">
        <v>0</v>
      </c>
      <c r="L496" t="s">
        <v>113</v>
      </c>
      <c r="M496" t="s">
        <v>114</v>
      </c>
      <c r="N496" t="s">
        <v>102</v>
      </c>
      <c r="O496" t="s">
        <v>41</v>
      </c>
      <c r="P496" t="s">
        <v>33</v>
      </c>
      <c r="R496" s="3">
        <f t="shared" si="42"/>
        <v>2598</v>
      </c>
      <c r="S496" s="3">
        <f t="shared" si="43"/>
        <v>0</v>
      </c>
      <c r="T496" s="3">
        <f t="shared" si="44"/>
        <v>2598</v>
      </c>
      <c r="U496" s="3">
        <f t="shared" si="45"/>
        <v>779.40000000000009</v>
      </c>
      <c r="V496" s="4">
        <f t="shared" si="46"/>
        <v>0.30000000000000004</v>
      </c>
      <c r="W496" t="str">
        <f t="shared" si="47"/>
        <v>Mar</v>
      </c>
    </row>
    <row r="497" spans="1:23" x14ac:dyDescent="0.25">
      <c r="A497" t="s">
        <v>845</v>
      </c>
      <c r="B497" t="s">
        <v>148</v>
      </c>
      <c r="C497" s="2">
        <v>45714.394444444442</v>
      </c>
      <c r="D497" t="s">
        <v>110</v>
      </c>
      <c r="E497" t="s">
        <v>111</v>
      </c>
      <c r="F497" t="s">
        <v>98</v>
      </c>
      <c r="G497" t="s">
        <v>112</v>
      </c>
      <c r="H497">
        <v>1</v>
      </c>
      <c r="I497" s="3">
        <v>2999</v>
      </c>
      <c r="J497" s="4">
        <v>0</v>
      </c>
      <c r="K497" s="3">
        <v>59</v>
      </c>
      <c r="L497" t="s">
        <v>39</v>
      </c>
      <c r="M497" t="s">
        <v>39</v>
      </c>
      <c r="N497" t="s">
        <v>102</v>
      </c>
      <c r="O497" t="s">
        <v>458</v>
      </c>
      <c r="P497" t="s">
        <v>52</v>
      </c>
      <c r="Q497">
        <v>2</v>
      </c>
      <c r="R497" s="3">
        <f t="shared" si="42"/>
        <v>2999</v>
      </c>
      <c r="S497" s="3">
        <f t="shared" si="43"/>
        <v>0</v>
      </c>
      <c r="T497" s="3">
        <f t="shared" si="44"/>
        <v>3058</v>
      </c>
      <c r="U497" s="3">
        <f t="shared" si="45"/>
        <v>958.70000000000027</v>
      </c>
      <c r="V497" s="4">
        <f t="shared" si="46"/>
        <v>0.31350555918901252</v>
      </c>
      <c r="W497" t="str">
        <f t="shared" si="47"/>
        <v>Feb</v>
      </c>
    </row>
    <row r="498" spans="1:23" x14ac:dyDescent="0.25">
      <c r="A498" t="s">
        <v>846</v>
      </c>
      <c r="B498" t="s">
        <v>347</v>
      </c>
      <c r="C498" s="2">
        <v>45938.652083333327</v>
      </c>
      <c r="D498" t="s">
        <v>62</v>
      </c>
      <c r="E498" t="s">
        <v>63</v>
      </c>
      <c r="F498" t="s">
        <v>46</v>
      </c>
      <c r="G498" t="s">
        <v>64</v>
      </c>
      <c r="H498">
        <v>3</v>
      </c>
      <c r="I498" s="3">
        <v>699</v>
      </c>
      <c r="J498" s="4">
        <v>0</v>
      </c>
      <c r="K498" s="3">
        <v>0</v>
      </c>
      <c r="L498" t="s">
        <v>83</v>
      </c>
      <c r="M498" t="s">
        <v>84</v>
      </c>
      <c r="N498" t="s">
        <v>102</v>
      </c>
      <c r="O498" t="s">
        <v>32</v>
      </c>
      <c r="P498" t="s">
        <v>80</v>
      </c>
      <c r="Q498">
        <v>1</v>
      </c>
      <c r="R498" s="3">
        <f t="shared" si="42"/>
        <v>2097</v>
      </c>
      <c r="S498" s="3">
        <f t="shared" si="43"/>
        <v>0</v>
      </c>
      <c r="T498" s="3">
        <f t="shared" si="44"/>
        <v>2097</v>
      </c>
      <c r="U498" s="3">
        <f t="shared" si="45"/>
        <v>629.10000000000014</v>
      </c>
      <c r="V498" s="4">
        <f t="shared" si="46"/>
        <v>0.30000000000000004</v>
      </c>
      <c r="W498" t="str">
        <f t="shared" si="47"/>
        <v>Oct</v>
      </c>
    </row>
    <row r="499" spans="1:23" x14ac:dyDescent="0.25">
      <c r="A499" t="s">
        <v>847</v>
      </c>
      <c r="B499" t="s">
        <v>146</v>
      </c>
      <c r="C499" s="2">
        <v>45760.943749999999</v>
      </c>
      <c r="D499" t="s">
        <v>110</v>
      </c>
      <c r="E499" t="s">
        <v>111</v>
      </c>
      <c r="F499" t="s">
        <v>98</v>
      </c>
      <c r="G499" t="s">
        <v>112</v>
      </c>
      <c r="H499">
        <v>1</v>
      </c>
      <c r="I499" s="3">
        <v>2999</v>
      </c>
      <c r="J499" s="4">
        <v>0</v>
      </c>
      <c r="K499" s="3">
        <v>79</v>
      </c>
      <c r="L499" t="s">
        <v>100</v>
      </c>
      <c r="M499" t="s">
        <v>101</v>
      </c>
      <c r="N499" t="s">
        <v>31</v>
      </c>
      <c r="O499" t="s">
        <v>59</v>
      </c>
      <c r="P499" t="s">
        <v>33</v>
      </c>
      <c r="R499" s="3">
        <f t="shared" si="42"/>
        <v>2999</v>
      </c>
      <c r="S499" s="3">
        <f t="shared" si="43"/>
        <v>0</v>
      </c>
      <c r="T499" s="3">
        <f t="shared" si="44"/>
        <v>3078</v>
      </c>
      <c r="U499" s="3">
        <f t="shared" si="45"/>
        <v>978.70000000000027</v>
      </c>
      <c r="V499" s="4">
        <f t="shared" si="46"/>
        <v>0.31796621182586104</v>
      </c>
      <c r="W499" t="str">
        <f t="shared" si="47"/>
        <v>Apr</v>
      </c>
    </row>
    <row r="500" spans="1:23" x14ac:dyDescent="0.25">
      <c r="A500" t="s">
        <v>848</v>
      </c>
      <c r="B500" t="s">
        <v>70</v>
      </c>
      <c r="C500" s="2">
        <v>45667.413194444453</v>
      </c>
      <c r="D500" t="s">
        <v>110</v>
      </c>
      <c r="E500" t="s">
        <v>111</v>
      </c>
      <c r="F500" t="s">
        <v>98</v>
      </c>
      <c r="G500" t="s">
        <v>112</v>
      </c>
      <c r="H500">
        <v>3</v>
      </c>
      <c r="I500" s="3">
        <v>2999</v>
      </c>
      <c r="J500" s="4">
        <v>0.1</v>
      </c>
      <c r="K500" s="3">
        <v>49</v>
      </c>
      <c r="L500" t="s">
        <v>74</v>
      </c>
      <c r="M500" t="s">
        <v>49</v>
      </c>
      <c r="N500" t="s">
        <v>253</v>
      </c>
      <c r="O500" t="s">
        <v>93</v>
      </c>
      <c r="P500" t="s">
        <v>80</v>
      </c>
      <c r="Q500">
        <v>3</v>
      </c>
      <c r="R500" s="3">
        <f t="shared" si="42"/>
        <v>8997</v>
      </c>
      <c r="S500" s="3">
        <f t="shared" si="43"/>
        <v>899.7</v>
      </c>
      <c r="T500" s="3">
        <f t="shared" si="44"/>
        <v>8146.3</v>
      </c>
      <c r="U500" s="3">
        <f t="shared" si="45"/>
        <v>1848.4000000000005</v>
      </c>
      <c r="V500" s="4">
        <f t="shared" si="46"/>
        <v>0.22690055608067472</v>
      </c>
      <c r="W500" t="str">
        <f t="shared" si="47"/>
        <v>Jan</v>
      </c>
    </row>
    <row r="501" spans="1:23" x14ac:dyDescent="0.25">
      <c r="A501" t="s">
        <v>849</v>
      </c>
      <c r="B501" t="s">
        <v>154</v>
      </c>
      <c r="C501" s="2">
        <v>45753.272222222222</v>
      </c>
      <c r="D501" t="s">
        <v>90</v>
      </c>
      <c r="E501" t="s">
        <v>91</v>
      </c>
      <c r="F501" t="s">
        <v>37</v>
      </c>
      <c r="G501" t="s">
        <v>92</v>
      </c>
      <c r="H501">
        <v>2</v>
      </c>
      <c r="I501" s="3">
        <v>3499</v>
      </c>
      <c r="J501" s="4">
        <v>0.15</v>
      </c>
      <c r="K501" s="3">
        <v>0</v>
      </c>
      <c r="L501" t="s">
        <v>125</v>
      </c>
      <c r="M501" t="s">
        <v>126</v>
      </c>
      <c r="N501" t="s">
        <v>50</v>
      </c>
      <c r="O501" t="s">
        <v>32</v>
      </c>
      <c r="P501" t="s">
        <v>52</v>
      </c>
      <c r="Q501">
        <v>3</v>
      </c>
      <c r="R501" s="3">
        <f t="shared" si="42"/>
        <v>6998</v>
      </c>
      <c r="S501" s="3">
        <f t="shared" si="43"/>
        <v>1049.7</v>
      </c>
      <c r="T501" s="3">
        <f t="shared" si="44"/>
        <v>5948.3</v>
      </c>
      <c r="U501" s="3">
        <f t="shared" si="45"/>
        <v>1049.7000000000007</v>
      </c>
      <c r="V501" s="4">
        <f t="shared" si="46"/>
        <v>0.17647058823529424</v>
      </c>
      <c r="W501" t="str">
        <f t="shared" si="47"/>
        <v>Apr</v>
      </c>
    </row>
    <row r="502" spans="1:23" x14ac:dyDescent="0.25">
      <c r="A502" t="s">
        <v>850</v>
      </c>
      <c r="B502" t="s">
        <v>296</v>
      </c>
      <c r="C502" s="2">
        <v>45738.015277777777</v>
      </c>
      <c r="D502" t="s">
        <v>169</v>
      </c>
      <c r="E502" t="s">
        <v>170</v>
      </c>
      <c r="F502" t="s">
        <v>98</v>
      </c>
      <c r="G502" t="s">
        <v>171</v>
      </c>
      <c r="H502">
        <v>1</v>
      </c>
      <c r="I502" s="3">
        <v>799</v>
      </c>
      <c r="J502" s="4">
        <v>0.05</v>
      </c>
      <c r="K502" s="3">
        <v>59</v>
      </c>
      <c r="L502" t="s">
        <v>119</v>
      </c>
      <c r="M502" t="s">
        <v>120</v>
      </c>
      <c r="N502" t="s">
        <v>50</v>
      </c>
      <c r="O502" t="s">
        <v>32</v>
      </c>
      <c r="P502" t="s">
        <v>80</v>
      </c>
      <c r="Q502">
        <v>3</v>
      </c>
      <c r="R502" s="3">
        <f t="shared" si="42"/>
        <v>799</v>
      </c>
      <c r="S502" s="3">
        <f t="shared" si="43"/>
        <v>39.950000000000003</v>
      </c>
      <c r="T502" s="3">
        <f t="shared" si="44"/>
        <v>818.05</v>
      </c>
      <c r="U502" s="3">
        <f t="shared" si="45"/>
        <v>258.75</v>
      </c>
      <c r="V502" s="4">
        <f t="shared" si="46"/>
        <v>0.31630095959904653</v>
      </c>
      <c r="W502" t="str">
        <f t="shared" si="47"/>
        <v>Mar</v>
      </c>
    </row>
    <row r="503" spans="1:23" x14ac:dyDescent="0.25">
      <c r="A503" t="s">
        <v>851</v>
      </c>
      <c r="B503" t="s">
        <v>852</v>
      </c>
      <c r="C503" s="2">
        <v>45673.720138888893</v>
      </c>
      <c r="D503" t="s">
        <v>35</v>
      </c>
      <c r="E503" t="s">
        <v>36</v>
      </c>
      <c r="F503" t="s">
        <v>37</v>
      </c>
      <c r="G503" t="s">
        <v>38</v>
      </c>
      <c r="H503">
        <v>3</v>
      </c>
      <c r="I503" s="3">
        <v>599</v>
      </c>
      <c r="J503" s="4">
        <v>0</v>
      </c>
      <c r="K503" s="3">
        <v>59</v>
      </c>
      <c r="L503" t="s">
        <v>48</v>
      </c>
      <c r="M503" t="s">
        <v>49</v>
      </c>
      <c r="N503" t="s">
        <v>50</v>
      </c>
      <c r="O503" t="s">
        <v>93</v>
      </c>
      <c r="P503" t="s">
        <v>33</v>
      </c>
      <c r="R503" s="3">
        <f t="shared" si="42"/>
        <v>1797</v>
      </c>
      <c r="S503" s="3">
        <f t="shared" si="43"/>
        <v>0</v>
      </c>
      <c r="T503" s="3">
        <f t="shared" si="44"/>
        <v>1856</v>
      </c>
      <c r="U503" s="3">
        <f t="shared" si="45"/>
        <v>598.10000000000014</v>
      </c>
      <c r="V503" s="4">
        <f t="shared" si="46"/>
        <v>0.32225215517241385</v>
      </c>
      <c r="W503" t="str">
        <f t="shared" si="47"/>
        <v>Jan</v>
      </c>
    </row>
    <row r="504" spans="1:23" x14ac:dyDescent="0.25">
      <c r="A504" t="s">
        <v>853</v>
      </c>
      <c r="B504" t="s">
        <v>226</v>
      </c>
      <c r="C504" s="2">
        <v>45971.863194444442</v>
      </c>
      <c r="D504" t="s">
        <v>96</v>
      </c>
      <c r="E504" t="s">
        <v>97</v>
      </c>
      <c r="F504" t="s">
        <v>98</v>
      </c>
      <c r="G504" t="s">
        <v>99</v>
      </c>
      <c r="H504">
        <v>4</v>
      </c>
      <c r="I504" s="3">
        <v>1499</v>
      </c>
      <c r="J504" s="4">
        <v>0.1</v>
      </c>
      <c r="K504" s="3">
        <v>49</v>
      </c>
      <c r="L504" t="s">
        <v>83</v>
      </c>
      <c r="M504" t="s">
        <v>84</v>
      </c>
      <c r="N504" t="s">
        <v>50</v>
      </c>
      <c r="O504" t="s">
        <v>59</v>
      </c>
      <c r="P504" t="s">
        <v>33</v>
      </c>
      <c r="Q504">
        <v>3</v>
      </c>
      <c r="R504" s="3">
        <f t="shared" si="42"/>
        <v>5996</v>
      </c>
      <c r="S504" s="3">
        <f t="shared" si="43"/>
        <v>599.6</v>
      </c>
      <c r="T504" s="3">
        <f t="shared" si="44"/>
        <v>5445.4</v>
      </c>
      <c r="U504" s="3">
        <f t="shared" si="45"/>
        <v>1248.1999999999998</v>
      </c>
      <c r="V504" s="4">
        <f t="shared" si="46"/>
        <v>0.22922099386638262</v>
      </c>
      <c r="W504" t="str">
        <f t="shared" si="47"/>
        <v>Nov</v>
      </c>
    </row>
    <row r="505" spans="1:23" x14ac:dyDescent="0.25">
      <c r="A505" t="s">
        <v>854</v>
      </c>
      <c r="B505" t="s">
        <v>428</v>
      </c>
      <c r="C505" s="2">
        <v>45725.27847222222</v>
      </c>
      <c r="D505" t="s">
        <v>44</v>
      </c>
      <c r="E505" t="s">
        <v>45</v>
      </c>
      <c r="F505" t="s">
        <v>46</v>
      </c>
      <c r="G505" t="s">
        <v>47</v>
      </c>
      <c r="H505">
        <v>1</v>
      </c>
      <c r="I505" s="3">
        <v>1199</v>
      </c>
      <c r="J505" s="4">
        <v>0.15</v>
      </c>
      <c r="K505" s="3">
        <v>99</v>
      </c>
      <c r="L505" t="s">
        <v>74</v>
      </c>
      <c r="M505" t="s">
        <v>49</v>
      </c>
      <c r="N505" t="s">
        <v>50</v>
      </c>
      <c r="O505" t="s">
        <v>51</v>
      </c>
      <c r="P505" t="s">
        <v>33</v>
      </c>
      <c r="R505" s="3">
        <f t="shared" si="42"/>
        <v>1199</v>
      </c>
      <c r="S505" s="3">
        <f t="shared" si="43"/>
        <v>179.85</v>
      </c>
      <c r="T505" s="3">
        <f t="shared" si="44"/>
        <v>1118.1500000000001</v>
      </c>
      <c r="U505" s="3">
        <f t="shared" si="45"/>
        <v>278.85000000000014</v>
      </c>
      <c r="V505" s="4">
        <f t="shared" si="46"/>
        <v>0.24938514510575516</v>
      </c>
      <c r="W505" t="str">
        <f t="shared" si="47"/>
        <v>Mar</v>
      </c>
    </row>
    <row r="506" spans="1:23" x14ac:dyDescent="0.25">
      <c r="A506" t="s">
        <v>855</v>
      </c>
      <c r="B506" t="s">
        <v>138</v>
      </c>
      <c r="C506" s="2">
        <v>45878.195138888892</v>
      </c>
      <c r="D506" t="s">
        <v>77</v>
      </c>
      <c r="E506" t="s">
        <v>78</v>
      </c>
      <c r="F506" t="s">
        <v>79</v>
      </c>
      <c r="G506" t="s">
        <v>28</v>
      </c>
      <c r="H506">
        <v>4</v>
      </c>
      <c r="I506" s="3"/>
      <c r="J506" s="4">
        <v>0</v>
      </c>
      <c r="K506" s="3">
        <v>59</v>
      </c>
      <c r="L506" t="s">
        <v>83</v>
      </c>
      <c r="M506" t="s">
        <v>84</v>
      </c>
      <c r="N506" t="s">
        <v>102</v>
      </c>
      <c r="O506" t="s">
        <v>32</v>
      </c>
      <c r="P506" t="s">
        <v>85</v>
      </c>
      <c r="R506" s="3">
        <f t="shared" si="42"/>
        <v>0</v>
      </c>
      <c r="S506" s="3">
        <f t="shared" si="43"/>
        <v>0</v>
      </c>
      <c r="T506" s="3">
        <f t="shared" si="44"/>
        <v>59</v>
      </c>
      <c r="U506" s="3">
        <f t="shared" si="45"/>
        <v>59</v>
      </c>
      <c r="V506" s="4">
        <f t="shared" si="46"/>
        <v>1</v>
      </c>
      <c r="W506" t="str">
        <f t="shared" si="47"/>
        <v>Aug</v>
      </c>
    </row>
    <row r="507" spans="1:23" x14ac:dyDescent="0.25">
      <c r="A507" t="s">
        <v>856</v>
      </c>
      <c r="B507" t="s">
        <v>857</v>
      </c>
      <c r="C507" s="2">
        <v>45732.959027777782</v>
      </c>
      <c r="D507" t="s">
        <v>55</v>
      </c>
      <c r="E507" t="s">
        <v>56</v>
      </c>
      <c r="F507" t="s">
        <v>37</v>
      </c>
      <c r="G507" t="s">
        <v>38</v>
      </c>
      <c r="H507">
        <v>1</v>
      </c>
      <c r="I507" s="3">
        <v>2499</v>
      </c>
      <c r="J507" s="4">
        <v>0.1</v>
      </c>
      <c r="K507" s="3">
        <v>79</v>
      </c>
      <c r="L507" t="s">
        <v>100</v>
      </c>
      <c r="M507" t="s">
        <v>101</v>
      </c>
      <c r="N507" t="s">
        <v>40</v>
      </c>
      <c r="O507" t="s">
        <v>51</v>
      </c>
      <c r="P507" t="s">
        <v>33</v>
      </c>
      <c r="Q507">
        <v>2</v>
      </c>
      <c r="R507" s="3">
        <f t="shared" si="42"/>
        <v>2499</v>
      </c>
      <c r="S507" s="3">
        <f t="shared" si="43"/>
        <v>249.9</v>
      </c>
      <c r="T507" s="3">
        <f t="shared" si="44"/>
        <v>2328.1</v>
      </c>
      <c r="U507" s="3">
        <f t="shared" si="45"/>
        <v>578.79999999999995</v>
      </c>
      <c r="V507" s="4">
        <f t="shared" si="46"/>
        <v>0.24861475022550578</v>
      </c>
      <c r="W507" t="str">
        <f t="shared" si="47"/>
        <v>Mar</v>
      </c>
    </row>
    <row r="508" spans="1:23" x14ac:dyDescent="0.25">
      <c r="A508" t="s">
        <v>858</v>
      </c>
      <c r="B508" t="s">
        <v>236</v>
      </c>
      <c r="C508" s="2">
        <v>45671.818749999999</v>
      </c>
      <c r="D508" t="s">
        <v>67</v>
      </c>
      <c r="E508" t="s">
        <v>68</v>
      </c>
      <c r="F508" t="s">
        <v>37</v>
      </c>
      <c r="G508" t="s">
        <v>38</v>
      </c>
      <c r="H508">
        <v>1</v>
      </c>
      <c r="I508" s="3">
        <v>1299</v>
      </c>
      <c r="J508" s="4">
        <v>0.15</v>
      </c>
      <c r="K508" s="3">
        <v>99</v>
      </c>
      <c r="L508" t="s">
        <v>29</v>
      </c>
      <c r="M508" t="s">
        <v>30</v>
      </c>
      <c r="N508" t="s">
        <v>102</v>
      </c>
      <c r="O508" t="s">
        <v>41</v>
      </c>
      <c r="P508" t="s">
        <v>33</v>
      </c>
      <c r="Q508">
        <v>2</v>
      </c>
      <c r="R508" s="3">
        <f t="shared" si="42"/>
        <v>1299</v>
      </c>
      <c r="S508" s="3">
        <f t="shared" si="43"/>
        <v>194.85</v>
      </c>
      <c r="T508" s="3">
        <f t="shared" si="44"/>
        <v>1203.1500000000001</v>
      </c>
      <c r="U508" s="3">
        <f t="shared" si="45"/>
        <v>293.85000000000014</v>
      </c>
      <c r="V508" s="4">
        <f t="shared" si="46"/>
        <v>0.24423388604912116</v>
      </c>
      <c r="W508" t="str">
        <f t="shared" si="47"/>
        <v>Jan</v>
      </c>
    </row>
    <row r="509" spans="1:23" x14ac:dyDescent="0.25">
      <c r="A509" t="s">
        <v>859</v>
      </c>
      <c r="B509" t="s">
        <v>267</v>
      </c>
      <c r="C509" s="2">
        <v>46010.630555555559</v>
      </c>
      <c r="D509" t="s">
        <v>25</v>
      </c>
      <c r="E509" t="s">
        <v>26</v>
      </c>
      <c r="F509" t="s">
        <v>27</v>
      </c>
      <c r="G509" t="s">
        <v>28</v>
      </c>
      <c r="H509">
        <v>1</v>
      </c>
      <c r="I509" s="3">
        <v>249</v>
      </c>
      <c r="J509" s="4">
        <v>0.15</v>
      </c>
      <c r="K509" s="3">
        <v>79</v>
      </c>
      <c r="L509" t="s">
        <v>39</v>
      </c>
      <c r="M509" t="s">
        <v>39</v>
      </c>
      <c r="N509" t="s">
        <v>50</v>
      </c>
      <c r="O509" t="s">
        <v>59</v>
      </c>
      <c r="P509" t="s">
        <v>85</v>
      </c>
      <c r="Q509">
        <v>4</v>
      </c>
      <c r="R509" s="3">
        <f t="shared" si="42"/>
        <v>249</v>
      </c>
      <c r="S509" s="3">
        <f t="shared" si="43"/>
        <v>37.35</v>
      </c>
      <c r="T509" s="3">
        <f t="shared" si="44"/>
        <v>290.64999999999998</v>
      </c>
      <c r="U509" s="3">
        <f t="shared" si="45"/>
        <v>116.35</v>
      </c>
      <c r="V509" s="4">
        <f t="shared" si="46"/>
        <v>0.4003096507827284</v>
      </c>
      <c r="W509" t="str">
        <f t="shared" si="47"/>
        <v>Dec</v>
      </c>
    </row>
    <row r="510" spans="1:23" x14ac:dyDescent="0.25">
      <c r="A510" t="s">
        <v>860</v>
      </c>
      <c r="B510" t="s">
        <v>325</v>
      </c>
      <c r="C510" s="2">
        <v>45773.05972222222</v>
      </c>
      <c r="D510" t="s">
        <v>90</v>
      </c>
      <c r="E510" t="s">
        <v>91</v>
      </c>
      <c r="F510" t="s">
        <v>37</v>
      </c>
      <c r="G510" t="s">
        <v>92</v>
      </c>
      <c r="H510">
        <v>1</v>
      </c>
      <c r="I510" s="3">
        <v>3499</v>
      </c>
      <c r="J510" s="4">
        <v>0.05</v>
      </c>
      <c r="K510" s="3">
        <v>79</v>
      </c>
      <c r="L510" t="s">
        <v>100</v>
      </c>
      <c r="M510" t="s">
        <v>101</v>
      </c>
      <c r="N510" t="s">
        <v>50</v>
      </c>
      <c r="O510" t="s">
        <v>41</v>
      </c>
      <c r="P510" t="s">
        <v>33</v>
      </c>
      <c r="Q510">
        <v>1</v>
      </c>
      <c r="R510" s="3">
        <f t="shared" si="42"/>
        <v>3499</v>
      </c>
      <c r="S510" s="3">
        <f t="shared" si="43"/>
        <v>174.95000000000002</v>
      </c>
      <c r="T510" s="3">
        <f t="shared" si="44"/>
        <v>3403.05</v>
      </c>
      <c r="U510" s="3">
        <f t="shared" si="45"/>
        <v>953.75000000000045</v>
      </c>
      <c r="V510" s="4">
        <f t="shared" si="46"/>
        <v>0.28026329322225663</v>
      </c>
      <c r="W510" t="str">
        <f t="shared" si="47"/>
        <v>Apr</v>
      </c>
    </row>
    <row r="511" spans="1:23" x14ac:dyDescent="0.25">
      <c r="A511" t="s">
        <v>861</v>
      </c>
      <c r="B511" t="s">
        <v>731</v>
      </c>
      <c r="C511" s="2">
        <v>45908.930555555547</v>
      </c>
      <c r="D511" t="s">
        <v>105</v>
      </c>
      <c r="E511" t="s">
        <v>106</v>
      </c>
      <c r="F511" t="s">
        <v>37</v>
      </c>
      <c r="G511" t="s">
        <v>107</v>
      </c>
      <c r="H511">
        <v>3</v>
      </c>
      <c r="I511" s="3">
        <v>1799</v>
      </c>
      <c r="J511" s="4">
        <v>0</v>
      </c>
      <c r="K511" s="3">
        <v>79</v>
      </c>
      <c r="L511" t="s">
        <v>119</v>
      </c>
      <c r="M511" t="s">
        <v>120</v>
      </c>
      <c r="N511" t="s">
        <v>31</v>
      </c>
      <c r="O511" t="s">
        <v>32</v>
      </c>
      <c r="P511" t="s">
        <v>52</v>
      </c>
      <c r="R511" s="3">
        <f t="shared" si="42"/>
        <v>5397</v>
      </c>
      <c r="S511" s="3">
        <f t="shared" si="43"/>
        <v>0</v>
      </c>
      <c r="T511" s="3">
        <f t="shared" si="44"/>
        <v>5476</v>
      </c>
      <c r="U511" s="3">
        <f t="shared" si="45"/>
        <v>1698.1000000000004</v>
      </c>
      <c r="V511" s="4">
        <f t="shared" si="46"/>
        <v>0.31009861212563922</v>
      </c>
      <c r="W511" t="str">
        <f t="shared" si="47"/>
        <v>Sep</v>
      </c>
    </row>
    <row r="512" spans="1:23" x14ac:dyDescent="0.25">
      <c r="A512" t="s">
        <v>862</v>
      </c>
      <c r="B512" t="s">
        <v>576</v>
      </c>
      <c r="C512" s="2">
        <v>45950.81527777778</v>
      </c>
      <c r="D512" t="s">
        <v>96</v>
      </c>
      <c r="E512" t="s">
        <v>97</v>
      </c>
      <c r="F512" t="s">
        <v>98</v>
      </c>
      <c r="G512" t="s">
        <v>99</v>
      </c>
      <c r="H512">
        <v>1</v>
      </c>
      <c r="I512" s="3">
        <v>1499</v>
      </c>
      <c r="J512" s="4">
        <v>0.2</v>
      </c>
      <c r="K512" s="3">
        <v>0</v>
      </c>
      <c r="L512" t="s">
        <v>74</v>
      </c>
      <c r="M512" t="s">
        <v>49</v>
      </c>
      <c r="N512" t="s">
        <v>863</v>
      </c>
      <c r="O512" t="s">
        <v>59</v>
      </c>
      <c r="P512" t="s">
        <v>85</v>
      </c>
      <c r="Q512">
        <v>4</v>
      </c>
      <c r="R512" s="3">
        <f t="shared" si="42"/>
        <v>1499</v>
      </c>
      <c r="S512" s="3">
        <f t="shared" si="43"/>
        <v>299.8</v>
      </c>
      <c r="T512" s="3">
        <f t="shared" si="44"/>
        <v>1199.2</v>
      </c>
      <c r="U512" s="3">
        <f t="shared" si="45"/>
        <v>149.90000000000009</v>
      </c>
      <c r="V512" s="4">
        <f t="shared" si="46"/>
        <v>0.12500000000000008</v>
      </c>
      <c r="W512" t="str">
        <f t="shared" si="47"/>
        <v>Oct</v>
      </c>
    </row>
    <row r="513" spans="1:23" x14ac:dyDescent="0.25">
      <c r="A513" t="s">
        <v>864</v>
      </c>
      <c r="B513" t="s">
        <v>865</v>
      </c>
      <c r="C513" s="2">
        <v>45860.959722222222</v>
      </c>
      <c r="D513" t="s">
        <v>35</v>
      </c>
      <c r="E513" t="s">
        <v>36</v>
      </c>
      <c r="F513" t="s">
        <v>37</v>
      </c>
      <c r="G513" t="s">
        <v>38</v>
      </c>
      <c r="H513">
        <v>2</v>
      </c>
      <c r="I513" s="3">
        <v>599</v>
      </c>
      <c r="J513" s="4">
        <v>0.1</v>
      </c>
      <c r="K513" s="3">
        <v>99</v>
      </c>
      <c r="L513" t="s">
        <v>113</v>
      </c>
      <c r="M513" t="s">
        <v>114</v>
      </c>
      <c r="N513" t="s">
        <v>50</v>
      </c>
      <c r="O513" t="s">
        <v>51</v>
      </c>
      <c r="P513" t="s">
        <v>85</v>
      </c>
      <c r="Q513">
        <v>4</v>
      </c>
      <c r="R513" s="3">
        <f t="shared" si="42"/>
        <v>1198</v>
      </c>
      <c r="S513" s="3">
        <f t="shared" si="43"/>
        <v>119.80000000000001</v>
      </c>
      <c r="T513" s="3">
        <f t="shared" si="44"/>
        <v>1177.2</v>
      </c>
      <c r="U513" s="3">
        <f t="shared" si="45"/>
        <v>338.60000000000014</v>
      </c>
      <c r="V513" s="4">
        <f t="shared" si="46"/>
        <v>0.28763166836561344</v>
      </c>
      <c r="W513" t="str">
        <f t="shared" si="47"/>
        <v>Jul</v>
      </c>
    </row>
    <row r="514" spans="1:23" x14ac:dyDescent="0.25">
      <c r="A514" t="s">
        <v>866</v>
      </c>
      <c r="B514" t="s">
        <v>356</v>
      </c>
      <c r="C514" s="2">
        <v>45804.590277777781</v>
      </c>
      <c r="D514" t="s">
        <v>96</v>
      </c>
      <c r="E514" t="s">
        <v>97</v>
      </c>
      <c r="F514" t="s">
        <v>98</v>
      </c>
      <c r="G514" t="s">
        <v>99</v>
      </c>
      <c r="H514">
        <v>3</v>
      </c>
      <c r="I514" s="3">
        <v>1499</v>
      </c>
      <c r="J514" s="4">
        <v>0.05</v>
      </c>
      <c r="K514" s="3">
        <v>99</v>
      </c>
      <c r="L514" t="s">
        <v>48</v>
      </c>
      <c r="M514" t="s">
        <v>49</v>
      </c>
      <c r="N514" t="s">
        <v>102</v>
      </c>
      <c r="O514" t="s">
        <v>41</v>
      </c>
      <c r="P514" t="s">
        <v>52</v>
      </c>
      <c r="Q514">
        <v>4</v>
      </c>
      <c r="R514" s="3">
        <f t="shared" ref="R514:R577" si="48">IFERROR(H514*I514,"")</f>
        <v>4497</v>
      </c>
      <c r="S514" s="3">
        <f t="shared" ref="S514:S577" si="49">IFERROR(R514*J514,"")</f>
        <v>224.85000000000002</v>
      </c>
      <c r="T514" s="3">
        <f t="shared" ref="T514:T577" si="50">IFERROR(R514-S514+K514,"")</f>
        <v>4371.1499999999996</v>
      </c>
      <c r="U514" s="3">
        <f t="shared" ref="U514:U577" si="51">IFERROR(T514-(R514*70%),"")</f>
        <v>1223.25</v>
      </c>
      <c r="V514" s="4">
        <f t="shared" ref="V514:V577" si="52">IFERROR(U514/T514,"")</f>
        <v>0.27984626471294743</v>
      </c>
      <c r="W514" t="str">
        <f t="shared" ref="W514:W577" si="53">IFERROR(TEXT(C514,"mmm"),"")</f>
        <v>May</v>
      </c>
    </row>
    <row r="515" spans="1:23" x14ac:dyDescent="0.25">
      <c r="A515" t="s">
        <v>867</v>
      </c>
      <c r="B515" t="s">
        <v>255</v>
      </c>
      <c r="C515" s="2">
        <v>45914.132638888892</v>
      </c>
      <c r="D515" t="s">
        <v>25</v>
      </c>
      <c r="E515" t="s">
        <v>26</v>
      </c>
      <c r="F515" t="s">
        <v>27</v>
      </c>
      <c r="G515" t="s">
        <v>28</v>
      </c>
      <c r="H515">
        <v>1</v>
      </c>
      <c r="I515" s="3">
        <v>249</v>
      </c>
      <c r="J515" s="4">
        <v>0.2</v>
      </c>
      <c r="K515" s="3">
        <v>99</v>
      </c>
      <c r="L515" t="s">
        <v>119</v>
      </c>
      <c r="M515" t="s">
        <v>120</v>
      </c>
      <c r="N515" t="s">
        <v>40</v>
      </c>
      <c r="O515" t="s">
        <v>59</v>
      </c>
      <c r="P515" t="s">
        <v>85</v>
      </c>
      <c r="Q515">
        <v>3</v>
      </c>
      <c r="R515" s="3">
        <f t="shared" si="48"/>
        <v>249</v>
      </c>
      <c r="S515" s="3">
        <f t="shared" si="49"/>
        <v>49.800000000000004</v>
      </c>
      <c r="T515" s="3">
        <f t="shared" si="50"/>
        <v>298.2</v>
      </c>
      <c r="U515" s="3">
        <f t="shared" si="51"/>
        <v>123.9</v>
      </c>
      <c r="V515" s="4">
        <f t="shared" si="52"/>
        <v>0.41549295774647893</v>
      </c>
      <c r="W515" t="str">
        <f t="shared" si="53"/>
        <v>Sep</v>
      </c>
    </row>
    <row r="516" spans="1:23" x14ac:dyDescent="0.25">
      <c r="A516" t="s">
        <v>868</v>
      </c>
      <c r="B516" t="s">
        <v>352</v>
      </c>
      <c r="C516" s="2">
        <v>45960.956250000003</v>
      </c>
      <c r="D516" t="s">
        <v>90</v>
      </c>
      <c r="E516" t="s">
        <v>91</v>
      </c>
      <c r="F516" t="s">
        <v>37</v>
      </c>
      <c r="G516" t="s">
        <v>92</v>
      </c>
      <c r="H516">
        <v>1</v>
      </c>
      <c r="I516" s="3">
        <v>3499</v>
      </c>
      <c r="J516" s="4">
        <v>0.1</v>
      </c>
      <c r="K516" s="3">
        <v>0</v>
      </c>
      <c r="L516" t="s">
        <v>39</v>
      </c>
      <c r="M516" t="s">
        <v>39</v>
      </c>
      <c r="N516" t="s">
        <v>71</v>
      </c>
      <c r="O516" t="s">
        <v>41</v>
      </c>
      <c r="P516" t="s">
        <v>33</v>
      </c>
      <c r="R516" s="3">
        <f t="shared" si="48"/>
        <v>3499</v>
      </c>
      <c r="S516" s="3">
        <f t="shared" si="49"/>
        <v>349.90000000000003</v>
      </c>
      <c r="T516" s="3">
        <f t="shared" si="50"/>
        <v>3149.1</v>
      </c>
      <c r="U516" s="3">
        <f t="shared" si="51"/>
        <v>699.80000000000018</v>
      </c>
      <c r="V516" s="4">
        <f t="shared" si="52"/>
        <v>0.22222222222222229</v>
      </c>
      <c r="W516" t="str">
        <f t="shared" si="53"/>
        <v>Oct</v>
      </c>
    </row>
    <row r="517" spans="1:23" x14ac:dyDescent="0.25">
      <c r="A517" t="s">
        <v>869</v>
      </c>
      <c r="B517" t="s">
        <v>271</v>
      </c>
      <c r="C517" s="2">
        <v>46019.611111111109</v>
      </c>
      <c r="D517" t="s">
        <v>77</v>
      </c>
      <c r="E517" t="s">
        <v>78</v>
      </c>
      <c r="F517" t="s">
        <v>79</v>
      </c>
      <c r="G517" t="s">
        <v>28</v>
      </c>
      <c r="H517">
        <v>1</v>
      </c>
      <c r="I517" s="3">
        <v>6499</v>
      </c>
      <c r="J517" s="4">
        <v>0</v>
      </c>
      <c r="K517" s="3">
        <v>99</v>
      </c>
      <c r="L517" t="s">
        <v>29</v>
      </c>
      <c r="M517" t="s">
        <v>30</v>
      </c>
      <c r="N517" t="s">
        <v>102</v>
      </c>
      <c r="O517" t="s">
        <v>32</v>
      </c>
      <c r="P517" t="s">
        <v>33</v>
      </c>
      <c r="Q517">
        <v>2</v>
      </c>
      <c r="R517" s="3">
        <f t="shared" si="48"/>
        <v>6499</v>
      </c>
      <c r="S517" s="3">
        <f t="shared" si="49"/>
        <v>0</v>
      </c>
      <c r="T517" s="3">
        <f t="shared" si="50"/>
        <v>6598</v>
      </c>
      <c r="U517" s="3">
        <f t="shared" si="51"/>
        <v>2048.7000000000007</v>
      </c>
      <c r="V517" s="4">
        <f t="shared" si="52"/>
        <v>0.31050318278266154</v>
      </c>
      <c r="W517" t="str">
        <f t="shared" si="53"/>
        <v>Dec</v>
      </c>
    </row>
    <row r="518" spans="1:23" x14ac:dyDescent="0.25">
      <c r="A518" t="s">
        <v>870</v>
      </c>
      <c r="B518" t="s">
        <v>358</v>
      </c>
      <c r="C518" s="2">
        <v>45745.441666666673</v>
      </c>
      <c r="D518" t="s">
        <v>96</v>
      </c>
      <c r="E518" t="s">
        <v>97</v>
      </c>
      <c r="F518" t="s">
        <v>98</v>
      </c>
      <c r="G518" t="s">
        <v>99</v>
      </c>
      <c r="H518">
        <v>1</v>
      </c>
      <c r="I518" s="3">
        <v>1499</v>
      </c>
      <c r="J518" s="4">
        <v>0</v>
      </c>
      <c r="K518" s="3">
        <v>49</v>
      </c>
      <c r="L518" t="s">
        <v>83</v>
      </c>
      <c r="M518" t="s">
        <v>84</v>
      </c>
      <c r="N518" t="s">
        <v>50</v>
      </c>
      <c r="O518" t="s">
        <v>93</v>
      </c>
      <c r="P518" t="s">
        <v>80</v>
      </c>
      <c r="Q518">
        <v>4</v>
      </c>
      <c r="R518" s="3">
        <f t="shared" si="48"/>
        <v>1499</v>
      </c>
      <c r="S518" s="3">
        <f t="shared" si="49"/>
        <v>0</v>
      </c>
      <c r="T518" s="3">
        <f t="shared" si="50"/>
        <v>1548</v>
      </c>
      <c r="U518" s="3">
        <f t="shared" si="51"/>
        <v>498.70000000000005</v>
      </c>
      <c r="V518" s="4">
        <f t="shared" si="52"/>
        <v>0.3221576227390181</v>
      </c>
      <c r="W518" t="str">
        <f t="shared" si="53"/>
        <v>Mar</v>
      </c>
    </row>
    <row r="519" spans="1:23" x14ac:dyDescent="0.25">
      <c r="A519" t="s">
        <v>871</v>
      </c>
      <c r="B519" t="s">
        <v>428</v>
      </c>
      <c r="C519" s="2">
        <v>45886.402777777781</v>
      </c>
      <c r="D519" t="s">
        <v>110</v>
      </c>
      <c r="E519" t="s">
        <v>111</v>
      </c>
      <c r="F519" t="s">
        <v>98</v>
      </c>
      <c r="G519" t="s">
        <v>112</v>
      </c>
      <c r="H519">
        <v>2</v>
      </c>
      <c r="I519" s="3">
        <v>2999</v>
      </c>
      <c r="J519" s="4">
        <v>0</v>
      </c>
      <c r="K519" s="3">
        <v>49</v>
      </c>
      <c r="L519" t="s">
        <v>48</v>
      </c>
      <c r="M519" t="s">
        <v>49</v>
      </c>
      <c r="N519" t="s">
        <v>31</v>
      </c>
      <c r="O519" t="s">
        <v>32</v>
      </c>
      <c r="P519" t="s">
        <v>33</v>
      </c>
      <c r="R519" s="3">
        <f t="shared" si="48"/>
        <v>5998</v>
      </c>
      <c r="S519" s="3">
        <f t="shared" si="49"/>
        <v>0</v>
      </c>
      <c r="T519" s="3">
        <f t="shared" si="50"/>
        <v>6047</v>
      </c>
      <c r="U519" s="3">
        <f t="shared" si="51"/>
        <v>1848.4000000000005</v>
      </c>
      <c r="V519" s="4">
        <f t="shared" si="52"/>
        <v>0.30567223416570211</v>
      </c>
      <c r="W519" t="str">
        <f t="shared" si="53"/>
        <v>Aug</v>
      </c>
    </row>
    <row r="520" spans="1:23" x14ac:dyDescent="0.25">
      <c r="A520" t="s">
        <v>872</v>
      </c>
      <c r="B520" t="s">
        <v>349</v>
      </c>
      <c r="C520" s="2">
        <v>45913.743750000001</v>
      </c>
      <c r="D520" t="s">
        <v>110</v>
      </c>
      <c r="E520" t="s">
        <v>111</v>
      </c>
      <c r="F520" t="s">
        <v>98</v>
      </c>
      <c r="G520" t="s">
        <v>112</v>
      </c>
      <c r="H520">
        <v>2</v>
      </c>
      <c r="I520" s="3">
        <v>2999</v>
      </c>
      <c r="J520" s="4">
        <v>0.15</v>
      </c>
      <c r="K520" s="3">
        <v>79</v>
      </c>
      <c r="L520" t="s">
        <v>39</v>
      </c>
      <c r="M520" t="s">
        <v>39</v>
      </c>
      <c r="N520" t="s">
        <v>50</v>
      </c>
      <c r="O520" t="s">
        <v>32</v>
      </c>
      <c r="P520" t="s">
        <v>33</v>
      </c>
      <c r="R520" s="3">
        <f t="shared" si="48"/>
        <v>5998</v>
      </c>
      <c r="S520" s="3">
        <f t="shared" si="49"/>
        <v>899.69999999999993</v>
      </c>
      <c r="T520" s="3">
        <f t="shared" si="50"/>
        <v>5177.3</v>
      </c>
      <c r="U520" s="3">
        <f t="shared" si="51"/>
        <v>978.70000000000073</v>
      </c>
      <c r="V520" s="4">
        <f t="shared" si="52"/>
        <v>0.18903675661058866</v>
      </c>
      <c r="W520" t="str">
        <f t="shared" si="53"/>
        <v>Sep</v>
      </c>
    </row>
    <row r="521" spans="1:23" x14ac:dyDescent="0.25">
      <c r="A521" t="s">
        <v>873</v>
      </c>
      <c r="B521" t="s">
        <v>557</v>
      </c>
      <c r="C521" s="2">
        <v>45698.818055555559</v>
      </c>
      <c r="D521" t="s">
        <v>90</v>
      </c>
      <c r="E521" t="s">
        <v>91</v>
      </c>
      <c r="F521" t="s">
        <v>37</v>
      </c>
      <c r="G521" t="s">
        <v>92</v>
      </c>
      <c r="H521">
        <v>1</v>
      </c>
      <c r="I521" s="3">
        <v>3499</v>
      </c>
      <c r="J521" s="4">
        <v>0</v>
      </c>
      <c r="K521" s="3">
        <v>99</v>
      </c>
      <c r="L521" t="s">
        <v>119</v>
      </c>
      <c r="M521" t="s">
        <v>120</v>
      </c>
      <c r="N521" t="s">
        <v>102</v>
      </c>
      <c r="O521" t="s">
        <v>32</v>
      </c>
      <c r="P521" t="s">
        <v>33</v>
      </c>
      <c r="R521" s="3">
        <f t="shared" si="48"/>
        <v>3499</v>
      </c>
      <c r="S521" s="3">
        <f t="shared" si="49"/>
        <v>0</v>
      </c>
      <c r="T521" s="3">
        <f t="shared" si="50"/>
        <v>3598</v>
      </c>
      <c r="U521" s="3">
        <f t="shared" si="51"/>
        <v>1148.7000000000003</v>
      </c>
      <c r="V521" s="4">
        <f t="shared" si="52"/>
        <v>0.31926070038910515</v>
      </c>
      <c r="W521" t="str">
        <f t="shared" si="53"/>
        <v>Feb</v>
      </c>
    </row>
    <row r="522" spans="1:23" x14ac:dyDescent="0.25">
      <c r="A522" t="s">
        <v>874</v>
      </c>
      <c r="B522" t="s">
        <v>243</v>
      </c>
      <c r="C522" s="2">
        <v>45686.848611111112</v>
      </c>
      <c r="D522" t="s">
        <v>67</v>
      </c>
      <c r="E522" t="s">
        <v>68</v>
      </c>
      <c r="F522" t="s">
        <v>37</v>
      </c>
      <c r="G522" t="s">
        <v>38</v>
      </c>
      <c r="H522">
        <v>1</v>
      </c>
      <c r="I522" s="3">
        <v>1299</v>
      </c>
      <c r="J522" s="4">
        <v>0</v>
      </c>
      <c r="K522" s="3">
        <v>0</v>
      </c>
      <c r="L522" t="s">
        <v>39</v>
      </c>
      <c r="M522" t="s">
        <v>39</v>
      </c>
      <c r="N522" t="s">
        <v>102</v>
      </c>
      <c r="O522" t="s">
        <v>51</v>
      </c>
      <c r="P522" t="s">
        <v>33</v>
      </c>
      <c r="Q522">
        <v>3</v>
      </c>
      <c r="R522" s="3">
        <f t="shared" si="48"/>
        <v>1299</v>
      </c>
      <c r="S522" s="3">
        <f t="shared" si="49"/>
        <v>0</v>
      </c>
      <c r="T522" s="3">
        <f t="shared" si="50"/>
        <v>1299</v>
      </c>
      <c r="U522" s="3">
        <f t="shared" si="51"/>
        <v>389.70000000000005</v>
      </c>
      <c r="V522" s="4">
        <f t="shared" si="52"/>
        <v>0.30000000000000004</v>
      </c>
      <c r="W522" t="str">
        <f t="shared" si="53"/>
        <v>Jan</v>
      </c>
    </row>
    <row r="523" spans="1:23" x14ac:dyDescent="0.25">
      <c r="A523" t="s">
        <v>875</v>
      </c>
      <c r="B523" t="s">
        <v>226</v>
      </c>
      <c r="C523" s="2">
        <v>45749.238194444442</v>
      </c>
      <c r="D523" t="s">
        <v>55</v>
      </c>
      <c r="E523" t="s">
        <v>56</v>
      </c>
      <c r="F523" t="s">
        <v>37</v>
      </c>
      <c r="G523" t="s">
        <v>38</v>
      </c>
      <c r="H523">
        <v>1</v>
      </c>
      <c r="I523" s="3">
        <v>2499</v>
      </c>
      <c r="J523" s="4">
        <v>0.15</v>
      </c>
      <c r="K523" s="3">
        <v>99</v>
      </c>
      <c r="L523" t="s">
        <v>39</v>
      </c>
      <c r="M523" t="s">
        <v>39</v>
      </c>
      <c r="N523" t="s">
        <v>102</v>
      </c>
      <c r="O523" t="s">
        <v>41</v>
      </c>
      <c r="P523" t="s">
        <v>33</v>
      </c>
      <c r="Q523">
        <v>4</v>
      </c>
      <c r="R523" s="3">
        <f t="shared" si="48"/>
        <v>2499</v>
      </c>
      <c r="S523" s="3">
        <f t="shared" si="49"/>
        <v>374.84999999999997</v>
      </c>
      <c r="T523" s="3">
        <f t="shared" si="50"/>
        <v>2223.15</v>
      </c>
      <c r="U523" s="3">
        <f t="shared" si="51"/>
        <v>473.85000000000014</v>
      </c>
      <c r="V523" s="4">
        <f t="shared" si="52"/>
        <v>0.21314351258349645</v>
      </c>
      <c r="W523" t="str">
        <f t="shared" si="53"/>
        <v>Apr</v>
      </c>
    </row>
    <row r="524" spans="1:23" x14ac:dyDescent="0.25">
      <c r="A524" t="s">
        <v>876</v>
      </c>
      <c r="B524" t="s">
        <v>70</v>
      </c>
      <c r="C524" s="2">
        <v>45676.117361111108</v>
      </c>
      <c r="D524" t="s">
        <v>77</v>
      </c>
      <c r="E524" t="s">
        <v>78</v>
      </c>
      <c r="F524" t="s">
        <v>79</v>
      </c>
      <c r="G524" t="s">
        <v>28</v>
      </c>
      <c r="H524">
        <v>1</v>
      </c>
      <c r="I524" s="3">
        <v>6499</v>
      </c>
      <c r="J524" s="4">
        <v>0.05</v>
      </c>
      <c r="K524" s="3">
        <v>59</v>
      </c>
      <c r="L524" t="s">
        <v>125</v>
      </c>
      <c r="M524" t="s">
        <v>126</v>
      </c>
      <c r="N524" t="s">
        <v>31</v>
      </c>
      <c r="O524" t="s">
        <v>59</v>
      </c>
      <c r="P524" t="s">
        <v>33</v>
      </c>
      <c r="R524" s="3">
        <f t="shared" si="48"/>
        <v>6499</v>
      </c>
      <c r="S524" s="3">
        <f t="shared" si="49"/>
        <v>324.95000000000005</v>
      </c>
      <c r="T524" s="3">
        <f t="shared" si="50"/>
        <v>6233.05</v>
      </c>
      <c r="U524" s="3">
        <f t="shared" si="51"/>
        <v>1683.7500000000009</v>
      </c>
      <c r="V524" s="4">
        <f t="shared" si="52"/>
        <v>0.27013259961014285</v>
      </c>
      <c r="W524" t="str">
        <f t="shared" si="53"/>
        <v>Jan</v>
      </c>
    </row>
    <row r="525" spans="1:23" x14ac:dyDescent="0.25">
      <c r="A525" t="s">
        <v>877</v>
      </c>
      <c r="B525" t="s">
        <v>683</v>
      </c>
      <c r="C525" s="2">
        <v>45726.155555555553</v>
      </c>
      <c r="D525" t="s">
        <v>62</v>
      </c>
      <c r="E525" t="s">
        <v>63</v>
      </c>
      <c r="F525" t="s">
        <v>46</v>
      </c>
      <c r="G525" t="s">
        <v>64</v>
      </c>
      <c r="H525">
        <v>1</v>
      </c>
      <c r="I525" s="3">
        <v>699</v>
      </c>
      <c r="J525" s="4">
        <v>0.05</v>
      </c>
      <c r="K525" s="3">
        <v>99</v>
      </c>
      <c r="L525" t="s">
        <v>506</v>
      </c>
      <c r="M525" t="s">
        <v>30</v>
      </c>
      <c r="N525" t="s">
        <v>102</v>
      </c>
      <c r="O525" t="s">
        <v>41</v>
      </c>
      <c r="P525" t="s">
        <v>33</v>
      </c>
      <c r="R525" s="3">
        <f t="shared" si="48"/>
        <v>699</v>
      </c>
      <c r="S525" s="3">
        <f t="shared" si="49"/>
        <v>34.950000000000003</v>
      </c>
      <c r="T525" s="3">
        <f t="shared" si="50"/>
        <v>763.05</v>
      </c>
      <c r="U525" s="3">
        <f t="shared" si="51"/>
        <v>273.75</v>
      </c>
      <c r="V525" s="4">
        <f t="shared" si="52"/>
        <v>0.35875761745626106</v>
      </c>
      <c r="W525" t="str">
        <f t="shared" si="53"/>
        <v>Mar</v>
      </c>
    </row>
    <row r="526" spans="1:23" x14ac:dyDescent="0.25">
      <c r="A526" t="s">
        <v>878</v>
      </c>
      <c r="B526" t="s">
        <v>240</v>
      </c>
      <c r="C526" s="2">
        <v>45950.986111111109</v>
      </c>
      <c r="D526" t="s">
        <v>67</v>
      </c>
      <c r="E526" t="s">
        <v>68</v>
      </c>
      <c r="F526" t="s">
        <v>37</v>
      </c>
      <c r="G526" t="s">
        <v>38</v>
      </c>
      <c r="H526">
        <v>1</v>
      </c>
      <c r="I526" s="3">
        <v>1299</v>
      </c>
      <c r="J526" s="4">
        <v>0</v>
      </c>
      <c r="K526" s="3">
        <v>79</v>
      </c>
      <c r="L526" t="s">
        <v>125</v>
      </c>
      <c r="M526" t="s">
        <v>126</v>
      </c>
      <c r="N526" t="s">
        <v>40</v>
      </c>
      <c r="O526" t="s">
        <v>32</v>
      </c>
      <c r="P526" t="s">
        <v>85</v>
      </c>
      <c r="R526" s="3">
        <f t="shared" si="48"/>
        <v>1299</v>
      </c>
      <c r="S526" s="3">
        <f t="shared" si="49"/>
        <v>0</v>
      </c>
      <c r="T526" s="3">
        <f t="shared" si="50"/>
        <v>1378</v>
      </c>
      <c r="U526" s="3">
        <f t="shared" si="51"/>
        <v>468.70000000000005</v>
      </c>
      <c r="V526" s="4">
        <f t="shared" si="52"/>
        <v>0.3401306240928883</v>
      </c>
      <c r="W526" t="str">
        <f t="shared" si="53"/>
        <v>Oct</v>
      </c>
    </row>
    <row r="527" spans="1:23" x14ac:dyDescent="0.25">
      <c r="A527" t="s">
        <v>879</v>
      </c>
      <c r="B527" t="s">
        <v>607</v>
      </c>
      <c r="C527" s="2">
        <v>45977.499305555553</v>
      </c>
      <c r="D527" t="s">
        <v>169</v>
      </c>
      <c r="E527" t="s">
        <v>170</v>
      </c>
      <c r="F527" t="s">
        <v>98</v>
      </c>
      <c r="G527" t="s">
        <v>171</v>
      </c>
      <c r="H527">
        <v>2</v>
      </c>
      <c r="I527" s="3">
        <v>799</v>
      </c>
      <c r="J527" s="4">
        <v>0.15</v>
      </c>
      <c r="K527" s="3">
        <v>99</v>
      </c>
      <c r="L527" t="s">
        <v>48</v>
      </c>
      <c r="M527" t="s">
        <v>49</v>
      </c>
      <c r="N527" t="s">
        <v>102</v>
      </c>
      <c r="O527" t="s">
        <v>59</v>
      </c>
      <c r="P527" t="s">
        <v>33</v>
      </c>
      <c r="Q527">
        <v>4</v>
      </c>
      <c r="R527" s="3">
        <f t="shared" si="48"/>
        <v>1598</v>
      </c>
      <c r="S527" s="3">
        <f t="shared" si="49"/>
        <v>239.7</v>
      </c>
      <c r="T527" s="3">
        <f t="shared" si="50"/>
        <v>1457.3</v>
      </c>
      <c r="U527" s="3">
        <f t="shared" si="51"/>
        <v>338.70000000000005</v>
      </c>
      <c r="V527" s="4">
        <f t="shared" si="52"/>
        <v>0.23241611198792292</v>
      </c>
      <c r="W527" t="str">
        <f t="shared" si="53"/>
        <v>Nov</v>
      </c>
    </row>
    <row r="528" spans="1:23" x14ac:dyDescent="0.25">
      <c r="A528" t="s">
        <v>880</v>
      </c>
      <c r="B528" t="s">
        <v>411</v>
      </c>
      <c r="C528" s="2">
        <v>45806.25</v>
      </c>
      <c r="D528" t="s">
        <v>105</v>
      </c>
      <c r="E528" t="s">
        <v>106</v>
      </c>
      <c r="F528" t="s">
        <v>37</v>
      </c>
      <c r="G528" t="s">
        <v>107</v>
      </c>
      <c r="H528">
        <v>1</v>
      </c>
      <c r="I528" s="3">
        <v>1799</v>
      </c>
      <c r="J528" s="4">
        <v>0</v>
      </c>
      <c r="K528" s="3">
        <v>79</v>
      </c>
      <c r="L528" t="s">
        <v>125</v>
      </c>
      <c r="M528" t="s">
        <v>126</v>
      </c>
      <c r="N528" t="s">
        <v>50</v>
      </c>
      <c r="O528" t="s">
        <v>32</v>
      </c>
      <c r="P528" t="s">
        <v>33</v>
      </c>
      <c r="Q528">
        <v>4</v>
      </c>
      <c r="R528" s="3">
        <f t="shared" si="48"/>
        <v>1799</v>
      </c>
      <c r="S528" s="3">
        <f t="shared" si="49"/>
        <v>0</v>
      </c>
      <c r="T528" s="3">
        <f t="shared" si="50"/>
        <v>1878</v>
      </c>
      <c r="U528" s="3">
        <f t="shared" si="51"/>
        <v>618.70000000000005</v>
      </c>
      <c r="V528" s="4">
        <f t="shared" si="52"/>
        <v>0.32944621938232166</v>
      </c>
      <c r="W528" t="str">
        <f t="shared" si="53"/>
        <v>May</v>
      </c>
    </row>
    <row r="529" spans="1:23" x14ac:dyDescent="0.25">
      <c r="A529" t="s">
        <v>881</v>
      </c>
      <c r="B529" t="s">
        <v>338</v>
      </c>
      <c r="C529" s="2">
        <v>45944.842361111107</v>
      </c>
      <c r="D529" t="s">
        <v>96</v>
      </c>
      <c r="E529" t="s">
        <v>97</v>
      </c>
      <c r="F529" t="s">
        <v>98</v>
      </c>
      <c r="G529" t="s">
        <v>99</v>
      </c>
      <c r="H529">
        <v>1</v>
      </c>
      <c r="I529" s="3">
        <v>1499</v>
      </c>
      <c r="J529" s="4">
        <v>0.2</v>
      </c>
      <c r="K529" s="3">
        <v>49</v>
      </c>
      <c r="L529" t="s">
        <v>39</v>
      </c>
      <c r="M529" t="s">
        <v>39</v>
      </c>
      <c r="N529" t="s">
        <v>71</v>
      </c>
      <c r="O529" t="s">
        <v>93</v>
      </c>
      <c r="P529" t="s">
        <v>33</v>
      </c>
      <c r="Q529">
        <v>3</v>
      </c>
      <c r="R529" s="3">
        <f t="shared" si="48"/>
        <v>1499</v>
      </c>
      <c r="S529" s="3">
        <f t="shared" si="49"/>
        <v>299.8</v>
      </c>
      <c r="T529" s="3">
        <f t="shared" si="50"/>
        <v>1248.2</v>
      </c>
      <c r="U529" s="3">
        <f t="shared" si="51"/>
        <v>198.90000000000009</v>
      </c>
      <c r="V529" s="4">
        <f t="shared" si="52"/>
        <v>0.15934946322704702</v>
      </c>
      <c r="W529" t="str">
        <f t="shared" si="53"/>
        <v>Oct</v>
      </c>
    </row>
    <row r="530" spans="1:23" x14ac:dyDescent="0.25">
      <c r="A530" t="s">
        <v>882</v>
      </c>
      <c r="B530" t="s">
        <v>173</v>
      </c>
      <c r="C530" s="2">
        <v>45661.154861111107</v>
      </c>
      <c r="D530" t="s">
        <v>110</v>
      </c>
      <c r="E530" t="s">
        <v>111</v>
      </c>
      <c r="F530" t="s">
        <v>98</v>
      </c>
      <c r="G530" t="s">
        <v>112</v>
      </c>
      <c r="H530">
        <v>2</v>
      </c>
      <c r="I530" s="3">
        <v>2999</v>
      </c>
      <c r="J530" s="4">
        <v>0.05</v>
      </c>
      <c r="K530" s="3">
        <v>79</v>
      </c>
      <c r="L530" t="s">
        <v>83</v>
      </c>
      <c r="M530" t="s">
        <v>84</v>
      </c>
      <c r="N530" t="s">
        <v>253</v>
      </c>
      <c r="O530" t="s">
        <v>93</v>
      </c>
      <c r="P530" t="s">
        <v>33</v>
      </c>
      <c r="R530" s="3">
        <f t="shared" si="48"/>
        <v>5998</v>
      </c>
      <c r="S530" s="3">
        <f t="shared" si="49"/>
        <v>299.90000000000003</v>
      </c>
      <c r="T530" s="3">
        <f t="shared" si="50"/>
        <v>5777.1</v>
      </c>
      <c r="U530" s="3">
        <f t="shared" si="51"/>
        <v>1578.5000000000009</v>
      </c>
      <c r="V530" s="4">
        <f t="shared" si="52"/>
        <v>0.27323397552405199</v>
      </c>
      <c r="W530" t="str">
        <f t="shared" si="53"/>
        <v>Jan</v>
      </c>
    </row>
    <row r="531" spans="1:23" x14ac:dyDescent="0.25">
      <c r="A531" t="s">
        <v>883</v>
      </c>
      <c r="B531" t="s">
        <v>884</v>
      </c>
      <c r="C531" s="2">
        <v>45831.895833333343</v>
      </c>
      <c r="D531" t="s">
        <v>105</v>
      </c>
      <c r="E531" t="s">
        <v>106</v>
      </c>
      <c r="F531" t="s">
        <v>37</v>
      </c>
      <c r="G531" t="s">
        <v>107</v>
      </c>
      <c r="H531">
        <v>1</v>
      </c>
      <c r="I531" s="3">
        <v>1799</v>
      </c>
      <c r="J531" s="4">
        <v>0</v>
      </c>
      <c r="K531" s="3">
        <v>49</v>
      </c>
      <c r="L531" t="s">
        <v>113</v>
      </c>
      <c r="M531" t="s">
        <v>114</v>
      </c>
      <c r="N531" t="s">
        <v>50</v>
      </c>
      <c r="O531" t="s">
        <v>59</v>
      </c>
      <c r="P531" t="s">
        <v>52</v>
      </c>
      <c r="R531" s="3">
        <f t="shared" si="48"/>
        <v>1799</v>
      </c>
      <c r="S531" s="3">
        <f t="shared" si="49"/>
        <v>0</v>
      </c>
      <c r="T531" s="3">
        <f t="shared" si="50"/>
        <v>1848</v>
      </c>
      <c r="U531" s="3">
        <f t="shared" si="51"/>
        <v>588.70000000000005</v>
      </c>
      <c r="V531" s="4">
        <f t="shared" si="52"/>
        <v>0.3185606060606061</v>
      </c>
      <c r="W531" t="str">
        <f t="shared" si="53"/>
        <v>Jun</v>
      </c>
    </row>
    <row r="532" spans="1:23" x14ac:dyDescent="0.25">
      <c r="A532" t="s">
        <v>885</v>
      </c>
      <c r="B532" t="s">
        <v>142</v>
      </c>
      <c r="C532" s="2">
        <v>45869.960416666669</v>
      </c>
      <c r="D532" t="s">
        <v>62</v>
      </c>
      <c r="E532" t="s">
        <v>63</v>
      </c>
      <c r="F532" t="s">
        <v>46</v>
      </c>
      <c r="G532" t="s">
        <v>64</v>
      </c>
      <c r="H532">
        <v>2</v>
      </c>
      <c r="I532" s="3">
        <v>699</v>
      </c>
      <c r="J532" s="4">
        <v>0.05</v>
      </c>
      <c r="K532" s="3">
        <v>99</v>
      </c>
      <c r="L532" t="s">
        <v>74</v>
      </c>
      <c r="M532" t="s">
        <v>49</v>
      </c>
      <c r="N532" t="s">
        <v>102</v>
      </c>
      <c r="O532" t="s">
        <v>32</v>
      </c>
      <c r="P532" t="s">
        <v>85</v>
      </c>
      <c r="Q532">
        <v>1</v>
      </c>
      <c r="R532" s="3">
        <f t="shared" si="48"/>
        <v>1398</v>
      </c>
      <c r="S532" s="3">
        <f t="shared" si="49"/>
        <v>69.900000000000006</v>
      </c>
      <c r="T532" s="3">
        <f t="shared" si="50"/>
        <v>1427.1</v>
      </c>
      <c r="U532" s="3">
        <f t="shared" si="51"/>
        <v>448.5</v>
      </c>
      <c r="V532" s="4">
        <f t="shared" si="52"/>
        <v>0.31427370191297038</v>
      </c>
      <c r="W532" t="str">
        <f t="shared" si="53"/>
        <v>Jul</v>
      </c>
    </row>
    <row r="533" spans="1:23" x14ac:dyDescent="0.25">
      <c r="A533" t="s">
        <v>886</v>
      </c>
      <c r="B533" t="s">
        <v>347</v>
      </c>
      <c r="C533" s="2">
        <v>45839.089583333327</v>
      </c>
      <c r="D533" t="s">
        <v>67</v>
      </c>
      <c r="E533" t="s">
        <v>68</v>
      </c>
      <c r="F533" t="s">
        <v>37</v>
      </c>
      <c r="G533" t="s">
        <v>38</v>
      </c>
      <c r="H533">
        <v>2</v>
      </c>
      <c r="I533" s="3">
        <v>1299</v>
      </c>
      <c r="J533" s="4">
        <v>0</v>
      </c>
      <c r="K533" s="3">
        <v>59</v>
      </c>
      <c r="L533" t="s">
        <v>125</v>
      </c>
      <c r="M533" t="s">
        <v>126</v>
      </c>
      <c r="N533" t="s">
        <v>102</v>
      </c>
      <c r="O533" t="s">
        <v>41</v>
      </c>
      <c r="P533" t="s">
        <v>33</v>
      </c>
      <c r="Q533">
        <v>5</v>
      </c>
      <c r="R533" s="3">
        <f t="shared" si="48"/>
        <v>2598</v>
      </c>
      <c r="S533" s="3">
        <f t="shared" si="49"/>
        <v>0</v>
      </c>
      <c r="T533" s="3">
        <f t="shared" si="50"/>
        <v>2657</v>
      </c>
      <c r="U533" s="3">
        <f t="shared" si="51"/>
        <v>838.40000000000009</v>
      </c>
      <c r="V533" s="4">
        <f t="shared" si="52"/>
        <v>0.3155438464433572</v>
      </c>
      <c r="W533" t="str">
        <f t="shared" si="53"/>
        <v>Jul</v>
      </c>
    </row>
    <row r="534" spans="1:23" x14ac:dyDescent="0.25">
      <c r="A534" t="s">
        <v>887</v>
      </c>
      <c r="B534" t="s">
        <v>315</v>
      </c>
      <c r="C534" s="2">
        <v>45717.40625</v>
      </c>
      <c r="D534" t="s">
        <v>44</v>
      </c>
      <c r="E534" t="s">
        <v>45</v>
      </c>
      <c r="F534" t="s">
        <v>46</v>
      </c>
      <c r="G534" t="s">
        <v>47</v>
      </c>
      <c r="H534">
        <v>1</v>
      </c>
      <c r="I534" s="3">
        <v>1199</v>
      </c>
      <c r="J534" s="4">
        <v>0.2</v>
      </c>
      <c r="K534" s="3">
        <v>0</v>
      </c>
      <c r="L534" t="s">
        <v>57</v>
      </c>
      <c r="M534" t="s">
        <v>58</v>
      </c>
      <c r="N534" t="s">
        <v>40</v>
      </c>
      <c r="O534" t="s">
        <v>93</v>
      </c>
      <c r="P534" t="s">
        <v>33</v>
      </c>
      <c r="Q534">
        <v>4</v>
      </c>
      <c r="R534" s="3">
        <f t="shared" si="48"/>
        <v>1199</v>
      </c>
      <c r="S534" s="3">
        <f t="shared" si="49"/>
        <v>239.8</v>
      </c>
      <c r="T534" s="3">
        <f t="shared" si="50"/>
        <v>959.2</v>
      </c>
      <c r="U534" s="3">
        <f t="shared" si="51"/>
        <v>119.90000000000009</v>
      </c>
      <c r="V534" s="4">
        <f t="shared" si="52"/>
        <v>0.12500000000000008</v>
      </c>
      <c r="W534" t="str">
        <f t="shared" si="53"/>
        <v>Mar</v>
      </c>
    </row>
    <row r="535" spans="1:23" x14ac:dyDescent="0.25">
      <c r="A535" t="s">
        <v>888</v>
      </c>
      <c r="B535" t="s">
        <v>267</v>
      </c>
      <c r="C535" s="2">
        <v>45812.272916666669</v>
      </c>
      <c r="D535" t="s">
        <v>67</v>
      </c>
      <c r="E535" t="s">
        <v>68</v>
      </c>
      <c r="F535" t="s">
        <v>37</v>
      </c>
      <c r="G535" t="s">
        <v>38</v>
      </c>
      <c r="H535">
        <v>2</v>
      </c>
      <c r="I535" s="3">
        <v>1299</v>
      </c>
      <c r="J535" s="4">
        <v>0</v>
      </c>
      <c r="K535" s="3">
        <v>0</v>
      </c>
      <c r="L535" t="s">
        <v>74</v>
      </c>
      <c r="M535" t="s">
        <v>49</v>
      </c>
      <c r="N535" t="s">
        <v>31</v>
      </c>
      <c r="O535" t="s">
        <v>41</v>
      </c>
      <c r="P535" t="s">
        <v>33</v>
      </c>
      <c r="Q535">
        <v>1</v>
      </c>
      <c r="R535" s="3">
        <f t="shared" si="48"/>
        <v>2598</v>
      </c>
      <c r="S535" s="3">
        <f t="shared" si="49"/>
        <v>0</v>
      </c>
      <c r="T535" s="3">
        <f t="shared" si="50"/>
        <v>2598</v>
      </c>
      <c r="U535" s="3">
        <f t="shared" si="51"/>
        <v>779.40000000000009</v>
      </c>
      <c r="V535" s="4">
        <f t="shared" si="52"/>
        <v>0.30000000000000004</v>
      </c>
      <c r="W535" t="str">
        <f t="shared" si="53"/>
        <v>Jun</v>
      </c>
    </row>
    <row r="536" spans="1:23" x14ac:dyDescent="0.25">
      <c r="A536" t="s">
        <v>889</v>
      </c>
      <c r="B536" t="s">
        <v>364</v>
      </c>
      <c r="C536" s="2">
        <v>45905.67291666667</v>
      </c>
      <c r="D536" t="s">
        <v>90</v>
      </c>
      <c r="E536" t="s">
        <v>91</v>
      </c>
      <c r="F536" t="s">
        <v>37</v>
      </c>
      <c r="G536" t="s">
        <v>92</v>
      </c>
      <c r="H536">
        <v>1</v>
      </c>
      <c r="I536" s="3">
        <v>3499</v>
      </c>
      <c r="J536" s="4">
        <v>0.05</v>
      </c>
      <c r="K536" s="3">
        <v>79</v>
      </c>
      <c r="L536" t="s">
        <v>83</v>
      </c>
      <c r="M536" t="s">
        <v>84</v>
      </c>
      <c r="N536" t="s">
        <v>71</v>
      </c>
      <c r="O536" t="s">
        <v>51</v>
      </c>
      <c r="P536" t="s">
        <v>33</v>
      </c>
      <c r="Q536">
        <v>2</v>
      </c>
      <c r="R536" s="3">
        <f t="shared" si="48"/>
        <v>3499</v>
      </c>
      <c r="S536" s="3">
        <f t="shared" si="49"/>
        <v>174.95000000000002</v>
      </c>
      <c r="T536" s="3">
        <f t="shared" si="50"/>
        <v>3403.05</v>
      </c>
      <c r="U536" s="3">
        <f t="shared" si="51"/>
        <v>953.75000000000045</v>
      </c>
      <c r="V536" s="4">
        <f t="shared" si="52"/>
        <v>0.28026329322225663</v>
      </c>
      <c r="W536" t="str">
        <f t="shared" si="53"/>
        <v>Sep</v>
      </c>
    </row>
    <row r="537" spans="1:23" x14ac:dyDescent="0.25">
      <c r="A537" t="s">
        <v>890</v>
      </c>
      <c r="B537" t="s">
        <v>623</v>
      </c>
      <c r="C537" s="2">
        <v>45725.281944444447</v>
      </c>
      <c r="D537" t="s">
        <v>55</v>
      </c>
      <c r="E537" t="s">
        <v>56</v>
      </c>
      <c r="F537" t="s">
        <v>37</v>
      </c>
      <c r="G537" t="s">
        <v>38</v>
      </c>
      <c r="H537">
        <v>2</v>
      </c>
      <c r="I537" s="3">
        <v>2499</v>
      </c>
      <c r="J537" s="4">
        <v>0.1</v>
      </c>
      <c r="K537" s="3">
        <v>79</v>
      </c>
      <c r="L537" t="s">
        <v>83</v>
      </c>
      <c r="M537" t="s">
        <v>84</v>
      </c>
      <c r="N537" t="s">
        <v>31</v>
      </c>
      <c r="O537" t="s">
        <v>93</v>
      </c>
      <c r="P537" t="s">
        <v>33</v>
      </c>
      <c r="Q537">
        <v>3</v>
      </c>
      <c r="R537" s="3">
        <f t="shared" si="48"/>
        <v>4998</v>
      </c>
      <c r="S537" s="3">
        <f t="shared" si="49"/>
        <v>499.8</v>
      </c>
      <c r="T537" s="3">
        <f t="shared" si="50"/>
        <v>4577.2</v>
      </c>
      <c r="U537" s="3">
        <f t="shared" si="51"/>
        <v>1078.5999999999999</v>
      </c>
      <c r="V537" s="4">
        <f t="shared" si="52"/>
        <v>0.23564624661365025</v>
      </c>
      <c r="W537" t="str">
        <f t="shared" si="53"/>
        <v>Mar</v>
      </c>
    </row>
    <row r="538" spans="1:23" x14ac:dyDescent="0.25">
      <c r="A538" t="s">
        <v>891</v>
      </c>
      <c r="B538" t="s">
        <v>116</v>
      </c>
      <c r="C538" s="2">
        <v>45828.62222222222</v>
      </c>
      <c r="D538" t="s">
        <v>35</v>
      </c>
      <c r="E538" t="s">
        <v>36</v>
      </c>
      <c r="F538" t="s">
        <v>37</v>
      </c>
      <c r="G538" t="s">
        <v>38</v>
      </c>
      <c r="H538">
        <v>3</v>
      </c>
      <c r="I538" s="3">
        <v>599</v>
      </c>
      <c r="J538" s="4">
        <v>0</v>
      </c>
      <c r="K538" s="3">
        <v>99</v>
      </c>
      <c r="L538" t="s">
        <v>125</v>
      </c>
      <c r="M538" t="s">
        <v>126</v>
      </c>
      <c r="N538" t="s">
        <v>31</v>
      </c>
      <c r="O538" t="s">
        <v>32</v>
      </c>
      <c r="P538" t="s">
        <v>33</v>
      </c>
      <c r="R538" s="3">
        <f t="shared" si="48"/>
        <v>1797</v>
      </c>
      <c r="S538" s="3">
        <f t="shared" si="49"/>
        <v>0</v>
      </c>
      <c r="T538" s="3">
        <f t="shared" si="50"/>
        <v>1896</v>
      </c>
      <c r="U538" s="3">
        <f t="shared" si="51"/>
        <v>638.10000000000014</v>
      </c>
      <c r="V538" s="4">
        <f t="shared" si="52"/>
        <v>0.33655063291139248</v>
      </c>
      <c r="W538" t="str">
        <f t="shared" si="53"/>
        <v>Jun</v>
      </c>
    </row>
    <row r="539" spans="1:23" x14ac:dyDescent="0.25">
      <c r="A539" t="s">
        <v>892</v>
      </c>
      <c r="B539" t="s">
        <v>411</v>
      </c>
      <c r="C539" s="2">
        <v>45756.386805555558</v>
      </c>
      <c r="D539" t="s">
        <v>110</v>
      </c>
      <c r="E539" t="s">
        <v>111</v>
      </c>
      <c r="F539" t="s">
        <v>98</v>
      </c>
      <c r="G539" t="s">
        <v>112</v>
      </c>
      <c r="H539">
        <v>1</v>
      </c>
      <c r="I539" s="3">
        <v>2999</v>
      </c>
      <c r="J539" s="4">
        <v>0.05</v>
      </c>
      <c r="K539" s="3">
        <v>79</v>
      </c>
      <c r="L539" t="s">
        <v>113</v>
      </c>
      <c r="M539" t="s">
        <v>114</v>
      </c>
      <c r="N539" t="s">
        <v>71</v>
      </c>
      <c r="O539" t="s">
        <v>41</v>
      </c>
      <c r="P539" t="s">
        <v>85</v>
      </c>
      <c r="Q539">
        <v>2</v>
      </c>
      <c r="R539" s="3">
        <f t="shared" si="48"/>
        <v>2999</v>
      </c>
      <c r="S539" s="3">
        <f t="shared" si="49"/>
        <v>149.95000000000002</v>
      </c>
      <c r="T539" s="3">
        <f t="shared" si="50"/>
        <v>2928.05</v>
      </c>
      <c r="U539" s="3">
        <f t="shared" si="51"/>
        <v>828.75000000000045</v>
      </c>
      <c r="V539" s="4">
        <f t="shared" si="52"/>
        <v>0.28303819948429854</v>
      </c>
      <c r="W539" t="str">
        <f t="shared" si="53"/>
        <v>Apr</v>
      </c>
    </row>
    <row r="540" spans="1:23" x14ac:dyDescent="0.25">
      <c r="A540" t="s">
        <v>893</v>
      </c>
      <c r="B540" t="s">
        <v>894</v>
      </c>
      <c r="C540" s="2">
        <v>45976.730555555558</v>
      </c>
      <c r="D540" t="s">
        <v>110</v>
      </c>
      <c r="E540" t="s">
        <v>111</v>
      </c>
      <c r="F540" t="s">
        <v>98</v>
      </c>
      <c r="G540" t="s">
        <v>112</v>
      </c>
      <c r="H540">
        <v>1</v>
      </c>
      <c r="I540" s="3">
        <v>2999</v>
      </c>
      <c r="J540" s="4">
        <v>0</v>
      </c>
      <c r="K540" s="3">
        <v>99</v>
      </c>
      <c r="L540" t="s">
        <v>29</v>
      </c>
      <c r="M540" t="s">
        <v>30</v>
      </c>
      <c r="N540" t="s">
        <v>102</v>
      </c>
      <c r="O540" t="s">
        <v>51</v>
      </c>
      <c r="P540" t="s">
        <v>33</v>
      </c>
      <c r="Q540">
        <v>3</v>
      </c>
      <c r="R540" s="3">
        <f t="shared" si="48"/>
        <v>2999</v>
      </c>
      <c r="S540" s="3">
        <f t="shared" si="49"/>
        <v>0</v>
      </c>
      <c r="T540" s="3">
        <f t="shared" si="50"/>
        <v>3098</v>
      </c>
      <c r="U540" s="3">
        <f t="shared" si="51"/>
        <v>998.70000000000027</v>
      </c>
      <c r="V540" s="4">
        <f t="shared" si="52"/>
        <v>0.32236927049709496</v>
      </c>
      <c r="W540" t="str">
        <f t="shared" si="53"/>
        <v>Nov</v>
      </c>
    </row>
    <row r="541" spans="1:23" x14ac:dyDescent="0.25">
      <c r="A541" t="s">
        <v>895</v>
      </c>
      <c r="B541" t="s">
        <v>681</v>
      </c>
      <c r="C541" s="2">
        <v>45745.09652777778</v>
      </c>
      <c r="D541" t="s">
        <v>105</v>
      </c>
      <c r="E541" t="s">
        <v>106</v>
      </c>
      <c r="F541" t="s">
        <v>37</v>
      </c>
      <c r="G541" t="s">
        <v>107</v>
      </c>
      <c r="H541">
        <v>2</v>
      </c>
      <c r="I541" s="3">
        <v>1799</v>
      </c>
      <c r="J541" s="4">
        <v>0.05</v>
      </c>
      <c r="K541" s="3">
        <v>99</v>
      </c>
      <c r="L541" t="s">
        <v>48</v>
      </c>
      <c r="M541" t="s">
        <v>49</v>
      </c>
      <c r="N541" t="s">
        <v>31</v>
      </c>
      <c r="O541" t="s">
        <v>41</v>
      </c>
      <c r="P541" t="s">
        <v>85</v>
      </c>
      <c r="Q541">
        <v>1</v>
      </c>
      <c r="R541" s="3">
        <f t="shared" si="48"/>
        <v>3598</v>
      </c>
      <c r="S541" s="3">
        <f t="shared" si="49"/>
        <v>179.9</v>
      </c>
      <c r="T541" s="3">
        <f t="shared" si="50"/>
        <v>3517.1</v>
      </c>
      <c r="U541" s="3">
        <f t="shared" si="51"/>
        <v>998.5</v>
      </c>
      <c r="V541" s="4">
        <f t="shared" si="52"/>
        <v>0.2838986665150266</v>
      </c>
      <c r="W541" t="str">
        <f t="shared" si="53"/>
        <v>Mar</v>
      </c>
    </row>
    <row r="542" spans="1:23" x14ac:dyDescent="0.25">
      <c r="A542" t="s">
        <v>896</v>
      </c>
      <c r="B542" t="s">
        <v>609</v>
      </c>
      <c r="C542" s="2">
        <v>45685.102083333331</v>
      </c>
      <c r="D542" t="s">
        <v>90</v>
      </c>
      <c r="E542" t="s">
        <v>91</v>
      </c>
      <c r="F542" t="s">
        <v>37</v>
      </c>
      <c r="G542" t="s">
        <v>92</v>
      </c>
      <c r="H542">
        <v>1</v>
      </c>
      <c r="I542" s="3">
        <v>3499</v>
      </c>
      <c r="J542" s="4">
        <v>0</v>
      </c>
      <c r="K542" s="3">
        <v>99</v>
      </c>
      <c r="L542" t="s">
        <v>39</v>
      </c>
      <c r="M542" t="s">
        <v>39</v>
      </c>
      <c r="N542" t="s">
        <v>102</v>
      </c>
      <c r="O542" t="s">
        <v>51</v>
      </c>
      <c r="P542" t="s">
        <v>52</v>
      </c>
      <c r="Q542">
        <v>3</v>
      </c>
      <c r="R542" s="3">
        <f t="shared" si="48"/>
        <v>3499</v>
      </c>
      <c r="S542" s="3">
        <f t="shared" si="49"/>
        <v>0</v>
      </c>
      <c r="T542" s="3">
        <f t="shared" si="50"/>
        <v>3598</v>
      </c>
      <c r="U542" s="3">
        <f t="shared" si="51"/>
        <v>1148.7000000000003</v>
      </c>
      <c r="V542" s="4">
        <f t="shared" si="52"/>
        <v>0.31926070038910515</v>
      </c>
      <c r="W542" t="str">
        <f t="shared" si="53"/>
        <v>Jan</v>
      </c>
    </row>
    <row r="543" spans="1:23" x14ac:dyDescent="0.25">
      <c r="A543" t="s">
        <v>897</v>
      </c>
      <c r="B543" t="s">
        <v>177</v>
      </c>
      <c r="C543" s="2">
        <v>46001.711805555547</v>
      </c>
      <c r="D543" t="s">
        <v>169</v>
      </c>
      <c r="E543" t="s">
        <v>170</v>
      </c>
      <c r="F543" t="s">
        <v>98</v>
      </c>
      <c r="G543" t="s">
        <v>171</v>
      </c>
      <c r="H543">
        <v>2</v>
      </c>
      <c r="I543" s="3">
        <v>799</v>
      </c>
      <c r="J543" s="4">
        <v>0.15</v>
      </c>
      <c r="K543" s="3">
        <v>49</v>
      </c>
      <c r="L543" t="s">
        <v>113</v>
      </c>
      <c r="M543" t="s">
        <v>114</v>
      </c>
      <c r="N543" t="s">
        <v>40</v>
      </c>
      <c r="O543" t="s">
        <v>93</v>
      </c>
      <c r="P543" t="s">
        <v>52</v>
      </c>
      <c r="Q543">
        <v>4</v>
      </c>
      <c r="R543" s="3">
        <f t="shared" si="48"/>
        <v>1598</v>
      </c>
      <c r="S543" s="3">
        <f t="shared" si="49"/>
        <v>239.7</v>
      </c>
      <c r="T543" s="3">
        <f t="shared" si="50"/>
        <v>1407.3</v>
      </c>
      <c r="U543" s="3">
        <f t="shared" si="51"/>
        <v>288.70000000000005</v>
      </c>
      <c r="V543" s="4">
        <f t="shared" si="52"/>
        <v>0.20514460314076605</v>
      </c>
      <c r="W543" t="str">
        <f t="shared" si="53"/>
        <v>Dec</v>
      </c>
    </row>
    <row r="544" spans="1:23" x14ac:dyDescent="0.25">
      <c r="A544" t="s">
        <v>898</v>
      </c>
      <c r="B544" t="s">
        <v>899</v>
      </c>
      <c r="C544" s="2">
        <v>45772.204861111109</v>
      </c>
      <c r="D544" t="s">
        <v>110</v>
      </c>
      <c r="E544" t="s">
        <v>111</v>
      </c>
      <c r="F544" t="s">
        <v>98</v>
      </c>
      <c r="G544" t="s">
        <v>112</v>
      </c>
      <c r="H544">
        <v>2</v>
      </c>
      <c r="I544" s="3">
        <v>2999</v>
      </c>
      <c r="J544" s="4">
        <v>0.05</v>
      </c>
      <c r="K544" s="3">
        <v>59</v>
      </c>
      <c r="L544" t="s">
        <v>119</v>
      </c>
      <c r="M544" t="s">
        <v>120</v>
      </c>
      <c r="N544" t="s">
        <v>50</v>
      </c>
      <c r="O544" t="s">
        <v>51</v>
      </c>
      <c r="P544" t="s">
        <v>85</v>
      </c>
      <c r="R544" s="3">
        <f t="shared" si="48"/>
        <v>5998</v>
      </c>
      <c r="S544" s="3">
        <f t="shared" si="49"/>
        <v>299.90000000000003</v>
      </c>
      <c r="T544" s="3">
        <f t="shared" si="50"/>
        <v>5757.1</v>
      </c>
      <c r="U544" s="3">
        <f t="shared" si="51"/>
        <v>1558.5000000000009</v>
      </c>
      <c r="V544" s="4">
        <f t="shared" si="52"/>
        <v>0.27070921123482322</v>
      </c>
      <c r="W544" t="str">
        <f t="shared" si="53"/>
        <v>Apr</v>
      </c>
    </row>
    <row r="545" spans="1:23" x14ac:dyDescent="0.25">
      <c r="A545" t="s">
        <v>900</v>
      </c>
      <c r="B545" t="s">
        <v>901</v>
      </c>
      <c r="C545" s="2">
        <v>45691.629861111112</v>
      </c>
      <c r="D545" t="s">
        <v>169</v>
      </c>
      <c r="E545" t="s">
        <v>170</v>
      </c>
      <c r="F545" t="s">
        <v>98</v>
      </c>
      <c r="G545" t="s">
        <v>171</v>
      </c>
      <c r="H545">
        <v>2</v>
      </c>
      <c r="I545" s="3">
        <v>799</v>
      </c>
      <c r="J545" s="4">
        <v>0.1</v>
      </c>
      <c r="K545" s="3">
        <v>79</v>
      </c>
      <c r="L545" t="s">
        <v>119</v>
      </c>
      <c r="M545" t="s">
        <v>120</v>
      </c>
      <c r="N545" t="s">
        <v>71</v>
      </c>
      <c r="O545" t="s">
        <v>51</v>
      </c>
      <c r="P545" t="s">
        <v>33</v>
      </c>
      <c r="Q545">
        <v>5</v>
      </c>
      <c r="R545" s="3">
        <f t="shared" si="48"/>
        <v>1598</v>
      </c>
      <c r="S545" s="3">
        <f t="shared" si="49"/>
        <v>159.80000000000001</v>
      </c>
      <c r="T545" s="3">
        <f t="shared" si="50"/>
        <v>1517.2</v>
      </c>
      <c r="U545" s="3">
        <f t="shared" si="51"/>
        <v>398.60000000000014</v>
      </c>
      <c r="V545" s="4">
        <f t="shared" si="52"/>
        <v>0.26272080147640398</v>
      </c>
      <c r="W545" t="str">
        <f t="shared" si="53"/>
        <v>Feb</v>
      </c>
    </row>
    <row r="546" spans="1:23" x14ac:dyDescent="0.25">
      <c r="A546" t="s">
        <v>902</v>
      </c>
      <c r="B546" t="s">
        <v>717</v>
      </c>
      <c r="C546" s="2">
        <v>45865.951388888891</v>
      </c>
      <c r="D546" t="s">
        <v>44</v>
      </c>
      <c r="E546" t="s">
        <v>45</v>
      </c>
      <c r="F546" t="s">
        <v>46</v>
      </c>
      <c r="G546" t="s">
        <v>47</v>
      </c>
      <c r="H546">
        <v>2</v>
      </c>
      <c r="I546" s="3">
        <v>1199</v>
      </c>
      <c r="J546" s="4">
        <v>0.05</v>
      </c>
      <c r="K546" s="3">
        <v>99</v>
      </c>
      <c r="L546" t="s">
        <v>100</v>
      </c>
      <c r="M546" t="s">
        <v>101</v>
      </c>
      <c r="N546" t="s">
        <v>71</v>
      </c>
      <c r="O546" t="s">
        <v>32</v>
      </c>
      <c r="P546" t="s">
        <v>33</v>
      </c>
      <c r="Q546">
        <v>4</v>
      </c>
      <c r="R546" s="3">
        <f t="shared" si="48"/>
        <v>2398</v>
      </c>
      <c r="S546" s="3">
        <f t="shared" si="49"/>
        <v>119.9</v>
      </c>
      <c r="T546" s="3">
        <f t="shared" si="50"/>
        <v>2377.1</v>
      </c>
      <c r="U546" s="3">
        <f t="shared" si="51"/>
        <v>698.5</v>
      </c>
      <c r="V546" s="4">
        <f t="shared" si="52"/>
        <v>0.2938454419250347</v>
      </c>
      <c r="W546" t="str">
        <f t="shared" si="53"/>
        <v>Jul</v>
      </c>
    </row>
    <row r="547" spans="1:23" x14ac:dyDescent="0.25">
      <c r="A547" t="s">
        <v>903</v>
      </c>
      <c r="B547" t="s">
        <v>715</v>
      </c>
      <c r="C547" s="2">
        <v>45975.315972222219</v>
      </c>
      <c r="D547" t="s">
        <v>96</v>
      </c>
      <c r="E547" t="s">
        <v>97</v>
      </c>
      <c r="F547" t="s">
        <v>98</v>
      </c>
      <c r="G547" t="s">
        <v>99</v>
      </c>
      <c r="H547">
        <v>1</v>
      </c>
      <c r="I547" s="3">
        <v>1499</v>
      </c>
      <c r="J547" s="4">
        <v>0.1</v>
      </c>
      <c r="K547" s="3">
        <v>79</v>
      </c>
      <c r="L547" t="s">
        <v>125</v>
      </c>
      <c r="M547" t="s">
        <v>126</v>
      </c>
      <c r="N547" t="s">
        <v>71</v>
      </c>
      <c r="O547" t="s">
        <v>41</v>
      </c>
      <c r="P547" t="s">
        <v>33</v>
      </c>
      <c r="R547" s="3">
        <f t="shared" si="48"/>
        <v>1499</v>
      </c>
      <c r="S547" s="3">
        <f t="shared" si="49"/>
        <v>149.9</v>
      </c>
      <c r="T547" s="3">
        <f t="shared" si="50"/>
        <v>1428.1</v>
      </c>
      <c r="U547" s="3">
        <f t="shared" si="51"/>
        <v>378.79999999999995</v>
      </c>
      <c r="V547" s="4">
        <f t="shared" si="52"/>
        <v>0.26524753168545617</v>
      </c>
      <c r="W547" t="str">
        <f t="shared" si="53"/>
        <v>Nov</v>
      </c>
    </row>
    <row r="548" spans="1:23" x14ac:dyDescent="0.25">
      <c r="A548" t="s">
        <v>904</v>
      </c>
      <c r="B548" t="s">
        <v>589</v>
      </c>
      <c r="C548" s="2">
        <v>45880.784722222219</v>
      </c>
      <c r="D548" t="s">
        <v>77</v>
      </c>
      <c r="E548" t="s">
        <v>78</v>
      </c>
      <c r="F548" t="s">
        <v>79</v>
      </c>
      <c r="G548" t="s">
        <v>28</v>
      </c>
      <c r="H548">
        <v>1</v>
      </c>
      <c r="I548" s="3">
        <v>6499</v>
      </c>
      <c r="J548" s="4">
        <v>0.15</v>
      </c>
      <c r="K548" s="3">
        <v>49</v>
      </c>
      <c r="L548" t="s">
        <v>125</v>
      </c>
      <c r="M548" t="s">
        <v>126</v>
      </c>
      <c r="N548" t="s">
        <v>31</v>
      </c>
      <c r="O548" t="s">
        <v>32</v>
      </c>
      <c r="P548" t="s">
        <v>33</v>
      </c>
      <c r="R548" s="3">
        <f t="shared" si="48"/>
        <v>6499</v>
      </c>
      <c r="S548" s="3">
        <f t="shared" si="49"/>
        <v>974.84999999999991</v>
      </c>
      <c r="T548" s="3">
        <f t="shared" si="50"/>
        <v>5573.15</v>
      </c>
      <c r="U548" s="3">
        <f t="shared" si="51"/>
        <v>1023.8500000000004</v>
      </c>
      <c r="V548" s="4">
        <f t="shared" si="52"/>
        <v>0.18371118667181047</v>
      </c>
      <c r="W548" t="str">
        <f t="shared" si="53"/>
        <v>Aug</v>
      </c>
    </row>
    <row r="549" spans="1:23" x14ac:dyDescent="0.25">
      <c r="A549" t="s">
        <v>905</v>
      </c>
      <c r="B549" t="s">
        <v>906</v>
      </c>
      <c r="C549" s="2">
        <v>45895.440972222219</v>
      </c>
      <c r="D549" t="s">
        <v>90</v>
      </c>
      <c r="E549" t="s">
        <v>91</v>
      </c>
      <c r="F549" t="s">
        <v>37</v>
      </c>
      <c r="G549" t="s">
        <v>92</v>
      </c>
      <c r="H549">
        <v>2</v>
      </c>
      <c r="I549" s="3">
        <v>3499</v>
      </c>
      <c r="J549" s="4">
        <v>0.1</v>
      </c>
      <c r="K549" s="3">
        <v>49</v>
      </c>
      <c r="L549" t="s">
        <v>29</v>
      </c>
      <c r="M549" t="s">
        <v>30</v>
      </c>
      <c r="N549" t="s">
        <v>40</v>
      </c>
      <c r="O549" t="s">
        <v>93</v>
      </c>
      <c r="P549" t="s">
        <v>33</v>
      </c>
      <c r="Q549">
        <v>5</v>
      </c>
      <c r="R549" s="3">
        <f t="shared" si="48"/>
        <v>6998</v>
      </c>
      <c r="S549" s="3">
        <f t="shared" si="49"/>
        <v>699.80000000000007</v>
      </c>
      <c r="T549" s="3">
        <f t="shared" si="50"/>
        <v>6347.2</v>
      </c>
      <c r="U549" s="3">
        <f t="shared" si="51"/>
        <v>1448.6000000000004</v>
      </c>
      <c r="V549" s="4">
        <f t="shared" si="52"/>
        <v>0.22822661961179738</v>
      </c>
      <c r="W549" t="str">
        <f t="shared" si="53"/>
        <v>Aug</v>
      </c>
    </row>
    <row r="550" spans="1:23" x14ac:dyDescent="0.25">
      <c r="A550" t="s">
        <v>907</v>
      </c>
      <c r="B550" t="s">
        <v>582</v>
      </c>
      <c r="C550" s="2">
        <v>45852.438194444447</v>
      </c>
      <c r="D550" t="s">
        <v>55</v>
      </c>
      <c r="E550" t="s">
        <v>56</v>
      </c>
      <c r="F550" t="s">
        <v>37</v>
      </c>
      <c r="G550" t="s">
        <v>38</v>
      </c>
      <c r="H550">
        <v>3</v>
      </c>
      <c r="I550" s="3">
        <v>2499</v>
      </c>
      <c r="J550" s="4">
        <v>0.2</v>
      </c>
      <c r="K550" s="3">
        <v>0</v>
      </c>
      <c r="L550" t="s">
        <v>125</v>
      </c>
      <c r="M550" t="s">
        <v>126</v>
      </c>
      <c r="N550" t="s">
        <v>50</v>
      </c>
      <c r="O550" t="s">
        <v>41</v>
      </c>
      <c r="P550" t="s">
        <v>80</v>
      </c>
      <c r="Q550">
        <v>5</v>
      </c>
      <c r="R550" s="3">
        <f t="shared" si="48"/>
        <v>7497</v>
      </c>
      <c r="S550" s="3">
        <f t="shared" si="49"/>
        <v>1499.4</v>
      </c>
      <c r="T550" s="3">
        <f t="shared" si="50"/>
        <v>5997.6</v>
      </c>
      <c r="U550" s="3">
        <f t="shared" si="51"/>
        <v>749.70000000000073</v>
      </c>
      <c r="V550" s="4">
        <f t="shared" si="52"/>
        <v>0.12500000000000011</v>
      </c>
      <c r="W550" t="str">
        <f t="shared" si="53"/>
        <v>Jul</v>
      </c>
    </row>
    <row r="551" spans="1:23" x14ac:dyDescent="0.25">
      <c r="A551" t="s">
        <v>908</v>
      </c>
      <c r="B551" t="s">
        <v>243</v>
      </c>
      <c r="C551" s="2">
        <v>45996.186111111107</v>
      </c>
      <c r="D551" t="s">
        <v>25</v>
      </c>
      <c r="E551" t="s">
        <v>26</v>
      </c>
      <c r="F551" t="s">
        <v>27</v>
      </c>
      <c r="G551" t="s">
        <v>28</v>
      </c>
      <c r="H551">
        <v>3</v>
      </c>
      <c r="I551" s="3">
        <v>249</v>
      </c>
      <c r="J551" s="4">
        <v>0.05</v>
      </c>
      <c r="K551" s="3">
        <v>79</v>
      </c>
      <c r="L551" t="s">
        <v>39</v>
      </c>
      <c r="M551" t="s">
        <v>39</v>
      </c>
      <c r="N551" t="s">
        <v>40</v>
      </c>
      <c r="O551" t="s">
        <v>41</v>
      </c>
      <c r="P551" t="s">
        <v>85</v>
      </c>
      <c r="Q551">
        <v>2</v>
      </c>
      <c r="R551" s="3">
        <f t="shared" si="48"/>
        <v>747</v>
      </c>
      <c r="S551" s="3">
        <f t="shared" si="49"/>
        <v>37.35</v>
      </c>
      <c r="T551" s="3">
        <f t="shared" si="50"/>
        <v>788.65</v>
      </c>
      <c r="U551" s="3">
        <f t="shared" si="51"/>
        <v>265.75</v>
      </c>
      <c r="V551" s="4">
        <f t="shared" si="52"/>
        <v>0.33696823686045774</v>
      </c>
      <c r="W551" t="str">
        <f t="shared" si="53"/>
        <v>Dec</v>
      </c>
    </row>
    <row r="552" spans="1:23" x14ac:dyDescent="0.25">
      <c r="A552" t="s">
        <v>909</v>
      </c>
      <c r="B552" t="s">
        <v>323</v>
      </c>
      <c r="C552" s="2">
        <v>46005.415277777778</v>
      </c>
      <c r="D552" t="s">
        <v>25</v>
      </c>
      <c r="E552" t="s">
        <v>26</v>
      </c>
      <c r="F552" t="s">
        <v>27</v>
      </c>
      <c r="G552" t="s">
        <v>28</v>
      </c>
      <c r="H552">
        <v>1</v>
      </c>
      <c r="I552" s="3">
        <v>249</v>
      </c>
      <c r="J552" s="4">
        <v>0.2</v>
      </c>
      <c r="K552" s="3">
        <v>59</v>
      </c>
      <c r="L552" t="s">
        <v>74</v>
      </c>
      <c r="M552" t="s">
        <v>49</v>
      </c>
      <c r="N552" t="s">
        <v>102</v>
      </c>
      <c r="O552" t="s">
        <v>93</v>
      </c>
      <c r="P552" t="s">
        <v>52</v>
      </c>
      <c r="Q552">
        <v>5</v>
      </c>
      <c r="R552" s="3">
        <f t="shared" si="48"/>
        <v>249</v>
      </c>
      <c r="S552" s="3">
        <f t="shared" si="49"/>
        <v>49.800000000000004</v>
      </c>
      <c r="T552" s="3">
        <f t="shared" si="50"/>
        <v>258.2</v>
      </c>
      <c r="U552" s="3">
        <f t="shared" si="51"/>
        <v>83.9</v>
      </c>
      <c r="V552" s="4">
        <f t="shared" si="52"/>
        <v>0.32494190549961272</v>
      </c>
      <c r="W552" t="str">
        <f t="shared" si="53"/>
        <v>Dec</v>
      </c>
    </row>
    <row r="553" spans="1:23" x14ac:dyDescent="0.25">
      <c r="A553" t="s">
        <v>910</v>
      </c>
      <c r="B553" t="s">
        <v>184</v>
      </c>
      <c r="C553" s="2">
        <v>45808.057638888888</v>
      </c>
      <c r="D553" t="s">
        <v>62</v>
      </c>
      <c r="E553" t="s">
        <v>63</v>
      </c>
      <c r="F553" t="s">
        <v>46</v>
      </c>
      <c r="G553" t="s">
        <v>64</v>
      </c>
      <c r="H553">
        <v>3</v>
      </c>
      <c r="I553" s="3">
        <v>699</v>
      </c>
      <c r="J553" s="4">
        <v>0</v>
      </c>
      <c r="K553" s="3">
        <v>0</v>
      </c>
      <c r="L553" t="s">
        <v>57</v>
      </c>
      <c r="M553" t="s">
        <v>58</v>
      </c>
      <c r="N553" t="s">
        <v>71</v>
      </c>
      <c r="O553" t="s">
        <v>93</v>
      </c>
      <c r="P553" t="s">
        <v>85</v>
      </c>
      <c r="R553" s="3">
        <f t="shared" si="48"/>
        <v>2097</v>
      </c>
      <c r="S553" s="3">
        <f t="shared" si="49"/>
        <v>0</v>
      </c>
      <c r="T553" s="3">
        <f t="shared" si="50"/>
        <v>2097</v>
      </c>
      <c r="U553" s="3">
        <f t="shared" si="51"/>
        <v>629.10000000000014</v>
      </c>
      <c r="V553" s="4">
        <f t="shared" si="52"/>
        <v>0.30000000000000004</v>
      </c>
      <c r="W553" t="str">
        <f t="shared" si="53"/>
        <v>May</v>
      </c>
    </row>
    <row r="554" spans="1:23" x14ac:dyDescent="0.25">
      <c r="A554" t="s">
        <v>911</v>
      </c>
      <c r="B554" t="s">
        <v>731</v>
      </c>
      <c r="C554" s="2">
        <v>46017.767361111109</v>
      </c>
      <c r="D554" t="s">
        <v>110</v>
      </c>
      <c r="E554" t="s">
        <v>111</v>
      </c>
      <c r="F554" t="s">
        <v>98</v>
      </c>
      <c r="G554" t="s">
        <v>112</v>
      </c>
      <c r="H554">
        <v>1</v>
      </c>
      <c r="I554" s="3">
        <v>2999</v>
      </c>
      <c r="J554" s="4">
        <v>0.05</v>
      </c>
      <c r="K554" s="3">
        <v>79</v>
      </c>
      <c r="L554" t="s">
        <v>39</v>
      </c>
      <c r="M554" t="s">
        <v>39</v>
      </c>
      <c r="N554" t="s">
        <v>40</v>
      </c>
      <c r="O554" t="s">
        <v>59</v>
      </c>
      <c r="P554" t="s">
        <v>80</v>
      </c>
      <c r="Q554">
        <v>5</v>
      </c>
      <c r="R554" s="3">
        <f t="shared" si="48"/>
        <v>2999</v>
      </c>
      <c r="S554" s="3">
        <f t="shared" si="49"/>
        <v>149.95000000000002</v>
      </c>
      <c r="T554" s="3">
        <f t="shared" si="50"/>
        <v>2928.05</v>
      </c>
      <c r="U554" s="3">
        <f t="shared" si="51"/>
        <v>828.75000000000045</v>
      </c>
      <c r="V554" s="4">
        <f t="shared" si="52"/>
        <v>0.28303819948429854</v>
      </c>
      <c r="W554" t="str">
        <f t="shared" si="53"/>
        <v>Dec</v>
      </c>
    </row>
    <row r="555" spans="1:23" x14ac:dyDescent="0.25">
      <c r="A555" t="s">
        <v>912</v>
      </c>
      <c r="B555" t="s">
        <v>240</v>
      </c>
      <c r="C555" s="2">
        <v>45754.724999999999</v>
      </c>
      <c r="D555" t="s">
        <v>67</v>
      </c>
      <c r="E555" t="s">
        <v>68</v>
      </c>
      <c r="F555" t="s">
        <v>37</v>
      </c>
      <c r="G555" t="s">
        <v>38</v>
      </c>
      <c r="H555">
        <v>2</v>
      </c>
      <c r="I555" s="3">
        <v>1299</v>
      </c>
      <c r="J555" s="4">
        <v>0.1</v>
      </c>
      <c r="K555" s="3">
        <v>49</v>
      </c>
      <c r="L555" t="s">
        <v>100</v>
      </c>
      <c r="M555" t="s">
        <v>101</v>
      </c>
      <c r="N555" t="s">
        <v>50</v>
      </c>
      <c r="O555" t="s">
        <v>41</v>
      </c>
      <c r="P555" t="s">
        <v>33</v>
      </c>
      <c r="Q555">
        <v>1</v>
      </c>
      <c r="R555" s="3">
        <f t="shared" si="48"/>
        <v>2598</v>
      </c>
      <c r="S555" s="3">
        <f t="shared" si="49"/>
        <v>259.8</v>
      </c>
      <c r="T555" s="3">
        <f t="shared" si="50"/>
        <v>2387.1999999999998</v>
      </c>
      <c r="U555" s="3">
        <f t="shared" si="51"/>
        <v>568.59999999999991</v>
      </c>
      <c r="V555" s="4">
        <f t="shared" si="52"/>
        <v>0.23818699731903484</v>
      </c>
      <c r="W555" t="str">
        <f t="shared" si="53"/>
        <v>Apr</v>
      </c>
    </row>
    <row r="556" spans="1:23" x14ac:dyDescent="0.25">
      <c r="A556" t="s">
        <v>913</v>
      </c>
      <c r="B556" t="s">
        <v>914</v>
      </c>
      <c r="C556" s="2">
        <v>45907.893750000003</v>
      </c>
      <c r="D556" t="s">
        <v>55</v>
      </c>
      <c r="E556" t="s">
        <v>56</v>
      </c>
      <c r="F556" t="s">
        <v>37</v>
      </c>
      <c r="G556" t="s">
        <v>38</v>
      </c>
      <c r="H556">
        <v>1</v>
      </c>
      <c r="I556" s="3">
        <v>2499</v>
      </c>
      <c r="J556" s="4">
        <v>0</v>
      </c>
      <c r="K556" s="3">
        <v>49</v>
      </c>
      <c r="L556" t="s">
        <v>39</v>
      </c>
      <c r="M556" t="s">
        <v>39</v>
      </c>
      <c r="N556" t="s">
        <v>40</v>
      </c>
      <c r="O556" t="s">
        <v>32</v>
      </c>
      <c r="P556" t="s">
        <v>33</v>
      </c>
      <c r="Q556">
        <v>4</v>
      </c>
      <c r="R556" s="3">
        <f t="shared" si="48"/>
        <v>2499</v>
      </c>
      <c r="S556" s="3">
        <f t="shared" si="49"/>
        <v>0</v>
      </c>
      <c r="T556" s="3">
        <f t="shared" si="50"/>
        <v>2548</v>
      </c>
      <c r="U556" s="3">
        <f t="shared" si="51"/>
        <v>798.7</v>
      </c>
      <c r="V556" s="4">
        <f t="shared" si="52"/>
        <v>0.31346153846153846</v>
      </c>
      <c r="W556" t="str">
        <f t="shared" si="53"/>
        <v>Sep</v>
      </c>
    </row>
    <row r="557" spans="1:23" x14ac:dyDescent="0.25">
      <c r="A557" t="s">
        <v>915</v>
      </c>
      <c r="B557" t="s">
        <v>642</v>
      </c>
      <c r="C557" s="2">
        <v>45875.744444444441</v>
      </c>
      <c r="D557" t="s">
        <v>44</v>
      </c>
      <c r="E557" t="s">
        <v>45</v>
      </c>
      <c r="F557" t="s">
        <v>46</v>
      </c>
      <c r="G557" t="s">
        <v>47</v>
      </c>
      <c r="H557">
        <v>2</v>
      </c>
      <c r="I557" s="3">
        <v>1199</v>
      </c>
      <c r="J557" s="4">
        <v>0.1</v>
      </c>
      <c r="K557" s="3">
        <v>59</v>
      </c>
      <c r="L557" t="s">
        <v>100</v>
      </c>
      <c r="M557" t="s">
        <v>101</v>
      </c>
      <c r="N557" t="s">
        <v>50</v>
      </c>
      <c r="O557" t="s">
        <v>59</v>
      </c>
      <c r="P557" t="s">
        <v>52</v>
      </c>
      <c r="Q557">
        <v>5</v>
      </c>
      <c r="R557" s="3">
        <f t="shared" si="48"/>
        <v>2398</v>
      </c>
      <c r="S557" s="3">
        <f t="shared" si="49"/>
        <v>239.8</v>
      </c>
      <c r="T557" s="3">
        <f t="shared" si="50"/>
        <v>2217.1999999999998</v>
      </c>
      <c r="U557" s="3">
        <f t="shared" si="51"/>
        <v>538.59999999999991</v>
      </c>
      <c r="V557" s="4">
        <f t="shared" si="52"/>
        <v>0.2429189969330687</v>
      </c>
      <c r="W557" t="str">
        <f t="shared" si="53"/>
        <v>Aug</v>
      </c>
    </row>
    <row r="558" spans="1:23" x14ac:dyDescent="0.25">
      <c r="A558" t="s">
        <v>916</v>
      </c>
      <c r="B558" t="s">
        <v>243</v>
      </c>
      <c r="C558" s="2">
        <v>45779.938888888893</v>
      </c>
      <c r="D558" t="s">
        <v>35</v>
      </c>
      <c r="E558" t="s">
        <v>36</v>
      </c>
      <c r="F558" t="s">
        <v>37</v>
      </c>
      <c r="G558" t="s">
        <v>38</v>
      </c>
      <c r="H558">
        <v>2</v>
      </c>
      <c r="I558" s="3">
        <v>599</v>
      </c>
      <c r="J558" s="4">
        <v>0.1</v>
      </c>
      <c r="K558" s="3">
        <v>99</v>
      </c>
      <c r="L558" t="s">
        <v>125</v>
      </c>
      <c r="M558" t="s">
        <v>126</v>
      </c>
      <c r="N558" t="s">
        <v>71</v>
      </c>
      <c r="O558" t="s">
        <v>93</v>
      </c>
      <c r="P558" t="s">
        <v>33</v>
      </c>
      <c r="Q558">
        <v>1</v>
      </c>
      <c r="R558" s="3">
        <f t="shared" si="48"/>
        <v>1198</v>
      </c>
      <c r="S558" s="3">
        <f t="shared" si="49"/>
        <v>119.80000000000001</v>
      </c>
      <c r="T558" s="3">
        <f t="shared" si="50"/>
        <v>1177.2</v>
      </c>
      <c r="U558" s="3">
        <f t="shared" si="51"/>
        <v>338.60000000000014</v>
      </c>
      <c r="V558" s="4">
        <f t="shared" si="52"/>
        <v>0.28763166836561344</v>
      </c>
      <c r="W558" t="str">
        <f t="shared" si="53"/>
        <v>May</v>
      </c>
    </row>
    <row r="559" spans="1:23" x14ac:dyDescent="0.25">
      <c r="A559" t="s">
        <v>917</v>
      </c>
      <c r="B559" t="s">
        <v>422</v>
      </c>
      <c r="C559" s="2">
        <v>45715.770833333343</v>
      </c>
      <c r="D559" t="s">
        <v>44</v>
      </c>
      <c r="E559" t="s">
        <v>45</v>
      </c>
      <c r="F559" t="s">
        <v>46</v>
      </c>
      <c r="G559" t="s">
        <v>47</v>
      </c>
      <c r="H559">
        <v>2</v>
      </c>
      <c r="I559" s="3">
        <v>1199</v>
      </c>
      <c r="J559" s="4">
        <v>0</v>
      </c>
      <c r="K559" s="3">
        <v>49</v>
      </c>
      <c r="L559" t="s">
        <v>119</v>
      </c>
      <c r="M559" t="s">
        <v>120</v>
      </c>
      <c r="N559" t="s">
        <v>71</v>
      </c>
      <c r="O559" t="s">
        <v>59</v>
      </c>
      <c r="P559" t="s">
        <v>80</v>
      </c>
      <c r="Q559">
        <v>5</v>
      </c>
      <c r="R559" s="3">
        <f t="shared" si="48"/>
        <v>2398</v>
      </c>
      <c r="S559" s="3">
        <f t="shared" si="49"/>
        <v>0</v>
      </c>
      <c r="T559" s="3">
        <f t="shared" si="50"/>
        <v>2447</v>
      </c>
      <c r="U559" s="3">
        <f t="shared" si="51"/>
        <v>768.40000000000009</v>
      </c>
      <c r="V559" s="4">
        <f t="shared" si="52"/>
        <v>0.31401716387413164</v>
      </c>
      <c r="W559" t="str">
        <f t="shared" si="53"/>
        <v>Feb</v>
      </c>
    </row>
    <row r="560" spans="1:23" x14ac:dyDescent="0.25">
      <c r="A560" t="s">
        <v>918</v>
      </c>
      <c r="B560" t="s">
        <v>919</v>
      </c>
      <c r="C560" s="2">
        <v>45703.3125</v>
      </c>
      <c r="D560" t="s">
        <v>55</v>
      </c>
      <c r="E560" t="s">
        <v>56</v>
      </c>
      <c r="F560" t="s">
        <v>37</v>
      </c>
      <c r="G560" t="s">
        <v>38</v>
      </c>
      <c r="H560">
        <v>3</v>
      </c>
      <c r="I560" s="3">
        <v>2499</v>
      </c>
      <c r="J560" s="4">
        <v>0.2</v>
      </c>
      <c r="K560" s="3">
        <v>0</v>
      </c>
      <c r="L560" t="s">
        <v>83</v>
      </c>
      <c r="M560" t="s">
        <v>84</v>
      </c>
      <c r="N560" t="s">
        <v>102</v>
      </c>
      <c r="O560" t="s">
        <v>51</v>
      </c>
      <c r="P560" t="s">
        <v>80</v>
      </c>
      <c r="Q560">
        <v>5</v>
      </c>
      <c r="R560" s="3">
        <f t="shared" si="48"/>
        <v>7497</v>
      </c>
      <c r="S560" s="3">
        <f t="shared" si="49"/>
        <v>1499.4</v>
      </c>
      <c r="T560" s="3">
        <f t="shared" si="50"/>
        <v>5997.6</v>
      </c>
      <c r="U560" s="3">
        <f t="shared" si="51"/>
        <v>749.70000000000073</v>
      </c>
      <c r="V560" s="4">
        <f t="shared" si="52"/>
        <v>0.12500000000000011</v>
      </c>
      <c r="W560" t="str">
        <f t="shared" si="53"/>
        <v>Feb</v>
      </c>
    </row>
    <row r="561" spans="1:23" x14ac:dyDescent="0.25">
      <c r="A561" t="s">
        <v>920</v>
      </c>
      <c r="B561" t="s">
        <v>483</v>
      </c>
      <c r="C561" s="2">
        <v>45663.645138888889</v>
      </c>
      <c r="D561" t="s">
        <v>35</v>
      </c>
      <c r="E561" t="s">
        <v>36</v>
      </c>
      <c r="F561" t="s">
        <v>37</v>
      </c>
      <c r="G561" t="s">
        <v>38</v>
      </c>
      <c r="H561">
        <v>2</v>
      </c>
      <c r="I561" s="3">
        <v>599</v>
      </c>
      <c r="J561" s="4">
        <v>0.1</v>
      </c>
      <c r="K561" s="3">
        <v>99</v>
      </c>
      <c r="L561" t="s">
        <v>74</v>
      </c>
      <c r="M561" t="s">
        <v>49</v>
      </c>
      <c r="N561" t="s">
        <v>40</v>
      </c>
      <c r="O561" t="s">
        <v>51</v>
      </c>
      <c r="P561" t="s">
        <v>85</v>
      </c>
      <c r="R561" s="3">
        <f t="shared" si="48"/>
        <v>1198</v>
      </c>
      <c r="S561" s="3">
        <f t="shared" si="49"/>
        <v>119.80000000000001</v>
      </c>
      <c r="T561" s="3">
        <f t="shared" si="50"/>
        <v>1177.2</v>
      </c>
      <c r="U561" s="3">
        <f t="shared" si="51"/>
        <v>338.60000000000014</v>
      </c>
      <c r="V561" s="4">
        <f t="shared" si="52"/>
        <v>0.28763166836561344</v>
      </c>
      <c r="W561" t="str">
        <f t="shared" si="53"/>
        <v>Jan</v>
      </c>
    </row>
    <row r="562" spans="1:23" x14ac:dyDescent="0.25">
      <c r="A562" t="s">
        <v>921</v>
      </c>
      <c r="B562" t="s">
        <v>922</v>
      </c>
      <c r="C562" s="2">
        <v>46013.824305555558</v>
      </c>
      <c r="D562" t="s">
        <v>110</v>
      </c>
      <c r="E562" t="s">
        <v>111</v>
      </c>
      <c r="F562" t="s">
        <v>98</v>
      </c>
      <c r="G562" t="s">
        <v>112</v>
      </c>
      <c r="H562">
        <v>1</v>
      </c>
      <c r="I562" s="3">
        <v>2999</v>
      </c>
      <c r="J562" s="4">
        <v>0.2</v>
      </c>
      <c r="K562" s="3">
        <v>99</v>
      </c>
      <c r="L562" t="s">
        <v>48</v>
      </c>
      <c r="M562" t="s">
        <v>49</v>
      </c>
      <c r="N562" t="s">
        <v>31</v>
      </c>
      <c r="O562" t="s">
        <v>59</v>
      </c>
      <c r="P562" t="s">
        <v>33</v>
      </c>
      <c r="Q562">
        <v>5</v>
      </c>
      <c r="R562" s="3">
        <f t="shared" si="48"/>
        <v>2999</v>
      </c>
      <c r="S562" s="3">
        <f t="shared" si="49"/>
        <v>599.80000000000007</v>
      </c>
      <c r="T562" s="3">
        <f t="shared" si="50"/>
        <v>2498.1999999999998</v>
      </c>
      <c r="U562" s="3">
        <f t="shared" si="51"/>
        <v>398.90000000000009</v>
      </c>
      <c r="V562" s="4">
        <f t="shared" si="52"/>
        <v>0.1596749659755024</v>
      </c>
      <c r="W562" t="str">
        <f t="shared" si="53"/>
        <v>Dec</v>
      </c>
    </row>
    <row r="563" spans="1:23" x14ac:dyDescent="0.25">
      <c r="A563" t="s">
        <v>923</v>
      </c>
      <c r="B563" t="s">
        <v>527</v>
      </c>
      <c r="C563" s="2">
        <v>45807.98541666667</v>
      </c>
      <c r="D563" t="s">
        <v>105</v>
      </c>
      <c r="E563" t="s">
        <v>106</v>
      </c>
      <c r="F563" t="s">
        <v>37</v>
      </c>
      <c r="G563" t="s">
        <v>107</v>
      </c>
      <c r="H563">
        <v>1</v>
      </c>
      <c r="I563" s="3">
        <v>1799</v>
      </c>
      <c r="J563" s="4">
        <v>0.05</v>
      </c>
      <c r="K563" s="3">
        <v>79</v>
      </c>
      <c r="L563" t="s">
        <v>125</v>
      </c>
      <c r="M563" t="s">
        <v>126</v>
      </c>
      <c r="N563" t="s">
        <v>50</v>
      </c>
      <c r="O563" t="s">
        <v>32</v>
      </c>
      <c r="P563" t="s">
        <v>33</v>
      </c>
      <c r="Q563">
        <v>1</v>
      </c>
      <c r="R563" s="3">
        <f t="shared" si="48"/>
        <v>1799</v>
      </c>
      <c r="S563" s="3">
        <f t="shared" si="49"/>
        <v>89.95</v>
      </c>
      <c r="T563" s="3">
        <f t="shared" si="50"/>
        <v>1788.05</v>
      </c>
      <c r="U563" s="3">
        <f t="shared" si="51"/>
        <v>528.75</v>
      </c>
      <c r="V563" s="4">
        <f t="shared" si="52"/>
        <v>0.29571320712508042</v>
      </c>
      <c r="W563" t="str">
        <f t="shared" si="53"/>
        <v>May</v>
      </c>
    </row>
    <row r="564" spans="1:23" x14ac:dyDescent="0.25">
      <c r="A564" t="s">
        <v>924</v>
      </c>
      <c r="B564" t="s">
        <v>561</v>
      </c>
      <c r="C564" s="2">
        <v>45801.370833333327</v>
      </c>
      <c r="D564" t="s">
        <v>110</v>
      </c>
      <c r="E564" t="s">
        <v>111</v>
      </c>
      <c r="F564" t="s">
        <v>98</v>
      </c>
      <c r="G564" t="s">
        <v>112</v>
      </c>
      <c r="H564">
        <v>1</v>
      </c>
      <c r="I564" s="3">
        <v>2999</v>
      </c>
      <c r="J564" s="4">
        <v>0</v>
      </c>
      <c r="K564" s="3">
        <v>0</v>
      </c>
      <c r="L564" t="s">
        <v>48</v>
      </c>
      <c r="M564" t="s">
        <v>49</v>
      </c>
      <c r="N564" t="s">
        <v>102</v>
      </c>
      <c r="O564" t="s">
        <v>41</v>
      </c>
      <c r="P564" t="s">
        <v>33</v>
      </c>
      <c r="R564" s="3">
        <f t="shared" si="48"/>
        <v>2999</v>
      </c>
      <c r="S564" s="3">
        <f t="shared" si="49"/>
        <v>0</v>
      </c>
      <c r="T564" s="3">
        <f t="shared" si="50"/>
        <v>2999</v>
      </c>
      <c r="U564" s="3">
        <f t="shared" si="51"/>
        <v>899.70000000000027</v>
      </c>
      <c r="V564" s="4">
        <f t="shared" si="52"/>
        <v>0.3000000000000001</v>
      </c>
      <c r="W564" t="str">
        <f t="shared" si="53"/>
        <v>May</v>
      </c>
    </row>
    <row r="565" spans="1:23" x14ac:dyDescent="0.25">
      <c r="A565" t="s">
        <v>925</v>
      </c>
      <c r="B565" t="s">
        <v>381</v>
      </c>
      <c r="C565" s="2">
        <v>45791.927083333343</v>
      </c>
      <c r="D565" t="s">
        <v>90</v>
      </c>
      <c r="E565" t="s">
        <v>91</v>
      </c>
      <c r="F565" t="s">
        <v>37</v>
      </c>
      <c r="G565" t="s">
        <v>92</v>
      </c>
      <c r="H565">
        <v>3</v>
      </c>
      <c r="I565" s="3">
        <v>3499</v>
      </c>
      <c r="J565" s="4">
        <v>0</v>
      </c>
      <c r="K565" s="3">
        <v>99</v>
      </c>
      <c r="L565" t="s">
        <v>74</v>
      </c>
      <c r="M565" t="s">
        <v>49</v>
      </c>
      <c r="N565" t="s">
        <v>71</v>
      </c>
      <c r="O565" t="s">
        <v>93</v>
      </c>
      <c r="P565" t="s">
        <v>52</v>
      </c>
      <c r="Q565">
        <v>2</v>
      </c>
      <c r="R565" s="3">
        <f t="shared" si="48"/>
        <v>10497</v>
      </c>
      <c r="S565" s="3">
        <f t="shared" si="49"/>
        <v>0</v>
      </c>
      <c r="T565" s="3">
        <f t="shared" si="50"/>
        <v>10596</v>
      </c>
      <c r="U565" s="3">
        <f t="shared" si="51"/>
        <v>3248.1000000000004</v>
      </c>
      <c r="V565" s="4">
        <f t="shared" si="52"/>
        <v>0.30654020385050967</v>
      </c>
      <c r="W565" t="str">
        <f t="shared" si="53"/>
        <v>May</v>
      </c>
    </row>
    <row r="566" spans="1:23" x14ac:dyDescent="0.25">
      <c r="A566" t="s">
        <v>926</v>
      </c>
      <c r="B566" t="s">
        <v>148</v>
      </c>
      <c r="C566" s="2">
        <v>45869.510416666657</v>
      </c>
      <c r="D566" t="s">
        <v>44</v>
      </c>
      <c r="E566" t="s">
        <v>45</v>
      </c>
      <c r="F566" t="s">
        <v>46</v>
      </c>
      <c r="G566" t="s">
        <v>47</v>
      </c>
      <c r="H566">
        <v>3</v>
      </c>
      <c r="I566" s="3">
        <v>1199</v>
      </c>
      <c r="J566" s="4">
        <v>0.1</v>
      </c>
      <c r="K566" s="3">
        <v>49</v>
      </c>
      <c r="L566" t="s">
        <v>100</v>
      </c>
      <c r="M566" t="s">
        <v>101</v>
      </c>
      <c r="N566" t="s">
        <v>102</v>
      </c>
      <c r="O566" t="s">
        <v>51</v>
      </c>
      <c r="P566" t="s">
        <v>80</v>
      </c>
      <c r="Q566">
        <v>1</v>
      </c>
      <c r="R566" s="3">
        <f t="shared" si="48"/>
        <v>3597</v>
      </c>
      <c r="S566" s="3">
        <f t="shared" si="49"/>
        <v>359.70000000000005</v>
      </c>
      <c r="T566" s="3">
        <f t="shared" si="50"/>
        <v>3286.3</v>
      </c>
      <c r="U566" s="3">
        <f t="shared" si="51"/>
        <v>768.40000000000055</v>
      </c>
      <c r="V566" s="4">
        <f t="shared" si="52"/>
        <v>0.23381918875330934</v>
      </c>
      <c r="W566" t="str">
        <f t="shared" si="53"/>
        <v>Jul</v>
      </c>
    </row>
    <row r="567" spans="1:23" x14ac:dyDescent="0.25">
      <c r="A567" t="s">
        <v>927</v>
      </c>
      <c r="B567" t="s">
        <v>296</v>
      </c>
      <c r="C567" s="2">
        <v>45717.048611111109</v>
      </c>
      <c r="D567" t="s">
        <v>25</v>
      </c>
      <c r="E567" t="s">
        <v>26</v>
      </c>
      <c r="F567" t="s">
        <v>27</v>
      </c>
      <c r="G567" t="s">
        <v>28</v>
      </c>
      <c r="H567">
        <v>3</v>
      </c>
      <c r="I567" s="3">
        <v>249</v>
      </c>
      <c r="J567" s="4">
        <v>0.1</v>
      </c>
      <c r="K567" s="3">
        <v>79</v>
      </c>
      <c r="L567" t="s">
        <v>48</v>
      </c>
      <c r="M567" t="s">
        <v>49</v>
      </c>
      <c r="N567" t="s">
        <v>40</v>
      </c>
      <c r="O567" t="s">
        <v>32</v>
      </c>
      <c r="P567" t="s">
        <v>52</v>
      </c>
      <c r="Q567">
        <v>2</v>
      </c>
      <c r="R567" s="3">
        <f t="shared" si="48"/>
        <v>747</v>
      </c>
      <c r="S567" s="3">
        <f t="shared" si="49"/>
        <v>74.7</v>
      </c>
      <c r="T567" s="3">
        <f t="shared" si="50"/>
        <v>751.3</v>
      </c>
      <c r="U567" s="3">
        <f t="shared" si="51"/>
        <v>228.39999999999998</v>
      </c>
      <c r="V567" s="4">
        <f t="shared" si="52"/>
        <v>0.30400638892586185</v>
      </c>
      <c r="W567" t="str">
        <f t="shared" si="53"/>
        <v>Mar</v>
      </c>
    </row>
    <row r="568" spans="1:23" x14ac:dyDescent="0.25">
      <c r="A568" t="s">
        <v>928</v>
      </c>
      <c r="B568" t="s">
        <v>493</v>
      </c>
      <c r="C568" s="2">
        <v>45732.704861111109</v>
      </c>
      <c r="D568" t="s">
        <v>96</v>
      </c>
      <c r="E568" t="s">
        <v>97</v>
      </c>
      <c r="F568" t="s">
        <v>98</v>
      </c>
      <c r="G568" t="s">
        <v>99</v>
      </c>
      <c r="H568">
        <v>2</v>
      </c>
      <c r="I568" s="3">
        <v>1499</v>
      </c>
      <c r="J568" s="4">
        <v>0</v>
      </c>
      <c r="K568" s="3">
        <v>59</v>
      </c>
      <c r="L568" t="s">
        <v>57</v>
      </c>
      <c r="M568" t="s">
        <v>58</v>
      </c>
      <c r="N568" t="s">
        <v>40</v>
      </c>
      <c r="O568" t="s">
        <v>51</v>
      </c>
      <c r="P568" t="s">
        <v>52</v>
      </c>
      <c r="Q568">
        <v>5</v>
      </c>
      <c r="R568" s="3">
        <f t="shared" si="48"/>
        <v>2998</v>
      </c>
      <c r="S568" s="3">
        <f t="shared" si="49"/>
        <v>0</v>
      </c>
      <c r="T568" s="3">
        <f t="shared" si="50"/>
        <v>3057</v>
      </c>
      <c r="U568" s="3">
        <f t="shared" si="51"/>
        <v>958.40000000000009</v>
      </c>
      <c r="V568" s="4">
        <f t="shared" si="52"/>
        <v>0.31350997710173378</v>
      </c>
      <c r="W568" t="str">
        <f t="shared" si="53"/>
        <v>Mar</v>
      </c>
    </row>
    <row r="569" spans="1:23" x14ac:dyDescent="0.25">
      <c r="A569" t="s">
        <v>929</v>
      </c>
      <c r="B569" t="s">
        <v>930</v>
      </c>
      <c r="C569" s="2">
        <v>45930.848611111112</v>
      </c>
      <c r="D569" t="s">
        <v>25</v>
      </c>
      <c r="E569" t="s">
        <v>26</v>
      </c>
      <c r="F569" t="s">
        <v>27</v>
      </c>
      <c r="G569" t="s">
        <v>28</v>
      </c>
      <c r="H569">
        <v>1</v>
      </c>
      <c r="I569" s="3">
        <v>249</v>
      </c>
      <c r="J569" s="4">
        <v>0.15</v>
      </c>
      <c r="K569" s="3">
        <v>59</v>
      </c>
      <c r="L569" t="s">
        <v>39</v>
      </c>
      <c r="M569" t="s">
        <v>39</v>
      </c>
      <c r="N569" t="s">
        <v>71</v>
      </c>
      <c r="O569" t="s">
        <v>51</v>
      </c>
      <c r="P569" t="s">
        <v>52</v>
      </c>
      <c r="R569" s="3">
        <f t="shared" si="48"/>
        <v>249</v>
      </c>
      <c r="S569" s="3">
        <f t="shared" si="49"/>
        <v>37.35</v>
      </c>
      <c r="T569" s="3">
        <f t="shared" si="50"/>
        <v>270.64999999999998</v>
      </c>
      <c r="U569" s="3">
        <f t="shared" si="51"/>
        <v>96.35</v>
      </c>
      <c r="V569" s="4">
        <f t="shared" si="52"/>
        <v>0.35599482726768888</v>
      </c>
      <c r="W569" t="str">
        <f t="shared" si="53"/>
        <v>Sep</v>
      </c>
    </row>
    <row r="570" spans="1:23" x14ac:dyDescent="0.25">
      <c r="A570" t="s">
        <v>931</v>
      </c>
      <c r="B570" t="s">
        <v>409</v>
      </c>
      <c r="C570" s="2">
        <v>45858.617361111108</v>
      </c>
      <c r="D570" t="s">
        <v>55</v>
      </c>
      <c r="E570" t="s">
        <v>56</v>
      </c>
      <c r="F570" t="s">
        <v>37</v>
      </c>
      <c r="G570" t="s">
        <v>38</v>
      </c>
      <c r="H570">
        <v>2</v>
      </c>
      <c r="I570" s="3">
        <v>2499</v>
      </c>
      <c r="J570" s="4">
        <v>0.2</v>
      </c>
      <c r="K570" s="3">
        <v>49</v>
      </c>
      <c r="L570" t="s">
        <v>48</v>
      </c>
      <c r="M570" t="s">
        <v>49</v>
      </c>
      <c r="N570" t="s">
        <v>102</v>
      </c>
      <c r="O570" t="s">
        <v>51</v>
      </c>
      <c r="P570" t="s">
        <v>80</v>
      </c>
      <c r="R570" s="3">
        <f t="shared" si="48"/>
        <v>4998</v>
      </c>
      <c r="S570" s="3">
        <f t="shared" si="49"/>
        <v>999.6</v>
      </c>
      <c r="T570" s="3">
        <f t="shared" si="50"/>
        <v>4047.4</v>
      </c>
      <c r="U570" s="3">
        <f t="shared" si="51"/>
        <v>548.80000000000018</v>
      </c>
      <c r="V570" s="4">
        <f t="shared" si="52"/>
        <v>0.13559322033898311</v>
      </c>
      <c r="W570" t="str">
        <f t="shared" si="53"/>
        <v>Jul</v>
      </c>
    </row>
    <row r="571" spans="1:23" x14ac:dyDescent="0.25">
      <c r="A571" t="s">
        <v>932</v>
      </c>
      <c r="B571" t="s">
        <v>754</v>
      </c>
      <c r="C571" s="2">
        <v>45663.875</v>
      </c>
      <c r="D571" t="s">
        <v>77</v>
      </c>
      <c r="E571" t="s">
        <v>78</v>
      </c>
      <c r="F571" t="s">
        <v>79</v>
      </c>
      <c r="G571" t="s">
        <v>28</v>
      </c>
      <c r="H571">
        <v>1</v>
      </c>
      <c r="I571" s="3">
        <v>6499</v>
      </c>
      <c r="J571" s="4">
        <v>0</v>
      </c>
      <c r="K571" s="3">
        <v>79</v>
      </c>
      <c r="L571" t="s">
        <v>100</v>
      </c>
      <c r="M571" t="s">
        <v>101</v>
      </c>
      <c r="N571" t="s">
        <v>102</v>
      </c>
      <c r="O571" t="s">
        <v>93</v>
      </c>
      <c r="P571" t="s">
        <v>33</v>
      </c>
      <c r="R571" s="3">
        <f t="shared" si="48"/>
        <v>6499</v>
      </c>
      <c r="S571" s="3">
        <f t="shared" si="49"/>
        <v>0</v>
      </c>
      <c r="T571" s="3">
        <f t="shared" si="50"/>
        <v>6578</v>
      </c>
      <c r="U571" s="3">
        <f t="shared" si="51"/>
        <v>2028.7000000000007</v>
      </c>
      <c r="V571" s="4">
        <f t="shared" si="52"/>
        <v>0.30840681058072372</v>
      </c>
      <c r="W571" t="str">
        <f t="shared" si="53"/>
        <v>Jan</v>
      </c>
    </row>
    <row r="572" spans="1:23" x14ac:dyDescent="0.25">
      <c r="A572" t="s">
        <v>933</v>
      </c>
      <c r="B572" t="s">
        <v>177</v>
      </c>
      <c r="C572" s="2">
        <v>45803.341666666667</v>
      </c>
      <c r="D572" t="s">
        <v>90</v>
      </c>
      <c r="E572" t="s">
        <v>91</v>
      </c>
      <c r="F572" t="s">
        <v>37</v>
      </c>
      <c r="G572" t="s">
        <v>92</v>
      </c>
      <c r="H572">
        <v>1</v>
      </c>
      <c r="I572" s="3">
        <v>3499</v>
      </c>
      <c r="J572" s="4">
        <v>0</v>
      </c>
      <c r="K572" s="3">
        <v>99</v>
      </c>
      <c r="L572" t="s">
        <v>934</v>
      </c>
      <c r="M572" t="s">
        <v>49</v>
      </c>
      <c r="N572" t="s">
        <v>31</v>
      </c>
      <c r="O572" t="s">
        <v>32</v>
      </c>
      <c r="P572" t="s">
        <v>33</v>
      </c>
      <c r="R572" s="3">
        <f t="shared" si="48"/>
        <v>3499</v>
      </c>
      <c r="S572" s="3">
        <f t="shared" si="49"/>
        <v>0</v>
      </c>
      <c r="T572" s="3">
        <f t="shared" si="50"/>
        <v>3598</v>
      </c>
      <c r="U572" s="3">
        <f t="shared" si="51"/>
        <v>1148.7000000000003</v>
      </c>
      <c r="V572" s="4">
        <f t="shared" si="52"/>
        <v>0.31926070038910515</v>
      </c>
      <c r="W572" t="str">
        <f t="shared" si="53"/>
        <v>May</v>
      </c>
    </row>
    <row r="573" spans="1:23" x14ac:dyDescent="0.25">
      <c r="A573" t="s">
        <v>935</v>
      </c>
      <c r="B573" t="s">
        <v>140</v>
      </c>
      <c r="C573" s="2">
        <v>46020.128472222219</v>
      </c>
      <c r="D573" t="s">
        <v>67</v>
      </c>
      <c r="E573" t="s">
        <v>68</v>
      </c>
      <c r="F573" t="s">
        <v>37</v>
      </c>
      <c r="G573" t="s">
        <v>38</v>
      </c>
      <c r="H573">
        <v>2</v>
      </c>
      <c r="I573" s="3">
        <v>1299</v>
      </c>
      <c r="J573" s="4">
        <v>0</v>
      </c>
      <c r="K573" s="3">
        <v>79</v>
      </c>
      <c r="L573" t="s">
        <v>125</v>
      </c>
      <c r="M573" t="s">
        <v>126</v>
      </c>
      <c r="N573" t="s">
        <v>50</v>
      </c>
      <c r="O573" t="s">
        <v>93</v>
      </c>
      <c r="P573" t="s">
        <v>85</v>
      </c>
      <c r="R573" s="3">
        <f t="shared" si="48"/>
        <v>2598</v>
      </c>
      <c r="S573" s="3">
        <f t="shared" si="49"/>
        <v>0</v>
      </c>
      <c r="T573" s="3">
        <f t="shared" si="50"/>
        <v>2677</v>
      </c>
      <c r="U573" s="3">
        <f t="shared" si="51"/>
        <v>858.40000000000009</v>
      </c>
      <c r="V573" s="4">
        <f t="shared" si="52"/>
        <v>0.32065745237205828</v>
      </c>
      <c r="W573" t="str">
        <f t="shared" si="53"/>
        <v>Dec</v>
      </c>
    </row>
    <row r="574" spans="1:23" x14ac:dyDescent="0.25">
      <c r="A574" t="s">
        <v>936</v>
      </c>
      <c r="B574" t="s">
        <v>937</v>
      </c>
      <c r="C574" s="2">
        <v>45996.111111111109</v>
      </c>
      <c r="D574" t="s">
        <v>105</v>
      </c>
      <c r="E574" t="s">
        <v>106</v>
      </c>
      <c r="F574" t="s">
        <v>37</v>
      </c>
      <c r="G574" t="s">
        <v>107</v>
      </c>
      <c r="H574">
        <v>1</v>
      </c>
      <c r="I574" s="3">
        <v>1799</v>
      </c>
      <c r="J574" s="4">
        <v>0.05</v>
      </c>
      <c r="K574" s="3">
        <v>79</v>
      </c>
      <c r="L574" t="s">
        <v>48</v>
      </c>
      <c r="M574" t="s">
        <v>49</v>
      </c>
      <c r="N574" t="s">
        <v>71</v>
      </c>
      <c r="O574" t="s">
        <v>41</v>
      </c>
      <c r="P574" t="s">
        <v>52</v>
      </c>
      <c r="R574" s="3">
        <f t="shared" si="48"/>
        <v>1799</v>
      </c>
      <c r="S574" s="3">
        <f t="shared" si="49"/>
        <v>89.95</v>
      </c>
      <c r="T574" s="3">
        <f t="shared" si="50"/>
        <v>1788.05</v>
      </c>
      <c r="U574" s="3">
        <f t="shared" si="51"/>
        <v>528.75</v>
      </c>
      <c r="V574" s="4">
        <f t="shared" si="52"/>
        <v>0.29571320712508042</v>
      </c>
      <c r="W574" t="str">
        <f t="shared" si="53"/>
        <v>Dec</v>
      </c>
    </row>
    <row r="575" spans="1:23" x14ac:dyDescent="0.25">
      <c r="A575" t="s">
        <v>938</v>
      </c>
      <c r="B575" t="s">
        <v>479</v>
      </c>
      <c r="C575" s="2">
        <v>45853.51458333333</v>
      </c>
      <c r="D575" t="s">
        <v>55</v>
      </c>
      <c r="E575" t="s">
        <v>56</v>
      </c>
      <c r="F575" t="s">
        <v>37</v>
      </c>
      <c r="G575" t="s">
        <v>38</v>
      </c>
      <c r="H575">
        <v>3</v>
      </c>
      <c r="I575" s="3">
        <v>2499</v>
      </c>
      <c r="J575" s="4">
        <v>0.05</v>
      </c>
      <c r="K575" s="3">
        <v>59</v>
      </c>
      <c r="L575" t="s">
        <v>48</v>
      </c>
      <c r="M575" t="s">
        <v>49</v>
      </c>
      <c r="N575" t="s">
        <v>40</v>
      </c>
      <c r="O575" t="s">
        <v>93</v>
      </c>
      <c r="P575" t="s">
        <v>33</v>
      </c>
      <c r="Q575">
        <v>4</v>
      </c>
      <c r="R575" s="3">
        <f t="shared" si="48"/>
        <v>7497</v>
      </c>
      <c r="S575" s="3">
        <f t="shared" si="49"/>
        <v>374.85</v>
      </c>
      <c r="T575" s="3">
        <f t="shared" si="50"/>
        <v>7181.15</v>
      </c>
      <c r="U575" s="3">
        <f t="shared" si="51"/>
        <v>1933.25</v>
      </c>
      <c r="V575" s="4">
        <f t="shared" si="52"/>
        <v>0.26921175577727802</v>
      </c>
      <c r="W575" t="str">
        <f t="shared" si="53"/>
        <v>Jul</v>
      </c>
    </row>
    <row r="576" spans="1:23" x14ac:dyDescent="0.25">
      <c r="A576" t="s">
        <v>939</v>
      </c>
      <c r="B576" t="s">
        <v>940</v>
      </c>
      <c r="C576" s="2">
        <v>45988.629166666673</v>
      </c>
      <c r="D576" t="s">
        <v>67</v>
      </c>
      <c r="E576" t="s">
        <v>68</v>
      </c>
      <c r="F576" t="s">
        <v>37</v>
      </c>
      <c r="G576" t="s">
        <v>38</v>
      </c>
      <c r="H576">
        <v>1</v>
      </c>
      <c r="I576" s="3">
        <v>1299</v>
      </c>
      <c r="J576" s="4">
        <v>0.15</v>
      </c>
      <c r="K576" s="3">
        <v>79</v>
      </c>
      <c r="L576" t="s">
        <v>125</v>
      </c>
      <c r="M576" t="s">
        <v>126</v>
      </c>
      <c r="N576" t="s">
        <v>102</v>
      </c>
      <c r="O576" t="s">
        <v>93</v>
      </c>
      <c r="P576" t="s">
        <v>33</v>
      </c>
      <c r="Q576">
        <v>4</v>
      </c>
      <c r="R576" s="3">
        <f t="shared" si="48"/>
        <v>1299</v>
      </c>
      <c r="S576" s="3">
        <f t="shared" si="49"/>
        <v>194.85</v>
      </c>
      <c r="T576" s="3">
        <f t="shared" si="50"/>
        <v>1183.1500000000001</v>
      </c>
      <c r="U576" s="3">
        <f t="shared" si="51"/>
        <v>273.85000000000014</v>
      </c>
      <c r="V576" s="4">
        <f t="shared" si="52"/>
        <v>0.23145839496259993</v>
      </c>
      <c r="W576" t="str">
        <f t="shared" si="53"/>
        <v>Nov</v>
      </c>
    </row>
    <row r="577" spans="1:23" x14ac:dyDescent="0.25">
      <c r="A577" t="s">
        <v>941</v>
      </c>
      <c r="B577" t="s">
        <v>942</v>
      </c>
      <c r="C577" s="2">
        <v>45695.10833333333</v>
      </c>
      <c r="D577" t="s">
        <v>77</v>
      </c>
      <c r="E577" t="s">
        <v>78</v>
      </c>
      <c r="F577" t="s">
        <v>79</v>
      </c>
      <c r="G577" t="s">
        <v>28</v>
      </c>
      <c r="H577">
        <v>1</v>
      </c>
      <c r="I577" s="3">
        <v>6499</v>
      </c>
      <c r="J577" s="4">
        <v>0.05</v>
      </c>
      <c r="K577" s="3">
        <v>79</v>
      </c>
      <c r="L577" t="s">
        <v>48</v>
      </c>
      <c r="M577" t="s">
        <v>49</v>
      </c>
      <c r="N577" t="s">
        <v>40</v>
      </c>
      <c r="O577" t="s">
        <v>41</v>
      </c>
      <c r="P577" t="s">
        <v>80</v>
      </c>
      <c r="R577" s="3">
        <f t="shared" si="48"/>
        <v>6499</v>
      </c>
      <c r="S577" s="3">
        <f t="shared" si="49"/>
        <v>324.95000000000005</v>
      </c>
      <c r="T577" s="3">
        <f t="shared" si="50"/>
        <v>6253.05</v>
      </c>
      <c r="U577" s="3">
        <f t="shared" si="51"/>
        <v>1703.7500000000009</v>
      </c>
      <c r="V577" s="4">
        <f t="shared" si="52"/>
        <v>0.27246703608639</v>
      </c>
      <c r="W577" t="str">
        <f t="shared" si="53"/>
        <v>Feb</v>
      </c>
    </row>
    <row r="578" spans="1:23" x14ac:dyDescent="0.25">
      <c r="A578" t="s">
        <v>943</v>
      </c>
      <c r="B578" t="s">
        <v>899</v>
      </c>
      <c r="C578" s="2">
        <v>45998.511805555558</v>
      </c>
      <c r="D578" t="s">
        <v>25</v>
      </c>
      <c r="E578" t="s">
        <v>26</v>
      </c>
      <c r="F578" t="s">
        <v>27</v>
      </c>
      <c r="G578" t="s">
        <v>28</v>
      </c>
      <c r="H578">
        <v>4</v>
      </c>
      <c r="I578" s="3">
        <v>249</v>
      </c>
      <c r="J578" s="4">
        <v>0.2</v>
      </c>
      <c r="K578" s="3">
        <v>59</v>
      </c>
      <c r="L578" t="s">
        <v>39</v>
      </c>
      <c r="M578" t="s">
        <v>39</v>
      </c>
      <c r="N578" t="s">
        <v>102</v>
      </c>
      <c r="O578" t="s">
        <v>93</v>
      </c>
      <c r="P578" t="s">
        <v>33</v>
      </c>
      <c r="Q578">
        <v>5</v>
      </c>
      <c r="R578" s="3">
        <f t="shared" ref="R578:R641" si="54">IFERROR(H578*I578,"")</f>
        <v>996</v>
      </c>
      <c r="S578" s="3">
        <f t="shared" ref="S578:S641" si="55">IFERROR(R578*J578,"")</f>
        <v>199.20000000000002</v>
      </c>
      <c r="T578" s="3">
        <f t="shared" ref="T578:T641" si="56">IFERROR(R578-S578+K578,"")</f>
        <v>855.8</v>
      </c>
      <c r="U578" s="3">
        <f t="shared" ref="U578:U641" si="57">IFERROR(T578-(R578*70%),"")</f>
        <v>158.60000000000002</v>
      </c>
      <c r="V578" s="4">
        <f t="shared" ref="V578:V641" si="58">IFERROR(U578/T578,"")</f>
        <v>0.18532367375555039</v>
      </c>
      <c r="W578" t="str">
        <f t="shared" ref="W578:W641" si="59">IFERROR(TEXT(C578,"mmm"),"")</f>
        <v>Dec</v>
      </c>
    </row>
    <row r="579" spans="1:23" x14ac:dyDescent="0.25">
      <c r="A579" t="s">
        <v>944</v>
      </c>
      <c r="B579" t="s">
        <v>945</v>
      </c>
      <c r="C579" s="2">
        <v>45864.992361111108</v>
      </c>
      <c r="D579" t="s">
        <v>77</v>
      </c>
      <c r="E579" t="s">
        <v>78</v>
      </c>
      <c r="F579" t="s">
        <v>79</v>
      </c>
      <c r="G579" t="s">
        <v>28</v>
      </c>
      <c r="H579">
        <v>2</v>
      </c>
      <c r="I579" s="3">
        <v>6499</v>
      </c>
      <c r="J579" s="4">
        <v>0.15</v>
      </c>
      <c r="K579" s="3">
        <v>49</v>
      </c>
      <c r="L579" t="s">
        <v>119</v>
      </c>
      <c r="M579" t="s">
        <v>120</v>
      </c>
      <c r="N579" t="s">
        <v>40</v>
      </c>
      <c r="O579" t="s">
        <v>59</v>
      </c>
      <c r="P579" t="s">
        <v>33</v>
      </c>
      <c r="Q579">
        <v>1</v>
      </c>
      <c r="R579" s="3">
        <f t="shared" si="54"/>
        <v>12998</v>
      </c>
      <c r="S579" s="3">
        <f t="shared" si="55"/>
        <v>1949.6999999999998</v>
      </c>
      <c r="T579" s="3">
        <f t="shared" si="56"/>
        <v>11097.3</v>
      </c>
      <c r="U579" s="3">
        <f t="shared" si="57"/>
        <v>1998.7000000000007</v>
      </c>
      <c r="V579" s="4">
        <f t="shared" si="58"/>
        <v>0.18010687284294385</v>
      </c>
      <c r="W579" t="str">
        <f t="shared" si="59"/>
        <v>Jul</v>
      </c>
    </row>
    <row r="580" spans="1:23" x14ac:dyDescent="0.25">
      <c r="A580" t="s">
        <v>946</v>
      </c>
      <c r="B580" t="s">
        <v>582</v>
      </c>
      <c r="C580" s="2">
        <v>45841.446527777778</v>
      </c>
      <c r="D580" t="s">
        <v>44</v>
      </c>
      <c r="E580" t="s">
        <v>45</v>
      </c>
      <c r="F580" t="s">
        <v>46</v>
      </c>
      <c r="G580" t="s">
        <v>47</v>
      </c>
      <c r="H580">
        <v>4</v>
      </c>
      <c r="I580" s="3">
        <v>1199</v>
      </c>
      <c r="J580" s="4">
        <v>0.1</v>
      </c>
      <c r="K580" s="3">
        <v>0</v>
      </c>
      <c r="L580" t="s">
        <v>83</v>
      </c>
      <c r="M580" t="s">
        <v>84</v>
      </c>
      <c r="N580" t="s">
        <v>71</v>
      </c>
      <c r="O580" t="s">
        <v>32</v>
      </c>
      <c r="P580" t="s">
        <v>33</v>
      </c>
      <c r="R580" s="3">
        <f t="shared" si="54"/>
        <v>4796</v>
      </c>
      <c r="S580" s="3">
        <f t="shared" si="55"/>
        <v>479.6</v>
      </c>
      <c r="T580" s="3">
        <f t="shared" si="56"/>
        <v>4316.3999999999996</v>
      </c>
      <c r="U580" s="3">
        <f t="shared" si="57"/>
        <v>959.19999999999982</v>
      </c>
      <c r="V580" s="4">
        <f t="shared" si="58"/>
        <v>0.22222222222222221</v>
      </c>
      <c r="W580" t="str">
        <f t="shared" si="59"/>
        <v>Jul</v>
      </c>
    </row>
    <row r="581" spans="1:23" x14ac:dyDescent="0.25">
      <c r="A581" t="s">
        <v>947</v>
      </c>
      <c r="B581" t="s">
        <v>271</v>
      </c>
      <c r="C581" s="2">
        <v>45806.841666666667</v>
      </c>
      <c r="D581" t="s">
        <v>169</v>
      </c>
      <c r="E581" t="s">
        <v>170</v>
      </c>
      <c r="F581" t="s">
        <v>98</v>
      </c>
      <c r="G581" t="s">
        <v>171</v>
      </c>
      <c r="H581">
        <v>3</v>
      </c>
      <c r="I581" s="3">
        <v>799</v>
      </c>
      <c r="J581" s="4">
        <v>0.15</v>
      </c>
      <c r="K581" s="3">
        <v>0</v>
      </c>
      <c r="L581" t="s">
        <v>29</v>
      </c>
      <c r="M581" t="s">
        <v>30</v>
      </c>
      <c r="N581" t="s">
        <v>50</v>
      </c>
      <c r="O581" t="s">
        <v>51</v>
      </c>
      <c r="P581" t="s">
        <v>33</v>
      </c>
      <c r="R581" s="3">
        <f t="shared" si="54"/>
        <v>2397</v>
      </c>
      <c r="S581" s="3">
        <f t="shared" si="55"/>
        <v>359.55</v>
      </c>
      <c r="T581" s="3">
        <f t="shared" si="56"/>
        <v>2037.45</v>
      </c>
      <c r="U581" s="3">
        <f t="shared" si="57"/>
        <v>359.55000000000018</v>
      </c>
      <c r="V581" s="4">
        <f t="shared" si="58"/>
        <v>0.17647058823529421</v>
      </c>
      <c r="W581" t="str">
        <f t="shared" si="59"/>
        <v>May</v>
      </c>
    </row>
    <row r="582" spans="1:23" x14ac:dyDescent="0.25">
      <c r="A582" t="s">
        <v>948</v>
      </c>
      <c r="B582" t="s">
        <v>487</v>
      </c>
      <c r="C582" s="2">
        <v>45841.628472222219</v>
      </c>
      <c r="D582" t="s">
        <v>96</v>
      </c>
      <c r="E582" t="s">
        <v>97</v>
      </c>
      <c r="F582" t="s">
        <v>98</v>
      </c>
      <c r="G582" t="s">
        <v>99</v>
      </c>
      <c r="H582">
        <v>2</v>
      </c>
      <c r="I582" s="3">
        <v>1499</v>
      </c>
      <c r="J582" s="4">
        <v>0.1</v>
      </c>
      <c r="K582" s="3">
        <v>49</v>
      </c>
      <c r="L582" t="s">
        <v>29</v>
      </c>
      <c r="M582" t="s">
        <v>30</v>
      </c>
      <c r="N582" t="s">
        <v>31</v>
      </c>
      <c r="O582" t="s">
        <v>41</v>
      </c>
      <c r="P582" t="s">
        <v>80</v>
      </c>
      <c r="Q582">
        <v>1</v>
      </c>
      <c r="R582" s="3">
        <f t="shared" si="54"/>
        <v>2998</v>
      </c>
      <c r="S582" s="3">
        <f t="shared" si="55"/>
        <v>299.8</v>
      </c>
      <c r="T582" s="3">
        <f t="shared" si="56"/>
        <v>2747.2</v>
      </c>
      <c r="U582" s="3">
        <f t="shared" si="57"/>
        <v>648.59999999999991</v>
      </c>
      <c r="V582" s="4">
        <f t="shared" si="58"/>
        <v>0.23609493302271403</v>
      </c>
      <c r="W582" t="str">
        <f t="shared" si="59"/>
        <v>Jul</v>
      </c>
    </row>
    <row r="583" spans="1:23" x14ac:dyDescent="0.25">
      <c r="A583" t="s">
        <v>949</v>
      </c>
      <c r="B583" t="s">
        <v>552</v>
      </c>
      <c r="C583" s="2">
        <v>45857.118055555547</v>
      </c>
      <c r="D583" t="s">
        <v>77</v>
      </c>
      <c r="E583" t="s">
        <v>78</v>
      </c>
      <c r="F583" t="s">
        <v>79</v>
      </c>
      <c r="G583" t="s">
        <v>28</v>
      </c>
      <c r="H583">
        <v>1</v>
      </c>
      <c r="I583" s="3">
        <v>6499</v>
      </c>
      <c r="J583" s="4">
        <v>0.2</v>
      </c>
      <c r="K583" s="3">
        <v>59</v>
      </c>
      <c r="L583" t="s">
        <v>125</v>
      </c>
      <c r="M583" t="s">
        <v>126</v>
      </c>
      <c r="N583" t="s">
        <v>102</v>
      </c>
      <c r="O583" t="s">
        <v>59</v>
      </c>
      <c r="P583" t="s">
        <v>85</v>
      </c>
      <c r="Q583">
        <v>1</v>
      </c>
      <c r="R583" s="3">
        <f t="shared" si="54"/>
        <v>6499</v>
      </c>
      <c r="S583" s="3">
        <f t="shared" si="55"/>
        <v>1299.8000000000002</v>
      </c>
      <c r="T583" s="3">
        <f t="shared" si="56"/>
        <v>5258.2</v>
      </c>
      <c r="U583" s="3">
        <f t="shared" si="57"/>
        <v>708.90000000000055</v>
      </c>
      <c r="V583" s="4">
        <f t="shared" si="58"/>
        <v>0.13481799855463858</v>
      </c>
      <c r="W583" t="str">
        <f t="shared" si="59"/>
        <v>Jul</v>
      </c>
    </row>
    <row r="584" spans="1:23" x14ac:dyDescent="0.25">
      <c r="A584" t="s">
        <v>950</v>
      </c>
      <c r="B584" t="s">
        <v>951</v>
      </c>
      <c r="C584" s="2">
        <v>45679.504861111112</v>
      </c>
      <c r="D584" t="s">
        <v>35</v>
      </c>
      <c r="E584" t="s">
        <v>36</v>
      </c>
      <c r="F584" t="s">
        <v>37</v>
      </c>
      <c r="G584" t="s">
        <v>38</v>
      </c>
      <c r="H584">
        <v>1</v>
      </c>
      <c r="I584" s="3">
        <v>599</v>
      </c>
      <c r="J584" s="4">
        <v>0.2</v>
      </c>
      <c r="K584" s="3">
        <v>99</v>
      </c>
      <c r="L584" t="s">
        <v>74</v>
      </c>
      <c r="M584" t="s">
        <v>49</v>
      </c>
      <c r="N584" t="s">
        <v>102</v>
      </c>
      <c r="O584" t="s">
        <v>41</v>
      </c>
      <c r="P584" t="s">
        <v>33</v>
      </c>
      <c r="R584" s="3">
        <f t="shared" si="54"/>
        <v>599</v>
      </c>
      <c r="S584" s="3">
        <f t="shared" si="55"/>
        <v>119.80000000000001</v>
      </c>
      <c r="T584" s="3">
        <f t="shared" si="56"/>
        <v>578.20000000000005</v>
      </c>
      <c r="U584" s="3">
        <f t="shared" si="57"/>
        <v>158.90000000000009</v>
      </c>
      <c r="V584" s="4">
        <f t="shared" si="58"/>
        <v>0.27481840193704615</v>
      </c>
      <c r="W584" t="str">
        <f t="shared" si="59"/>
        <v>Jan</v>
      </c>
    </row>
    <row r="585" spans="1:23" x14ac:dyDescent="0.25">
      <c r="A585" t="s">
        <v>952</v>
      </c>
      <c r="C585" s="2">
        <v>45676.964583333327</v>
      </c>
      <c r="D585" t="s">
        <v>44</v>
      </c>
      <c r="E585" t="s">
        <v>45</v>
      </c>
      <c r="F585" t="s">
        <v>46</v>
      </c>
      <c r="G585" t="s">
        <v>47</v>
      </c>
      <c r="H585">
        <v>4</v>
      </c>
      <c r="I585" s="3">
        <v>1199</v>
      </c>
      <c r="J585" s="4">
        <v>0.2</v>
      </c>
      <c r="K585" s="3">
        <v>0</v>
      </c>
      <c r="L585" t="s">
        <v>113</v>
      </c>
      <c r="M585" t="s">
        <v>114</v>
      </c>
      <c r="N585" t="s">
        <v>102</v>
      </c>
      <c r="O585" t="s">
        <v>93</v>
      </c>
      <c r="P585" t="s">
        <v>52</v>
      </c>
      <c r="Q585">
        <v>2</v>
      </c>
      <c r="R585" s="3">
        <f t="shared" si="54"/>
        <v>4796</v>
      </c>
      <c r="S585" s="3">
        <f t="shared" si="55"/>
        <v>959.2</v>
      </c>
      <c r="T585" s="3">
        <f t="shared" si="56"/>
        <v>3836.8</v>
      </c>
      <c r="U585" s="3">
        <f t="shared" si="57"/>
        <v>479.60000000000036</v>
      </c>
      <c r="V585" s="4">
        <f t="shared" si="58"/>
        <v>0.12500000000000008</v>
      </c>
      <c r="W585" t="str">
        <f t="shared" si="59"/>
        <v>Jan</v>
      </c>
    </row>
    <row r="586" spans="1:23" x14ac:dyDescent="0.25">
      <c r="A586" t="s">
        <v>953</v>
      </c>
      <c r="B586" t="s">
        <v>901</v>
      </c>
      <c r="C586" s="2">
        <v>45981.081250000003</v>
      </c>
      <c r="D586" t="s">
        <v>77</v>
      </c>
      <c r="E586" t="s">
        <v>78</v>
      </c>
      <c r="F586" t="s">
        <v>79</v>
      </c>
      <c r="G586" t="s">
        <v>28</v>
      </c>
      <c r="H586">
        <v>1</v>
      </c>
      <c r="I586" s="3">
        <v>6499</v>
      </c>
      <c r="J586" s="4">
        <v>0</v>
      </c>
      <c r="K586" s="3">
        <v>79</v>
      </c>
      <c r="L586" t="s">
        <v>100</v>
      </c>
      <c r="M586" t="s">
        <v>101</v>
      </c>
      <c r="N586" t="s">
        <v>102</v>
      </c>
      <c r="O586" t="s">
        <v>93</v>
      </c>
      <c r="P586" t="s">
        <v>33</v>
      </c>
      <c r="R586" s="3">
        <f t="shared" si="54"/>
        <v>6499</v>
      </c>
      <c r="S586" s="3">
        <f t="shared" si="55"/>
        <v>0</v>
      </c>
      <c r="T586" s="3">
        <f t="shared" si="56"/>
        <v>6578</v>
      </c>
      <c r="U586" s="3">
        <f t="shared" si="57"/>
        <v>2028.7000000000007</v>
      </c>
      <c r="V586" s="4">
        <f t="shared" si="58"/>
        <v>0.30840681058072372</v>
      </c>
      <c r="W586" t="str">
        <f t="shared" si="59"/>
        <v>Nov</v>
      </c>
    </row>
    <row r="587" spans="1:23" x14ac:dyDescent="0.25">
      <c r="A587" t="s">
        <v>954</v>
      </c>
      <c r="B587" t="s">
        <v>228</v>
      </c>
      <c r="C587" s="2">
        <v>45973.294444444437</v>
      </c>
      <c r="D587" t="s">
        <v>55</v>
      </c>
      <c r="E587" t="s">
        <v>56</v>
      </c>
      <c r="F587" t="s">
        <v>37</v>
      </c>
      <c r="G587" t="s">
        <v>38</v>
      </c>
      <c r="H587">
        <v>2</v>
      </c>
      <c r="I587" s="3">
        <v>2499</v>
      </c>
      <c r="J587" s="4">
        <v>0.1</v>
      </c>
      <c r="K587" s="3">
        <v>59</v>
      </c>
      <c r="L587" t="s">
        <v>29</v>
      </c>
      <c r="M587" t="s">
        <v>30</v>
      </c>
      <c r="N587" t="s">
        <v>71</v>
      </c>
      <c r="O587" t="s">
        <v>93</v>
      </c>
      <c r="P587" t="s">
        <v>33</v>
      </c>
      <c r="R587" s="3">
        <f t="shared" si="54"/>
        <v>4998</v>
      </c>
      <c r="S587" s="3">
        <f t="shared" si="55"/>
        <v>499.8</v>
      </c>
      <c r="T587" s="3">
        <f t="shared" si="56"/>
        <v>4557.2</v>
      </c>
      <c r="U587" s="3">
        <f t="shared" si="57"/>
        <v>1058.5999999999999</v>
      </c>
      <c r="V587" s="4">
        <f t="shared" si="58"/>
        <v>0.23229175809707714</v>
      </c>
      <c r="W587" t="str">
        <f t="shared" si="59"/>
        <v>Nov</v>
      </c>
    </row>
    <row r="588" spans="1:23" x14ac:dyDescent="0.25">
      <c r="A588" t="s">
        <v>955</v>
      </c>
      <c r="B588" t="s">
        <v>207</v>
      </c>
      <c r="C588" s="2">
        <v>45767.067361111112</v>
      </c>
      <c r="D588" t="s">
        <v>44</v>
      </c>
      <c r="E588" t="s">
        <v>45</v>
      </c>
      <c r="F588" t="s">
        <v>46</v>
      </c>
      <c r="G588" t="s">
        <v>47</v>
      </c>
      <c r="H588">
        <v>1</v>
      </c>
      <c r="I588" s="3">
        <v>1199</v>
      </c>
      <c r="J588" s="4">
        <v>0.05</v>
      </c>
      <c r="K588" s="3">
        <v>0</v>
      </c>
      <c r="L588" t="s">
        <v>83</v>
      </c>
      <c r="M588" t="s">
        <v>84</v>
      </c>
      <c r="N588" t="s">
        <v>71</v>
      </c>
      <c r="O588" t="s">
        <v>41</v>
      </c>
      <c r="P588" t="s">
        <v>33</v>
      </c>
      <c r="R588" s="3">
        <f t="shared" si="54"/>
        <v>1199</v>
      </c>
      <c r="S588" s="3">
        <f t="shared" si="55"/>
        <v>59.95</v>
      </c>
      <c r="T588" s="3">
        <f t="shared" si="56"/>
        <v>1139.05</v>
      </c>
      <c r="U588" s="3">
        <f t="shared" si="57"/>
        <v>299.75</v>
      </c>
      <c r="V588" s="4">
        <f t="shared" si="58"/>
        <v>0.26315789473684209</v>
      </c>
      <c r="W588" t="str">
        <f t="shared" si="59"/>
        <v>Apr</v>
      </c>
    </row>
    <row r="589" spans="1:23" x14ac:dyDescent="0.25">
      <c r="A589" t="s">
        <v>956</v>
      </c>
      <c r="B589" t="s">
        <v>957</v>
      </c>
      <c r="C589" s="2">
        <v>45941.227777777778</v>
      </c>
      <c r="D589" t="s">
        <v>96</v>
      </c>
      <c r="E589" t="s">
        <v>97</v>
      </c>
      <c r="F589" t="s">
        <v>98</v>
      </c>
      <c r="G589" t="s">
        <v>99</v>
      </c>
      <c r="H589">
        <v>2</v>
      </c>
      <c r="I589" s="3">
        <v>1499</v>
      </c>
      <c r="J589" s="4">
        <v>0.15</v>
      </c>
      <c r="K589" s="3">
        <v>0</v>
      </c>
      <c r="L589" t="s">
        <v>100</v>
      </c>
      <c r="M589" t="s">
        <v>101</v>
      </c>
      <c r="N589" t="s">
        <v>31</v>
      </c>
      <c r="O589" t="s">
        <v>32</v>
      </c>
      <c r="P589" t="s">
        <v>33</v>
      </c>
      <c r="Q589">
        <v>4</v>
      </c>
      <c r="R589" s="3">
        <f t="shared" si="54"/>
        <v>2998</v>
      </c>
      <c r="S589" s="3">
        <f t="shared" si="55"/>
        <v>449.7</v>
      </c>
      <c r="T589" s="3">
        <f t="shared" si="56"/>
        <v>2548.3000000000002</v>
      </c>
      <c r="U589" s="3">
        <f t="shared" si="57"/>
        <v>449.70000000000027</v>
      </c>
      <c r="V589" s="4">
        <f t="shared" si="58"/>
        <v>0.17647058823529421</v>
      </c>
      <c r="W589" t="str">
        <f t="shared" si="59"/>
        <v>Oct</v>
      </c>
    </row>
    <row r="590" spans="1:23" x14ac:dyDescent="0.25">
      <c r="A590" t="s">
        <v>958</v>
      </c>
      <c r="B590" t="s">
        <v>317</v>
      </c>
      <c r="C590" s="2">
        <v>45699</v>
      </c>
      <c r="D590" t="s">
        <v>105</v>
      </c>
      <c r="E590" t="s">
        <v>106</v>
      </c>
      <c r="F590" t="s">
        <v>37</v>
      </c>
      <c r="G590" t="s">
        <v>107</v>
      </c>
      <c r="H590">
        <v>3</v>
      </c>
      <c r="I590" s="3">
        <v>1799</v>
      </c>
      <c r="J590" s="4">
        <v>0</v>
      </c>
      <c r="K590" s="3">
        <v>99</v>
      </c>
      <c r="L590" t="s">
        <v>39</v>
      </c>
      <c r="M590" t="s">
        <v>39</v>
      </c>
      <c r="N590" t="s">
        <v>40</v>
      </c>
      <c r="O590" t="s">
        <v>59</v>
      </c>
      <c r="P590" t="s">
        <v>33</v>
      </c>
      <c r="R590" s="3">
        <f t="shared" si="54"/>
        <v>5397</v>
      </c>
      <c r="S590" s="3">
        <f t="shared" si="55"/>
        <v>0</v>
      </c>
      <c r="T590" s="3">
        <f t="shared" si="56"/>
        <v>5496</v>
      </c>
      <c r="U590" s="3">
        <f t="shared" si="57"/>
        <v>1718.1000000000004</v>
      </c>
      <c r="V590" s="4">
        <f t="shared" si="58"/>
        <v>0.31260917030567692</v>
      </c>
      <c r="W590" t="str">
        <f t="shared" si="59"/>
        <v>Feb</v>
      </c>
    </row>
    <row r="591" spans="1:23" x14ac:dyDescent="0.25">
      <c r="A591" t="s">
        <v>959</v>
      </c>
      <c r="C591" s="2">
        <v>45796.686111111107</v>
      </c>
      <c r="D591" t="s">
        <v>105</v>
      </c>
      <c r="E591" t="s">
        <v>106</v>
      </c>
      <c r="F591" t="s">
        <v>37</v>
      </c>
      <c r="G591" t="s">
        <v>107</v>
      </c>
      <c r="H591">
        <v>1</v>
      </c>
      <c r="I591" s="3">
        <v>1799</v>
      </c>
      <c r="J591" s="4">
        <v>0</v>
      </c>
      <c r="K591" s="3">
        <v>49</v>
      </c>
      <c r="L591" t="s">
        <v>113</v>
      </c>
      <c r="M591" t="s">
        <v>114</v>
      </c>
      <c r="N591" t="s">
        <v>102</v>
      </c>
      <c r="O591" t="s">
        <v>41</v>
      </c>
      <c r="P591" t="s">
        <v>52</v>
      </c>
      <c r="R591" s="3">
        <f t="shared" si="54"/>
        <v>1799</v>
      </c>
      <c r="S591" s="3">
        <f t="shared" si="55"/>
        <v>0</v>
      </c>
      <c r="T591" s="3">
        <f t="shared" si="56"/>
        <v>1848</v>
      </c>
      <c r="U591" s="3">
        <f t="shared" si="57"/>
        <v>588.70000000000005</v>
      </c>
      <c r="V591" s="4">
        <f t="shared" si="58"/>
        <v>0.3185606060606061</v>
      </c>
      <c r="W591" t="str">
        <f t="shared" si="59"/>
        <v>May</v>
      </c>
    </row>
    <row r="592" spans="1:23" x14ac:dyDescent="0.25">
      <c r="A592" t="s">
        <v>960</v>
      </c>
      <c r="B592" t="s">
        <v>327</v>
      </c>
      <c r="C592" s="2">
        <v>45979.390277777777</v>
      </c>
      <c r="D592" t="s">
        <v>90</v>
      </c>
      <c r="E592" t="s">
        <v>91</v>
      </c>
      <c r="F592" t="s">
        <v>37</v>
      </c>
      <c r="G592" t="s">
        <v>92</v>
      </c>
      <c r="H592">
        <v>4</v>
      </c>
      <c r="I592" s="3">
        <v>3499</v>
      </c>
      <c r="J592" s="4">
        <v>0</v>
      </c>
      <c r="K592" s="3">
        <v>99</v>
      </c>
      <c r="L592" t="s">
        <v>125</v>
      </c>
      <c r="M592" t="s">
        <v>126</v>
      </c>
      <c r="N592" t="s">
        <v>50</v>
      </c>
      <c r="O592" t="s">
        <v>93</v>
      </c>
      <c r="P592" t="s">
        <v>52</v>
      </c>
      <c r="Q592">
        <v>5</v>
      </c>
      <c r="R592" s="3">
        <f t="shared" si="54"/>
        <v>13996</v>
      </c>
      <c r="S592" s="3">
        <f t="shared" si="55"/>
        <v>0</v>
      </c>
      <c r="T592" s="3">
        <f t="shared" si="56"/>
        <v>14095</v>
      </c>
      <c r="U592" s="3">
        <f t="shared" si="57"/>
        <v>4297.8000000000011</v>
      </c>
      <c r="V592" s="4">
        <f t="shared" si="58"/>
        <v>0.3049166371053566</v>
      </c>
      <c r="W592" t="str">
        <f t="shared" si="59"/>
        <v>Nov</v>
      </c>
    </row>
    <row r="593" spans="1:23" x14ac:dyDescent="0.25">
      <c r="A593" t="s">
        <v>961</v>
      </c>
      <c r="B593" t="s">
        <v>222</v>
      </c>
      <c r="C593" s="2">
        <v>45934.676388888889</v>
      </c>
      <c r="D593" t="s">
        <v>55</v>
      </c>
      <c r="E593" t="s">
        <v>56</v>
      </c>
      <c r="F593" t="s">
        <v>37</v>
      </c>
      <c r="G593" t="s">
        <v>38</v>
      </c>
      <c r="H593">
        <v>1</v>
      </c>
      <c r="I593" s="3">
        <v>2499</v>
      </c>
      <c r="J593" s="4">
        <v>0.2</v>
      </c>
      <c r="K593" s="3">
        <v>49</v>
      </c>
      <c r="L593" t="s">
        <v>125</v>
      </c>
      <c r="M593" t="s">
        <v>126</v>
      </c>
      <c r="N593" t="s">
        <v>31</v>
      </c>
      <c r="O593" t="s">
        <v>41</v>
      </c>
      <c r="P593" t="s">
        <v>52</v>
      </c>
      <c r="Q593">
        <v>1</v>
      </c>
      <c r="R593" s="3">
        <f t="shared" si="54"/>
        <v>2499</v>
      </c>
      <c r="S593" s="3">
        <f t="shared" si="55"/>
        <v>499.8</v>
      </c>
      <c r="T593" s="3">
        <f t="shared" si="56"/>
        <v>2048.1999999999998</v>
      </c>
      <c r="U593" s="3">
        <f t="shared" si="57"/>
        <v>298.89999999999986</v>
      </c>
      <c r="V593" s="4">
        <f t="shared" si="58"/>
        <v>0.14593301435406694</v>
      </c>
      <c r="W593" t="str">
        <f t="shared" si="59"/>
        <v>Oct</v>
      </c>
    </row>
    <row r="594" spans="1:23" x14ac:dyDescent="0.25">
      <c r="A594" t="s">
        <v>962</v>
      </c>
      <c r="B594" t="s">
        <v>317</v>
      </c>
      <c r="C594" s="2">
        <v>45739.915972222218</v>
      </c>
      <c r="D594" t="s">
        <v>105</v>
      </c>
      <c r="E594" t="s">
        <v>106</v>
      </c>
      <c r="F594" t="s">
        <v>37</v>
      </c>
      <c r="G594" t="s">
        <v>107</v>
      </c>
      <c r="H594">
        <v>2</v>
      </c>
      <c r="I594" s="3">
        <v>1799</v>
      </c>
      <c r="J594" s="4">
        <v>0</v>
      </c>
      <c r="K594" s="3">
        <v>59</v>
      </c>
      <c r="L594" t="s">
        <v>119</v>
      </c>
      <c r="M594" t="s">
        <v>120</v>
      </c>
      <c r="N594" t="s">
        <v>50</v>
      </c>
      <c r="O594" t="s">
        <v>59</v>
      </c>
      <c r="P594" t="s">
        <v>33</v>
      </c>
      <c r="Q594">
        <v>3</v>
      </c>
      <c r="R594" s="3">
        <f t="shared" si="54"/>
        <v>3598</v>
      </c>
      <c r="S594" s="3">
        <f t="shared" si="55"/>
        <v>0</v>
      </c>
      <c r="T594" s="3">
        <f t="shared" si="56"/>
        <v>3657</v>
      </c>
      <c r="U594" s="3">
        <f t="shared" si="57"/>
        <v>1138.4000000000001</v>
      </c>
      <c r="V594" s="4">
        <f t="shared" si="58"/>
        <v>0.3112934098988242</v>
      </c>
      <c r="W594" t="str">
        <f t="shared" si="59"/>
        <v>Mar</v>
      </c>
    </row>
    <row r="595" spans="1:23" x14ac:dyDescent="0.25">
      <c r="A595" t="s">
        <v>963</v>
      </c>
      <c r="B595" t="s">
        <v>181</v>
      </c>
      <c r="C595" s="2">
        <v>45890.04583333333</v>
      </c>
      <c r="D595" t="s">
        <v>169</v>
      </c>
      <c r="E595" t="s">
        <v>170</v>
      </c>
      <c r="F595" t="s">
        <v>98</v>
      </c>
      <c r="G595" t="s">
        <v>171</v>
      </c>
      <c r="H595">
        <v>3</v>
      </c>
      <c r="I595" s="3">
        <v>799</v>
      </c>
      <c r="J595" s="4">
        <v>0</v>
      </c>
      <c r="K595" s="3">
        <v>99</v>
      </c>
      <c r="L595" t="s">
        <v>125</v>
      </c>
      <c r="M595" t="s">
        <v>126</v>
      </c>
      <c r="N595" t="s">
        <v>50</v>
      </c>
      <c r="O595" t="s">
        <v>93</v>
      </c>
      <c r="P595" t="s">
        <v>80</v>
      </c>
      <c r="Q595">
        <v>4</v>
      </c>
      <c r="R595" s="3">
        <f t="shared" si="54"/>
        <v>2397</v>
      </c>
      <c r="S595" s="3">
        <f t="shared" si="55"/>
        <v>0</v>
      </c>
      <c r="T595" s="3">
        <f t="shared" si="56"/>
        <v>2496</v>
      </c>
      <c r="U595" s="3">
        <f t="shared" si="57"/>
        <v>818.10000000000014</v>
      </c>
      <c r="V595" s="4">
        <f t="shared" si="58"/>
        <v>0.32776442307692311</v>
      </c>
      <c r="W595" t="str">
        <f t="shared" si="59"/>
        <v>Aug</v>
      </c>
    </row>
    <row r="596" spans="1:23" x14ac:dyDescent="0.25">
      <c r="A596" t="s">
        <v>964</v>
      </c>
      <c r="B596" t="s">
        <v>508</v>
      </c>
      <c r="C596" s="2">
        <v>45778.977777777778</v>
      </c>
      <c r="D596" t="s">
        <v>62</v>
      </c>
      <c r="E596" t="s">
        <v>63</v>
      </c>
      <c r="F596" t="s">
        <v>46</v>
      </c>
      <c r="G596" t="s">
        <v>64</v>
      </c>
      <c r="H596">
        <v>1</v>
      </c>
      <c r="I596" s="3">
        <v>699</v>
      </c>
      <c r="J596" s="4">
        <v>0.15</v>
      </c>
      <c r="K596" s="3">
        <v>59</v>
      </c>
      <c r="L596" t="s">
        <v>29</v>
      </c>
      <c r="M596" t="s">
        <v>30</v>
      </c>
      <c r="N596" t="s">
        <v>50</v>
      </c>
      <c r="O596" t="s">
        <v>51</v>
      </c>
      <c r="P596" t="s">
        <v>85</v>
      </c>
      <c r="Q596">
        <v>2</v>
      </c>
      <c r="R596" s="3">
        <f t="shared" si="54"/>
        <v>699</v>
      </c>
      <c r="S596" s="3">
        <f t="shared" si="55"/>
        <v>104.85</v>
      </c>
      <c r="T596" s="3">
        <f t="shared" si="56"/>
        <v>653.15</v>
      </c>
      <c r="U596" s="3">
        <f t="shared" si="57"/>
        <v>163.85000000000002</v>
      </c>
      <c r="V596" s="4">
        <f t="shared" si="58"/>
        <v>0.25086121105412235</v>
      </c>
      <c r="W596" t="str">
        <f t="shared" si="59"/>
        <v>May</v>
      </c>
    </row>
    <row r="597" spans="1:23" x14ac:dyDescent="0.25">
      <c r="A597" t="s">
        <v>965</v>
      </c>
      <c r="B597" t="s">
        <v>966</v>
      </c>
      <c r="C597" s="2">
        <v>45779.976388888892</v>
      </c>
      <c r="D597" t="s">
        <v>55</v>
      </c>
      <c r="E597" t="s">
        <v>56</v>
      </c>
      <c r="F597" t="s">
        <v>37</v>
      </c>
      <c r="G597" t="s">
        <v>38</v>
      </c>
      <c r="H597">
        <v>1</v>
      </c>
      <c r="I597" s="3">
        <v>2499</v>
      </c>
      <c r="J597" s="4">
        <v>0.1</v>
      </c>
      <c r="K597" s="3">
        <v>49</v>
      </c>
      <c r="L597" t="s">
        <v>74</v>
      </c>
      <c r="M597" t="s">
        <v>49</v>
      </c>
      <c r="N597" t="s">
        <v>272</v>
      </c>
      <c r="O597" t="s">
        <v>32</v>
      </c>
      <c r="P597" t="s">
        <v>33</v>
      </c>
      <c r="Q597">
        <v>4</v>
      </c>
      <c r="R597" s="3">
        <f t="shared" si="54"/>
        <v>2499</v>
      </c>
      <c r="S597" s="3">
        <f t="shared" si="55"/>
        <v>249.9</v>
      </c>
      <c r="T597" s="3">
        <f t="shared" si="56"/>
        <v>2298.1</v>
      </c>
      <c r="U597" s="3">
        <f t="shared" si="57"/>
        <v>548.79999999999995</v>
      </c>
      <c r="V597" s="4">
        <f t="shared" si="58"/>
        <v>0.23880597014925373</v>
      </c>
      <c r="W597" t="str">
        <f t="shared" si="59"/>
        <v>May</v>
      </c>
    </row>
    <row r="598" spans="1:23" x14ac:dyDescent="0.25">
      <c r="A598" t="s">
        <v>967</v>
      </c>
      <c r="B598" t="s">
        <v>951</v>
      </c>
      <c r="C598" s="2">
        <v>45970.59097222222</v>
      </c>
      <c r="D598" t="s">
        <v>35</v>
      </c>
      <c r="E598" t="s">
        <v>36</v>
      </c>
      <c r="F598" t="s">
        <v>37</v>
      </c>
      <c r="G598" t="s">
        <v>38</v>
      </c>
      <c r="H598">
        <v>1</v>
      </c>
      <c r="I598" s="3">
        <v>599</v>
      </c>
      <c r="J598" s="4">
        <v>0.05</v>
      </c>
      <c r="K598" s="3">
        <v>49</v>
      </c>
      <c r="L598" t="s">
        <v>57</v>
      </c>
      <c r="M598" t="s">
        <v>58</v>
      </c>
      <c r="N598" t="s">
        <v>50</v>
      </c>
      <c r="O598" t="s">
        <v>51</v>
      </c>
      <c r="P598" t="s">
        <v>52</v>
      </c>
      <c r="Q598">
        <v>3</v>
      </c>
      <c r="R598" s="3">
        <f t="shared" si="54"/>
        <v>599</v>
      </c>
      <c r="S598" s="3">
        <f t="shared" si="55"/>
        <v>29.950000000000003</v>
      </c>
      <c r="T598" s="3">
        <f t="shared" si="56"/>
        <v>618.04999999999995</v>
      </c>
      <c r="U598" s="3">
        <f t="shared" si="57"/>
        <v>198.75</v>
      </c>
      <c r="V598" s="4">
        <f t="shared" si="58"/>
        <v>0.32157592427797105</v>
      </c>
      <c r="W598" t="str">
        <f t="shared" si="59"/>
        <v>Nov</v>
      </c>
    </row>
    <row r="599" spans="1:23" x14ac:dyDescent="0.25">
      <c r="A599" t="s">
        <v>968</v>
      </c>
      <c r="B599" t="s">
        <v>204</v>
      </c>
      <c r="C599" s="2">
        <v>46012.752083333333</v>
      </c>
      <c r="D599" t="s">
        <v>67</v>
      </c>
      <c r="E599" t="s">
        <v>68</v>
      </c>
      <c r="F599" t="s">
        <v>37</v>
      </c>
      <c r="G599" t="s">
        <v>38</v>
      </c>
      <c r="H599">
        <v>1</v>
      </c>
      <c r="I599" s="3">
        <v>1299</v>
      </c>
      <c r="J599" s="4">
        <v>0</v>
      </c>
      <c r="K599" s="3">
        <v>0</v>
      </c>
      <c r="L599" t="s">
        <v>74</v>
      </c>
      <c r="M599" t="s">
        <v>49</v>
      </c>
      <c r="N599" t="s">
        <v>40</v>
      </c>
      <c r="O599" t="s">
        <v>59</v>
      </c>
      <c r="P599" t="s">
        <v>33</v>
      </c>
      <c r="Q599">
        <v>2</v>
      </c>
      <c r="R599" s="3">
        <f t="shared" si="54"/>
        <v>1299</v>
      </c>
      <c r="S599" s="3">
        <f t="shared" si="55"/>
        <v>0</v>
      </c>
      <c r="T599" s="3">
        <f t="shared" si="56"/>
        <v>1299</v>
      </c>
      <c r="U599" s="3">
        <f t="shared" si="57"/>
        <v>389.70000000000005</v>
      </c>
      <c r="V599" s="4">
        <f t="shared" si="58"/>
        <v>0.30000000000000004</v>
      </c>
      <c r="W599" t="str">
        <f t="shared" si="59"/>
        <v>Dec</v>
      </c>
    </row>
    <row r="600" spans="1:23" x14ac:dyDescent="0.25">
      <c r="A600" t="s">
        <v>969</v>
      </c>
      <c r="B600" t="s">
        <v>243</v>
      </c>
      <c r="C600" s="2">
        <v>45967.243055555547</v>
      </c>
      <c r="D600" t="s">
        <v>169</v>
      </c>
      <c r="E600" t="s">
        <v>170</v>
      </c>
      <c r="F600" t="s">
        <v>98</v>
      </c>
      <c r="G600" t="s">
        <v>171</v>
      </c>
      <c r="H600">
        <v>3</v>
      </c>
      <c r="I600" s="3">
        <v>799</v>
      </c>
      <c r="J600" s="4">
        <v>0.15</v>
      </c>
      <c r="K600" s="3">
        <v>49</v>
      </c>
      <c r="L600" t="s">
        <v>970</v>
      </c>
      <c r="M600" t="s">
        <v>114</v>
      </c>
      <c r="N600" t="s">
        <v>102</v>
      </c>
      <c r="O600" t="s">
        <v>41</v>
      </c>
      <c r="P600" t="s">
        <v>80</v>
      </c>
      <c r="Q600">
        <v>1</v>
      </c>
      <c r="R600" s="3">
        <f t="shared" si="54"/>
        <v>2397</v>
      </c>
      <c r="S600" s="3">
        <f t="shared" si="55"/>
        <v>359.55</v>
      </c>
      <c r="T600" s="3">
        <f t="shared" si="56"/>
        <v>2086.4499999999998</v>
      </c>
      <c r="U600" s="3">
        <f t="shared" si="57"/>
        <v>408.54999999999995</v>
      </c>
      <c r="V600" s="4">
        <f t="shared" si="58"/>
        <v>0.19581106664430012</v>
      </c>
      <c r="W600" t="str">
        <f t="shared" si="59"/>
        <v>Nov</v>
      </c>
    </row>
    <row r="601" spans="1:23" x14ac:dyDescent="0.25">
      <c r="A601" t="s">
        <v>971</v>
      </c>
      <c r="B601" t="s">
        <v>232</v>
      </c>
      <c r="C601" s="2">
        <v>45768.770833333343</v>
      </c>
      <c r="D601" t="s">
        <v>96</v>
      </c>
      <c r="E601" t="s">
        <v>97</v>
      </c>
      <c r="F601" t="s">
        <v>98</v>
      </c>
      <c r="G601" t="s">
        <v>99</v>
      </c>
      <c r="H601">
        <v>2</v>
      </c>
      <c r="I601" s="3">
        <v>1499</v>
      </c>
      <c r="J601" s="4">
        <v>0.05</v>
      </c>
      <c r="K601" s="3">
        <v>0</v>
      </c>
      <c r="L601" t="s">
        <v>83</v>
      </c>
      <c r="M601" t="s">
        <v>84</v>
      </c>
      <c r="N601" t="s">
        <v>50</v>
      </c>
      <c r="O601" t="s">
        <v>41</v>
      </c>
      <c r="P601" t="s">
        <v>52</v>
      </c>
      <c r="Q601">
        <v>3</v>
      </c>
      <c r="R601" s="3">
        <f t="shared" si="54"/>
        <v>2998</v>
      </c>
      <c r="S601" s="3">
        <f t="shared" si="55"/>
        <v>149.9</v>
      </c>
      <c r="T601" s="3">
        <f t="shared" si="56"/>
        <v>2848.1</v>
      </c>
      <c r="U601" s="3">
        <f t="shared" si="57"/>
        <v>749.5</v>
      </c>
      <c r="V601" s="4">
        <f t="shared" si="58"/>
        <v>0.26315789473684209</v>
      </c>
      <c r="W601" t="str">
        <f t="shared" si="59"/>
        <v>Apr</v>
      </c>
    </row>
    <row r="602" spans="1:23" x14ac:dyDescent="0.25">
      <c r="A602" t="s">
        <v>972</v>
      </c>
      <c r="B602" t="s">
        <v>150</v>
      </c>
      <c r="C602" s="2">
        <v>45960.206944444442</v>
      </c>
      <c r="D602" t="s">
        <v>96</v>
      </c>
      <c r="E602" t="s">
        <v>97</v>
      </c>
      <c r="F602" t="s">
        <v>98</v>
      </c>
      <c r="G602" t="s">
        <v>99</v>
      </c>
      <c r="H602">
        <v>1</v>
      </c>
      <c r="I602" s="3">
        <v>1499</v>
      </c>
      <c r="J602" s="4">
        <v>0</v>
      </c>
      <c r="K602" s="3">
        <v>79</v>
      </c>
      <c r="L602" t="s">
        <v>125</v>
      </c>
      <c r="M602" t="s">
        <v>126</v>
      </c>
      <c r="N602" t="s">
        <v>31</v>
      </c>
      <c r="O602" t="s">
        <v>59</v>
      </c>
      <c r="P602" t="s">
        <v>85</v>
      </c>
      <c r="R602" s="3">
        <f t="shared" si="54"/>
        <v>1499</v>
      </c>
      <c r="S602" s="3">
        <f t="shared" si="55"/>
        <v>0</v>
      </c>
      <c r="T602" s="3">
        <f t="shared" si="56"/>
        <v>1578</v>
      </c>
      <c r="U602" s="3">
        <f t="shared" si="57"/>
        <v>528.70000000000005</v>
      </c>
      <c r="V602" s="4">
        <f t="shared" si="58"/>
        <v>0.33504435994930293</v>
      </c>
      <c r="W602" t="str">
        <f t="shared" si="59"/>
        <v>Oct</v>
      </c>
    </row>
    <row r="603" spans="1:23" x14ac:dyDescent="0.25">
      <c r="A603" t="s">
        <v>973</v>
      </c>
      <c r="B603" t="s">
        <v>261</v>
      </c>
      <c r="C603" s="2">
        <v>45859.660416666673</v>
      </c>
      <c r="D603" t="s">
        <v>62</v>
      </c>
      <c r="E603" t="s">
        <v>63</v>
      </c>
      <c r="F603" t="s">
        <v>46</v>
      </c>
      <c r="G603" t="s">
        <v>64</v>
      </c>
      <c r="H603">
        <v>1</v>
      </c>
      <c r="I603" s="3">
        <v>699</v>
      </c>
      <c r="J603" s="4">
        <v>0</v>
      </c>
      <c r="K603" s="3">
        <v>79</v>
      </c>
      <c r="L603" t="s">
        <v>39</v>
      </c>
      <c r="M603" t="s">
        <v>39</v>
      </c>
      <c r="N603" t="s">
        <v>50</v>
      </c>
      <c r="O603" t="s">
        <v>93</v>
      </c>
      <c r="P603" t="s">
        <v>80</v>
      </c>
      <c r="Q603">
        <v>5</v>
      </c>
      <c r="R603" s="3">
        <f t="shared" si="54"/>
        <v>699</v>
      </c>
      <c r="S603" s="3">
        <f t="shared" si="55"/>
        <v>0</v>
      </c>
      <c r="T603" s="3">
        <f t="shared" si="56"/>
        <v>778</v>
      </c>
      <c r="U603" s="3">
        <f t="shared" si="57"/>
        <v>288.70000000000005</v>
      </c>
      <c r="V603" s="4">
        <f t="shared" si="58"/>
        <v>0.37107969151670955</v>
      </c>
      <c r="W603" t="str">
        <f t="shared" si="59"/>
        <v>Jul</v>
      </c>
    </row>
    <row r="604" spans="1:23" x14ac:dyDescent="0.25">
      <c r="A604" t="s">
        <v>974</v>
      </c>
      <c r="B604" t="s">
        <v>477</v>
      </c>
      <c r="C604" s="2">
        <v>45725.470833333333</v>
      </c>
      <c r="D604" t="s">
        <v>35</v>
      </c>
      <c r="E604" t="s">
        <v>36</v>
      </c>
      <c r="F604" t="s">
        <v>37</v>
      </c>
      <c r="G604" t="s">
        <v>38</v>
      </c>
      <c r="I604" s="3">
        <v>599</v>
      </c>
      <c r="J604" s="4">
        <v>0.2</v>
      </c>
      <c r="K604" s="3">
        <v>0</v>
      </c>
      <c r="L604" t="s">
        <v>57</v>
      </c>
      <c r="M604" t="s">
        <v>58</v>
      </c>
      <c r="N604" t="s">
        <v>40</v>
      </c>
      <c r="O604" t="s">
        <v>51</v>
      </c>
      <c r="P604" t="s">
        <v>33</v>
      </c>
      <c r="Q604">
        <v>2</v>
      </c>
      <c r="R604" s="3">
        <f t="shared" si="54"/>
        <v>0</v>
      </c>
      <c r="S604" s="3">
        <f t="shared" si="55"/>
        <v>0</v>
      </c>
      <c r="T604" s="3">
        <f t="shared" si="56"/>
        <v>0</v>
      </c>
      <c r="U604" s="3">
        <f t="shared" si="57"/>
        <v>0</v>
      </c>
      <c r="V604" s="4" t="str">
        <f t="shared" si="58"/>
        <v/>
      </c>
      <c r="W604" t="str">
        <f t="shared" si="59"/>
        <v>Mar</v>
      </c>
    </row>
    <row r="605" spans="1:23" x14ac:dyDescent="0.25">
      <c r="A605" t="s">
        <v>975</v>
      </c>
      <c r="B605" t="s">
        <v>620</v>
      </c>
      <c r="C605" s="2">
        <v>45956.020138888889</v>
      </c>
      <c r="D605" t="s">
        <v>77</v>
      </c>
      <c r="E605" t="s">
        <v>78</v>
      </c>
      <c r="F605" t="s">
        <v>79</v>
      </c>
      <c r="G605" t="s">
        <v>28</v>
      </c>
      <c r="H605">
        <v>3</v>
      </c>
      <c r="I605" s="3">
        <v>6499</v>
      </c>
      <c r="J605" s="4">
        <v>0</v>
      </c>
      <c r="K605" s="3">
        <v>79</v>
      </c>
      <c r="L605" t="s">
        <v>119</v>
      </c>
      <c r="M605" t="s">
        <v>120</v>
      </c>
      <c r="N605" t="s">
        <v>71</v>
      </c>
      <c r="O605" t="s">
        <v>59</v>
      </c>
      <c r="P605" t="s">
        <v>52</v>
      </c>
      <c r="R605" s="3">
        <f t="shared" si="54"/>
        <v>19497</v>
      </c>
      <c r="S605" s="3">
        <f t="shared" si="55"/>
        <v>0</v>
      </c>
      <c r="T605" s="3">
        <f t="shared" si="56"/>
        <v>19576</v>
      </c>
      <c r="U605" s="3">
        <f t="shared" si="57"/>
        <v>5928.1</v>
      </c>
      <c r="V605" s="4">
        <f t="shared" si="58"/>
        <v>0.30282488761749082</v>
      </c>
      <c r="W605" t="str">
        <f t="shared" si="59"/>
        <v>Oct</v>
      </c>
    </row>
    <row r="606" spans="1:23" x14ac:dyDescent="0.25">
      <c r="A606" t="s">
        <v>976</v>
      </c>
      <c r="B606" t="s">
        <v>381</v>
      </c>
      <c r="C606" s="2">
        <v>45694.539583333331</v>
      </c>
      <c r="D606" t="s">
        <v>25</v>
      </c>
      <c r="E606" t="s">
        <v>26</v>
      </c>
      <c r="F606" t="s">
        <v>27</v>
      </c>
      <c r="G606" t="s">
        <v>28</v>
      </c>
      <c r="H606">
        <v>3</v>
      </c>
      <c r="I606" s="3">
        <v>249</v>
      </c>
      <c r="J606" s="4">
        <v>0.05</v>
      </c>
      <c r="K606" s="3">
        <v>99</v>
      </c>
      <c r="L606" t="s">
        <v>39</v>
      </c>
      <c r="M606" t="s">
        <v>39</v>
      </c>
      <c r="N606" t="s">
        <v>71</v>
      </c>
      <c r="O606" t="s">
        <v>59</v>
      </c>
      <c r="P606" t="s">
        <v>80</v>
      </c>
      <c r="R606" s="3">
        <f t="shared" si="54"/>
        <v>747</v>
      </c>
      <c r="S606" s="3">
        <f t="shared" si="55"/>
        <v>37.35</v>
      </c>
      <c r="T606" s="3">
        <f t="shared" si="56"/>
        <v>808.65</v>
      </c>
      <c r="U606" s="3">
        <f t="shared" si="57"/>
        <v>285.75</v>
      </c>
      <c r="V606" s="4">
        <f t="shared" si="58"/>
        <v>0.35336672231496941</v>
      </c>
      <c r="W606" t="str">
        <f t="shared" si="59"/>
        <v>Feb</v>
      </c>
    </row>
    <row r="607" spans="1:23" x14ac:dyDescent="0.25">
      <c r="A607" t="s">
        <v>977</v>
      </c>
      <c r="B607" t="s">
        <v>372</v>
      </c>
      <c r="C607" s="2">
        <v>45764.878472222219</v>
      </c>
      <c r="D607" t="s">
        <v>110</v>
      </c>
      <c r="E607" t="s">
        <v>111</v>
      </c>
      <c r="F607" t="s">
        <v>98</v>
      </c>
      <c r="G607" t="s">
        <v>112</v>
      </c>
      <c r="H607">
        <v>2</v>
      </c>
      <c r="I607" s="3">
        <v>2999</v>
      </c>
      <c r="J607" s="4">
        <v>0.05</v>
      </c>
      <c r="K607" s="3">
        <v>0</v>
      </c>
      <c r="L607" t="s">
        <v>125</v>
      </c>
      <c r="M607" t="s">
        <v>126</v>
      </c>
      <c r="N607" t="s">
        <v>71</v>
      </c>
      <c r="O607" t="s">
        <v>93</v>
      </c>
      <c r="P607" t="s">
        <v>85</v>
      </c>
      <c r="Q607">
        <v>1</v>
      </c>
      <c r="R607" s="3">
        <f t="shared" si="54"/>
        <v>5998</v>
      </c>
      <c r="S607" s="3">
        <f t="shared" si="55"/>
        <v>299.90000000000003</v>
      </c>
      <c r="T607" s="3">
        <f t="shared" si="56"/>
        <v>5698.1</v>
      </c>
      <c r="U607" s="3">
        <f t="shared" si="57"/>
        <v>1499.5000000000009</v>
      </c>
      <c r="V607" s="4">
        <f t="shared" si="58"/>
        <v>0.26315789473684226</v>
      </c>
      <c r="W607" t="str">
        <f t="shared" si="59"/>
        <v>Apr</v>
      </c>
    </row>
    <row r="608" spans="1:23" x14ac:dyDescent="0.25">
      <c r="A608" t="s">
        <v>978</v>
      </c>
      <c r="B608" t="s">
        <v>138</v>
      </c>
      <c r="C608" s="2">
        <v>45678.474305555559</v>
      </c>
      <c r="D608" t="s">
        <v>96</v>
      </c>
      <c r="E608" t="s">
        <v>97</v>
      </c>
      <c r="F608" t="s">
        <v>98</v>
      </c>
      <c r="G608" t="s">
        <v>99</v>
      </c>
      <c r="H608">
        <v>2</v>
      </c>
      <c r="I608" s="3">
        <v>1499</v>
      </c>
      <c r="J608" s="4">
        <v>0.2</v>
      </c>
      <c r="K608" s="3">
        <v>99</v>
      </c>
      <c r="L608" t="s">
        <v>74</v>
      </c>
      <c r="M608" t="s">
        <v>49</v>
      </c>
      <c r="N608" t="s">
        <v>102</v>
      </c>
      <c r="O608" t="s">
        <v>41</v>
      </c>
      <c r="P608" t="s">
        <v>33</v>
      </c>
      <c r="Q608">
        <v>2</v>
      </c>
      <c r="R608" s="3">
        <f t="shared" si="54"/>
        <v>2998</v>
      </c>
      <c r="S608" s="3">
        <f t="shared" si="55"/>
        <v>599.6</v>
      </c>
      <c r="T608" s="3">
        <f t="shared" si="56"/>
        <v>2497.4</v>
      </c>
      <c r="U608" s="3">
        <f t="shared" si="57"/>
        <v>398.80000000000018</v>
      </c>
      <c r="V608" s="4">
        <f t="shared" si="58"/>
        <v>0.15968607351645719</v>
      </c>
      <c r="W608" t="str">
        <f t="shared" si="59"/>
        <v>Jan</v>
      </c>
    </row>
    <row r="609" spans="1:23" x14ac:dyDescent="0.25">
      <c r="A609" t="s">
        <v>979</v>
      </c>
      <c r="B609" t="s">
        <v>642</v>
      </c>
      <c r="C609" s="2">
        <v>45990.657638888893</v>
      </c>
      <c r="D609" t="s">
        <v>169</v>
      </c>
      <c r="E609" t="s">
        <v>170</v>
      </c>
      <c r="F609" t="s">
        <v>98</v>
      </c>
      <c r="G609" t="s">
        <v>171</v>
      </c>
      <c r="H609">
        <v>2</v>
      </c>
      <c r="I609" s="3">
        <v>799</v>
      </c>
      <c r="J609" s="4">
        <v>0.2</v>
      </c>
      <c r="K609" s="3">
        <v>49</v>
      </c>
      <c r="L609" t="s">
        <v>113</v>
      </c>
      <c r="M609" t="s">
        <v>114</v>
      </c>
      <c r="N609" t="s">
        <v>71</v>
      </c>
      <c r="O609" t="s">
        <v>51</v>
      </c>
      <c r="P609" t="s">
        <v>85</v>
      </c>
      <c r="Q609">
        <v>3</v>
      </c>
      <c r="R609" s="3">
        <f t="shared" si="54"/>
        <v>1598</v>
      </c>
      <c r="S609" s="3">
        <f t="shared" si="55"/>
        <v>319.60000000000002</v>
      </c>
      <c r="T609" s="3">
        <f t="shared" si="56"/>
        <v>1327.4</v>
      </c>
      <c r="U609" s="3">
        <f t="shared" si="57"/>
        <v>208.80000000000018</v>
      </c>
      <c r="V609" s="4">
        <f t="shared" si="58"/>
        <v>0.15729998493295175</v>
      </c>
      <c r="W609" t="str">
        <f t="shared" si="59"/>
        <v>Nov</v>
      </c>
    </row>
    <row r="610" spans="1:23" x14ac:dyDescent="0.25">
      <c r="A610" t="s">
        <v>980</v>
      </c>
      <c r="B610" t="s">
        <v>422</v>
      </c>
      <c r="C610" s="2">
        <v>45690.473611111112</v>
      </c>
      <c r="D610" t="s">
        <v>62</v>
      </c>
      <c r="E610" t="s">
        <v>63</v>
      </c>
      <c r="F610" t="s">
        <v>46</v>
      </c>
      <c r="G610" t="s">
        <v>64</v>
      </c>
      <c r="H610">
        <v>1</v>
      </c>
      <c r="I610" s="3">
        <v>699</v>
      </c>
      <c r="J610" s="4">
        <v>0.1</v>
      </c>
      <c r="K610" s="3">
        <v>99</v>
      </c>
      <c r="L610" t="s">
        <v>57</v>
      </c>
      <c r="M610" t="s">
        <v>58</v>
      </c>
      <c r="N610" t="s">
        <v>31</v>
      </c>
      <c r="O610" t="s">
        <v>59</v>
      </c>
      <c r="P610" t="s">
        <v>52</v>
      </c>
      <c r="R610" s="3">
        <f t="shared" si="54"/>
        <v>699</v>
      </c>
      <c r="S610" s="3">
        <f t="shared" si="55"/>
        <v>69.900000000000006</v>
      </c>
      <c r="T610" s="3">
        <f t="shared" si="56"/>
        <v>728.1</v>
      </c>
      <c r="U610" s="3">
        <f t="shared" si="57"/>
        <v>238.80000000000007</v>
      </c>
      <c r="V610" s="4">
        <f t="shared" si="58"/>
        <v>0.3279769262463948</v>
      </c>
      <c r="W610" t="str">
        <f t="shared" si="59"/>
        <v>Feb</v>
      </c>
    </row>
    <row r="611" spans="1:23" x14ac:dyDescent="0.25">
      <c r="A611" t="s">
        <v>981</v>
      </c>
      <c r="B611" t="s">
        <v>466</v>
      </c>
      <c r="C611" s="2">
        <v>45889.807638888888</v>
      </c>
      <c r="D611" t="s">
        <v>62</v>
      </c>
      <c r="E611" t="s">
        <v>63</v>
      </c>
      <c r="F611" t="s">
        <v>46</v>
      </c>
      <c r="G611" t="s">
        <v>64</v>
      </c>
      <c r="H611">
        <v>3</v>
      </c>
      <c r="I611" s="3">
        <v>699</v>
      </c>
      <c r="J611" s="4">
        <v>0.2</v>
      </c>
      <c r="K611" s="3">
        <v>0</v>
      </c>
      <c r="L611" t="s">
        <v>982</v>
      </c>
      <c r="M611" t="s">
        <v>84</v>
      </c>
      <c r="N611" t="s">
        <v>40</v>
      </c>
      <c r="O611" t="s">
        <v>93</v>
      </c>
      <c r="P611" t="s">
        <v>80</v>
      </c>
      <c r="Q611">
        <v>1</v>
      </c>
      <c r="R611" s="3">
        <f t="shared" si="54"/>
        <v>2097</v>
      </c>
      <c r="S611" s="3">
        <f t="shared" si="55"/>
        <v>419.40000000000003</v>
      </c>
      <c r="T611" s="3">
        <f t="shared" si="56"/>
        <v>1677.6</v>
      </c>
      <c r="U611" s="3">
        <f t="shared" si="57"/>
        <v>209.70000000000005</v>
      </c>
      <c r="V611" s="4">
        <f t="shared" si="58"/>
        <v>0.12500000000000003</v>
      </c>
      <c r="W611" t="str">
        <f t="shared" si="59"/>
        <v>Aug</v>
      </c>
    </row>
    <row r="612" spans="1:23" x14ac:dyDescent="0.25">
      <c r="A612" t="s">
        <v>983</v>
      </c>
      <c r="B612" t="s">
        <v>607</v>
      </c>
      <c r="C612" s="2">
        <v>45697.131944444453</v>
      </c>
      <c r="D612" t="s">
        <v>96</v>
      </c>
      <c r="E612" t="s">
        <v>97</v>
      </c>
      <c r="F612" t="s">
        <v>98</v>
      </c>
      <c r="G612" t="s">
        <v>99</v>
      </c>
      <c r="H612">
        <v>1</v>
      </c>
      <c r="I612" s="3">
        <v>1499</v>
      </c>
      <c r="J612" s="4">
        <v>0</v>
      </c>
      <c r="K612" s="3">
        <v>49</v>
      </c>
      <c r="L612" t="s">
        <v>100</v>
      </c>
      <c r="M612" t="s">
        <v>101</v>
      </c>
      <c r="N612" t="s">
        <v>50</v>
      </c>
      <c r="O612" t="s">
        <v>41</v>
      </c>
      <c r="P612" t="s">
        <v>33</v>
      </c>
      <c r="Q612">
        <v>5</v>
      </c>
      <c r="R612" s="3">
        <f t="shared" si="54"/>
        <v>1499</v>
      </c>
      <c r="S612" s="3">
        <f t="shared" si="55"/>
        <v>0</v>
      </c>
      <c r="T612" s="3">
        <f t="shared" si="56"/>
        <v>1548</v>
      </c>
      <c r="U612" s="3">
        <f t="shared" si="57"/>
        <v>498.70000000000005</v>
      </c>
      <c r="V612" s="4">
        <f t="shared" si="58"/>
        <v>0.3221576227390181</v>
      </c>
      <c r="W612" t="str">
        <f t="shared" si="59"/>
        <v>Feb</v>
      </c>
    </row>
    <row r="613" spans="1:23" x14ac:dyDescent="0.25">
      <c r="A613" t="s">
        <v>984</v>
      </c>
      <c r="B613" t="s">
        <v>673</v>
      </c>
      <c r="C613" s="2">
        <v>46007.749305555553</v>
      </c>
      <c r="D613" t="s">
        <v>25</v>
      </c>
      <c r="E613" t="s">
        <v>26</v>
      </c>
      <c r="F613" t="s">
        <v>27</v>
      </c>
      <c r="G613" t="s">
        <v>28</v>
      </c>
      <c r="H613">
        <v>1</v>
      </c>
      <c r="I613" s="3">
        <v>249</v>
      </c>
      <c r="J613" s="4">
        <v>0.1</v>
      </c>
      <c r="K613" s="3">
        <v>59</v>
      </c>
      <c r="L613" t="s">
        <v>39</v>
      </c>
      <c r="M613" t="s">
        <v>39</v>
      </c>
      <c r="N613" t="s">
        <v>40</v>
      </c>
      <c r="O613" t="s">
        <v>93</v>
      </c>
      <c r="P613" t="s">
        <v>33</v>
      </c>
      <c r="Q613">
        <v>3</v>
      </c>
      <c r="R613" s="3">
        <f t="shared" si="54"/>
        <v>249</v>
      </c>
      <c r="S613" s="3">
        <f t="shared" si="55"/>
        <v>24.900000000000002</v>
      </c>
      <c r="T613" s="3">
        <f t="shared" si="56"/>
        <v>283.10000000000002</v>
      </c>
      <c r="U613" s="3">
        <f t="shared" si="57"/>
        <v>108.80000000000004</v>
      </c>
      <c r="V613" s="4">
        <f t="shared" si="58"/>
        <v>0.38431649593783124</v>
      </c>
      <c r="W613" t="str">
        <f t="shared" si="59"/>
        <v>Dec</v>
      </c>
    </row>
    <row r="614" spans="1:23" x14ac:dyDescent="0.25">
      <c r="A614" t="s">
        <v>985</v>
      </c>
      <c r="B614" t="s">
        <v>986</v>
      </c>
      <c r="C614" s="2">
        <v>45776.695138888892</v>
      </c>
      <c r="D614" t="s">
        <v>67</v>
      </c>
      <c r="E614" t="s">
        <v>68</v>
      </c>
      <c r="F614" t="s">
        <v>37</v>
      </c>
      <c r="G614" t="s">
        <v>38</v>
      </c>
      <c r="H614">
        <v>1</v>
      </c>
      <c r="I614" s="3">
        <v>1299</v>
      </c>
      <c r="J614" s="4">
        <v>0.1</v>
      </c>
      <c r="K614" s="3">
        <v>99</v>
      </c>
      <c r="L614" t="s">
        <v>29</v>
      </c>
      <c r="M614" t="s">
        <v>30</v>
      </c>
      <c r="N614" t="s">
        <v>71</v>
      </c>
      <c r="O614" t="s">
        <v>59</v>
      </c>
      <c r="P614" t="s">
        <v>33</v>
      </c>
      <c r="Q614">
        <v>5</v>
      </c>
      <c r="R614" s="3">
        <f t="shared" si="54"/>
        <v>1299</v>
      </c>
      <c r="S614" s="3">
        <f t="shared" si="55"/>
        <v>129.9</v>
      </c>
      <c r="T614" s="3">
        <f t="shared" si="56"/>
        <v>1268.0999999999999</v>
      </c>
      <c r="U614" s="3">
        <f t="shared" si="57"/>
        <v>358.79999999999995</v>
      </c>
      <c r="V614" s="4">
        <f t="shared" si="58"/>
        <v>0.28294298556896141</v>
      </c>
      <c r="W614" t="str">
        <f t="shared" si="59"/>
        <v>Apr</v>
      </c>
    </row>
    <row r="615" spans="1:23" x14ac:dyDescent="0.25">
      <c r="A615" t="s">
        <v>987</v>
      </c>
      <c r="B615" t="s">
        <v>901</v>
      </c>
      <c r="C615" s="2">
        <v>45885.59652777778</v>
      </c>
      <c r="D615" t="s">
        <v>25</v>
      </c>
      <c r="E615" t="s">
        <v>26</v>
      </c>
      <c r="F615" t="s">
        <v>27</v>
      </c>
      <c r="G615" t="s">
        <v>28</v>
      </c>
      <c r="H615">
        <v>3</v>
      </c>
      <c r="I615" s="3"/>
      <c r="J615" s="4">
        <v>0</v>
      </c>
      <c r="K615" s="3">
        <v>59</v>
      </c>
      <c r="L615" t="s">
        <v>83</v>
      </c>
      <c r="M615" t="s">
        <v>84</v>
      </c>
      <c r="N615" t="s">
        <v>71</v>
      </c>
      <c r="O615" t="s">
        <v>41</v>
      </c>
      <c r="P615" t="s">
        <v>85</v>
      </c>
      <c r="Q615">
        <v>4</v>
      </c>
      <c r="R615" s="3">
        <f t="shared" si="54"/>
        <v>0</v>
      </c>
      <c r="S615" s="3">
        <f t="shared" si="55"/>
        <v>0</v>
      </c>
      <c r="T615" s="3">
        <f t="shared" si="56"/>
        <v>59</v>
      </c>
      <c r="U615" s="3">
        <f t="shared" si="57"/>
        <v>59</v>
      </c>
      <c r="V615" s="4">
        <f t="shared" si="58"/>
        <v>1</v>
      </c>
      <c r="W615" t="str">
        <f t="shared" si="59"/>
        <v>Aug</v>
      </c>
    </row>
    <row r="616" spans="1:23" x14ac:dyDescent="0.25">
      <c r="A616" t="s">
        <v>988</v>
      </c>
      <c r="B616" t="s">
        <v>354</v>
      </c>
      <c r="C616" s="2">
        <v>45682.181944444441</v>
      </c>
      <c r="D616" t="s">
        <v>169</v>
      </c>
      <c r="E616" t="s">
        <v>170</v>
      </c>
      <c r="F616" t="s">
        <v>98</v>
      </c>
      <c r="G616" t="s">
        <v>171</v>
      </c>
      <c r="H616">
        <v>3</v>
      </c>
      <c r="I616" s="3">
        <v>799</v>
      </c>
      <c r="J616" s="4">
        <v>0.1</v>
      </c>
      <c r="K616" s="3">
        <v>49</v>
      </c>
      <c r="L616" t="s">
        <v>48</v>
      </c>
      <c r="M616" t="s">
        <v>49</v>
      </c>
      <c r="N616" t="s">
        <v>102</v>
      </c>
      <c r="O616" t="s">
        <v>51</v>
      </c>
      <c r="P616" t="s">
        <v>33</v>
      </c>
      <c r="Q616">
        <v>2</v>
      </c>
      <c r="R616" s="3">
        <f t="shared" si="54"/>
        <v>2397</v>
      </c>
      <c r="S616" s="3">
        <f t="shared" si="55"/>
        <v>239.70000000000002</v>
      </c>
      <c r="T616" s="3">
        <f t="shared" si="56"/>
        <v>2206.3000000000002</v>
      </c>
      <c r="U616" s="3">
        <f t="shared" si="57"/>
        <v>528.40000000000032</v>
      </c>
      <c r="V616" s="4">
        <f t="shared" si="58"/>
        <v>0.23949598875946165</v>
      </c>
      <c r="W616" t="str">
        <f t="shared" si="59"/>
        <v>Jan</v>
      </c>
    </row>
    <row r="617" spans="1:23" x14ac:dyDescent="0.25">
      <c r="A617" t="s">
        <v>989</v>
      </c>
      <c r="B617" t="s">
        <v>922</v>
      </c>
      <c r="C617" s="2">
        <v>45717.055555555547</v>
      </c>
      <c r="D617" t="s">
        <v>105</v>
      </c>
      <c r="E617" t="s">
        <v>106</v>
      </c>
      <c r="F617" t="s">
        <v>37</v>
      </c>
      <c r="G617" t="s">
        <v>107</v>
      </c>
      <c r="H617">
        <v>1</v>
      </c>
      <c r="I617" s="3">
        <v>1799</v>
      </c>
      <c r="J617" s="4">
        <v>0</v>
      </c>
      <c r="K617" s="3">
        <v>79</v>
      </c>
      <c r="L617" t="s">
        <v>100</v>
      </c>
      <c r="M617" t="s">
        <v>101</v>
      </c>
      <c r="N617" t="s">
        <v>71</v>
      </c>
      <c r="O617" t="s">
        <v>41</v>
      </c>
      <c r="P617" t="s">
        <v>85</v>
      </c>
      <c r="Q617">
        <v>2</v>
      </c>
      <c r="R617" s="3">
        <f t="shared" si="54"/>
        <v>1799</v>
      </c>
      <c r="S617" s="3">
        <f t="shared" si="55"/>
        <v>0</v>
      </c>
      <c r="T617" s="3">
        <f t="shared" si="56"/>
        <v>1878</v>
      </c>
      <c r="U617" s="3">
        <f t="shared" si="57"/>
        <v>618.70000000000005</v>
      </c>
      <c r="V617" s="4">
        <f t="shared" si="58"/>
        <v>0.32944621938232166</v>
      </c>
      <c r="W617" t="str">
        <f t="shared" si="59"/>
        <v>Mar</v>
      </c>
    </row>
    <row r="618" spans="1:23" x14ac:dyDescent="0.25">
      <c r="A618" t="s">
        <v>990</v>
      </c>
      <c r="B618" t="s">
        <v>224</v>
      </c>
      <c r="C618" s="2">
        <v>45834.182638888888</v>
      </c>
      <c r="D618" t="s">
        <v>62</v>
      </c>
      <c r="E618" t="s">
        <v>63</v>
      </c>
      <c r="F618" t="s">
        <v>46</v>
      </c>
      <c r="G618" t="s">
        <v>64</v>
      </c>
      <c r="H618">
        <v>2</v>
      </c>
      <c r="I618" s="3">
        <v>699</v>
      </c>
      <c r="J618" s="4">
        <v>0.15</v>
      </c>
      <c r="K618" s="3">
        <v>49</v>
      </c>
      <c r="L618" t="s">
        <v>39</v>
      </c>
      <c r="M618" t="s">
        <v>39</v>
      </c>
      <c r="N618" t="s">
        <v>71</v>
      </c>
      <c r="O618" t="s">
        <v>93</v>
      </c>
      <c r="P618" t="s">
        <v>52</v>
      </c>
      <c r="Q618">
        <v>1</v>
      </c>
      <c r="R618" s="3">
        <f t="shared" si="54"/>
        <v>1398</v>
      </c>
      <c r="S618" s="3">
        <f t="shared" si="55"/>
        <v>209.7</v>
      </c>
      <c r="T618" s="3">
        <f t="shared" si="56"/>
        <v>1237.3</v>
      </c>
      <c r="U618" s="3">
        <f t="shared" si="57"/>
        <v>258.70000000000005</v>
      </c>
      <c r="V618" s="4">
        <f t="shared" si="58"/>
        <v>0.20908429645195187</v>
      </c>
      <c r="W618" t="str">
        <f t="shared" si="59"/>
        <v>Jun</v>
      </c>
    </row>
    <row r="619" spans="1:23" x14ac:dyDescent="0.25">
      <c r="A619" t="s">
        <v>991</v>
      </c>
      <c r="B619" t="s">
        <v>555</v>
      </c>
      <c r="C619" s="2">
        <v>45892.42291666667</v>
      </c>
      <c r="D619" t="s">
        <v>96</v>
      </c>
      <c r="E619" t="s">
        <v>97</v>
      </c>
      <c r="F619" t="s">
        <v>98</v>
      </c>
      <c r="G619" t="s">
        <v>99</v>
      </c>
      <c r="H619">
        <v>3</v>
      </c>
      <c r="I619" s="3">
        <v>1499</v>
      </c>
      <c r="J619" s="4">
        <v>0.2</v>
      </c>
      <c r="K619" s="3">
        <v>99</v>
      </c>
      <c r="L619" t="s">
        <v>119</v>
      </c>
      <c r="M619" t="s">
        <v>120</v>
      </c>
      <c r="N619" t="s">
        <v>71</v>
      </c>
      <c r="O619" t="s">
        <v>51</v>
      </c>
      <c r="P619" t="s">
        <v>33</v>
      </c>
      <c r="Q619">
        <v>4</v>
      </c>
      <c r="R619" s="3">
        <f t="shared" si="54"/>
        <v>4497</v>
      </c>
      <c r="S619" s="3">
        <f t="shared" si="55"/>
        <v>899.40000000000009</v>
      </c>
      <c r="T619" s="3">
        <f t="shared" si="56"/>
        <v>3696.6</v>
      </c>
      <c r="U619" s="3">
        <f t="shared" si="57"/>
        <v>548.70000000000027</v>
      </c>
      <c r="V619" s="4">
        <f t="shared" si="58"/>
        <v>0.14843369582859933</v>
      </c>
      <c r="W619" t="str">
        <f t="shared" si="59"/>
        <v>Aug</v>
      </c>
    </row>
    <row r="620" spans="1:23" x14ac:dyDescent="0.25">
      <c r="A620" t="s">
        <v>992</v>
      </c>
      <c r="B620" t="s">
        <v>993</v>
      </c>
      <c r="C620" s="2">
        <v>45947.998611111107</v>
      </c>
      <c r="D620" t="s">
        <v>110</v>
      </c>
      <c r="E620" t="s">
        <v>111</v>
      </c>
      <c r="F620" t="s">
        <v>98</v>
      </c>
      <c r="G620" t="s">
        <v>112</v>
      </c>
      <c r="H620">
        <v>2</v>
      </c>
      <c r="I620" s="3">
        <v>2999</v>
      </c>
      <c r="J620" s="4">
        <v>0.05</v>
      </c>
      <c r="K620" s="3">
        <v>0</v>
      </c>
      <c r="L620" t="s">
        <v>125</v>
      </c>
      <c r="M620" t="s">
        <v>126</v>
      </c>
      <c r="N620" t="s">
        <v>31</v>
      </c>
      <c r="O620" t="s">
        <v>41</v>
      </c>
      <c r="P620" t="s">
        <v>52</v>
      </c>
      <c r="R620" s="3">
        <f t="shared" si="54"/>
        <v>5998</v>
      </c>
      <c r="S620" s="3">
        <f t="shared" si="55"/>
        <v>299.90000000000003</v>
      </c>
      <c r="T620" s="3">
        <f t="shared" si="56"/>
        <v>5698.1</v>
      </c>
      <c r="U620" s="3">
        <f t="shared" si="57"/>
        <v>1499.5000000000009</v>
      </c>
      <c r="V620" s="4">
        <f t="shared" si="58"/>
        <v>0.26315789473684226</v>
      </c>
      <c r="W620" t="str">
        <f t="shared" si="59"/>
        <v>Oct</v>
      </c>
    </row>
    <row r="621" spans="1:23" x14ac:dyDescent="0.25">
      <c r="A621" t="s">
        <v>994</v>
      </c>
      <c r="B621" t="s">
        <v>177</v>
      </c>
      <c r="C621" s="2">
        <v>45863.828472222223</v>
      </c>
      <c r="D621" t="s">
        <v>62</v>
      </c>
      <c r="E621" t="s">
        <v>63</v>
      </c>
      <c r="F621" t="s">
        <v>46</v>
      </c>
      <c r="G621" t="s">
        <v>64</v>
      </c>
      <c r="H621">
        <v>1</v>
      </c>
      <c r="I621" s="3">
        <v>699</v>
      </c>
      <c r="J621" s="4">
        <v>0.1</v>
      </c>
      <c r="K621" s="3">
        <v>59</v>
      </c>
      <c r="L621" t="s">
        <v>29</v>
      </c>
      <c r="M621" t="s">
        <v>30</v>
      </c>
      <c r="N621" t="s">
        <v>71</v>
      </c>
      <c r="O621" t="s">
        <v>93</v>
      </c>
      <c r="P621" t="s">
        <v>33</v>
      </c>
      <c r="Q621">
        <v>5</v>
      </c>
      <c r="R621" s="3">
        <f t="shared" si="54"/>
        <v>699</v>
      </c>
      <c r="S621" s="3">
        <f t="shared" si="55"/>
        <v>69.900000000000006</v>
      </c>
      <c r="T621" s="3">
        <f t="shared" si="56"/>
        <v>688.1</v>
      </c>
      <c r="U621" s="3">
        <f t="shared" si="57"/>
        <v>198.80000000000007</v>
      </c>
      <c r="V621" s="4">
        <f t="shared" si="58"/>
        <v>0.28891149542217709</v>
      </c>
      <c r="W621" t="str">
        <f t="shared" si="59"/>
        <v>Jul</v>
      </c>
    </row>
    <row r="622" spans="1:23" x14ac:dyDescent="0.25">
      <c r="A622" t="s">
        <v>995</v>
      </c>
      <c r="B622" t="s">
        <v>609</v>
      </c>
      <c r="C622" s="2">
        <v>45771.341666666667</v>
      </c>
      <c r="D622" t="s">
        <v>25</v>
      </c>
      <c r="E622" t="s">
        <v>26</v>
      </c>
      <c r="F622" t="s">
        <v>27</v>
      </c>
      <c r="G622" t="s">
        <v>28</v>
      </c>
      <c r="H622">
        <v>2</v>
      </c>
      <c r="I622" s="3">
        <v>249</v>
      </c>
      <c r="J622" s="4">
        <v>0</v>
      </c>
      <c r="K622" s="3">
        <v>99</v>
      </c>
      <c r="L622" t="s">
        <v>113</v>
      </c>
      <c r="M622" t="s">
        <v>114</v>
      </c>
      <c r="N622" t="s">
        <v>31</v>
      </c>
      <c r="O622" t="s">
        <v>32</v>
      </c>
      <c r="P622" t="s">
        <v>33</v>
      </c>
      <c r="Q622">
        <v>4</v>
      </c>
      <c r="R622" s="3">
        <f t="shared" si="54"/>
        <v>498</v>
      </c>
      <c r="S622" s="3">
        <f t="shared" si="55"/>
        <v>0</v>
      </c>
      <c r="T622" s="3">
        <f t="shared" si="56"/>
        <v>597</v>
      </c>
      <c r="U622" s="3">
        <f t="shared" si="57"/>
        <v>248.40000000000003</v>
      </c>
      <c r="V622" s="4">
        <f t="shared" si="58"/>
        <v>0.41608040201005031</v>
      </c>
      <c r="W622" t="str">
        <f t="shared" si="59"/>
        <v>Apr</v>
      </c>
    </row>
    <row r="623" spans="1:23" x14ac:dyDescent="0.25">
      <c r="A623" t="s">
        <v>996</v>
      </c>
      <c r="B623" t="s">
        <v>292</v>
      </c>
      <c r="C623" s="2">
        <v>45967.668749999997</v>
      </c>
      <c r="D623" t="s">
        <v>67</v>
      </c>
      <c r="E623" t="s">
        <v>68</v>
      </c>
      <c r="F623" t="s">
        <v>37</v>
      </c>
      <c r="G623" t="s">
        <v>38</v>
      </c>
      <c r="H623">
        <v>1</v>
      </c>
      <c r="I623" s="3">
        <v>1299</v>
      </c>
      <c r="J623" s="4">
        <v>0.05</v>
      </c>
      <c r="K623" s="3">
        <v>79</v>
      </c>
      <c r="L623" t="s">
        <v>119</v>
      </c>
      <c r="M623" t="s">
        <v>120</v>
      </c>
      <c r="N623" t="s">
        <v>40</v>
      </c>
      <c r="O623" t="s">
        <v>51</v>
      </c>
      <c r="P623" t="s">
        <v>80</v>
      </c>
      <c r="Q623">
        <v>4</v>
      </c>
      <c r="R623" s="3">
        <f t="shared" si="54"/>
        <v>1299</v>
      </c>
      <c r="S623" s="3">
        <f t="shared" si="55"/>
        <v>64.95</v>
      </c>
      <c r="T623" s="3">
        <f t="shared" si="56"/>
        <v>1313.05</v>
      </c>
      <c r="U623" s="3">
        <f t="shared" si="57"/>
        <v>403.75</v>
      </c>
      <c r="V623" s="4">
        <f t="shared" si="58"/>
        <v>0.30749019458512622</v>
      </c>
      <c r="W623" t="str">
        <f t="shared" si="59"/>
        <v>Nov</v>
      </c>
    </row>
    <row r="624" spans="1:23" x14ac:dyDescent="0.25">
      <c r="A624" t="s">
        <v>997</v>
      </c>
      <c r="B624" t="s">
        <v>681</v>
      </c>
      <c r="C624" s="2">
        <v>45837.394444444442</v>
      </c>
      <c r="D624" t="s">
        <v>169</v>
      </c>
      <c r="E624" t="s">
        <v>170</v>
      </c>
      <c r="F624" t="s">
        <v>98</v>
      </c>
      <c r="G624" t="s">
        <v>171</v>
      </c>
      <c r="H624">
        <v>1</v>
      </c>
      <c r="I624" s="3">
        <v>799</v>
      </c>
      <c r="J624" s="4">
        <v>0</v>
      </c>
      <c r="K624" s="3">
        <v>49</v>
      </c>
      <c r="L624" t="s">
        <v>39</v>
      </c>
      <c r="M624" t="s">
        <v>39</v>
      </c>
      <c r="N624" t="s">
        <v>40</v>
      </c>
      <c r="O624" t="s">
        <v>59</v>
      </c>
      <c r="P624" t="s">
        <v>85</v>
      </c>
      <c r="Q624">
        <v>3</v>
      </c>
      <c r="R624" s="3">
        <f t="shared" si="54"/>
        <v>799</v>
      </c>
      <c r="S624" s="3">
        <f t="shared" si="55"/>
        <v>0</v>
      </c>
      <c r="T624" s="3">
        <f t="shared" si="56"/>
        <v>848</v>
      </c>
      <c r="U624" s="3">
        <f t="shared" si="57"/>
        <v>288.70000000000005</v>
      </c>
      <c r="V624" s="4">
        <f t="shared" si="58"/>
        <v>0.3404481132075472</v>
      </c>
      <c r="W624" t="str">
        <f t="shared" si="59"/>
        <v>Jun</v>
      </c>
    </row>
    <row r="625" spans="1:23" x14ac:dyDescent="0.25">
      <c r="A625" t="s">
        <v>998</v>
      </c>
      <c r="B625" t="s">
        <v>999</v>
      </c>
      <c r="C625" s="2">
        <v>45870.203472222223</v>
      </c>
      <c r="D625" t="s">
        <v>105</v>
      </c>
      <c r="E625" t="s">
        <v>106</v>
      </c>
      <c r="F625" t="s">
        <v>37</v>
      </c>
      <c r="G625" t="s">
        <v>107</v>
      </c>
      <c r="H625">
        <v>2</v>
      </c>
      <c r="I625" s="3">
        <v>1799</v>
      </c>
      <c r="J625" s="4">
        <v>0.15</v>
      </c>
      <c r="K625" s="3">
        <v>0</v>
      </c>
      <c r="L625" t="s">
        <v>57</v>
      </c>
      <c r="M625" t="s">
        <v>58</v>
      </c>
      <c r="N625" t="s">
        <v>50</v>
      </c>
      <c r="O625" t="s">
        <v>51</v>
      </c>
      <c r="P625" t="s">
        <v>85</v>
      </c>
      <c r="Q625">
        <v>4</v>
      </c>
      <c r="R625" s="3">
        <f t="shared" si="54"/>
        <v>3598</v>
      </c>
      <c r="S625" s="3">
        <f t="shared" si="55"/>
        <v>539.69999999999993</v>
      </c>
      <c r="T625" s="3">
        <f t="shared" si="56"/>
        <v>3058.3</v>
      </c>
      <c r="U625" s="3">
        <f t="shared" si="57"/>
        <v>539.70000000000027</v>
      </c>
      <c r="V625" s="4">
        <f t="shared" si="58"/>
        <v>0.17647058823529418</v>
      </c>
      <c r="W625" t="str">
        <f t="shared" si="59"/>
        <v>Aug</v>
      </c>
    </row>
    <row r="626" spans="1:23" x14ac:dyDescent="0.25">
      <c r="A626" t="s">
        <v>1000</v>
      </c>
      <c r="B626" t="s">
        <v>914</v>
      </c>
      <c r="C626" s="2">
        <v>45960.503472222219</v>
      </c>
      <c r="D626" t="s">
        <v>62</v>
      </c>
      <c r="E626" t="s">
        <v>63</v>
      </c>
      <c r="F626" t="s">
        <v>46</v>
      </c>
      <c r="G626" t="s">
        <v>64</v>
      </c>
      <c r="H626">
        <v>1</v>
      </c>
      <c r="I626" s="3">
        <v>699</v>
      </c>
      <c r="J626" s="4">
        <v>0.1</v>
      </c>
      <c r="K626" s="3">
        <v>59</v>
      </c>
      <c r="L626" t="s">
        <v>74</v>
      </c>
      <c r="M626" t="s">
        <v>49</v>
      </c>
      <c r="N626" t="s">
        <v>50</v>
      </c>
      <c r="O626" t="s">
        <v>32</v>
      </c>
      <c r="P626" t="s">
        <v>33</v>
      </c>
      <c r="Q626">
        <v>4</v>
      </c>
      <c r="R626" s="3">
        <f t="shared" si="54"/>
        <v>699</v>
      </c>
      <c r="S626" s="3">
        <f t="shared" si="55"/>
        <v>69.900000000000006</v>
      </c>
      <c r="T626" s="3">
        <f t="shared" si="56"/>
        <v>688.1</v>
      </c>
      <c r="U626" s="3">
        <f t="shared" si="57"/>
        <v>198.80000000000007</v>
      </c>
      <c r="V626" s="4">
        <f t="shared" si="58"/>
        <v>0.28891149542217709</v>
      </c>
      <c r="W626" t="str">
        <f t="shared" si="59"/>
        <v>Oct</v>
      </c>
    </row>
    <row r="627" spans="1:23" x14ac:dyDescent="0.25">
      <c r="A627" t="s">
        <v>1001</v>
      </c>
      <c r="B627" t="s">
        <v>707</v>
      </c>
      <c r="C627" s="2">
        <v>45728.257638888892</v>
      </c>
      <c r="D627" t="s">
        <v>77</v>
      </c>
      <c r="E627" t="s">
        <v>78</v>
      </c>
      <c r="F627" t="s">
        <v>79</v>
      </c>
      <c r="G627" t="s">
        <v>28</v>
      </c>
      <c r="I627" s="3">
        <v>6499</v>
      </c>
      <c r="J627" s="4">
        <v>0.05</v>
      </c>
      <c r="K627" s="3">
        <v>99</v>
      </c>
      <c r="L627" t="s">
        <v>125</v>
      </c>
      <c r="M627" t="s">
        <v>126</v>
      </c>
      <c r="N627" t="s">
        <v>31</v>
      </c>
      <c r="O627" t="s">
        <v>51</v>
      </c>
      <c r="P627" t="s">
        <v>52</v>
      </c>
      <c r="R627" s="3">
        <f t="shared" si="54"/>
        <v>0</v>
      </c>
      <c r="S627" s="3">
        <f t="shared" si="55"/>
        <v>0</v>
      </c>
      <c r="T627" s="3">
        <f t="shared" si="56"/>
        <v>99</v>
      </c>
      <c r="U627" s="3">
        <f t="shared" si="57"/>
        <v>99</v>
      </c>
      <c r="V627" s="4">
        <f t="shared" si="58"/>
        <v>1</v>
      </c>
      <c r="W627" t="str">
        <f t="shared" si="59"/>
        <v>Mar</v>
      </c>
    </row>
    <row r="628" spans="1:23" x14ac:dyDescent="0.25">
      <c r="A628" t="s">
        <v>1002</v>
      </c>
      <c r="B628" t="s">
        <v>634</v>
      </c>
      <c r="C628" s="2">
        <v>45895.292361111111</v>
      </c>
      <c r="D628" t="s">
        <v>44</v>
      </c>
      <c r="E628" t="s">
        <v>45</v>
      </c>
      <c r="F628" t="s">
        <v>46</v>
      </c>
      <c r="G628" t="s">
        <v>47</v>
      </c>
      <c r="H628">
        <v>2</v>
      </c>
      <c r="I628" s="3">
        <v>1199</v>
      </c>
      <c r="J628" s="4">
        <v>0</v>
      </c>
      <c r="K628" s="3">
        <v>59</v>
      </c>
      <c r="L628" t="s">
        <v>48</v>
      </c>
      <c r="M628" t="s">
        <v>49</v>
      </c>
      <c r="N628" t="s">
        <v>40</v>
      </c>
      <c r="O628" t="s">
        <v>93</v>
      </c>
      <c r="P628" t="s">
        <v>33</v>
      </c>
      <c r="R628" s="3">
        <f t="shared" si="54"/>
        <v>2398</v>
      </c>
      <c r="S628" s="3">
        <f t="shared" si="55"/>
        <v>0</v>
      </c>
      <c r="T628" s="3">
        <f t="shared" si="56"/>
        <v>2457</v>
      </c>
      <c r="U628" s="3">
        <f t="shared" si="57"/>
        <v>778.40000000000009</v>
      </c>
      <c r="V628" s="4">
        <f t="shared" si="58"/>
        <v>0.31680911680911683</v>
      </c>
      <c r="W628" t="str">
        <f t="shared" si="59"/>
        <v>Aug</v>
      </c>
    </row>
    <row r="629" spans="1:23" x14ac:dyDescent="0.25">
      <c r="A629" t="s">
        <v>1003</v>
      </c>
      <c r="B629" t="s">
        <v>222</v>
      </c>
      <c r="C629" s="2">
        <v>45909.945138888892</v>
      </c>
      <c r="D629" t="s">
        <v>25</v>
      </c>
      <c r="E629" t="s">
        <v>26</v>
      </c>
      <c r="F629" t="s">
        <v>27</v>
      </c>
      <c r="G629" t="s">
        <v>28</v>
      </c>
      <c r="H629">
        <v>1</v>
      </c>
      <c r="I629" s="3">
        <v>249</v>
      </c>
      <c r="J629" s="4">
        <v>0</v>
      </c>
      <c r="K629" s="3">
        <v>0</v>
      </c>
      <c r="L629" t="s">
        <v>48</v>
      </c>
      <c r="M629" t="s">
        <v>49</v>
      </c>
      <c r="N629" t="s">
        <v>40</v>
      </c>
      <c r="O629" t="s">
        <v>93</v>
      </c>
      <c r="P629" t="s">
        <v>33</v>
      </c>
      <c r="Q629">
        <v>5</v>
      </c>
      <c r="R629" s="3">
        <f t="shared" si="54"/>
        <v>249</v>
      </c>
      <c r="S629" s="3">
        <f t="shared" si="55"/>
        <v>0</v>
      </c>
      <c r="T629" s="3">
        <f t="shared" si="56"/>
        <v>249</v>
      </c>
      <c r="U629" s="3">
        <f t="shared" si="57"/>
        <v>74.700000000000017</v>
      </c>
      <c r="V629" s="4">
        <f t="shared" si="58"/>
        <v>0.30000000000000004</v>
      </c>
      <c r="W629" t="str">
        <f t="shared" si="59"/>
        <v>Sep</v>
      </c>
    </row>
    <row r="630" spans="1:23" x14ac:dyDescent="0.25">
      <c r="A630" t="s">
        <v>1004</v>
      </c>
      <c r="B630" t="s">
        <v>207</v>
      </c>
      <c r="C630" s="2">
        <v>45947.579861111109</v>
      </c>
      <c r="D630" t="s">
        <v>77</v>
      </c>
      <c r="E630" t="s">
        <v>78</v>
      </c>
      <c r="F630" t="s">
        <v>79</v>
      </c>
      <c r="G630" t="s">
        <v>28</v>
      </c>
      <c r="H630">
        <v>2</v>
      </c>
      <c r="I630" s="3">
        <v>6499</v>
      </c>
      <c r="J630" s="4">
        <v>0.2</v>
      </c>
      <c r="K630" s="3">
        <v>79</v>
      </c>
      <c r="L630" t="s">
        <v>74</v>
      </c>
      <c r="M630" t="s">
        <v>49</v>
      </c>
      <c r="N630" t="s">
        <v>71</v>
      </c>
      <c r="O630" t="s">
        <v>32</v>
      </c>
      <c r="P630" t="s">
        <v>33</v>
      </c>
      <c r="R630" s="3">
        <f t="shared" si="54"/>
        <v>12998</v>
      </c>
      <c r="S630" s="3">
        <f t="shared" si="55"/>
        <v>2599.6000000000004</v>
      </c>
      <c r="T630" s="3">
        <f t="shared" si="56"/>
        <v>10477.4</v>
      </c>
      <c r="U630" s="3">
        <f t="shared" si="57"/>
        <v>1378.8000000000011</v>
      </c>
      <c r="V630" s="4">
        <f t="shared" si="58"/>
        <v>0.13159753373928657</v>
      </c>
      <c r="W630" t="str">
        <f t="shared" si="59"/>
        <v>Oct</v>
      </c>
    </row>
    <row r="631" spans="1:23" x14ac:dyDescent="0.25">
      <c r="A631" t="s">
        <v>1005</v>
      </c>
      <c r="B631" t="s">
        <v>255</v>
      </c>
      <c r="C631" s="2">
        <v>45741.752083333333</v>
      </c>
      <c r="D631" t="s">
        <v>44</v>
      </c>
      <c r="E631" t="s">
        <v>45</v>
      </c>
      <c r="F631" t="s">
        <v>46</v>
      </c>
      <c r="G631" t="s">
        <v>47</v>
      </c>
      <c r="H631">
        <v>3</v>
      </c>
      <c r="I631" s="3">
        <v>1199</v>
      </c>
      <c r="J631" s="4">
        <v>0.05</v>
      </c>
      <c r="K631" s="3">
        <v>79</v>
      </c>
      <c r="L631" t="s">
        <v>39</v>
      </c>
      <c r="M631" t="s">
        <v>39</v>
      </c>
      <c r="N631" t="s">
        <v>71</v>
      </c>
      <c r="O631" t="s">
        <v>41</v>
      </c>
      <c r="P631" t="s">
        <v>33</v>
      </c>
      <c r="Q631">
        <v>1</v>
      </c>
      <c r="R631" s="3">
        <f t="shared" si="54"/>
        <v>3597</v>
      </c>
      <c r="S631" s="3">
        <f t="shared" si="55"/>
        <v>179.85000000000002</v>
      </c>
      <c r="T631" s="3">
        <f t="shared" si="56"/>
        <v>3496.15</v>
      </c>
      <c r="U631" s="3">
        <f t="shared" si="57"/>
        <v>978.25000000000045</v>
      </c>
      <c r="V631" s="4">
        <f t="shared" si="58"/>
        <v>0.27980778856742428</v>
      </c>
      <c r="W631" t="str">
        <f t="shared" si="59"/>
        <v>Mar</v>
      </c>
    </row>
    <row r="632" spans="1:23" x14ac:dyDescent="0.25">
      <c r="A632" t="s">
        <v>1006</v>
      </c>
      <c r="B632" t="s">
        <v>372</v>
      </c>
      <c r="C632" s="2">
        <v>45840.054166666669</v>
      </c>
      <c r="D632" t="s">
        <v>110</v>
      </c>
      <c r="E632" t="s">
        <v>111</v>
      </c>
      <c r="F632" t="s">
        <v>98</v>
      </c>
      <c r="G632" t="s">
        <v>112</v>
      </c>
      <c r="H632">
        <v>1</v>
      </c>
      <c r="I632" s="3">
        <v>2999</v>
      </c>
      <c r="J632" s="4">
        <v>0.15</v>
      </c>
      <c r="K632" s="3">
        <v>0</v>
      </c>
      <c r="L632" t="s">
        <v>74</v>
      </c>
      <c r="M632" t="s">
        <v>49</v>
      </c>
      <c r="N632" t="s">
        <v>50</v>
      </c>
      <c r="O632" t="s">
        <v>41</v>
      </c>
      <c r="P632" t="s">
        <v>33</v>
      </c>
      <c r="R632" s="3">
        <f t="shared" si="54"/>
        <v>2999</v>
      </c>
      <c r="S632" s="3">
        <f t="shared" si="55"/>
        <v>449.84999999999997</v>
      </c>
      <c r="T632" s="3">
        <f t="shared" si="56"/>
        <v>2549.15</v>
      </c>
      <c r="U632" s="3">
        <f t="shared" si="57"/>
        <v>449.85000000000036</v>
      </c>
      <c r="V632" s="4">
        <f t="shared" si="58"/>
        <v>0.17647058823529427</v>
      </c>
      <c r="W632" t="str">
        <f t="shared" si="59"/>
        <v>Jul</v>
      </c>
    </row>
    <row r="633" spans="1:23" x14ac:dyDescent="0.25">
      <c r="A633" t="s">
        <v>1007</v>
      </c>
      <c r="B633" t="s">
        <v>1008</v>
      </c>
      <c r="C633" s="2">
        <v>45936.454861111109</v>
      </c>
      <c r="D633" t="s">
        <v>55</v>
      </c>
      <c r="E633" t="s">
        <v>56</v>
      </c>
      <c r="F633" t="s">
        <v>37</v>
      </c>
      <c r="G633" t="s">
        <v>38</v>
      </c>
      <c r="H633">
        <v>3</v>
      </c>
      <c r="I633" s="3">
        <v>2499</v>
      </c>
      <c r="J633" s="4">
        <v>0.2</v>
      </c>
      <c r="K633" s="3">
        <v>59</v>
      </c>
      <c r="L633" t="s">
        <v>125</v>
      </c>
      <c r="M633" t="s">
        <v>126</v>
      </c>
      <c r="N633" t="s">
        <v>71</v>
      </c>
      <c r="O633" t="s">
        <v>93</v>
      </c>
      <c r="P633" t="s">
        <v>33</v>
      </c>
      <c r="Q633">
        <v>5</v>
      </c>
      <c r="R633" s="3">
        <f t="shared" si="54"/>
        <v>7497</v>
      </c>
      <c r="S633" s="3">
        <f t="shared" si="55"/>
        <v>1499.4</v>
      </c>
      <c r="T633" s="3">
        <f t="shared" si="56"/>
        <v>6056.6</v>
      </c>
      <c r="U633" s="3">
        <f t="shared" si="57"/>
        <v>808.70000000000073</v>
      </c>
      <c r="V633" s="4">
        <f t="shared" si="58"/>
        <v>0.1335237592048345</v>
      </c>
      <c r="W633" t="str">
        <f t="shared" si="59"/>
        <v>Oct</v>
      </c>
    </row>
    <row r="634" spans="1:23" x14ac:dyDescent="0.25">
      <c r="A634" t="s">
        <v>1009</v>
      </c>
      <c r="B634" t="s">
        <v>420</v>
      </c>
      <c r="C634" s="2">
        <v>45664.189583333333</v>
      </c>
      <c r="D634" t="s">
        <v>44</v>
      </c>
      <c r="E634" t="s">
        <v>45</v>
      </c>
      <c r="F634" t="s">
        <v>46</v>
      </c>
      <c r="G634" t="s">
        <v>47</v>
      </c>
      <c r="H634">
        <v>3</v>
      </c>
      <c r="I634" s="3">
        <v>1199</v>
      </c>
      <c r="J634" s="4">
        <v>0.05</v>
      </c>
      <c r="K634" s="3">
        <v>79</v>
      </c>
      <c r="L634" t="s">
        <v>74</v>
      </c>
      <c r="M634" t="s">
        <v>49</v>
      </c>
      <c r="N634" t="s">
        <v>71</v>
      </c>
      <c r="O634" t="s">
        <v>41</v>
      </c>
      <c r="P634" t="s">
        <v>33</v>
      </c>
      <c r="Q634">
        <v>1</v>
      </c>
      <c r="R634" s="3">
        <f t="shared" si="54"/>
        <v>3597</v>
      </c>
      <c r="S634" s="3">
        <f t="shared" si="55"/>
        <v>179.85000000000002</v>
      </c>
      <c r="T634" s="3">
        <f t="shared" si="56"/>
        <v>3496.15</v>
      </c>
      <c r="U634" s="3">
        <f t="shared" si="57"/>
        <v>978.25000000000045</v>
      </c>
      <c r="V634" s="4">
        <f t="shared" si="58"/>
        <v>0.27980778856742428</v>
      </c>
      <c r="W634" t="str">
        <f t="shared" si="59"/>
        <v>Jan</v>
      </c>
    </row>
    <row r="635" spans="1:23" x14ac:dyDescent="0.25">
      <c r="A635" t="s">
        <v>1010</v>
      </c>
      <c r="B635" t="s">
        <v>640</v>
      </c>
      <c r="C635" s="2">
        <v>45754.73541666667</v>
      </c>
      <c r="D635" t="s">
        <v>67</v>
      </c>
      <c r="E635" t="s">
        <v>68</v>
      </c>
      <c r="F635" t="s">
        <v>37</v>
      </c>
      <c r="G635" t="s">
        <v>38</v>
      </c>
      <c r="H635">
        <v>2</v>
      </c>
      <c r="I635" s="3">
        <v>1299</v>
      </c>
      <c r="J635" s="4">
        <v>0.15</v>
      </c>
      <c r="K635" s="3">
        <v>99</v>
      </c>
      <c r="L635" t="s">
        <v>100</v>
      </c>
      <c r="M635" t="s">
        <v>101</v>
      </c>
      <c r="N635" t="s">
        <v>31</v>
      </c>
      <c r="O635" t="s">
        <v>59</v>
      </c>
      <c r="P635" t="s">
        <v>80</v>
      </c>
      <c r="Q635">
        <v>4</v>
      </c>
      <c r="R635" s="3">
        <f t="shared" si="54"/>
        <v>2598</v>
      </c>
      <c r="S635" s="3">
        <f t="shared" si="55"/>
        <v>389.7</v>
      </c>
      <c r="T635" s="3">
        <f t="shared" si="56"/>
        <v>2307.3000000000002</v>
      </c>
      <c r="U635" s="3">
        <f t="shared" si="57"/>
        <v>488.70000000000027</v>
      </c>
      <c r="V635" s="4">
        <f t="shared" si="58"/>
        <v>0.2118060070211937</v>
      </c>
      <c r="W635" t="str">
        <f t="shared" si="59"/>
        <v>Apr</v>
      </c>
    </row>
    <row r="636" spans="1:23" x14ac:dyDescent="0.25">
      <c r="A636" t="s">
        <v>1011</v>
      </c>
      <c r="B636" t="s">
        <v>487</v>
      </c>
      <c r="C636" s="2">
        <v>45666.640277777777</v>
      </c>
      <c r="D636" t="s">
        <v>55</v>
      </c>
      <c r="E636" t="s">
        <v>56</v>
      </c>
      <c r="F636" t="s">
        <v>37</v>
      </c>
      <c r="G636" t="s">
        <v>38</v>
      </c>
      <c r="H636">
        <v>3</v>
      </c>
      <c r="I636" s="3">
        <v>2499</v>
      </c>
      <c r="J636" s="4">
        <v>0.2</v>
      </c>
      <c r="K636" s="3">
        <v>59</v>
      </c>
      <c r="L636" t="s">
        <v>29</v>
      </c>
      <c r="M636" t="s">
        <v>30</v>
      </c>
      <c r="N636" t="s">
        <v>40</v>
      </c>
      <c r="O636" t="s">
        <v>32</v>
      </c>
      <c r="P636" t="s">
        <v>33</v>
      </c>
      <c r="Q636">
        <v>5</v>
      </c>
      <c r="R636" s="3">
        <f t="shared" si="54"/>
        <v>7497</v>
      </c>
      <c r="S636" s="3">
        <f t="shared" si="55"/>
        <v>1499.4</v>
      </c>
      <c r="T636" s="3">
        <f t="shared" si="56"/>
        <v>6056.6</v>
      </c>
      <c r="U636" s="3">
        <f t="shared" si="57"/>
        <v>808.70000000000073</v>
      </c>
      <c r="V636" s="4">
        <f t="shared" si="58"/>
        <v>0.1335237592048345</v>
      </c>
      <c r="W636" t="str">
        <f t="shared" si="59"/>
        <v>Jan</v>
      </c>
    </row>
    <row r="637" spans="1:23" x14ac:dyDescent="0.25">
      <c r="A637" t="s">
        <v>1012</v>
      </c>
      <c r="B637" t="s">
        <v>597</v>
      </c>
      <c r="C637" s="2">
        <v>45672.994444444441</v>
      </c>
      <c r="D637" t="s">
        <v>169</v>
      </c>
      <c r="E637" t="s">
        <v>170</v>
      </c>
      <c r="F637" t="s">
        <v>98</v>
      </c>
      <c r="G637" t="s">
        <v>171</v>
      </c>
      <c r="H637">
        <v>2</v>
      </c>
      <c r="I637" s="3">
        <v>799</v>
      </c>
      <c r="J637" s="4">
        <v>0</v>
      </c>
      <c r="K637" s="3">
        <v>49</v>
      </c>
      <c r="L637" t="s">
        <v>100</v>
      </c>
      <c r="M637" t="s">
        <v>101</v>
      </c>
      <c r="N637" t="s">
        <v>50</v>
      </c>
      <c r="O637" t="s">
        <v>51</v>
      </c>
      <c r="P637" t="s">
        <v>33</v>
      </c>
      <c r="Q637">
        <v>2</v>
      </c>
      <c r="R637" s="3">
        <f t="shared" si="54"/>
        <v>1598</v>
      </c>
      <c r="S637" s="3">
        <f t="shared" si="55"/>
        <v>0</v>
      </c>
      <c r="T637" s="3">
        <f t="shared" si="56"/>
        <v>1647</v>
      </c>
      <c r="U637" s="3">
        <f t="shared" si="57"/>
        <v>528.40000000000009</v>
      </c>
      <c r="V637" s="4">
        <f t="shared" si="58"/>
        <v>0.32082574377656348</v>
      </c>
      <c r="W637" t="str">
        <f t="shared" si="59"/>
        <v>Jan</v>
      </c>
    </row>
    <row r="638" spans="1:23" x14ac:dyDescent="0.25">
      <c r="A638" t="s">
        <v>1013</v>
      </c>
      <c r="B638" t="s">
        <v>398</v>
      </c>
      <c r="C638" s="2">
        <v>45875.95</v>
      </c>
      <c r="D638" t="s">
        <v>67</v>
      </c>
      <c r="E638" t="s">
        <v>68</v>
      </c>
      <c r="F638" t="s">
        <v>37</v>
      </c>
      <c r="G638" t="s">
        <v>38</v>
      </c>
      <c r="H638">
        <v>5</v>
      </c>
      <c r="I638" s="3">
        <v>1299</v>
      </c>
      <c r="J638" s="4">
        <v>0</v>
      </c>
      <c r="K638" s="3">
        <v>0</v>
      </c>
      <c r="L638" t="s">
        <v>100</v>
      </c>
      <c r="M638" t="s">
        <v>101</v>
      </c>
      <c r="N638" t="s">
        <v>40</v>
      </c>
      <c r="O638" t="s">
        <v>93</v>
      </c>
      <c r="P638" t="s">
        <v>33</v>
      </c>
      <c r="Q638">
        <v>2</v>
      </c>
      <c r="R638" s="3">
        <f t="shared" si="54"/>
        <v>6495</v>
      </c>
      <c r="S638" s="3">
        <f t="shared" si="55"/>
        <v>0</v>
      </c>
      <c r="T638" s="3">
        <f t="shared" si="56"/>
        <v>6495</v>
      </c>
      <c r="U638" s="3">
        <f t="shared" si="57"/>
        <v>1948.5</v>
      </c>
      <c r="V638" s="4">
        <f t="shared" si="58"/>
        <v>0.3</v>
      </c>
      <c r="W638" t="str">
        <f t="shared" si="59"/>
        <v>Aug</v>
      </c>
    </row>
    <row r="639" spans="1:23" x14ac:dyDescent="0.25">
      <c r="A639" t="s">
        <v>1014</v>
      </c>
      <c r="B639" t="s">
        <v>150</v>
      </c>
      <c r="C639" s="2">
        <v>45920.752083333333</v>
      </c>
      <c r="D639" t="s">
        <v>55</v>
      </c>
      <c r="E639" t="s">
        <v>56</v>
      </c>
      <c r="F639" t="s">
        <v>37</v>
      </c>
      <c r="G639" t="s">
        <v>38</v>
      </c>
      <c r="H639">
        <v>3</v>
      </c>
      <c r="I639" s="3">
        <v>2499</v>
      </c>
      <c r="J639" s="4">
        <v>0</v>
      </c>
      <c r="K639" s="3">
        <v>59</v>
      </c>
      <c r="L639" t="s">
        <v>39</v>
      </c>
      <c r="M639" t="s">
        <v>39</v>
      </c>
      <c r="N639" t="s">
        <v>31</v>
      </c>
      <c r="O639" t="s">
        <v>51</v>
      </c>
      <c r="P639" t="s">
        <v>52</v>
      </c>
      <c r="R639" s="3">
        <f t="shared" si="54"/>
        <v>7497</v>
      </c>
      <c r="S639" s="3">
        <f t="shared" si="55"/>
        <v>0</v>
      </c>
      <c r="T639" s="3">
        <f t="shared" si="56"/>
        <v>7556</v>
      </c>
      <c r="U639" s="3">
        <f t="shared" si="57"/>
        <v>2308.1000000000004</v>
      </c>
      <c r="V639" s="4">
        <f t="shared" si="58"/>
        <v>0.3054658549497089</v>
      </c>
      <c r="W639" t="str">
        <f t="shared" si="59"/>
        <v>Sep</v>
      </c>
    </row>
    <row r="640" spans="1:23" x14ac:dyDescent="0.25">
      <c r="A640" t="s">
        <v>1015</v>
      </c>
      <c r="B640" t="s">
        <v>1016</v>
      </c>
      <c r="C640" s="2">
        <v>45966.275694444441</v>
      </c>
      <c r="D640" t="s">
        <v>35</v>
      </c>
      <c r="E640" t="s">
        <v>36</v>
      </c>
      <c r="F640" t="s">
        <v>37</v>
      </c>
      <c r="G640" t="s">
        <v>38</v>
      </c>
      <c r="H640">
        <v>3</v>
      </c>
      <c r="I640" s="3">
        <v>599</v>
      </c>
      <c r="J640" s="4">
        <v>0</v>
      </c>
      <c r="K640" s="3">
        <v>59</v>
      </c>
      <c r="L640" t="s">
        <v>29</v>
      </c>
      <c r="M640" t="s">
        <v>30</v>
      </c>
      <c r="N640" t="s">
        <v>31</v>
      </c>
      <c r="O640" t="s">
        <v>41</v>
      </c>
      <c r="P640" t="s">
        <v>33</v>
      </c>
      <c r="R640" s="3">
        <f t="shared" si="54"/>
        <v>1797</v>
      </c>
      <c r="S640" s="3">
        <f t="shared" si="55"/>
        <v>0</v>
      </c>
      <c r="T640" s="3">
        <f t="shared" si="56"/>
        <v>1856</v>
      </c>
      <c r="U640" s="3">
        <f t="shared" si="57"/>
        <v>598.10000000000014</v>
      </c>
      <c r="V640" s="4">
        <f t="shared" si="58"/>
        <v>0.32225215517241385</v>
      </c>
      <c r="W640" t="str">
        <f t="shared" si="59"/>
        <v>Nov</v>
      </c>
    </row>
    <row r="641" spans="1:23" x14ac:dyDescent="0.25">
      <c r="A641" t="s">
        <v>1017</v>
      </c>
      <c r="B641" t="s">
        <v>216</v>
      </c>
      <c r="C641" s="2">
        <v>45836.465277777781</v>
      </c>
      <c r="D641" t="s">
        <v>77</v>
      </c>
      <c r="E641" t="s">
        <v>78</v>
      </c>
      <c r="F641" t="s">
        <v>79</v>
      </c>
      <c r="G641" t="s">
        <v>28</v>
      </c>
      <c r="H641">
        <v>4</v>
      </c>
      <c r="I641" s="3">
        <v>6499</v>
      </c>
      <c r="J641" s="4">
        <v>0.2</v>
      </c>
      <c r="K641" s="3">
        <v>99</v>
      </c>
      <c r="L641" t="s">
        <v>48</v>
      </c>
      <c r="M641" t="s">
        <v>49</v>
      </c>
      <c r="N641" t="s">
        <v>102</v>
      </c>
      <c r="O641" t="s">
        <v>32</v>
      </c>
      <c r="P641" t="s">
        <v>85</v>
      </c>
      <c r="Q641">
        <v>1</v>
      </c>
      <c r="R641" s="3">
        <f t="shared" si="54"/>
        <v>25996</v>
      </c>
      <c r="S641" s="3">
        <f t="shared" si="55"/>
        <v>5199.2000000000007</v>
      </c>
      <c r="T641" s="3">
        <f t="shared" si="56"/>
        <v>20895.8</v>
      </c>
      <c r="U641" s="3">
        <f t="shared" si="57"/>
        <v>2698.6000000000022</v>
      </c>
      <c r="V641" s="4">
        <f t="shared" si="58"/>
        <v>0.12914556992314255</v>
      </c>
      <c r="W641" t="str">
        <f t="shared" si="59"/>
        <v>Jun</v>
      </c>
    </row>
    <row r="642" spans="1:23" x14ac:dyDescent="0.25">
      <c r="A642" t="s">
        <v>1018</v>
      </c>
      <c r="C642" s="2">
        <v>45928.28125</v>
      </c>
      <c r="D642" t="s">
        <v>55</v>
      </c>
      <c r="E642" t="s">
        <v>56</v>
      </c>
      <c r="F642" t="s">
        <v>37</v>
      </c>
      <c r="G642" t="s">
        <v>38</v>
      </c>
      <c r="H642">
        <v>3</v>
      </c>
      <c r="I642" s="3">
        <v>2499</v>
      </c>
      <c r="J642" s="4">
        <v>0.05</v>
      </c>
      <c r="K642" s="3">
        <v>49</v>
      </c>
      <c r="L642" t="s">
        <v>125</v>
      </c>
      <c r="M642" t="s">
        <v>126</v>
      </c>
      <c r="N642" t="s">
        <v>31</v>
      </c>
      <c r="O642" t="s">
        <v>93</v>
      </c>
      <c r="P642" t="s">
        <v>33</v>
      </c>
      <c r="Q642">
        <v>2</v>
      </c>
      <c r="R642" s="3">
        <f t="shared" ref="R642:R705" si="60">IFERROR(H642*I642,"")</f>
        <v>7497</v>
      </c>
      <c r="S642" s="3">
        <f t="shared" ref="S642:S705" si="61">IFERROR(R642*J642,"")</f>
        <v>374.85</v>
      </c>
      <c r="T642" s="3">
        <f t="shared" ref="T642:T705" si="62">IFERROR(R642-S642+K642,"")</f>
        <v>7171.15</v>
      </c>
      <c r="U642" s="3">
        <f t="shared" ref="U642:U705" si="63">IFERROR(T642-(R642*70%),"")</f>
        <v>1923.25</v>
      </c>
      <c r="V642" s="4">
        <f t="shared" ref="V642:V705" si="64">IFERROR(U642/T642,"")</f>
        <v>0.26819268875982238</v>
      </c>
      <c r="W642" t="str">
        <f t="shared" ref="W642:W705" si="65">IFERROR(TEXT(C642,"mmm"),"")</f>
        <v>Sep</v>
      </c>
    </row>
    <row r="643" spans="1:23" x14ac:dyDescent="0.25">
      <c r="A643" t="s">
        <v>1019</v>
      </c>
      <c r="B643" t="s">
        <v>66</v>
      </c>
      <c r="C643" s="2">
        <v>45959.227777777778</v>
      </c>
      <c r="D643" t="s">
        <v>62</v>
      </c>
      <c r="E643" t="s">
        <v>63</v>
      </c>
      <c r="F643" t="s">
        <v>46</v>
      </c>
      <c r="G643" t="s">
        <v>64</v>
      </c>
      <c r="H643">
        <v>1</v>
      </c>
      <c r="I643" s="3">
        <v>699</v>
      </c>
      <c r="J643" s="4">
        <v>0</v>
      </c>
      <c r="K643" s="3">
        <v>49</v>
      </c>
      <c r="L643" t="s">
        <v>119</v>
      </c>
      <c r="M643" t="s">
        <v>120</v>
      </c>
      <c r="N643" t="s">
        <v>40</v>
      </c>
      <c r="O643" t="s">
        <v>59</v>
      </c>
      <c r="P643" t="s">
        <v>80</v>
      </c>
      <c r="Q643">
        <v>2</v>
      </c>
      <c r="R643" s="3">
        <f t="shared" si="60"/>
        <v>699</v>
      </c>
      <c r="S643" s="3">
        <f t="shared" si="61"/>
        <v>0</v>
      </c>
      <c r="T643" s="3">
        <f t="shared" si="62"/>
        <v>748</v>
      </c>
      <c r="U643" s="3">
        <f t="shared" si="63"/>
        <v>258.70000000000005</v>
      </c>
      <c r="V643" s="4">
        <f t="shared" si="64"/>
        <v>0.34585561497326212</v>
      </c>
      <c r="W643" t="str">
        <f t="shared" si="65"/>
        <v>Oct</v>
      </c>
    </row>
    <row r="644" spans="1:23" x14ac:dyDescent="0.25">
      <c r="A644" t="s">
        <v>1020</v>
      </c>
      <c r="B644" t="s">
        <v>261</v>
      </c>
      <c r="C644" s="2">
        <v>45818.145138888889</v>
      </c>
      <c r="D644" t="s">
        <v>62</v>
      </c>
      <c r="E644" t="s">
        <v>63</v>
      </c>
      <c r="F644" t="s">
        <v>46</v>
      </c>
      <c r="G644" t="s">
        <v>64</v>
      </c>
      <c r="H644">
        <v>1</v>
      </c>
      <c r="I644" s="3">
        <v>699</v>
      </c>
      <c r="J644" s="4">
        <v>0.15</v>
      </c>
      <c r="K644" s="3">
        <v>49</v>
      </c>
      <c r="L644" t="s">
        <v>113</v>
      </c>
      <c r="M644" t="s">
        <v>114</v>
      </c>
      <c r="N644" t="s">
        <v>71</v>
      </c>
      <c r="O644" t="s">
        <v>51</v>
      </c>
      <c r="P644" t="s">
        <v>33</v>
      </c>
      <c r="Q644">
        <v>5</v>
      </c>
      <c r="R644" s="3">
        <f t="shared" si="60"/>
        <v>699</v>
      </c>
      <c r="S644" s="3">
        <f t="shared" si="61"/>
        <v>104.85</v>
      </c>
      <c r="T644" s="3">
        <f t="shared" si="62"/>
        <v>643.15</v>
      </c>
      <c r="U644" s="3">
        <f t="shared" si="63"/>
        <v>153.85000000000002</v>
      </c>
      <c r="V644" s="4">
        <f t="shared" si="64"/>
        <v>0.23921324729845297</v>
      </c>
      <c r="W644" t="str">
        <f t="shared" si="65"/>
        <v>Jun</v>
      </c>
    </row>
    <row r="645" spans="1:23" x14ac:dyDescent="0.25">
      <c r="A645" t="s">
        <v>1021</v>
      </c>
      <c r="B645" t="s">
        <v>116</v>
      </c>
      <c r="C645" s="2">
        <v>45910.14166666667</v>
      </c>
      <c r="D645" t="s">
        <v>77</v>
      </c>
      <c r="E645" t="s">
        <v>78</v>
      </c>
      <c r="F645" t="s">
        <v>79</v>
      </c>
      <c r="G645" t="s">
        <v>28</v>
      </c>
      <c r="H645">
        <v>1</v>
      </c>
      <c r="I645" s="3">
        <v>6499</v>
      </c>
      <c r="J645" s="4">
        <v>0.1</v>
      </c>
      <c r="K645" s="3">
        <v>99</v>
      </c>
      <c r="L645" t="s">
        <v>39</v>
      </c>
      <c r="M645" t="s">
        <v>39</v>
      </c>
      <c r="N645" t="s">
        <v>40</v>
      </c>
      <c r="O645" t="s">
        <v>458</v>
      </c>
      <c r="P645" t="s">
        <v>33</v>
      </c>
      <c r="Q645">
        <v>5</v>
      </c>
      <c r="R645" s="3">
        <f t="shared" si="60"/>
        <v>6499</v>
      </c>
      <c r="S645" s="3">
        <f t="shared" si="61"/>
        <v>649.90000000000009</v>
      </c>
      <c r="T645" s="3">
        <f t="shared" si="62"/>
        <v>5948.1</v>
      </c>
      <c r="U645" s="3">
        <f t="shared" si="63"/>
        <v>1398.8000000000011</v>
      </c>
      <c r="V645" s="4">
        <f t="shared" si="64"/>
        <v>0.23516753248936653</v>
      </c>
      <c r="W645" t="str">
        <f t="shared" si="65"/>
        <v>Sep</v>
      </c>
    </row>
    <row r="646" spans="1:23" x14ac:dyDescent="0.25">
      <c r="A646" t="s">
        <v>1022</v>
      </c>
      <c r="B646" t="s">
        <v>479</v>
      </c>
      <c r="C646" s="2">
        <v>45877.287499999999</v>
      </c>
      <c r="D646" t="s">
        <v>96</v>
      </c>
      <c r="E646" t="s">
        <v>97</v>
      </c>
      <c r="F646" t="s">
        <v>98</v>
      </c>
      <c r="G646" t="s">
        <v>99</v>
      </c>
      <c r="H646">
        <v>5</v>
      </c>
      <c r="I646" s="3">
        <v>1499</v>
      </c>
      <c r="J646" s="4">
        <v>0.1</v>
      </c>
      <c r="K646" s="3">
        <v>59</v>
      </c>
      <c r="L646" t="s">
        <v>48</v>
      </c>
      <c r="M646" t="s">
        <v>49</v>
      </c>
      <c r="N646" t="s">
        <v>863</v>
      </c>
      <c r="O646" t="s">
        <v>59</v>
      </c>
      <c r="P646" t="s">
        <v>33</v>
      </c>
      <c r="R646" s="3">
        <f t="shared" si="60"/>
        <v>7495</v>
      </c>
      <c r="S646" s="3">
        <f t="shared" si="61"/>
        <v>749.5</v>
      </c>
      <c r="T646" s="3">
        <f t="shared" si="62"/>
        <v>6804.5</v>
      </c>
      <c r="U646" s="3">
        <f t="shared" si="63"/>
        <v>1558</v>
      </c>
      <c r="V646" s="4">
        <f t="shared" si="64"/>
        <v>0.22896612535821884</v>
      </c>
      <c r="W646" t="str">
        <f t="shared" si="65"/>
        <v>Aug</v>
      </c>
    </row>
    <row r="647" spans="1:23" x14ac:dyDescent="0.25">
      <c r="A647" t="s">
        <v>1023</v>
      </c>
      <c r="B647" t="s">
        <v>228</v>
      </c>
      <c r="C647" s="2">
        <v>45995.878472222219</v>
      </c>
      <c r="D647" t="s">
        <v>55</v>
      </c>
      <c r="E647" t="s">
        <v>56</v>
      </c>
      <c r="F647" t="s">
        <v>37</v>
      </c>
      <c r="G647" t="s">
        <v>38</v>
      </c>
      <c r="H647">
        <v>1</v>
      </c>
      <c r="I647" s="3">
        <v>2499</v>
      </c>
      <c r="J647" s="4">
        <v>0</v>
      </c>
      <c r="K647" s="3">
        <v>79</v>
      </c>
      <c r="L647" t="s">
        <v>57</v>
      </c>
      <c r="M647" t="s">
        <v>58</v>
      </c>
      <c r="N647" t="s">
        <v>102</v>
      </c>
      <c r="O647" t="s">
        <v>93</v>
      </c>
      <c r="P647" t="s">
        <v>33</v>
      </c>
      <c r="R647" s="3">
        <f t="shared" si="60"/>
        <v>2499</v>
      </c>
      <c r="S647" s="3">
        <f t="shared" si="61"/>
        <v>0</v>
      </c>
      <c r="T647" s="3">
        <f t="shared" si="62"/>
        <v>2578</v>
      </c>
      <c r="U647" s="3">
        <f t="shared" si="63"/>
        <v>828.7</v>
      </c>
      <c r="V647" s="4">
        <f t="shared" si="64"/>
        <v>0.32145073700543059</v>
      </c>
      <c r="W647" t="str">
        <f t="shared" si="65"/>
        <v>Dec</v>
      </c>
    </row>
    <row r="648" spans="1:23" x14ac:dyDescent="0.25">
      <c r="A648" t="s">
        <v>1024</v>
      </c>
      <c r="B648" t="s">
        <v>457</v>
      </c>
      <c r="C648" s="2">
        <v>45759.425000000003</v>
      </c>
      <c r="D648" t="s">
        <v>105</v>
      </c>
      <c r="E648" t="s">
        <v>106</v>
      </c>
      <c r="F648" t="s">
        <v>37</v>
      </c>
      <c r="G648" t="s">
        <v>107</v>
      </c>
      <c r="H648">
        <v>1</v>
      </c>
      <c r="I648" s="3">
        <v>1799</v>
      </c>
      <c r="J648" s="4">
        <v>0.1</v>
      </c>
      <c r="K648" s="3">
        <v>0</v>
      </c>
      <c r="L648" t="s">
        <v>29</v>
      </c>
      <c r="M648" t="s">
        <v>30</v>
      </c>
      <c r="N648" t="s">
        <v>40</v>
      </c>
      <c r="O648" t="s">
        <v>59</v>
      </c>
      <c r="P648" t="s">
        <v>85</v>
      </c>
      <c r="Q648">
        <v>3</v>
      </c>
      <c r="R648" s="3">
        <f t="shared" si="60"/>
        <v>1799</v>
      </c>
      <c r="S648" s="3">
        <f t="shared" si="61"/>
        <v>179.9</v>
      </c>
      <c r="T648" s="3">
        <f t="shared" si="62"/>
        <v>1619.1</v>
      </c>
      <c r="U648" s="3">
        <f t="shared" si="63"/>
        <v>359.79999999999995</v>
      </c>
      <c r="V648" s="4">
        <f t="shared" si="64"/>
        <v>0.22222222222222221</v>
      </c>
      <c r="W648" t="str">
        <f t="shared" si="65"/>
        <v>Apr</v>
      </c>
    </row>
    <row r="649" spans="1:23" x14ac:dyDescent="0.25">
      <c r="A649" t="s">
        <v>1025</v>
      </c>
      <c r="B649" t="s">
        <v>731</v>
      </c>
      <c r="C649" s="2">
        <v>45987.515277777777</v>
      </c>
      <c r="D649" t="s">
        <v>77</v>
      </c>
      <c r="E649" t="s">
        <v>78</v>
      </c>
      <c r="F649" t="s">
        <v>79</v>
      </c>
      <c r="G649" t="s">
        <v>28</v>
      </c>
      <c r="H649">
        <v>2</v>
      </c>
      <c r="I649" s="3">
        <v>6499</v>
      </c>
      <c r="J649" s="4">
        <v>0.2</v>
      </c>
      <c r="K649" s="3">
        <v>99</v>
      </c>
      <c r="L649" t="s">
        <v>125</v>
      </c>
      <c r="M649" t="s">
        <v>126</v>
      </c>
      <c r="N649" t="s">
        <v>40</v>
      </c>
      <c r="O649" t="s">
        <v>32</v>
      </c>
      <c r="P649" t="s">
        <v>52</v>
      </c>
      <c r="Q649">
        <v>3</v>
      </c>
      <c r="R649" s="3">
        <f t="shared" si="60"/>
        <v>12998</v>
      </c>
      <c r="S649" s="3">
        <f t="shared" si="61"/>
        <v>2599.6000000000004</v>
      </c>
      <c r="T649" s="3">
        <f t="shared" si="62"/>
        <v>10497.4</v>
      </c>
      <c r="U649" s="3">
        <f t="shared" si="63"/>
        <v>1398.8000000000011</v>
      </c>
      <c r="V649" s="4">
        <f t="shared" si="64"/>
        <v>0.13325204336311861</v>
      </c>
      <c r="W649" t="str">
        <f t="shared" si="65"/>
        <v>Nov</v>
      </c>
    </row>
    <row r="650" spans="1:23" x14ac:dyDescent="0.25">
      <c r="A650" t="s">
        <v>1026</v>
      </c>
      <c r="B650" t="s">
        <v>202</v>
      </c>
      <c r="C650" s="2">
        <v>45786.646527777782</v>
      </c>
      <c r="D650" t="s">
        <v>105</v>
      </c>
      <c r="E650" t="s">
        <v>106</v>
      </c>
      <c r="F650" t="s">
        <v>37</v>
      </c>
      <c r="G650" t="s">
        <v>107</v>
      </c>
      <c r="H650">
        <v>1</v>
      </c>
      <c r="I650" s="3">
        <v>1799</v>
      </c>
      <c r="J650" s="4">
        <v>0.2</v>
      </c>
      <c r="K650" s="3">
        <v>49</v>
      </c>
      <c r="L650" t="s">
        <v>119</v>
      </c>
      <c r="M650" t="s">
        <v>120</v>
      </c>
      <c r="N650" t="s">
        <v>31</v>
      </c>
      <c r="O650" t="s">
        <v>93</v>
      </c>
      <c r="P650" t="s">
        <v>33</v>
      </c>
      <c r="R650" s="3">
        <f t="shared" si="60"/>
        <v>1799</v>
      </c>
      <c r="S650" s="3">
        <f t="shared" si="61"/>
        <v>359.8</v>
      </c>
      <c r="T650" s="3">
        <f t="shared" si="62"/>
        <v>1488.2</v>
      </c>
      <c r="U650" s="3">
        <f t="shared" si="63"/>
        <v>228.90000000000009</v>
      </c>
      <c r="V650" s="4">
        <f t="shared" si="64"/>
        <v>0.15380997177798689</v>
      </c>
      <c r="W650" t="str">
        <f t="shared" si="65"/>
        <v>May</v>
      </c>
    </row>
    <row r="651" spans="1:23" x14ac:dyDescent="0.25">
      <c r="A651" t="s">
        <v>1027</v>
      </c>
      <c r="B651" t="s">
        <v>857</v>
      </c>
      <c r="C651" s="2">
        <v>45749.526388888888</v>
      </c>
      <c r="D651" t="s">
        <v>55</v>
      </c>
      <c r="E651" t="s">
        <v>56</v>
      </c>
      <c r="F651" t="s">
        <v>37</v>
      </c>
      <c r="G651" t="s">
        <v>38</v>
      </c>
      <c r="H651">
        <v>2</v>
      </c>
      <c r="I651" s="3">
        <v>2499</v>
      </c>
      <c r="J651" s="4">
        <v>0.05</v>
      </c>
      <c r="K651" s="3">
        <v>49</v>
      </c>
      <c r="L651" t="s">
        <v>119</v>
      </c>
      <c r="M651" t="s">
        <v>120</v>
      </c>
      <c r="N651" t="s">
        <v>102</v>
      </c>
      <c r="O651" t="s">
        <v>32</v>
      </c>
      <c r="P651" t="s">
        <v>80</v>
      </c>
      <c r="Q651">
        <v>1</v>
      </c>
      <c r="R651" s="3">
        <f t="shared" si="60"/>
        <v>4998</v>
      </c>
      <c r="S651" s="3">
        <f t="shared" si="61"/>
        <v>249.9</v>
      </c>
      <c r="T651" s="3">
        <f t="shared" si="62"/>
        <v>4797.1000000000004</v>
      </c>
      <c r="U651" s="3">
        <f t="shared" si="63"/>
        <v>1298.5000000000005</v>
      </c>
      <c r="V651" s="4">
        <f t="shared" si="64"/>
        <v>0.27068437180796739</v>
      </c>
      <c r="W651" t="str">
        <f t="shared" si="65"/>
        <v>Apr</v>
      </c>
    </row>
    <row r="652" spans="1:23" x14ac:dyDescent="0.25">
      <c r="A652" t="s">
        <v>1028</v>
      </c>
      <c r="B652" t="s">
        <v>336</v>
      </c>
      <c r="C652" s="2">
        <v>45896.262499999997</v>
      </c>
      <c r="D652" t="s">
        <v>55</v>
      </c>
      <c r="E652" t="s">
        <v>56</v>
      </c>
      <c r="F652" t="s">
        <v>37</v>
      </c>
      <c r="G652" t="s">
        <v>38</v>
      </c>
      <c r="H652">
        <v>3</v>
      </c>
      <c r="I652" s="3">
        <v>2499</v>
      </c>
      <c r="J652" s="4">
        <v>0.1</v>
      </c>
      <c r="K652" s="3">
        <v>79</v>
      </c>
      <c r="L652" t="s">
        <v>83</v>
      </c>
      <c r="M652" t="s">
        <v>84</v>
      </c>
      <c r="N652" t="s">
        <v>71</v>
      </c>
      <c r="O652" t="s">
        <v>32</v>
      </c>
      <c r="P652" t="s">
        <v>80</v>
      </c>
      <c r="Q652">
        <v>3</v>
      </c>
      <c r="R652" s="3">
        <f t="shared" si="60"/>
        <v>7497</v>
      </c>
      <c r="S652" s="3">
        <f t="shared" si="61"/>
        <v>749.7</v>
      </c>
      <c r="T652" s="3">
        <f t="shared" si="62"/>
        <v>6826.3</v>
      </c>
      <c r="U652" s="3">
        <f t="shared" si="63"/>
        <v>1578.4000000000005</v>
      </c>
      <c r="V652" s="4">
        <f t="shared" si="64"/>
        <v>0.23122335672326158</v>
      </c>
      <c r="W652" t="str">
        <f t="shared" si="65"/>
        <v>Aug</v>
      </c>
    </row>
    <row r="653" spans="1:23" x14ac:dyDescent="0.25">
      <c r="A653" t="s">
        <v>1029</v>
      </c>
      <c r="B653" t="s">
        <v>142</v>
      </c>
      <c r="C653" s="2">
        <v>45674.580555555563</v>
      </c>
      <c r="D653" t="s">
        <v>62</v>
      </c>
      <c r="E653" t="s">
        <v>63</v>
      </c>
      <c r="F653" t="s">
        <v>46</v>
      </c>
      <c r="G653" t="s">
        <v>64</v>
      </c>
      <c r="H653">
        <v>1</v>
      </c>
      <c r="I653" s="3">
        <v>699</v>
      </c>
      <c r="J653" s="4">
        <v>0.1</v>
      </c>
      <c r="K653" s="3">
        <v>79</v>
      </c>
      <c r="L653" t="s">
        <v>83</v>
      </c>
      <c r="M653" t="s">
        <v>84</v>
      </c>
      <c r="N653" t="s">
        <v>40</v>
      </c>
      <c r="O653" t="s">
        <v>59</v>
      </c>
      <c r="P653" t="s">
        <v>33</v>
      </c>
      <c r="Q653">
        <v>4</v>
      </c>
      <c r="R653" s="3">
        <f t="shared" si="60"/>
        <v>699</v>
      </c>
      <c r="S653" s="3">
        <f t="shared" si="61"/>
        <v>69.900000000000006</v>
      </c>
      <c r="T653" s="3">
        <f t="shared" si="62"/>
        <v>708.1</v>
      </c>
      <c r="U653" s="3">
        <f t="shared" si="63"/>
        <v>218.80000000000007</v>
      </c>
      <c r="V653" s="4">
        <f t="shared" si="64"/>
        <v>0.30899590453325809</v>
      </c>
      <c r="W653" t="str">
        <f t="shared" si="65"/>
        <v>Jan</v>
      </c>
    </row>
    <row r="654" spans="1:23" x14ac:dyDescent="0.25">
      <c r="A654" t="s">
        <v>1030</v>
      </c>
      <c r="B654" t="s">
        <v>1031</v>
      </c>
      <c r="C654" s="2">
        <v>45995.413888888892</v>
      </c>
      <c r="D654" t="s">
        <v>35</v>
      </c>
      <c r="E654" t="s">
        <v>36</v>
      </c>
      <c r="F654" t="s">
        <v>37</v>
      </c>
      <c r="G654" t="s">
        <v>38</v>
      </c>
      <c r="H654">
        <v>1</v>
      </c>
      <c r="I654" s="3">
        <v>599</v>
      </c>
      <c r="J654" s="4">
        <v>0</v>
      </c>
      <c r="K654" s="3">
        <v>79</v>
      </c>
      <c r="L654" t="s">
        <v>39</v>
      </c>
      <c r="M654" t="s">
        <v>39</v>
      </c>
      <c r="N654" t="s">
        <v>50</v>
      </c>
      <c r="O654" t="s">
        <v>51</v>
      </c>
      <c r="P654" t="s">
        <v>80</v>
      </c>
      <c r="R654" s="3">
        <f t="shared" si="60"/>
        <v>599</v>
      </c>
      <c r="S654" s="3">
        <f t="shared" si="61"/>
        <v>0</v>
      </c>
      <c r="T654" s="3">
        <f t="shared" si="62"/>
        <v>678</v>
      </c>
      <c r="U654" s="3">
        <f t="shared" si="63"/>
        <v>258.70000000000005</v>
      </c>
      <c r="V654" s="4">
        <f t="shared" si="64"/>
        <v>0.38156342182890862</v>
      </c>
      <c r="W654" t="str">
        <f t="shared" si="65"/>
        <v>Dec</v>
      </c>
    </row>
    <row r="655" spans="1:23" x14ac:dyDescent="0.25">
      <c r="A655" t="s">
        <v>1032</v>
      </c>
      <c r="B655" t="s">
        <v>334</v>
      </c>
      <c r="C655" s="2">
        <v>45949.896527777782</v>
      </c>
      <c r="D655" t="s">
        <v>96</v>
      </c>
      <c r="E655" t="s">
        <v>97</v>
      </c>
      <c r="F655" t="s">
        <v>98</v>
      </c>
      <c r="G655" t="s">
        <v>99</v>
      </c>
      <c r="H655">
        <v>3</v>
      </c>
      <c r="I655" s="3">
        <v>1499</v>
      </c>
      <c r="J655" s="4">
        <v>0.15</v>
      </c>
      <c r="K655" s="3">
        <v>99</v>
      </c>
      <c r="L655" t="s">
        <v>119</v>
      </c>
      <c r="M655" t="s">
        <v>120</v>
      </c>
      <c r="N655" t="s">
        <v>40</v>
      </c>
      <c r="O655" t="s">
        <v>59</v>
      </c>
      <c r="P655" t="s">
        <v>80</v>
      </c>
      <c r="Q655">
        <v>5</v>
      </c>
      <c r="R655" s="3">
        <f t="shared" si="60"/>
        <v>4497</v>
      </c>
      <c r="S655" s="3">
        <f t="shared" si="61"/>
        <v>674.55</v>
      </c>
      <c r="T655" s="3">
        <f t="shared" si="62"/>
        <v>3921.45</v>
      </c>
      <c r="U655" s="3">
        <f t="shared" si="63"/>
        <v>773.55000000000018</v>
      </c>
      <c r="V655" s="4">
        <f t="shared" si="64"/>
        <v>0.19726121715181891</v>
      </c>
      <c r="W655" t="str">
        <f t="shared" si="65"/>
        <v>Oct</v>
      </c>
    </row>
    <row r="656" spans="1:23" x14ac:dyDescent="0.25">
      <c r="A656" t="s">
        <v>1033</v>
      </c>
      <c r="B656" t="s">
        <v>317</v>
      </c>
      <c r="C656" s="2">
        <v>45792.650694444441</v>
      </c>
      <c r="D656" t="s">
        <v>105</v>
      </c>
      <c r="E656" t="s">
        <v>106</v>
      </c>
      <c r="F656" t="s">
        <v>37</v>
      </c>
      <c r="G656" t="s">
        <v>107</v>
      </c>
      <c r="H656">
        <v>1</v>
      </c>
      <c r="I656" s="3">
        <v>1799</v>
      </c>
      <c r="J656" s="4">
        <v>0.15</v>
      </c>
      <c r="K656" s="3">
        <v>59</v>
      </c>
      <c r="L656" t="s">
        <v>83</v>
      </c>
      <c r="M656" t="s">
        <v>84</v>
      </c>
      <c r="N656" t="s">
        <v>71</v>
      </c>
      <c r="O656" t="s">
        <v>93</v>
      </c>
      <c r="P656" t="s">
        <v>52</v>
      </c>
      <c r="Q656">
        <v>1</v>
      </c>
      <c r="R656" s="3">
        <f t="shared" si="60"/>
        <v>1799</v>
      </c>
      <c r="S656" s="3">
        <f t="shared" si="61"/>
        <v>269.84999999999997</v>
      </c>
      <c r="T656" s="3">
        <f t="shared" si="62"/>
        <v>1588.15</v>
      </c>
      <c r="U656" s="3">
        <f t="shared" si="63"/>
        <v>328.85000000000014</v>
      </c>
      <c r="V656" s="4">
        <f t="shared" si="64"/>
        <v>0.20706482385165137</v>
      </c>
      <c r="W656" t="str">
        <f t="shared" si="65"/>
        <v>May</v>
      </c>
    </row>
    <row r="657" spans="1:23" x14ac:dyDescent="0.25">
      <c r="A657" t="s">
        <v>1034</v>
      </c>
      <c r="B657" t="s">
        <v>1035</v>
      </c>
      <c r="C657" s="2">
        <v>45845.493750000001</v>
      </c>
      <c r="D657" t="s">
        <v>44</v>
      </c>
      <c r="E657" t="s">
        <v>45</v>
      </c>
      <c r="F657" t="s">
        <v>46</v>
      </c>
      <c r="G657" t="s">
        <v>47</v>
      </c>
      <c r="H657">
        <v>1</v>
      </c>
      <c r="I657" s="3">
        <v>1199</v>
      </c>
      <c r="J657" s="4">
        <v>0.15</v>
      </c>
      <c r="K657" s="3">
        <v>0</v>
      </c>
      <c r="L657" t="s">
        <v>39</v>
      </c>
      <c r="M657" t="s">
        <v>39</v>
      </c>
      <c r="N657" t="s">
        <v>40</v>
      </c>
      <c r="O657" t="s">
        <v>489</v>
      </c>
      <c r="P657" t="s">
        <v>80</v>
      </c>
      <c r="Q657">
        <v>4</v>
      </c>
      <c r="R657" s="3">
        <f t="shared" si="60"/>
        <v>1199</v>
      </c>
      <c r="S657" s="3">
        <f t="shared" si="61"/>
        <v>179.85</v>
      </c>
      <c r="T657" s="3">
        <f t="shared" si="62"/>
        <v>1019.15</v>
      </c>
      <c r="U657" s="3">
        <f t="shared" si="63"/>
        <v>179.85000000000002</v>
      </c>
      <c r="V657" s="4">
        <f t="shared" si="64"/>
        <v>0.17647058823529416</v>
      </c>
      <c r="W657" t="str">
        <f t="shared" si="65"/>
        <v>Jul</v>
      </c>
    </row>
    <row r="658" spans="1:23" x14ac:dyDescent="0.25">
      <c r="A658" t="s">
        <v>1036</v>
      </c>
      <c r="B658" t="s">
        <v>748</v>
      </c>
      <c r="C658" s="2">
        <v>45686.885416666657</v>
      </c>
      <c r="D658" t="s">
        <v>169</v>
      </c>
      <c r="E658" t="s">
        <v>170</v>
      </c>
      <c r="F658" t="s">
        <v>98</v>
      </c>
      <c r="G658" t="s">
        <v>171</v>
      </c>
      <c r="H658">
        <v>1</v>
      </c>
      <c r="I658" s="3">
        <v>799</v>
      </c>
      <c r="J658" s="4">
        <v>0</v>
      </c>
      <c r="K658" s="3">
        <v>59</v>
      </c>
      <c r="L658" t="s">
        <v>74</v>
      </c>
      <c r="M658" t="s">
        <v>49</v>
      </c>
      <c r="N658" t="s">
        <v>31</v>
      </c>
      <c r="O658" t="s">
        <v>51</v>
      </c>
      <c r="P658" t="s">
        <v>33</v>
      </c>
      <c r="Q658">
        <v>1</v>
      </c>
      <c r="R658" s="3">
        <f t="shared" si="60"/>
        <v>799</v>
      </c>
      <c r="S658" s="3">
        <f t="shared" si="61"/>
        <v>0</v>
      </c>
      <c r="T658" s="3">
        <f t="shared" si="62"/>
        <v>858</v>
      </c>
      <c r="U658" s="3">
        <f t="shared" si="63"/>
        <v>298.70000000000005</v>
      </c>
      <c r="V658" s="4">
        <f t="shared" si="64"/>
        <v>0.34813519813519817</v>
      </c>
      <c r="W658" t="str">
        <f t="shared" si="65"/>
        <v>Jan</v>
      </c>
    </row>
    <row r="659" spans="1:23" x14ac:dyDescent="0.25">
      <c r="A659" t="s">
        <v>1037</v>
      </c>
      <c r="B659" t="s">
        <v>372</v>
      </c>
      <c r="C659" s="2">
        <v>45824.061805555553</v>
      </c>
      <c r="D659" t="s">
        <v>169</v>
      </c>
      <c r="E659" t="s">
        <v>170</v>
      </c>
      <c r="F659" t="s">
        <v>98</v>
      </c>
      <c r="G659" t="s">
        <v>171</v>
      </c>
      <c r="H659">
        <v>1</v>
      </c>
      <c r="I659" s="3">
        <v>799</v>
      </c>
      <c r="J659" s="4">
        <v>0.1</v>
      </c>
      <c r="K659" s="3">
        <v>99</v>
      </c>
      <c r="L659" t="s">
        <v>100</v>
      </c>
      <c r="M659" t="s">
        <v>101</v>
      </c>
      <c r="N659" t="s">
        <v>272</v>
      </c>
      <c r="O659" t="s">
        <v>51</v>
      </c>
      <c r="P659" t="s">
        <v>80</v>
      </c>
      <c r="Q659">
        <v>1</v>
      </c>
      <c r="R659" s="3">
        <f t="shared" si="60"/>
        <v>799</v>
      </c>
      <c r="S659" s="3">
        <f t="shared" si="61"/>
        <v>79.900000000000006</v>
      </c>
      <c r="T659" s="3">
        <f t="shared" si="62"/>
        <v>818.1</v>
      </c>
      <c r="U659" s="3">
        <f t="shared" si="63"/>
        <v>258.80000000000007</v>
      </c>
      <c r="V659" s="4">
        <f t="shared" si="64"/>
        <v>0.31634274538564977</v>
      </c>
      <c r="W659" t="str">
        <f t="shared" si="65"/>
        <v>Jun</v>
      </c>
    </row>
    <row r="660" spans="1:23" x14ac:dyDescent="0.25">
      <c r="A660" t="s">
        <v>1038</v>
      </c>
      <c r="B660" t="s">
        <v>754</v>
      </c>
      <c r="C660" s="2">
        <v>45820.525000000001</v>
      </c>
      <c r="D660" t="s">
        <v>77</v>
      </c>
      <c r="E660" t="s">
        <v>78</v>
      </c>
      <c r="F660" t="s">
        <v>79</v>
      </c>
      <c r="G660" t="s">
        <v>28</v>
      </c>
      <c r="H660">
        <v>2</v>
      </c>
      <c r="I660" s="3">
        <v>6499</v>
      </c>
      <c r="J660" s="4">
        <v>0.05</v>
      </c>
      <c r="K660" s="3">
        <v>99</v>
      </c>
      <c r="L660" t="s">
        <v>119</v>
      </c>
      <c r="M660" t="s">
        <v>120</v>
      </c>
      <c r="N660" t="s">
        <v>40</v>
      </c>
      <c r="O660" t="s">
        <v>93</v>
      </c>
      <c r="P660" t="s">
        <v>52</v>
      </c>
      <c r="R660" s="3">
        <f t="shared" si="60"/>
        <v>12998</v>
      </c>
      <c r="S660" s="3">
        <f t="shared" si="61"/>
        <v>649.90000000000009</v>
      </c>
      <c r="T660" s="3">
        <f t="shared" si="62"/>
        <v>12447.1</v>
      </c>
      <c r="U660" s="3">
        <f t="shared" si="63"/>
        <v>3348.5000000000018</v>
      </c>
      <c r="V660" s="4">
        <f t="shared" si="64"/>
        <v>0.26901848623374131</v>
      </c>
      <c r="W660" t="str">
        <f t="shared" si="65"/>
        <v>Jun</v>
      </c>
    </row>
    <row r="661" spans="1:23" x14ac:dyDescent="0.25">
      <c r="A661" t="s">
        <v>1039</v>
      </c>
      <c r="B661" t="s">
        <v>166</v>
      </c>
      <c r="C661" s="2">
        <v>45915.88958333333</v>
      </c>
      <c r="D661" t="s">
        <v>25</v>
      </c>
      <c r="E661" t="s">
        <v>26</v>
      </c>
      <c r="F661" t="s">
        <v>27</v>
      </c>
      <c r="G661" t="s">
        <v>28</v>
      </c>
      <c r="H661">
        <v>1</v>
      </c>
      <c r="I661" s="3">
        <v>249</v>
      </c>
      <c r="J661" s="4">
        <v>0.15</v>
      </c>
      <c r="K661" s="3">
        <v>59</v>
      </c>
      <c r="L661" t="s">
        <v>113</v>
      </c>
      <c r="M661" t="s">
        <v>114</v>
      </c>
      <c r="N661" t="s">
        <v>40</v>
      </c>
      <c r="O661" t="s">
        <v>41</v>
      </c>
      <c r="P661" t="s">
        <v>33</v>
      </c>
      <c r="Q661">
        <v>4</v>
      </c>
      <c r="R661" s="3">
        <f t="shared" si="60"/>
        <v>249</v>
      </c>
      <c r="S661" s="3">
        <f t="shared" si="61"/>
        <v>37.35</v>
      </c>
      <c r="T661" s="3">
        <f t="shared" si="62"/>
        <v>270.64999999999998</v>
      </c>
      <c r="U661" s="3">
        <f t="shared" si="63"/>
        <v>96.35</v>
      </c>
      <c r="V661" s="4">
        <f t="shared" si="64"/>
        <v>0.35599482726768888</v>
      </c>
      <c r="W661" t="str">
        <f t="shared" si="65"/>
        <v>Sep</v>
      </c>
    </row>
    <row r="662" spans="1:23" x14ac:dyDescent="0.25">
      <c r="A662" t="s">
        <v>1040</v>
      </c>
      <c r="B662" t="s">
        <v>226</v>
      </c>
      <c r="C662" s="2">
        <v>45932.262499999997</v>
      </c>
      <c r="D662" t="s">
        <v>25</v>
      </c>
      <c r="E662" t="s">
        <v>26</v>
      </c>
      <c r="F662" t="s">
        <v>27</v>
      </c>
      <c r="G662" t="s">
        <v>28</v>
      </c>
      <c r="H662">
        <v>3</v>
      </c>
      <c r="I662" s="3">
        <v>249</v>
      </c>
      <c r="J662" s="4">
        <v>0</v>
      </c>
      <c r="K662" s="3">
        <v>59</v>
      </c>
      <c r="L662" t="s">
        <v>29</v>
      </c>
      <c r="M662" t="s">
        <v>30</v>
      </c>
      <c r="N662" t="s">
        <v>40</v>
      </c>
      <c r="O662" t="s">
        <v>41</v>
      </c>
      <c r="P662" t="s">
        <v>33</v>
      </c>
      <c r="Q662">
        <v>5</v>
      </c>
      <c r="R662" s="3">
        <f t="shared" si="60"/>
        <v>747</v>
      </c>
      <c r="S662" s="3">
        <f t="shared" si="61"/>
        <v>0</v>
      </c>
      <c r="T662" s="3">
        <f t="shared" si="62"/>
        <v>806</v>
      </c>
      <c r="U662" s="3">
        <f t="shared" si="63"/>
        <v>283.10000000000002</v>
      </c>
      <c r="V662" s="4">
        <f t="shared" si="64"/>
        <v>0.35124069478908193</v>
      </c>
      <c r="W662" t="str">
        <f t="shared" si="65"/>
        <v>Oct</v>
      </c>
    </row>
    <row r="663" spans="1:23" x14ac:dyDescent="0.25">
      <c r="A663" t="s">
        <v>1041</v>
      </c>
      <c r="B663" t="s">
        <v>578</v>
      </c>
      <c r="C663" s="2">
        <v>45954.150694444441</v>
      </c>
      <c r="D663" t="s">
        <v>77</v>
      </c>
      <c r="E663" t="s">
        <v>78</v>
      </c>
      <c r="F663" t="s">
        <v>79</v>
      </c>
      <c r="G663" t="s">
        <v>28</v>
      </c>
      <c r="H663">
        <v>2</v>
      </c>
      <c r="I663" s="3">
        <v>6499</v>
      </c>
      <c r="J663" s="4">
        <v>0.05</v>
      </c>
      <c r="K663" s="3">
        <v>0</v>
      </c>
      <c r="L663" t="s">
        <v>29</v>
      </c>
      <c r="M663" t="s">
        <v>30</v>
      </c>
      <c r="N663" t="s">
        <v>102</v>
      </c>
      <c r="O663" t="s">
        <v>59</v>
      </c>
      <c r="P663" t="s">
        <v>33</v>
      </c>
      <c r="Q663">
        <v>4</v>
      </c>
      <c r="R663" s="3">
        <f t="shared" si="60"/>
        <v>12998</v>
      </c>
      <c r="S663" s="3">
        <f t="shared" si="61"/>
        <v>649.90000000000009</v>
      </c>
      <c r="T663" s="3">
        <f t="shared" si="62"/>
        <v>12348.1</v>
      </c>
      <c r="U663" s="3">
        <f t="shared" si="63"/>
        <v>3249.5000000000018</v>
      </c>
      <c r="V663" s="4">
        <f t="shared" si="64"/>
        <v>0.26315789473684226</v>
      </c>
      <c r="W663" t="str">
        <f t="shared" si="65"/>
        <v>Oct</v>
      </c>
    </row>
    <row r="664" spans="1:23" x14ac:dyDescent="0.25">
      <c r="A664" t="s">
        <v>1042</v>
      </c>
      <c r="B664" t="s">
        <v>304</v>
      </c>
      <c r="C664" s="2">
        <v>45991.397222222222</v>
      </c>
      <c r="D664" t="s">
        <v>67</v>
      </c>
      <c r="E664" t="s">
        <v>68</v>
      </c>
      <c r="F664" t="s">
        <v>37</v>
      </c>
      <c r="G664" t="s">
        <v>38</v>
      </c>
      <c r="H664">
        <v>3</v>
      </c>
      <c r="I664" s="3">
        <v>1299</v>
      </c>
      <c r="J664" s="4">
        <v>0.1</v>
      </c>
      <c r="K664" s="3">
        <v>99</v>
      </c>
      <c r="L664" t="s">
        <v>74</v>
      </c>
      <c r="M664" t="s">
        <v>49</v>
      </c>
      <c r="N664" t="s">
        <v>50</v>
      </c>
      <c r="O664" t="s">
        <v>59</v>
      </c>
      <c r="P664" t="s">
        <v>33</v>
      </c>
      <c r="Q664">
        <v>4</v>
      </c>
      <c r="R664" s="3">
        <f t="shared" si="60"/>
        <v>3897</v>
      </c>
      <c r="S664" s="3">
        <f t="shared" si="61"/>
        <v>389.70000000000005</v>
      </c>
      <c r="T664" s="3">
        <f t="shared" si="62"/>
        <v>3606.3</v>
      </c>
      <c r="U664" s="3">
        <f t="shared" si="63"/>
        <v>878.40000000000055</v>
      </c>
      <c r="V664" s="4">
        <f t="shared" si="64"/>
        <v>0.2435737459445971</v>
      </c>
      <c r="W664" t="str">
        <f t="shared" si="65"/>
        <v>Nov</v>
      </c>
    </row>
    <row r="665" spans="1:23" x14ac:dyDescent="0.25">
      <c r="A665" t="s">
        <v>1043</v>
      </c>
      <c r="B665" t="s">
        <v>436</v>
      </c>
      <c r="C665" s="2">
        <v>46001.71597222222</v>
      </c>
      <c r="D665" t="s">
        <v>110</v>
      </c>
      <c r="E665" t="s">
        <v>111</v>
      </c>
      <c r="F665" t="s">
        <v>98</v>
      </c>
      <c r="G665" t="s">
        <v>112</v>
      </c>
      <c r="H665">
        <v>2</v>
      </c>
      <c r="I665" s="3">
        <v>2999</v>
      </c>
      <c r="J665" s="4">
        <v>0.2</v>
      </c>
      <c r="K665" s="3">
        <v>99</v>
      </c>
      <c r="L665" t="s">
        <v>125</v>
      </c>
      <c r="M665" t="s">
        <v>126</v>
      </c>
      <c r="N665" t="s">
        <v>102</v>
      </c>
      <c r="O665" t="s">
        <v>59</v>
      </c>
      <c r="P665" t="s">
        <v>33</v>
      </c>
      <c r="Q665">
        <v>2</v>
      </c>
      <c r="R665" s="3">
        <f t="shared" si="60"/>
        <v>5998</v>
      </c>
      <c r="S665" s="3">
        <f t="shared" si="61"/>
        <v>1199.6000000000001</v>
      </c>
      <c r="T665" s="3">
        <f t="shared" si="62"/>
        <v>4897.3999999999996</v>
      </c>
      <c r="U665" s="3">
        <f t="shared" si="63"/>
        <v>698.80000000000018</v>
      </c>
      <c r="V665" s="4">
        <f t="shared" si="64"/>
        <v>0.14268795687507663</v>
      </c>
      <c r="W665" t="str">
        <f t="shared" si="65"/>
        <v>Dec</v>
      </c>
    </row>
    <row r="666" spans="1:23" x14ac:dyDescent="0.25">
      <c r="A666" t="s">
        <v>1044</v>
      </c>
      <c r="B666" t="s">
        <v>600</v>
      </c>
      <c r="C666" s="2">
        <v>45984.743750000001</v>
      </c>
      <c r="D666" t="s">
        <v>25</v>
      </c>
      <c r="E666" t="s">
        <v>26</v>
      </c>
      <c r="F666" t="s">
        <v>27</v>
      </c>
      <c r="G666" t="s">
        <v>28</v>
      </c>
      <c r="H666">
        <v>1</v>
      </c>
      <c r="I666" s="3">
        <v>249</v>
      </c>
      <c r="J666" s="4">
        <v>0.1</v>
      </c>
      <c r="K666" s="3">
        <v>99</v>
      </c>
      <c r="L666" t="s">
        <v>119</v>
      </c>
      <c r="M666" t="s">
        <v>120</v>
      </c>
      <c r="N666" t="s">
        <v>102</v>
      </c>
      <c r="O666" t="s">
        <v>41</v>
      </c>
      <c r="P666" t="s">
        <v>85</v>
      </c>
      <c r="Q666">
        <v>3</v>
      </c>
      <c r="R666" s="3">
        <f t="shared" si="60"/>
        <v>249</v>
      </c>
      <c r="S666" s="3">
        <f t="shared" si="61"/>
        <v>24.900000000000002</v>
      </c>
      <c r="T666" s="3">
        <f t="shared" si="62"/>
        <v>323.10000000000002</v>
      </c>
      <c r="U666" s="3">
        <f t="shared" si="63"/>
        <v>148.80000000000004</v>
      </c>
      <c r="V666" s="4">
        <f t="shared" si="64"/>
        <v>0.46053853296193137</v>
      </c>
      <c r="W666" t="str">
        <f t="shared" si="65"/>
        <v>Nov</v>
      </c>
    </row>
    <row r="667" spans="1:23" x14ac:dyDescent="0.25">
      <c r="A667" t="s">
        <v>1045</v>
      </c>
      <c r="B667" t="s">
        <v>87</v>
      </c>
      <c r="C667" s="2">
        <v>46008.412499999999</v>
      </c>
      <c r="D667" t="s">
        <v>90</v>
      </c>
      <c r="E667" t="s">
        <v>91</v>
      </c>
      <c r="F667" t="s">
        <v>37</v>
      </c>
      <c r="G667" t="s">
        <v>92</v>
      </c>
      <c r="H667">
        <v>1</v>
      </c>
      <c r="I667" s="3">
        <v>3499</v>
      </c>
      <c r="J667" s="4">
        <v>0.1</v>
      </c>
      <c r="K667" s="3">
        <v>59</v>
      </c>
      <c r="L667" t="s">
        <v>100</v>
      </c>
      <c r="M667" t="s">
        <v>101</v>
      </c>
      <c r="N667" t="s">
        <v>50</v>
      </c>
      <c r="O667" t="s">
        <v>59</v>
      </c>
      <c r="P667" t="s">
        <v>52</v>
      </c>
      <c r="Q667">
        <v>3</v>
      </c>
      <c r="R667" s="3">
        <f t="shared" si="60"/>
        <v>3499</v>
      </c>
      <c r="S667" s="3">
        <f t="shared" si="61"/>
        <v>349.90000000000003</v>
      </c>
      <c r="T667" s="3">
        <f t="shared" si="62"/>
        <v>3208.1</v>
      </c>
      <c r="U667" s="3">
        <f t="shared" si="63"/>
        <v>758.80000000000018</v>
      </c>
      <c r="V667" s="4">
        <f t="shared" si="64"/>
        <v>0.23652629282129617</v>
      </c>
      <c r="W667" t="str">
        <f t="shared" si="65"/>
        <v>Dec</v>
      </c>
    </row>
    <row r="668" spans="1:23" x14ac:dyDescent="0.25">
      <c r="A668" t="s">
        <v>1046</v>
      </c>
      <c r="B668" t="s">
        <v>160</v>
      </c>
      <c r="C668" s="2">
        <v>45965.309027777781</v>
      </c>
      <c r="D668" t="s">
        <v>110</v>
      </c>
      <c r="E668" t="s">
        <v>111</v>
      </c>
      <c r="F668" t="s">
        <v>98</v>
      </c>
      <c r="G668" t="s">
        <v>112</v>
      </c>
      <c r="H668">
        <v>1</v>
      </c>
      <c r="I668" s="3"/>
      <c r="J668" s="4">
        <v>0</v>
      </c>
      <c r="K668" s="3">
        <v>49</v>
      </c>
      <c r="L668" t="s">
        <v>100</v>
      </c>
      <c r="M668" t="s">
        <v>101</v>
      </c>
      <c r="N668" t="s">
        <v>31</v>
      </c>
      <c r="O668" t="s">
        <v>41</v>
      </c>
      <c r="P668" t="s">
        <v>33</v>
      </c>
      <c r="R668" s="3">
        <f t="shared" si="60"/>
        <v>0</v>
      </c>
      <c r="S668" s="3">
        <f t="shared" si="61"/>
        <v>0</v>
      </c>
      <c r="T668" s="3">
        <f t="shared" si="62"/>
        <v>49</v>
      </c>
      <c r="U668" s="3">
        <f t="shared" si="63"/>
        <v>49</v>
      </c>
      <c r="V668" s="4">
        <f t="shared" si="64"/>
        <v>1</v>
      </c>
      <c r="W668" t="str">
        <f t="shared" si="65"/>
        <v>Nov</v>
      </c>
    </row>
    <row r="669" spans="1:23" x14ac:dyDescent="0.25">
      <c r="A669" t="s">
        <v>1047</v>
      </c>
      <c r="B669" t="s">
        <v>315</v>
      </c>
      <c r="C669" s="2">
        <v>45881.570138888892</v>
      </c>
      <c r="D669" t="s">
        <v>110</v>
      </c>
      <c r="E669" t="s">
        <v>111</v>
      </c>
      <c r="F669" t="s">
        <v>98</v>
      </c>
      <c r="G669" t="s">
        <v>112</v>
      </c>
      <c r="H669">
        <v>2</v>
      </c>
      <c r="I669" s="3">
        <v>2999</v>
      </c>
      <c r="J669" s="4">
        <v>0</v>
      </c>
      <c r="K669" s="3">
        <v>49</v>
      </c>
      <c r="L669" t="s">
        <v>119</v>
      </c>
      <c r="M669" t="s">
        <v>120</v>
      </c>
      <c r="N669" t="s">
        <v>50</v>
      </c>
      <c r="O669" t="s">
        <v>93</v>
      </c>
      <c r="P669" t="s">
        <v>33</v>
      </c>
      <c r="Q669">
        <v>3</v>
      </c>
      <c r="R669" s="3">
        <f t="shared" si="60"/>
        <v>5998</v>
      </c>
      <c r="S669" s="3">
        <f t="shared" si="61"/>
        <v>0</v>
      </c>
      <c r="T669" s="3">
        <f t="shared" si="62"/>
        <v>6047</v>
      </c>
      <c r="U669" s="3">
        <f t="shared" si="63"/>
        <v>1848.4000000000005</v>
      </c>
      <c r="V669" s="4">
        <f t="shared" si="64"/>
        <v>0.30567223416570211</v>
      </c>
      <c r="W669" t="str">
        <f t="shared" si="65"/>
        <v>Aug</v>
      </c>
    </row>
    <row r="670" spans="1:23" x14ac:dyDescent="0.25">
      <c r="A670" t="s">
        <v>1048</v>
      </c>
      <c r="B670" t="s">
        <v>304</v>
      </c>
      <c r="C670" s="2">
        <v>45679.979861111111</v>
      </c>
      <c r="D670" t="s">
        <v>110</v>
      </c>
      <c r="E670" t="s">
        <v>111</v>
      </c>
      <c r="F670" t="s">
        <v>98</v>
      </c>
      <c r="G670" t="s">
        <v>112</v>
      </c>
      <c r="H670">
        <v>1</v>
      </c>
      <c r="I670" s="3">
        <v>2999</v>
      </c>
      <c r="J670" s="4">
        <v>0</v>
      </c>
      <c r="K670" s="3">
        <v>0</v>
      </c>
      <c r="L670" t="s">
        <v>83</v>
      </c>
      <c r="M670" t="s">
        <v>84</v>
      </c>
      <c r="N670" t="s">
        <v>102</v>
      </c>
      <c r="O670" t="s">
        <v>51</v>
      </c>
      <c r="P670" t="s">
        <v>33</v>
      </c>
      <c r="R670" s="3">
        <f t="shared" si="60"/>
        <v>2999</v>
      </c>
      <c r="S670" s="3">
        <f t="shared" si="61"/>
        <v>0</v>
      </c>
      <c r="T670" s="3">
        <f t="shared" si="62"/>
        <v>2999</v>
      </c>
      <c r="U670" s="3">
        <f t="shared" si="63"/>
        <v>899.70000000000027</v>
      </c>
      <c r="V670" s="4">
        <f t="shared" si="64"/>
        <v>0.3000000000000001</v>
      </c>
      <c r="W670" t="str">
        <f t="shared" si="65"/>
        <v>Jan</v>
      </c>
    </row>
    <row r="671" spans="1:23" x14ac:dyDescent="0.25">
      <c r="A671" t="s">
        <v>1049</v>
      </c>
      <c r="B671" t="s">
        <v>327</v>
      </c>
      <c r="C671" s="2">
        <v>46001.913888888892</v>
      </c>
      <c r="D671" t="s">
        <v>55</v>
      </c>
      <c r="E671" t="s">
        <v>56</v>
      </c>
      <c r="F671" t="s">
        <v>37</v>
      </c>
      <c r="G671" t="s">
        <v>38</v>
      </c>
      <c r="H671">
        <v>3</v>
      </c>
      <c r="I671" s="3">
        <v>2499</v>
      </c>
      <c r="J671" s="4">
        <v>0.1</v>
      </c>
      <c r="K671" s="3">
        <v>49</v>
      </c>
      <c r="L671" t="s">
        <v>57</v>
      </c>
      <c r="M671" t="s">
        <v>58</v>
      </c>
      <c r="N671" t="s">
        <v>31</v>
      </c>
      <c r="O671" t="s">
        <v>32</v>
      </c>
      <c r="P671" t="s">
        <v>33</v>
      </c>
      <c r="R671" s="3">
        <f t="shared" si="60"/>
        <v>7497</v>
      </c>
      <c r="S671" s="3">
        <f t="shared" si="61"/>
        <v>749.7</v>
      </c>
      <c r="T671" s="3">
        <f t="shared" si="62"/>
        <v>6796.3</v>
      </c>
      <c r="U671" s="3">
        <f t="shared" si="63"/>
        <v>1548.4000000000005</v>
      </c>
      <c r="V671" s="4">
        <f t="shared" si="64"/>
        <v>0.22782984859408803</v>
      </c>
      <c r="W671" t="str">
        <f t="shared" si="65"/>
        <v>Dec</v>
      </c>
    </row>
    <row r="672" spans="1:23" x14ac:dyDescent="0.25">
      <c r="A672" t="s">
        <v>1050</v>
      </c>
      <c r="B672" t="s">
        <v>587</v>
      </c>
      <c r="C672" s="2">
        <v>45955.677777777782</v>
      </c>
      <c r="D672" t="s">
        <v>62</v>
      </c>
      <c r="E672" t="s">
        <v>63</v>
      </c>
      <c r="F672" t="s">
        <v>46</v>
      </c>
      <c r="G672" t="s">
        <v>64</v>
      </c>
      <c r="H672">
        <v>2</v>
      </c>
      <c r="I672" s="3">
        <v>699</v>
      </c>
      <c r="J672" s="4">
        <v>0</v>
      </c>
      <c r="K672" s="3">
        <v>49</v>
      </c>
      <c r="L672" t="s">
        <v>29</v>
      </c>
      <c r="M672" t="s">
        <v>30</v>
      </c>
      <c r="N672" t="s">
        <v>71</v>
      </c>
      <c r="O672" t="s">
        <v>51</v>
      </c>
      <c r="P672" t="s">
        <v>52</v>
      </c>
      <c r="R672" s="3">
        <f t="shared" si="60"/>
        <v>1398</v>
      </c>
      <c r="S672" s="3">
        <f t="shared" si="61"/>
        <v>0</v>
      </c>
      <c r="T672" s="3">
        <f t="shared" si="62"/>
        <v>1447</v>
      </c>
      <c r="U672" s="3">
        <f t="shared" si="63"/>
        <v>468.40000000000009</v>
      </c>
      <c r="V672" s="4">
        <f t="shared" si="64"/>
        <v>0.32370421561852114</v>
      </c>
      <c r="W672" t="str">
        <f t="shared" si="65"/>
        <v>Oct</v>
      </c>
    </row>
    <row r="673" spans="1:23" x14ac:dyDescent="0.25">
      <c r="A673" t="s">
        <v>1051</v>
      </c>
      <c r="B673" t="s">
        <v>132</v>
      </c>
      <c r="C673" s="2">
        <v>45778.550694444442</v>
      </c>
      <c r="D673" t="s">
        <v>44</v>
      </c>
      <c r="E673" t="s">
        <v>45</v>
      </c>
      <c r="F673" t="s">
        <v>46</v>
      </c>
      <c r="G673" t="s">
        <v>47</v>
      </c>
      <c r="H673">
        <v>3</v>
      </c>
      <c r="I673" s="3">
        <v>1199</v>
      </c>
      <c r="J673" s="4">
        <v>0</v>
      </c>
      <c r="K673" s="3">
        <v>49</v>
      </c>
      <c r="L673" t="s">
        <v>57</v>
      </c>
      <c r="M673" t="s">
        <v>58</v>
      </c>
      <c r="N673" t="s">
        <v>71</v>
      </c>
      <c r="O673" t="s">
        <v>59</v>
      </c>
      <c r="P673" t="s">
        <v>33</v>
      </c>
      <c r="Q673">
        <v>4</v>
      </c>
      <c r="R673" s="3">
        <f t="shared" si="60"/>
        <v>3597</v>
      </c>
      <c r="S673" s="3">
        <f t="shared" si="61"/>
        <v>0</v>
      </c>
      <c r="T673" s="3">
        <f t="shared" si="62"/>
        <v>3646</v>
      </c>
      <c r="U673" s="3">
        <f t="shared" si="63"/>
        <v>1128.1000000000004</v>
      </c>
      <c r="V673" s="4">
        <f t="shared" si="64"/>
        <v>0.30940756993966001</v>
      </c>
      <c r="W673" t="str">
        <f t="shared" si="65"/>
        <v>May</v>
      </c>
    </row>
    <row r="674" spans="1:23" x14ac:dyDescent="0.25">
      <c r="A674" t="s">
        <v>1052</v>
      </c>
      <c r="B674" t="s">
        <v>1053</v>
      </c>
      <c r="C674" s="2">
        <v>45931.488888888889</v>
      </c>
      <c r="D674" t="s">
        <v>110</v>
      </c>
      <c r="E674" t="s">
        <v>111</v>
      </c>
      <c r="F674" t="s">
        <v>98</v>
      </c>
      <c r="G674" t="s">
        <v>112</v>
      </c>
      <c r="H674">
        <v>1</v>
      </c>
      <c r="I674" s="3">
        <v>2999</v>
      </c>
      <c r="J674" s="4">
        <v>0.05</v>
      </c>
      <c r="K674" s="3">
        <v>99</v>
      </c>
      <c r="L674" t="s">
        <v>125</v>
      </c>
      <c r="M674" t="s">
        <v>126</v>
      </c>
      <c r="N674" t="s">
        <v>40</v>
      </c>
      <c r="O674" t="s">
        <v>41</v>
      </c>
      <c r="P674" t="s">
        <v>33</v>
      </c>
      <c r="Q674">
        <v>3</v>
      </c>
      <c r="R674" s="3">
        <f t="shared" si="60"/>
        <v>2999</v>
      </c>
      <c r="S674" s="3">
        <f t="shared" si="61"/>
        <v>149.95000000000002</v>
      </c>
      <c r="T674" s="3">
        <f t="shared" si="62"/>
        <v>2948.05</v>
      </c>
      <c r="U674" s="3">
        <f t="shared" si="63"/>
        <v>848.75000000000045</v>
      </c>
      <c r="V674" s="4">
        <f t="shared" si="64"/>
        <v>0.28790217262258117</v>
      </c>
      <c r="W674" t="str">
        <f t="shared" si="65"/>
        <v>Oct</v>
      </c>
    </row>
    <row r="675" spans="1:23" x14ac:dyDescent="0.25">
      <c r="A675" t="s">
        <v>1054</v>
      </c>
      <c r="B675" t="s">
        <v>356</v>
      </c>
      <c r="C675" s="2">
        <v>45846.375694444447</v>
      </c>
      <c r="D675" t="s">
        <v>105</v>
      </c>
      <c r="E675" t="s">
        <v>106</v>
      </c>
      <c r="F675" t="s">
        <v>37</v>
      </c>
      <c r="G675" t="s">
        <v>107</v>
      </c>
      <c r="H675">
        <v>2</v>
      </c>
      <c r="I675" s="3">
        <v>1799</v>
      </c>
      <c r="J675" s="4">
        <v>0.15</v>
      </c>
      <c r="K675" s="3">
        <v>0</v>
      </c>
      <c r="L675" t="s">
        <v>74</v>
      </c>
      <c r="M675" t="s">
        <v>49</v>
      </c>
      <c r="N675" t="s">
        <v>50</v>
      </c>
      <c r="O675" t="s">
        <v>51</v>
      </c>
      <c r="P675" t="s">
        <v>80</v>
      </c>
      <c r="Q675">
        <v>5</v>
      </c>
      <c r="R675" s="3">
        <f t="shared" si="60"/>
        <v>3598</v>
      </c>
      <c r="S675" s="3">
        <f t="shared" si="61"/>
        <v>539.69999999999993</v>
      </c>
      <c r="T675" s="3">
        <f t="shared" si="62"/>
        <v>3058.3</v>
      </c>
      <c r="U675" s="3">
        <f t="shared" si="63"/>
        <v>539.70000000000027</v>
      </c>
      <c r="V675" s="4">
        <f t="shared" si="64"/>
        <v>0.17647058823529418</v>
      </c>
      <c r="W675" t="str">
        <f t="shared" si="65"/>
        <v>Jul</v>
      </c>
    </row>
    <row r="676" spans="1:23" x14ac:dyDescent="0.25">
      <c r="A676" t="s">
        <v>1055</v>
      </c>
      <c r="B676" t="s">
        <v>349</v>
      </c>
      <c r="C676" s="2">
        <v>46016.497916666667</v>
      </c>
      <c r="D676" t="s">
        <v>96</v>
      </c>
      <c r="E676" t="s">
        <v>97</v>
      </c>
      <c r="F676" t="s">
        <v>98</v>
      </c>
      <c r="G676" t="s">
        <v>99</v>
      </c>
      <c r="H676">
        <v>2</v>
      </c>
      <c r="I676" s="3">
        <v>1499</v>
      </c>
      <c r="J676" s="4">
        <v>0</v>
      </c>
      <c r="K676" s="3">
        <v>99</v>
      </c>
      <c r="L676" t="s">
        <v>48</v>
      </c>
      <c r="M676" t="s">
        <v>49</v>
      </c>
      <c r="N676" t="s">
        <v>40</v>
      </c>
      <c r="O676" t="s">
        <v>59</v>
      </c>
      <c r="P676" t="s">
        <v>80</v>
      </c>
      <c r="Q676">
        <v>1</v>
      </c>
      <c r="R676" s="3">
        <f t="shared" si="60"/>
        <v>2998</v>
      </c>
      <c r="S676" s="3">
        <f t="shared" si="61"/>
        <v>0</v>
      </c>
      <c r="T676" s="3">
        <f t="shared" si="62"/>
        <v>3097</v>
      </c>
      <c r="U676" s="3">
        <f t="shared" si="63"/>
        <v>998.40000000000009</v>
      </c>
      <c r="V676" s="4">
        <f t="shared" si="64"/>
        <v>0.32237649338069102</v>
      </c>
      <c r="W676" t="str">
        <f t="shared" si="65"/>
        <v>Dec</v>
      </c>
    </row>
    <row r="677" spans="1:23" x14ac:dyDescent="0.25">
      <c r="A677" t="s">
        <v>1056</v>
      </c>
      <c r="B677" t="s">
        <v>287</v>
      </c>
      <c r="C677" s="2">
        <v>45778.384027777778</v>
      </c>
      <c r="D677" t="s">
        <v>96</v>
      </c>
      <c r="E677" t="s">
        <v>97</v>
      </c>
      <c r="F677" t="s">
        <v>98</v>
      </c>
      <c r="G677" t="s">
        <v>99</v>
      </c>
      <c r="H677">
        <v>1</v>
      </c>
      <c r="I677" s="3">
        <v>1499</v>
      </c>
      <c r="J677" s="4">
        <v>0.1</v>
      </c>
      <c r="K677" s="3">
        <v>59</v>
      </c>
      <c r="L677" t="s">
        <v>48</v>
      </c>
      <c r="M677" t="s">
        <v>49</v>
      </c>
      <c r="N677" t="s">
        <v>31</v>
      </c>
      <c r="O677" t="s">
        <v>51</v>
      </c>
      <c r="P677" t="s">
        <v>33</v>
      </c>
      <c r="R677" s="3">
        <f t="shared" si="60"/>
        <v>1499</v>
      </c>
      <c r="S677" s="3">
        <f t="shared" si="61"/>
        <v>149.9</v>
      </c>
      <c r="T677" s="3">
        <f t="shared" si="62"/>
        <v>1408.1</v>
      </c>
      <c r="U677" s="3">
        <f t="shared" si="63"/>
        <v>358.79999999999995</v>
      </c>
      <c r="V677" s="4">
        <f t="shared" si="64"/>
        <v>0.25481144805056455</v>
      </c>
      <c r="W677" t="str">
        <f t="shared" si="65"/>
        <v>May</v>
      </c>
    </row>
    <row r="678" spans="1:23" x14ac:dyDescent="0.25">
      <c r="A678" t="s">
        <v>1057</v>
      </c>
      <c r="B678" t="s">
        <v>922</v>
      </c>
      <c r="C678" s="2">
        <v>45869.447916666657</v>
      </c>
      <c r="D678" t="s">
        <v>55</v>
      </c>
      <c r="E678" t="s">
        <v>56</v>
      </c>
      <c r="F678" t="s">
        <v>37</v>
      </c>
      <c r="G678" t="s">
        <v>38</v>
      </c>
      <c r="H678">
        <v>2</v>
      </c>
      <c r="I678" s="3">
        <v>2499</v>
      </c>
      <c r="J678" s="4">
        <v>0</v>
      </c>
      <c r="K678" s="3">
        <v>49</v>
      </c>
      <c r="L678" t="s">
        <v>760</v>
      </c>
      <c r="M678" t="s">
        <v>120</v>
      </c>
      <c r="N678" t="s">
        <v>102</v>
      </c>
      <c r="O678" t="s">
        <v>93</v>
      </c>
      <c r="P678" t="s">
        <v>52</v>
      </c>
      <c r="Q678">
        <v>3</v>
      </c>
      <c r="R678" s="3">
        <f t="shared" si="60"/>
        <v>4998</v>
      </c>
      <c r="S678" s="3">
        <f t="shared" si="61"/>
        <v>0</v>
      </c>
      <c r="T678" s="3">
        <f t="shared" si="62"/>
        <v>5047</v>
      </c>
      <c r="U678" s="3">
        <f t="shared" si="63"/>
        <v>1548.4</v>
      </c>
      <c r="V678" s="4">
        <f t="shared" si="64"/>
        <v>0.30679611650485439</v>
      </c>
      <c r="W678" t="str">
        <f t="shared" si="65"/>
        <v>Jul</v>
      </c>
    </row>
    <row r="679" spans="1:23" x14ac:dyDescent="0.25">
      <c r="A679" t="s">
        <v>1058</v>
      </c>
      <c r="B679" t="s">
        <v>1059</v>
      </c>
      <c r="C679" s="2">
        <v>45938.972222222219</v>
      </c>
      <c r="D679" t="s">
        <v>96</v>
      </c>
      <c r="E679" t="s">
        <v>97</v>
      </c>
      <c r="F679" t="s">
        <v>98</v>
      </c>
      <c r="G679" t="s">
        <v>99</v>
      </c>
      <c r="H679">
        <v>2</v>
      </c>
      <c r="I679" s="3">
        <v>1499</v>
      </c>
      <c r="J679" s="4">
        <v>0.2</v>
      </c>
      <c r="K679" s="3">
        <v>0</v>
      </c>
      <c r="L679" t="s">
        <v>1060</v>
      </c>
      <c r="M679" t="s">
        <v>126</v>
      </c>
      <c r="N679" t="s">
        <v>50</v>
      </c>
      <c r="O679" t="s">
        <v>59</v>
      </c>
      <c r="P679" t="s">
        <v>52</v>
      </c>
      <c r="R679" s="3">
        <f t="shared" si="60"/>
        <v>2998</v>
      </c>
      <c r="S679" s="3">
        <f t="shared" si="61"/>
        <v>599.6</v>
      </c>
      <c r="T679" s="3">
        <f t="shared" si="62"/>
        <v>2398.4</v>
      </c>
      <c r="U679" s="3">
        <f t="shared" si="63"/>
        <v>299.80000000000018</v>
      </c>
      <c r="V679" s="4">
        <f t="shared" si="64"/>
        <v>0.12500000000000008</v>
      </c>
      <c r="W679" t="str">
        <f t="shared" si="65"/>
        <v>Oct</v>
      </c>
    </row>
    <row r="680" spans="1:23" x14ac:dyDescent="0.25">
      <c r="A680" t="s">
        <v>1061</v>
      </c>
      <c r="B680" t="s">
        <v>1062</v>
      </c>
      <c r="C680" s="2">
        <v>45760.84652777778</v>
      </c>
      <c r="D680" t="s">
        <v>25</v>
      </c>
      <c r="E680" t="s">
        <v>26</v>
      </c>
      <c r="F680" t="s">
        <v>27</v>
      </c>
      <c r="G680" t="s">
        <v>28</v>
      </c>
      <c r="H680">
        <v>1</v>
      </c>
      <c r="I680" s="3">
        <v>249</v>
      </c>
      <c r="J680" s="4">
        <v>0.15</v>
      </c>
      <c r="K680" s="3">
        <v>0</v>
      </c>
      <c r="L680" t="s">
        <v>100</v>
      </c>
      <c r="M680" t="s">
        <v>101</v>
      </c>
      <c r="N680" t="s">
        <v>50</v>
      </c>
      <c r="O680" t="s">
        <v>41</v>
      </c>
      <c r="P680" t="s">
        <v>33</v>
      </c>
      <c r="Q680">
        <v>5</v>
      </c>
      <c r="R680" s="3">
        <f t="shared" si="60"/>
        <v>249</v>
      </c>
      <c r="S680" s="3">
        <f t="shared" si="61"/>
        <v>37.35</v>
      </c>
      <c r="T680" s="3">
        <f t="shared" si="62"/>
        <v>211.65</v>
      </c>
      <c r="U680" s="3">
        <f t="shared" si="63"/>
        <v>37.350000000000023</v>
      </c>
      <c r="V680" s="4">
        <f t="shared" si="64"/>
        <v>0.17647058823529421</v>
      </c>
      <c r="W680" t="str">
        <f t="shared" si="65"/>
        <v>Apr</v>
      </c>
    </row>
    <row r="681" spans="1:23" x14ac:dyDescent="0.25">
      <c r="A681" t="s">
        <v>1063</v>
      </c>
      <c r="B681" t="s">
        <v>957</v>
      </c>
      <c r="C681" s="2">
        <v>46009.576388888891</v>
      </c>
      <c r="D681" t="s">
        <v>77</v>
      </c>
      <c r="E681" t="s">
        <v>78</v>
      </c>
      <c r="F681" t="s">
        <v>79</v>
      </c>
      <c r="G681" t="s">
        <v>28</v>
      </c>
      <c r="H681">
        <v>3</v>
      </c>
      <c r="I681" s="3">
        <v>6499</v>
      </c>
      <c r="J681" s="4">
        <v>0.1</v>
      </c>
      <c r="K681" s="3">
        <v>79</v>
      </c>
      <c r="L681" t="s">
        <v>100</v>
      </c>
      <c r="M681" t="s">
        <v>101</v>
      </c>
      <c r="N681" t="s">
        <v>71</v>
      </c>
      <c r="O681" t="s">
        <v>41</v>
      </c>
      <c r="P681" t="s">
        <v>33</v>
      </c>
      <c r="R681" s="3">
        <f t="shared" si="60"/>
        <v>19497</v>
      </c>
      <c r="S681" s="3">
        <f t="shared" si="61"/>
        <v>1949.7</v>
      </c>
      <c r="T681" s="3">
        <f t="shared" si="62"/>
        <v>17626.3</v>
      </c>
      <c r="U681" s="3">
        <f t="shared" si="63"/>
        <v>3978.3999999999996</v>
      </c>
      <c r="V681" s="4">
        <f t="shared" si="64"/>
        <v>0.22570817471619115</v>
      </c>
      <c r="W681" t="str">
        <f t="shared" si="65"/>
        <v>Dec</v>
      </c>
    </row>
    <row r="682" spans="1:23" x14ac:dyDescent="0.25">
      <c r="A682" t="s">
        <v>1064</v>
      </c>
      <c r="B682" t="s">
        <v>1065</v>
      </c>
      <c r="C682" s="2">
        <v>45759.101388888892</v>
      </c>
      <c r="D682" t="s">
        <v>44</v>
      </c>
      <c r="E682" t="s">
        <v>45</v>
      </c>
      <c r="F682" t="s">
        <v>46</v>
      </c>
      <c r="G682" t="s">
        <v>47</v>
      </c>
      <c r="H682">
        <v>3</v>
      </c>
      <c r="I682" s="3">
        <v>1199</v>
      </c>
      <c r="J682" s="4">
        <v>0</v>
      </c>
      <c r="K682" s="3">
        <v>79</v>
      </c>
      <c r="L682" t="s">
        <v>74</v>
      </c>
      <c r="M682" t="s">
        <v>49</v>
      </c>
      <c r="N682" t="s">
        <v>102</v>
      </c>
      <c r="O682" t="s">
        <v>41</v>
      </c>
      <c r="P682" t="s">
        <v>33</v>
      </c>
      <c r="Q682">
        <v>1</v>
      </c>
      <c r="R682" s="3">
        <f t="shared" si="60"/>
        <v>3597</v>
      </c>
      <c r="S682" s="3">
        <f t="shared" si="61"/>
        <v>0</v>
      </c>
      <c r="T682" s="3">
        <f t="shared" si="62"/>
        <v>3676</v>
      </c>
      <c r="U682" s="3">
        <f t="shared" si="63"/>
        <v>1158.1000000000004</v>
      </c>
      <c r="V682" s="4">
        <f t="shared" si="64"/>
        <v>0.31504352557127324</v>
      </c>
      <c r="W682" t="str">
        <f t="shared" si="65"/>
        <v>Apr</v>
      </c>
    </row>
    <row r="683" spans="1:23" x14ac:dyDescent="0.25">
      <c r="A683" t="s">
        <v>1066</v>
      </c>
      <c r="B683" t="s">
        <v>739</v>
      </c>
      <c r="C683" s="2">
        <v>45978.331944444442</v>
      </c>
      <c r="D683" t="s">
        <v>35</v>
      </c>
      <c r="E683" t="s">
        <v>36</v>
      </c>
      <c r="F683" t="s">
        <v>37</v>
      </c>
      <c r="G683" t="s">
        <v>38</v>
      </c>
      <c r="H683">
        <v>2</v>
      </c>
      <c r="I683" s="3">
        <v>599</v>
      </c>
      <c r="J683" s="4">
        <v>0.1</v>
      </c>
      <c r="K683" s="3">
        <v>49</v>
      </c>
      <c r="L683" t="s">
        <v>83</v>
      </c>
      <c r="M683" t="s">
        <v>84</v>
      </c>
      <c r="N683" t="s">
        <v>50</v>
      </c>
      <c r="O683" t="s">
        <v>93</v>
      </c>
      <c r="P683" t="s">
        <v>33</v>
      </c>
      <c r="Q683">
        <v>4</v>
      </c>
      <c r="R683" s="3">
        <f t="shared" si="60"/>
        <v>1198</v>
      </c>
      <c r="S683" s="3">
        <f t="shared" si="61"/>
        <v>119.80000000000001</v>
      </c>
      <c r="T683" s="3">
        <f t="shared" si="62"/>
        <v>1127.2</v>
      </c>
      <c r="U683" s="3">
        <f t="shared" si="63"/>
        <v>288.60000000000014</v>
      </c>
      <c r="V683" s="4">
        <f t="shared" si="64"/>
        <v>0.25603264726756575</v>
      </c>
      <c r="W683" t="str">
        <f t="shared" si="65"/>
        <v>Nov</v>
      </c>
    </row>
    <row r="684" spans="1:23" x14ac:dyDescent="0.25">
      <c r="A684" t="s">
        <v>1067</v>
      </c>
      <c r="B684" t="s">
        <v>805</v>
      </c>
      <c r="C684" s="2">
        <v>45734.099305555559</v>
      </c>
      <c r="D684" t="s">
        <v>44</v>
      </c>
      <c r="E684" t="s">
        <v>45</v>
      </c>
      <c r="F684" t="s">
        <v>46</v>
      </c>
      <c r="G684" t="s">
        <v>47</v>
      </c>
      <c r="H684">
        <v>2</v>
      </c>
      <c r="I684" s="3">
        <v>1199</v>
      </c>
      <c r="J684" s="4">
        <v>0.15</v>
      </c>
      <c r="K684" s="3">
        <v>0</v>
      </c>
      <c r="L684" t="s">
        <v>57</v>
      </c>
      <c r="M684" t="s">
        <v>58</v>
      </c>
      <c r="N684" t="s">
        <v>102</v>
      </c>
      <c r="O684" t="s">
        <v>59</v>
      </c>
      <c r="P684" t="s">
        <v>33</v>
      </c>
      <c r="R684" s="3">
        <f t="shared" si="60"/>
        <v>2398</v>
      </c>
      <c r="S684" s="3">
        <f t="shared" si="61"/>
        <v>359.7</v>
      </c>
      <c r="T684" s="3">
        <f t="shared" si="62"/>
        <v>2038.3</v>
      </c>
      <c r="U684" s="3">
        <f t="shared" si="63"/>
        <v>359.70000000000005</v>
      </c>
      <c r="V684" s="4">
        <f t="shared" si="64"/>
        <v>0.17647058823529416</v>
      </c>
      <c r="W684" t="str">
        <f t="shared" si="65"/>
        <v>Mar</v>
      </c>
    </row>
    <row r="685" spans="1:23" x14ac:dyDescent="0.25">
      <c r="A685" t="s">
        <v>1068</v>
      </c>
      <c r="B685" t="s">
        <v>450</v>
      </c>
      <c r="C685" s="2">
        <v>45762.288194444453</v>
      </c>
      <c r="D685" t="s">
        <v>90</v>
      </c>
      <c r="E685" t="s">
        <v>91</v>
      </c>
      <c r="F685" t="s">
        <v>37</v>
      </c>
      <c r="G685" t="s">
        <v>92</v>
      </c>
      <c r="H685">
        <v>1</v>
      </c>
      <c r="I685" s="3">
        <v>3499</v>
      </c>
      <c r="J685" s="4">
        <v>0.05</v>
      </c>
      <c r="K685" s="3">
        <v>79</v>
      </c>
      <c r="L685" t="s">
        <v>119</v>
      </c>
      <c r="M685" t="s">
        <v>120</v>
      </c>
      <c r="N685" t="s">
        <v>50</v>
      </c>
      <c r="O685" t="s">
        <v>59</v>
      </c>
      <c r="P685" t="s">
        <v>33</v>
      </c>
      <c r="R685" s="3">
        <f t="shared" si="60"/>
        <v>3499</v>
      </c>
      <c r="S685" s="3">
        <f t="shared" si="61"/>
        <v>174.95000000000002</v>
      </c>
      <c r="T685" s="3">
        <f t="shared" si="62"/>
        <v>3403.05</v>
      </c>
      <c r="U685" s="3">
        <f t="shared" si="63"/>
        <v>953.75000000000045</v>
      </c>
      <c r="V685" s="4">
        <f t="shared" si="64"/>
        <v>0.28026329322225663</v>
      </c>
      <c r="W685" t="str">
        <f t="shared" si="65"/>
        <v>Apr</v>
      </c>
    </row>
    <row r="686" spans="1:23" x14ac:dyDescent="0.25">
      <c r="A686" t="s">
        <v>1069</v>
      </c>
      <c r="B686" t="s">
        <v>168</v>
      </c>
      <c r="C686" s="2">
        <v>45802.988194444442</v>
      </c>
      <c r="D686" t="s">
        <v>67</v>
      </c>
      <c r="E686" t="s">
        <v>68</v>
      </c>
      <c r="F686" t="s">
        <v>37</v>
      </c>
      <c r="G686" t="s">
        <v>38</v>
      </c>
      <c r="H686">
        <v>1</v>
      </c>
      <c r="I686" s="3">
        <v>1299</v>
      </c>
      <c r="J686" s="4">
        <v>0.1</v>
      </c>
      <c r="K686" s="3">
        <v>49</v>
      </c>
      <c r="L686" t="s">
        <v>125</v>
      </c>
      <c r="M686" t="s">
        <v>126</v>
      </c>
      <c r="N686" t="s">
        <v>430</v>
      </c>
      <c r="O686" t="s">
        <v>93</v>
      </c>
      <c r="P686" t="s">
        <v>33</v>
      </c>
      <c r="Q686">
        <v>3</v>
      </c>
      <c r="R686" s="3">
        <f t="shared" si="60"/>
        <v>1299</v>
      </c>
      <c r="S686" s="3">
        <f t="shared" si="61"/>
        <v>129.9</v>
      </c>
      <c r="T686" s="3">
        <f t="shared" si="62"/>
        <v>1218.0999999999999</v>
      </c>
      <c r="U686" s="3">
        <f t="shared" si="63"/>
        <v>308.79999999999995</v>
      </c>
      <c r="V686" s="4">
        <f t="shared" si="64"/>
        <v>0.25350956407519909</v>
      </c>
      <c r="W686" t="str">
        <f t="shared" si="65"/>
        <v>May</v>
      </c>
    </row>
    <row r="687" spans="1:23" x14ac:dyDescent="0.25">
      <c r="A687" t="s">
        <v>1070</v>
      </c>
      <c r="B687" t="s">
        <v>748</v>
      </c>
      <c r="C687" s="2">
        <v>45785.484027777777</v>
      </c>
      <c r="D687" t="s">
        <v>110</v>
      </c>
      <c r="E687" t="s">
        <v>111</v>
      </c>
      <c r="F687" t="s">
        <v>98</v>
      </c>
      <c r="G687" t="s">
        <v>112</v>
      </c>
      <c r="H687">
        <v>2</v>
      </c>
      <c r="I687" s="3">
        <v>2999</v>
      </c>
      <c r="J687" s="4">
        <v>0.2</v>
      </c>
      <c r="K687" s="3">
        <v>79</v>
      </c>
      <c r="L687" t="s">
        <v>113</v>
      </c>
      <c r="M687" t="s">
        <v>114</v>
      </c>
      <c r="N687" t="s">
        <v>31</v>
      </c>
      <c r="O687" t="s">
        <v>59</v>
      </c>
      <c r="P687" t="s">
        <v>80</v>
      </c>
      <c r="Q687">
        <v>2</v>
      </c>
      <c r="R687" s="3">
        <f t="shared" si="60"/>
        <v>5998</v>
      </c>
      <c r="S687" s="3">
        <f t="shared" si="61"/>
        <v>1199.6000000000001</v>
      </c>
      <c r="T687" s="3">
        <f t="shared" si="62"/>
        <v>4877.3999999999996</v>
      </c>
      <c r="U687" s="3">
        <f t="shared" si="63"/>
        <v>678.80000000000018</v>
      </c>
      <c r="V687" s="4">
        <f t="shared" si="64"/>
        <v>0.13917250994382258</v>
      </c>
      <c r="W687" t="str">
        <f t="shared" si="65"/>
        <v>May</v>
      </c>
    </row>
    <row r="688" spans="1:23" x14ac:dyDescent="0.25">
      <c r="A688" t="s">
        <v>1071</v>
      </c>
      <c r="B688" t="s">
        <v>966</v>
      </c>
      <c r="C688" s="2">
        <v>45854.935416666667</v>
      </c>
      <c r="D688" t="s">
        <v>169</v>
      </c>
      <c r="E688" t="s">
        <v>170</v>
      </c>
      <c r="F688" t="s">
        <v>98</v>
      </c>
      <c r="G688" t="s">
        <v>171</v>
      </c>
      <c r="H688">
        <v>2</v>
      </c>
      <c r="I688" s="3">
        <v>799</v>
      </c>
      <c r="J688" s="4">
        <v>0.15</v>
      </c>
      <c r="K688" s="3">
        <v>59</v>
      </c>
      <c r="L688" t="s">
        <v>57</v>
      </c>
      <c r="M688" t="s">
        <v>58</v>
      </c>
      <c r="N688" t="s">
        <v>31</v>
      </c>
      <c r="O688" t="s">
        <v>32</v>
      </c>
      <c r="P688" t="s">
        <v>80</v>
      </c>
      <c r="Q688">
        <v>1</v>
      </c>
      <c r="R688" s="3">
        <f t="shared" si="60"/>
        <v>1598</v>
      </c>
      <c r="S688" s="3">
        <f t="shared" si="61"/>
        <v>239.7</v>
      </c>
      <c r="T688" s="3">
        <f t="shared" si="62"/>
        <v>1417.3</v>
      </c>
      <c r="U688" s="3">
        <f t="shared" si="63"/>
        <v>298.70000000000005</v>
      </c>
      <c r="V688" s="4">
        <f t="shared" si="64"/>
        <v>0.21075283990686519</v>
      </c>
      <c r="W688" t="str">
        <f t="shared" si="65"/>
        <v>Jul</v>
      </c>
    </row>
    <row r="689" spans="1:23" x14ac:dyDescent="0.25">
      <c r="A689" t="s">
        <v>1072</v>
      </c>
      <c r="B689" t="s">
        <v>656</v>
      </c>
      <c r="C689" s="2">
        <v>45899.484722222223</v>
      </c>
      <c r="D689" t="s">
        <v>35</v>
      </c>
      <c r="E689" t="s">
        <v>36</v>
      </c>
      <c r="F689" t="s">
        <v>37</v>
      </c>
      <c r="G689" t="s">
        <v>38</v>
      </c>
      <c r="H689">
        <v>4</v>
      </c>
      <c r="I689" s="3">
        <v>599</v>
      </c>
      <c r="J689" s="4">
        <v>0.15</v>
      </c>
      <c r="K689" s="3">
        <v>0</v>
      </c>
      <c r="L689" t="s">
        <v>74</v>
      </c>
      <c r="M689" t="s">
        <v>49</v>
      </c>
      <c r="N689" t="s">
        <v>71</v>
      </c>
      <c r="O689" t="s">
        <v>32</v>
      </c>
      <c r="P689" t="s">
        <v>80</v>
      </c>
      <c r="Q689">
        <v>5</v>
      </c>
      <c r="R689" s="3">
        <f t="shared" si="60"/>
        <v>2396</v>
      </c>
      <c r="S689" s="3">
        <f t="shared" si="61"/>
        <v>359.4</v>
      </c>
      <c r="T689" s="3">
        <f t="shared" si="62"/>
        <v>2036.6</v>
      </c>
      <c r="U689" s="3">
        <f t="shared" si="63"/>
        <v>359.40000000000009</v>
      </c>
      <c r="V689" s="4">
        <f t="shared" si="64"/>
        <v>0.17647058823529416</v>
      </c>
      <c r="W689" t="str">
        <f t="shared" si="65"/>
        <v>Aug</v>
      </c>
    </row>
    <row r="690" spans="1:23" x14ac:dyDescent="0.25">
      <c r="A690" t="s">
        <v>1073</v>
      </c>
      <c r="B690" t="s">
        <v>479</v>
      </c>
      <c r="C690" s="2">
        <v>46001.463888888888</v>
      </c>
      <c r="D690" t="s">
        <v>96</v>
      </c>
      <c r="E690" t="s">
        <v>97</v>
      </c>
      <c r="F690" t="s">
        <v>98</v>
      </c>
      <c r="G690" t="s">
        <v>99</v>
      </c>
      <c r="H690">
        <v>5</v>
      </c>
      <c r="I690" s="3">
        <v>1499</v>
      </c>
      <c r="J690" s="4">
        <v>0</v>
      </c>
      <c r="K690" s="3">
        <v>99</v>
      </c>
      <c r="L690" t="s">
        <v>48</v>
      </c>
      <c r="M690" t="s">
        <v>49</v>
      </c>
      <c r="N690" t="s">
        <v>71</v>
      </c>
      <c r="O690" t="s">
        <v>41</v>
      </c>
      <c r="P690" t="s">
        <v>85</v>
      </c>
      <c r="Q690">
        <v>5</v>
      </c>
      <c r="R690" s="3">
        <f t="shared" si="60"/>
        <v>7495</v>
      </c>
      <c r="S690" s="3">
        <f t="shared" si="61"/>
        <v>0</v>
      </c>
      <c r="T690" s="3">
        <f t="shared" si="62"/>
        <v>7594</v>
      </c>
      <c r="U690" s="3">
        <f t="shared" si="63"/>
        <v>2347.5</v>
      </c>
      <c r="V690" s="4">
        <f t="shared" si="64"/>
        <v>0.3091256254938109</v>
      </c>
      <c r="W690" t="str">
        <f t="shared" si="65"/>
        <v>Dec</v>
      </c>
    </row>
    <row r="691" spans="1:23" x14ac:dyDescent="0.25">
      <c r="A691" t="s">
        <v>1074</v>
      </c>
      <c r="B691" t="s">
        <v>597</v>
      </c>
      <c r="C691" s="2">
        <v>45725.097222222219</v>
      </c>
      <c r="D691" t="s">
        <v>90</v>
      </c>
      <c r="E691" t="s">
        <v>91</v>
      </c>
      <c r="F691" t="s">
        <v>37</v>
      </c>
      <c r="G691" t="s">
        <v>92</v>
      </c>
      <c r="H691">
        <v>3</v>
      </c>
      <c r="I691" s="3">
        <v>3499</v>
      </c>
      <c r="J691" s="4">
        <v>0.15</v>
      </c>
      <c r="K691" s="3">
        <v>79</v>
      </c>
      <c r="L691" t="s">
        <v>74</v>
      </c>
      <c r="M691" t="s">
        <v>49</v>
      </c>
      <c r="N691" t="s">
        <v>71</v>
      </c>
      <c r="O691" t="s">
        <v>93</v>
      </c>
      <c r="P691" t="s">
        <v>80</v>
      </c>
      <c r="Q691">
        <v>3</v>
      </c>
      <c r="R691" s="3">
        <f t="shared" si="60"/>
        <v>10497</v>
      </c>
      <c r="S691" s="3">
        <f t="shared" si="61"/>
        <v>1574.55</v>
      </c>
      <c r="T691" s="3">
        <f t="shared" si="62"/>
        <v>9001.4500000000007</v>
      </c>
      <c r="U691" s="3">
        <f t="shared" si="63"/>
        <v>1653.5500000000011</v>
      </c>
      <c r="V691" s="4">
        <f t="shared" si="64"/>
        <v>0.1836981819595733</v>
      </c>
      <c r="W691" t="str">
        <f t="shared" si="65"/>
        <v>Mar</v>
      </c>
    </row>
    <row r="692" spans="1:23" x14ac:dyDescent="0.25">
      <c r="A692" t="s">
        <v>1075</v>
      </c>
      <c r="B692" t="s">
        <v>76</v>
      </c>
      <c r="C692" s="2">
        <v>45801.974305555559</v>
      </c>
      <c r="D692" t="s">
        <v>35</v>
      </c>
      <c r="E692" t="s">
        <v>36</v>
      </c>
      <c r="F692" t="s">
        <v>37</v>
      </c>
      <c r="G692" t="s">
        <v>38</v>
      </c>
      <c r="H692">
        <v>2</v>
      </c>
      <c r="I692" s="3">
        <v>599</v>
      </c>
      <c r="J692" s="4">
        <v>0.05</v>
      </c>
      <c r="K692" s="3">
        <v>59</v>
      </c>
      <c r="L692" t="s">
        <v>100</v>
      </c>
      <c r="M692" t="s">
        <v>101</v>
      </c>
      <c r="N692" t="s">
        <v>102</v>
      </c>
      <c r="O692" t="s">
        <v>51</v>
      </c>
      <c r="P692" t="s">
        <v>52</v>
      </c>
      <c r="Q692">
        <v>4</v>
      </c>
      <c r="R692" s="3">
        <f t="shared" si="60"/>
        <v>1198</v>
      </c>
      <c r="S692" s="3">
        <f t="shared" si="61"/>
        <v>59.900000000000006</v>
      </c>
      <c r="T692" s="3">
        <f t="shared" si="62"/>
        <v>1197.0999999999999</v>
      </c>
      <c r="U692" s="3">
        <f t="shared" si="63"/>
        <v>358.5</v>
      </c>
      <c r="V692" s="4">
        <f t="shared" si="64"/>
        <v>0.29947372817642637</v>
      </c>
      <c r="W692" t="str">
        <f t="shared" si="65"/>
        <v>May</v>
      </c>
    </row>
    <row r="693" spans="1:23" x14ac:dyDescent="0.25">
      <c r="A693" t="s">
        <v>1076</v>
      </c>
      <c r="B693" t="s">
        <v>356</v>
      </c>
      <c r="C693" s="2">
        <v>45909.190972222219</v>
      </c>
      <c r="D693" t="s">
        <v>105</v>
      </c>
      <c r="E693" t="s">
        <v>106</v>
      </c>
      <c r="F693" t="s">
        <v>37</v>
      </c>
      <c r="G693" t="s">
        <v>107</v>
      </c>
      <c r="H693">
        <v>2</v>
      </c>
      <c r="I693" s="3">
        <v>1799</v>
      </c>
      <c r="J693" s="4">
        <v>0.2</v>
      </c>
      <c r="K693" s="3">
        <v>79</v>
      </c>
      <c r="L693" t="s">
        <v>74</v>
      </c>
      <c r="M693" t="s">
        <v>49</v>
      </c>
      <c r="N693" t="s">
        <v>50</v>
      </c>
      <c r="O693" t="s">
        <v>41</v>
      </c>
      <c r="P693" t="s">
        <v>80</v>
      </c>
      <c r="Q693">
        <v>1</v>
      </c>
      <c r="R693" s="3">
        <f t="shared" si="60"/>
        <v>3598</v>
      </c>
      <c r="S693" s="3">
        <f t="shared" si="61"/>
        <v>719.6</v>
      </c>
      <c r="T693" s="3">
        <f t="shared" si="62"/>
        <v>2957.4</v>
      </c>
      <c r="U693" s="3">
        <f t="shared" si="63"/>
        <v>438.80000000000018</v>
      </c>
      <c r="V693" s="4">
        <f t="shared" si="64"/>
        <v>0.14837357138026649</v>
      </c>
      <c r="W693" t="str">
        <f t="shared" si="65"/>
        <v>Sep</v>
      </c>
    </row>
    <row r="694" spans="1:23" x14ac:dyDescent="0.25">
      <c r="A694" t="s">
        <v>1077</v>
      </c>
      <c r="B694" t="s">
        <v>261</v>
      </c>
      <c r="C694" s="2">
        <v>45791.239583333343</v>
      </c>
      <c r="D694" t="s">
        <v>67</v>
      </c>
      <c r="E694" t="s">
        <v>68</v>
      </c>
      <c r="F694" t="s">
        <v>37</v>
      </c>
      <c r="G694" t="s">
        <v>38</v>
      </c>
      <c r="H694">
        <v>1</v>
      </c>
      <c r="I694" s="3">
        <v>1299</v>
      </c>
      <c r="J694" s="4">
        <v>0.1</v>
      </c>
      <c r="K694" s="3">
        <v>0</v>
      </c>
      <c r="L694" t="s">
        <v>401</v>
      </c>
      <c r="M694" t="s">
        <v>101</v>
      </c>
      <c r="N694" t="s">
        <v>31</v>
      </c>
      <c r="O694" t="s">
        <v>59</v>
      </c>
      <c r="P694" t="s">
        <v>52</v>
      </c>
      <c r="Q694">
        <v>3</v>
      </c>
      <c r="R694" s="3">
        <f t="shared" si="60"/>
        <v>1299</v>
      </c>
      <c r="S694" s="3">
        <f t="shared" si="61"/>
        <v>129.9</v>
      </c>
      <c r="T694" s="3">
        <f t="shared" si="62"/>
        <v>1169.0999999999999</v>
      </c>
      <c r="U694" s="3">
        <f t="shared" si="63"/>
        <v>259.79999999999995</v>
      </c>
      <c r="V694" s="4">
        <f t="shared" si="64"/>
        <v>0.22222222222222221</v>
      </c>
      <c r="W694" t="str">
        <f t="shared" si="65"/>
        <v>May</v>
      </c>
    </row>
    <row r="695" spans="1:23" x14ac:dyDescent="0.25">
      <c r="A695" t="s">
        <v>1078</v>
      </c>
      <c r="C695" s="2">
        <v>45910.162499999999</v>
      </c>
      <c r="D695" t="s">
        <v>77</v>
      </c>
      <c r="E695" t="s">
        <v>78</v>
      </c>
      <c r="F695" t="s">
        <v>79</v>
      </c>
      <c r="G695" t="s">
        <v>28</v>
      </c>
      <c r="H695">
        <v>2</v>
      </c>
      <c r="I695" s="3">
        <v>6499</v>
      </c>
      <c r="J695" s="4">
        <v>0</v>
      </c>
      <c r="K695" s="3">
        <v>0</v>
      </c>
      <c r="L695" t="s">
        <v>83</v>
      </c>
      <c r="M695" t="s">
        <v>84</v>
      </c>
      <c r="N695" t="s">
        <v>31</v>
      </c>
      <c r="O695" t="s">
        <v>41</v>
      </c>
      <c r="P695" t="s">
        <v>80</v>
      </c>
      <c r="R695" s="3">
        <f t="shared" si="60"/>
        <v>12998</v>
      </c>
      <c r="S695" s="3">
        <f t="shared" si="61"/>
        <v>0</v>
      </c>
      <c r="T695" s="3">
        <f t="shared" si="62"/>
        <v>12998</v>
      </c>
      <c r="U695" s="3">
        <f t="shared" si="63"/>
        <v>3899.4000000000015</v>
      </c>
      <c r="V695" s="4">
        <f t="shared" si="64"/>
        <v>0.3000000000000001</v>
      </c>
      <c r="W695" t="str">
        <f t="shared" si="65"/>
        <v>Sep</v>
      </c>
    </row>
    <row r="696" spans="1:23" x14ac:dyDescent="0.25">
      <c r="A696" t="s">
        <v>1079</v>
      </c>
      <c r="B696" t="s">
        <v>445</v>
      </c>
      <c r="C696" s="2">
        <v>45918.35833333333</v>
      </c>
      <c r="D696" t="s">
        <v>110</v>
      </c>
      <c r="E696" t="s">
        <v>111</v>
      </c>
      <c r="F696" t="s">
        <v>98</v>
      </c>
      <c r="G696" t="s">
        <v>112</v>
      </c>
      <c r="H696">
        <v>3</v>
      </c>
      <c r="I696" s="3">
        <v>2999</v>
      </c>
      <c r="J696" s="4">
        <v>0.15</v>
      </c>
      <c r="K696" s="3">
        <v>49</v>
      </c>
      <c r="L696" t="s">
        <v>100</v>
      </c>
      <c r="M696" t="s">
        <v>101</v>
      </c>
      <c r="N696" t="s">
        <v>31</v>
      </c>
      <c r="O696" t="s">
        <v>32</v>
      </c>
      <c r="P696" t="s">
        <v>80</v>
      </c>
      <c r="R696" s="3">
        <f t="shared" si="60"/>
        <v>8997</v>
      </c>
      <c r="S696" s="3">
        <f t="shared" si="61"/>
        <v>1349.55</v>
      </c>
      <c r="T696" s="3">
        <f t="shared" si="62"/>
        <v>7696.45</v>
      </c>
      <c r="U696" s="3">
        <f t="shared" si="63"/>
        <v>1398.5500000000002</v>
      </c>
      <c r="V696" s="4">
        <f t="shared" si="64"/>
        <v>0.18171364720098229</v>
      </c>
      <c r="W696" t="str">
        <f t="shared" si="65"/>
        <v>Sep</v>
      </c>
    </row>
    <row r="697" spans="1:23" x14ac:dyDescent="0.25">
      <c r="A697" t="s">
        <v>1080</v>
      </c>
      <c r="B697" t="s">
        <v>1081</v>
      </c>
      <c r="C697" s="2">
        <v>45697.325694444437</v>
      </c>
      <c r="D697" t="s">
        <v>44</v>
      </c>
      <c r="E697" t="s">
        <v>45</v>
      </c>
      <c r="F697" t="s">
        <v>46</v>
      </c>
      <c r="G697" t="s">
        <v>47</v>
      </c>
      <c r="H697">
        <v>1</v>
      </c>
      <c r="I697" s="3">
        <v>1199</v>
      </c>
      <c r="J697" s="4">
        <v>0.2</v>
      </c>
      <c r="K697" s="3">
        <v>0</v>
      </c>
      <c r="L697" t="s">
        <v>100</v>
      </c>
      <c r="M697" t="s">
        <v>101</v>
      </c>
      <c r="N697" t="s">
        <v>31</v>
      </c>
      <c r="O697" t="s">
        <v>51</v>
      </c>
      <c r="P697" t="s">
        <v>52</v>
      </c>
      <c r="R697" s="3">
        <f t="shared" si="60"/>
        <v>1199</v>
      </c>
      <c r="S697" s="3">
        <f t="shared" si="61"/>
        <v>239.8</v>
      </c>
      <c r="T697" s="3">
        <f t="shared" si="62"/>
        <v>959.2</v>
      </c>
      <c r="U697" s="3">
        <f t="shared" si="63"/>
        <v>119.90000000000009</v>
      </c>
      <c r="V697" s="4">
        <f t="shared" si="64"/>
        <v>0.12500000000000008</v>
      </c>
      <c r="W697" t="str">
        <f t="shared" si="65"/>
        <v>Feb</v>
      </c>
    </row>
    <row r="698" spans="1:23" x14ac:dyDescent="0.25">
      <c r="A698" t="s">
        <v>1082</v>
      </c>
      <c r="B698" t="s">
        <v>618</v>
      </c>
      <c r="C698" s="2">
        <v>45960.161805555559</v>
      </c>
      <c r="D698" t="s">
        <v>25</v>
      </c>
      <c r="E698" t="s">
        <v>26</v>
      </c>
      <c r="F698" t="s">
        <v>27</v>
      </c>
      <c r="G698" t="s">
        <v>28</v>
      </c>
      <c r="H698">
        <v>1</v>
      </c>
      <c r="I698" s="3">
        <v>249</v>
      </c>
      <c r="J698" s="4">
        <v>0</v>
      </c>
      <c r="K698" s="3">
        <v>0</v>
      </c>
      <c r="L698" t="s">
        <v>29</v>
      </c>
      <c r="M698" t="s">
        <v>30</v>
      </c>
      <c r="N698" t="s">
        <v>40</v>
      </c>
      <c r="O698" t="s">
        <v>59</v>
      </c>
      <c r="P698" t="s">
        <v>33</v>
      </c>
      <c r="Q698">
        <v>4</v>
      </c>
      <c r="R698" s="3">
        <f t="shared" si="60"/>
        <v>249</v>
      </c>
      <c r="S698" s="3">
        <f t="shared" si="61"/>
        <v>0</v>
      </c>
      <c r="T698" s="3">
        <f t="shared" si="62"/>
        <v>249</v>
      </c>
      <c r="U698" s="3">
        <f t="shared" si="63"/>
        <v>74.700000000000017</v>
      </c>
      <c r="V698" s="4">
        <f t="shared" si="64"/>
        <v>0.30000000000000004</v>
      </c>
      <c r="W698" t="str">
        <f t="shared" si="65"/>
        <v>Oct</v>
      </c>
    </row>
    <row r="699" spans="1:23" x14ac:dyDescent="0.25">
      <c r="A699" t="s">
        <v>1083</v>
      </c>
      <c r="B699" t="s">
        <v>1084</v>
      </c>
      <c r="C699" s="2">
        <v>45660.418055555558</v>
      </c>
      <c r="D699" t="s">
        <v>25</v>
      </c>
      <c r="E699" t="s">
        <v>26</v>
      </c>
      <c r="F699" t="s">
        <v>27</v>
      </c>
      <c r="G699" t="s">
        <v>28</v>
      </c>
      <c r="H699">
        <v>2</v>
      </c>
      <c r="I699" s="3">
        <v>249</v>
      </c>
      <c r="J699" s="4">
        <v>0.15</v>
      </c>
      <c r="K699" s="3">
        <v>79</v>
      </c>
      <c r="L699" t="s">
        <v>48</v>
      </c>
      <c r="M699" t="s">
        <v>49</v>
      </c>
      <c r="N699" t="s">
        <v>102</v>
      </c>
      <c r="O699" t="s">
        <v>41</v>
      </c>
      <c r="P699" t="s">
        <v>80</v>
      </c>
      <c r="Q699">
        <v>2</v>
      </c>
      <c r="R699" s="3">
        <f t="shared" si="60"/>
        <v>498</v>
      </c>
      <c r="S699" s="3">
        <f t="shared" si="61"/>
        <v>74.7</v>
      </c>
      <c r="T699" s="3">
        <f t="shared" si="62"/>
        <v>502.3</v>
      </c>
      <c r="U699" s="3">
        <f t="shared" si="63"/>
        <v>153.70000000000005</v>
      </c>
      <c r="V699" s="4">
        <f t="shared" si="64"/>
        <v>0.30599243479992044</v>
      </c>
      <c r="W699" t="str">
        <f t="shared" si="65"/>
        <v>Jan</v>
      </c>
    </row>
    <row r="700" spans="1:23" x14ac:dyDescent="0.25">
      <c r="A700" t="s">
        <v>1085</v>
      </c>
      <c r="B700" t="s">
        <v>177</v>
      </c>
      <c r="C700" s="2">
        <v>45686.961111111108</v>
      </c>
      <c r="D700" t="s">
        <v>35</v>
      </c>
      <c r="E700" t="s">
        <v>36</v>
      </c>
      <c r="F700" t="s">
        <v>37</v>
      </c>
      <c r="G700" t="s">
        <v>38</v>
      </c>
      <c r="H700">
        <v>1</v>
      </c>
      <c r="I700" s="3">
        <v>599</v>
      </c>
      <c r="J700" s="4">
        <v>0.15</v>
      </c>
      <c r="K700" s="3">
        <v>79</v>
      </c>
      <c r="L700" t="s">
        <v>48</v>
      </c>
      <c r="M700" t="s">
        <v>49</v>
      </c>
      <c r="N700" t="s">
        <v>40</v>
      </c>
      <c r="O700" t="s">
        <v>635</v>
      </c>
      <c r="P700" t="s">
        <v>85</v>
      </c>
      <c r="Q700">
        <v>2</v>
      </c>
      <c r="R700" s="3">
        <f t="shared" si="60"/>
        <v>599</v>
      </c>
      <c r="S700" s="3">
        <f t="shared" si="61"/>
        <v>89.85</v>
      </c>
      <c r="T700" s="3">
        <f t="shared" si="62"/>
        <v>588.15</v>
      </c>
      <c r="U700" s="3">
        <f t="shared" si="63"/>
        <v>168.85000000000002</v>
      </c>
      <c r="V700" s="4">
        <f t="shared" si="64"/>
        <v>0.2870866275609964</v>
      </c>
      <c r="W700" t="str">
        <f t="shared" si="65"/>
        <v>Jan</v>
      </c>
    </row>
    <row r="701" spans="1:23" x14ac:dyDescent="0.25">
      <c r="A701" t="s">
        <v>1086</v>
      </c>
      <c r="B701" t="s">
        <v>207</v>
      </c>
      <c r="C701" s="2">
        <v>45764.224999999999</v>
      </c>
      <c r="D701" t="s">
        <v>67</v>
      </c>
      <c r="E701" t="s">
        <v>68</v>
      </c>
      <c r="F701" t="s">
        <v>37</v>
      </c>
      <c r="G701" t="s">
        <v>38</v>
      </c>
      <c r="H701">
        <v>1</v>
      </c>
      <c r="I701" s="3">
        <v>1299</v>
      </c>
      <c r="J701" s="4">
        <v>0.05</v>
      </c>
      <c r="K701" s="3">
        <v>49</v>
      </c>
      <c r="L701" t="s">
        <v>57</v>
      </c>
      <c r="M701" t="s">
        <v>58</v>
      </c>
      <c r="N701" t="s">
        <v>71</v>
      </c>
      <c r="O701" t="s">
        <v>59</v>
      </c>
      <c r="P701" t="s">
        <v>52</v>
      </c>
      <c r="R701" s="3">
        <f t="shared" si="60"/>
        <v>1299</v>
      </c>
      <c r="S701" s="3">
        <f t="shared" si="61"/>
        <v>64.95</v>
      </c>
      <c r="T701" s="3">
        <f t="shared" si="62"/>
        <v>1283.05</v>
      </c>
      <c r="U701" s="3">
        <f t="shared" si="63"/>
        <v>373.75</v>
      </c>
      <c r="V701" s="4">
        <f t="shared" si="64"/>
        <v>0.29129807879661745</v>
      </c>
      <c r="W701" t="str">
        <f t="shared" si="65"/>
        <v>Apr</v>
      </c>
    </row>
    <row r="702" spans="1:23" x14ac:dyDescent="0.25">
      <c r="A702" t="s">
        <v>1087</v>
      </c>
      <c r="B702" t="s">
        <v>695</v>
      </c>
      <c r="C702" s="2">
        <v>45966.181944444441</v>
      </c>
      <c r="D702" t="s">
        <v>96</v>
      </c>
      <c r="E702" t="s">
        <v>97</v>
      </c>
      <c r="F702" t="s">
        <v>98</v>
      </c>
      <c r="G702" t="s">
        <v>99</v>
      </c>
      <c r="H702">
        <v>4</v>
      </c>
      <c r="I702" s="3">
        <v>1499</v>
      </c>
      <c r="J702" s="4">
        <v>0</v>
      </c>
      <c r="K702" s="3">
        <v>59</v>
      </c>
      <c r="L702" t="s">
        <v>48</v>
      </c>
      <c r="M702" t="s">
        <v>49</v>
      </c>
      <c r="N702" t="s">
        <v>50</v>
      </c>
      <c r="O702" t="s">
        <v>59</v>
      </c>
      <c r="P702" t="s">
        <v>80</v>
      </c>
      <c r="Q702">
        <v>4</v>
      </c>
      <c r="R702" s="3">
        <f t="shared" si="60"/>
        <v>5996</v>
      </c>
      <c r="S702" s="3">
        <f t="shared" si="61"/>
        <v>0</v>
      </c>
      <c r="T702" s="3">
        <f t="shared" si="62"/>
        <v>6055</v>
      </c>
      <c r="U702" s="3">
        <f t="shared" si="63"/>
        <v>1857.8000000000002</v>
      </c>
      <c r="V702" s="4">
        <f t="shared" si="64"/>
        <v>0.30682080924855493</v>
      </c>
      <c r="W702" t="str">
        <f t="shared" si="65"/>
        <v>Nov</v>
      </c>
    </row>
    <row r="703" spans="1:23" x14ac:dyDescent="0.25">
      <c r="A703" t="s">
        <v>1088</v>
      </c>
      <c r="B703" t="s">
        <v>436</v>
      </c>
      <c r="C703" s="2">
        <v>45965.545138888891</v>
      </c>
      <c r="D703" t="s">
        <v>96</v>
      </c>
      <c r="E703" t="s">
        <v>97</v>
      </c>
      <c r="F703" t="s">
        <v>98</v>
      </c>
      <c r="G703" t="s">
        <v>99</v>
      </c>
      <c r="H703">
        <v>1</v>
      </c>
      <c r="I703" s="3">
        <v>1499</v>
      </c>
      <c r="J703" s="4">
        <v>0.05</v>
      </c>
      <c r="K703" s="3">
        <v>99</v>
      </c>
      <c r="L703" t="s">
        <v>119</v>
      </c>
      <c r="M703" t="s">
        <v>120</v>
      </c>
      <c r="N703" t="s">
        <v>40</v>
      </c>
      <c r="O703" t="s">
        <v>59</v>
      </c>
      <c r="P703" t="s">
        <v>52</v>
      </c>
      <c r="Q703">
        <v>1</v>
      </c>
      <c r="R703" s="3">
        <f t="shared" si="60"/>
        <v>1499</v>
      </c>
      <c r="S703" s="3">
        <f t="shared" si="61"/>
        <v>74.95</v>
      </c>
      <c r="T703" s="3">
        <f t="shared" si="62"/>
        <v>1523.05</v>
      </c>
      <c r="U703" s="3">
        <f t="shared" si="63"/>
        <v>473.75</v>
      </c>
      <c r="V703" s="4">
        <f t="shared" si="64"/>
        <v>0.3110534782180493</v>
      </c>
      <c r="W703" t="str">
        <f t="shared" si="65"/>
        <v>Nov</v>
      </c>
    </row>
    <row r="704" spans="1:23" x14ac:dyDescent="0.25">
      <c r="A704" t="s">
        <v>1089</v>
      </c>
      <c r="B704" t="s">
        <v>261</v>
      </c>
      <c r="C704" s="2">
        <v>45895.884722222218</v>
      </c>
      <c r="D704" t="s">
        <v>35</v>
      </c>
      <c r="E704" t="s">
        <v>36</v>
      </c>
      <c r="F704" t="s">
        <v>37</v>
      </c>
      <c r="G704" t="s">
        <v>38</v>
      </c>
      <c r="H704">
        <v>1</v>
      </c>
      <c r="I704" s="3">
        <v>599</v>
      </c>
      <c r="J704" s="4">
        <v>0.2</v>
      </c>
      <c r="K704" s="3">
        <v>49</v>
      </c>
      <c r="L704" t="s">
        <v>83</v>
      </c>
      <c r="M704" t="s">
        <v>84</v>
      </c>
      <c r="N704" t="s">
        <v>102</v>
      </c>
      <c r="O704" t="s">
        <v>32</v>
      </c>
      <c r="P704" t="s">
        <v>80</v>
      </c>
      <c r="Q704">
        <v>1</v>
      </c>
      <c r="R704" s="3">
        <f t="shared" si="60"/>
        <v>599</v>
      </c>
      <c r="S704" s="3">
        <f t="shared" si="61"/>
        <v>119.80000000000001</v>
      </c>
      <c r="T704" s="3">
        <f t="shared" si="62"/>
        <v>528.20000000000005</v>
      </c>
      <c r="U704" s="3">
        <f t="shared" si="63"/>
        <v>108.90000000000009</v>
      </c>
      <c r="V704" s="4">
        <f t="shared" si="64"/>
        <v>0.20617190458159804</v>
      </c>
      <c r="W704" t="str">
        <f t="shared" si="65"/>
        <v>Aug</v>
      </c>
    </row>
    <row r="705" spans="1:23" x14ac:dyDescent="0.25">
      <c r="A705" t="s">
        <v>1090</v>
      </c>
      <c r="B705" t="s">
        <v>534</v>
      </c>
      <c r="C705" s="2">
        <v>45902.381249999999</v>
      </c>
      <c r="D705" t="s">
        <v>110</v>
      </c>
      <c r="E705" t="s">
        <v>111</v>
      </c>
      <c r="F705" t="s">
        <v>98</v>
      </c>
      <c r="G705" t="s">
        <v>112</v>
      </c>
      <c r="H705">
        <v>1</v>
      </c>
      <c r="I705" s="3">
        <v>2999</v>
      </c>
      <c r="J705" s="4">
        <v>0.2</v>
      </c>
      <c r="K705" s="3">
        <v>59</v>
      </c>
      <c r="L705" t="s">
        <v>119</v>
      </c>
      <c r="M705" t="s">
        <v>120</v>
      </c>
      <c r="N705" t="s">
        <v>102</v>
      </c>
      <c r="O705" t="s">
        <v>59</v>
      </c>
      <c r="P705" t="s">
        <v>33</v>
      </c>
      <c r="Q705">
        <v>3</v>
      </c>
      <c r="R705" s="3">
        <f t="shared" si="60"/>
        <v>2999</v>
      </c>
      <c r="S705" s="3">
        <f t="shared" si="61"/>
        <v>599.80000000000007</v>
      </c>
      <c r="T705" s="3">
        <f t="shared" si="62"/>
        <v>2458.1999999999998</v>
      </c>
      <c r="U705" s="3">
        <f t="shared" si="63"/>
        <v>358.90000000000009</v>
      </c>
      <c r="V705" s="4">
        <f t="shared" si="64"/>
        <v>0.14600113904482959</v>
      </c>
      <c r="W705" t="str">
        <f t="shared" si="65"/>
        <v>Sep</v>
      </c>
    </row>
    <row r="706" spans="1:23" x14ac:dyDescent="0.25">
      <c r="A706" t="s">
        <v>1091</v>
      </c>
      <c r="B706" t="s">
        <v>1092</v>
      </c>
      <c r="C706" s="2">
        <v>45681.67083333333</v>
      </c>
      <c r="D706" t="s">
        <v>44</v>
      </c>
      <c r="E706" t="s">
        <v>45</v>
      </c>
      <c r="F706" t="s">
        <v>46</v>
      </c>
      <c r="G706" t="s">
        <v>47</v>
      </c>
      <c r="H706">
        <v>2</v>
      </c>
      <c r="I706" s="3">
        <v>1199</v>
      </c>
      <c r="J706" s="4">
        <v>0.1</v>
      </c>
      <c r="K706" s="3">
        <v>79</v>
      </c>
      <c r="L706" t="s">
        <v>39</v>
      </c>
      <c r="M706" t="s">
        <v>39</v>
      </c>
      <c r="N706" t="s">
        <v>40</v>
      </c>
      <c r="O706" t="s">
        <v>32</v>
      </c>
      <c r="P706" t="s">
        <v>85</v>
      </c>
      <c r="R706" s="3">
        <f t="shared" ref="R706:R769" si="66">IFERROR(H706*I706,"")</f>
        <v>2398</v>
      </c>
      <c r="S706" s="3">
        <f t="shared" ref="S706:S769" si="67">IFERROR(R706*J706,"")</f>
        <v>239.8</v>
      </c>
      <c r="T706" s="3">
        <f t="shared" ref="T706:T769" si="68">IFERROR(R706-S706+K706,"")</f>
        <v>2237.1999999999998</v>
      </c>
      <c r="U706" s="3">
        <f t="shared" ref="U706:U769" si="69">IFERROR(T706-(R706*70%),"")</f>
        <v>558.59999999999991</v>
      </c>
      <c r="V706" s="4">
        <f t="shared" ref="V706:V769" si="70">IFERROR(U706/T706,"")</f>
        <v>0.24968710888610762</v>
      </c>
      <c r="W706" t="str">
        <f t="shared" ref="W706:W769" si="71">IFERROR(TEXT(C706,"mmm"),"")</f>
        <v>Jan</v>
      </c>
    </row>
    <row r="707" spans="1:23" x14ac:dyDescent="0.25">
      <c r="A707" t="s">
        <v>1093</v>
      </c>
      <c r="B707" t="s">
        <v>479</v>
      </c>
      <c r="C707" s="2">
        <v>45699.667361111111</v>
      </c>
      <c r="D707" t="s">
        <v>110</v>
      </c>
      <c r="E707" t="s">
        <v>111</v>
      </c>
      <c r="F707" t="s">
        <v>98</v>
      </c>
      <c r="G707" t="s">
        <v>112</v>
      </c>
      <c r="H707">
        <v>1</v>
      </c>
      <c r="I707" s="3">
        <v>2999</v>
      </c>
      <c r="J707" s="4">
        <v>0.2</v>
      </c>
      <c r="K707" s="3">
        <v>79</v>
      </c>
      <c r="L707" t="s">
        <v>74</v>
      </c>
      <c r="M707" t="s">
        <v>49</v>
      </c>
      <c r="N707" t="s">
        <v>50</v>
      </c>
      <c r="O707" t="s">
        <v>59</v>
      </c>
      <c r="P707" t="s">
        <v>33</v>
      </c>
      <c r="Q707">
        <v>1</v>
      </c>
      <c r="R707" s="3">
        <f t="shared" si="66"/>
        <v>2999</v>
      </c>
      <c r="S707" s="3">
        <f t="shared" si="67"/>
        <v>599.80000000000007</v>
      </c>
      <c r="T707" s="3">
        <f t="shared" si="68"/>
        <v>2478.1999999999998</v>
      </c>
      <c r="U707" s="3">
        <f t="shared" si="69"/>
        <v>378.90000000000009</v>
      </c>
      <c r="V707" s="4">
        <f t="shared" si="70"/>
        <v>0.15289322895650073</v>
      </c>
      <c r="W707" t="str">
        <f t="shared" si="71"/>
        <v>Feb</v>
      </c>
    </row>
    <row r="708" spans="1:23" x14ac:dyDescent="0.25">
      <c r="A708" t="s">
        <v>1094</v>
      </c>
      <c r="B708" t="s">
        <v>76</v>
      </c>
      <c r="C708" s="2">
        <v>45810.442361111112</v>
      </c>
      <c r="D708" t="s">
        <v>55</v>
      </c>
      <c r="E708" t="s">
        <v>56</v>
      </c>
      <c r="F708" t="s">
        <v>37</v>
      </c>
      <c r="G708" t="s">
        <v>38</v>
      </c>
      <c r="H708">
        <v>3</v>
      </c>
      <c r="I708" s="3">
        <v>2499</v>
      </c>
      <c r="J708" s="4">
        <v>0.1</v>
      </c>
      <c r="K708" s="3">
        <v>79</v>
      </c>
      <c r="L708" t="s">
        <v>57</v>
      </c>
      <c r="M708" t="s">
        <v>58</v>
      </c>
      <c r="N708" t="s">
        <v>71</v>
      </c>
      <c r="O708" t="s">
        <v>41</v>
      </c>
      <c r="P708" t="s">
        <v>80</v>
      </c>
      <c r="Q708">
        <v>2</v>
      </c>
      <c r="R708" s="3">
        <f t="shared" si="66"/>
        <v>7497</v>
      </c>
      <c r="S708" s="3">
        <f t="shared" si="67"/>
        <v>749.7</v>
      </c>
      <c r="T708" s="3">
        <f t="shared" si="68"/>
        <v>6826.3</v>
      </c>
      <c r="U708" s="3">
        <f t="shared" si="69"/>
        <v>1578.4000000000005</v>
      </c>
      <c r="V708" s="4">
        <f t="shared" si="70"/>
        <v>0.23122335672326158</v>
      </c>
      <c r="W708" t="str">
        <f t="shared" si="71"/>
        <v>Jun</v>
      </c>
    </row>
    <row r="709" spans="1:23" x14ac:dyDescent="0.25">
      <c r="A709" t="s">
        <v>1095</v>
      </c>
      <c r="B709" t="s">
        <v>224</v>
      </c>
      <c r="C709" s="2">
        <v>45967.371527777781</v>
      </c>
      <c r="D709" t="s">
        <v>105</v>
      </c>
      <c r="E709" t="s">
        <v>106</v>
      </c>
      <c r="F709" t="s">
        <v>37</v>
      </c>
      <c r="G709" t="s">
        <v>107</v>
      </c>
      <c r="H709">
        <v>2</v>
      </c>
      <c r="I709" s="3">
        <v>1799</v>
      </c>
      <c r="J709" s="4">
        <v>0</v>
      </c>
      <c r="K709" s="3">
        <v>79</v>
      </c>
      <c r="L709" t="s">
        <v>29</v>
      </c>
      <c r="M709" t="s">
        <v>30</v>
      </c>
      <c r="N709" t="s">
        <v>31</v>
      </c>
      <c r="O709" t="s">
        <v>93</v>
      </c>
      <c r="P709" t="s">
        <v>80</v>
      </c>
      <c r="Q709">
        <v>4</v>
      </c>
      <c r="R709" s="3">
        <f t="shared" si="66"/>
        <v>3598</v>
      </c>
      <c r="S709" s="3">
        <f t="shared" si="67"/>
        <v>0</v>
      </c>
      <c r="T709" s="3">
        <f t="shared" si="68"/>
        <v>3677</v>
      </c>
      <c r="U709" s="3">
        <f t="shared" si="69"/>
        <v>1158.4000000000001</v>
      </c>
      <c r="V709" s="4">
        <f t="shared" si="70"/>
        <v>0.31503943432145776</v>
      </c>
      <c r="W709" t="str">
        <f t="shared" si="71"/>
        <v>Nov</v>
      </c>
    </row>
    <row r="710" spans="1:23" x14ac:dyDescent="0.25">
      <c r="A710" t="s">
        <v>1096</v>
      </c>
      <c r="B710" t="s">
        <v>134</v>
      </c>
      <c r="C710" s="2">
        <v>45902.613888888889</v>
      </c>
      <c r="D710" t="s">
        <v>55</v>
      </c>
      <c r="E710" t="s">
        <v>56</v>
      </c>
      <c r="F710" t="s">
        <v>37</v>
      </c>
      <c r="G710" t="s">
        <v>38</v>
      </c>
      <c r="H710">
        <v>1</v>
      </c>
      <c r="I710" s="3">
        <v>2499</v>
      </c>
      <c r="J710" s="4">
        <v>0.2</v>
      </c>
      <c r="K710" s="3">
        <v>99</v>
      </c>
      <c r="L710" t="s">
        <v>39</v>
      </c>
      <c r="M710" t="s">
        <v>39</v>
      </c>
      <c r="N710" t="s">
        <v>71</v>
      </c>
      <c r="O710" t="s">
        <v>32</v>
      </c>
      <c r="P710" t="s">
        <v>52</v>
      </c>
      <c r="R710" s="3">
        <f t="shared" si="66"/>
        <v>2499</v>
      </c>
      <c r="S710" s="3">
        <f t="shared" si="67"/>
        <v>499.8</v>
      </c>
      <c r="T710" s="3">
        <f t="shared" si="68"/>
        <v>2098.1999999999998</v>
      </c>
      <c r="U710" s="3">
        <f t="shared" si="69"/>
        <v>348.89999999999986</v>
      </c>
      <c r="V710" s="4">
        <f t="shared" si="70"/>
        <v>0.16628538747497851</v>
      </c>
      <c r="W710" t="str">
        <f t="shared" si="71"/>
        <v>Sep</v>
      </c>
    </row>
    <row r="711" spans="1:23" x14ac:dyDescent="0.25">
      <c r="A711" t="s">
        <v>1097</v>
      </c>
      <c r="B711" t="s">
        <v>255</v>
      </c>
      <c r="C711" s="2">
        <v>46011.892361111109</v>
      </c>
      <c r="D711" t="s">
        <v>44</v>
      </c>
      <c r="E711" t="s">
        <v>45</v>
      </c>
      <c r="F711" t="s">
        <v>46</v>
      </c>
      <c r="G711" t="s">
        <v>47</v>
      </c>
      <c r="H711">
        <v>2</v>
      </c>
      <c r="I711" s="3">
        <v>1199</v>
      </c>
      <c r="J711" s="4">
        <v>0</v>
      </c>
      <c r="K711" s="3">
        <v>49</v>
      </c>
      <c r="L711" t="s">
        <v>74</v>
      </c>
      <c r="M711" t="s">
        <v>49</v>
      </c>
      <c r="N711" t="s">
        <v>31</v>
      </c>
      <c r="O711" t="s">
        <v>41</v>
      </c>
      <c r="P711" t="s">
        <v>33</v>
      </c>
      <c r="Q711">
        <v>1</v>
      </c>
      <c r="R711" s="3">
        <f t="shared" si="66"/>
        <v>2398</v>
      </c>
      <c r="S711" s="3">
        <f t="shared" si="67"/>
        <v>0</v>
      </c>
      <c r="T711" s="3">
        <f t="shared" si="68"/>
        <v>2447</v>
      </c>
      <c r="U711" s="3">
        <f t="shared" si="69"/>
        <v>768.40000000000009</v>
      </c>
      <c r="V711" s="4">
        <f t="shared" si="70"/>
        <v>0.31401716387413164</v>
      </c>
      <c r="W711" t="str">
        <f t="shared" si="71"/>
        <v>Dec</v>
      </c>
    </row>
    <row r="712" spans="1:23" x14ac:dyDescent="0.25">
      <c r="A712" t="s">
        <v>1098</v>
      </c>
      <c r="B712" t="s">
        <v>800</v>
      </c>
      <c r="C712" s="2">
        <v>45765.65347222222</v>
      </c>
      <c r="D712" t="s">
        <v>35</v>
      </c>
      <c r="E712" t="s">
        <v>36</v>
      </c>
      <c r="F712" t="s">
        <v>37</v>
      </c>
      <c r="G712" t="s">
        <v>38</v>
      </c>
      <c r="H712">
        <v>3</v>
      </c>
      <c r="I712" s="3">
        <v>599</v>
      </c>
      <c r="J712" s="4">
        <v>0.2</v>
      </c>
      <c r="K712" s="3">
        <v>49</v>
      </c>
      <c r="L712" t="s">
        <v>113</v>
      </c>
      <c r="M712" t="s">
        <v>114</v>
      </c>
      <c r="N712" t="s">
        <v>102</v>
      </c>
      <c r="O712" t="s">
        <v>41</v>
      </c>
      <c r="P712" t="s">
        <v>33</v>
      </c>
      <c r="Q712">
        <v>1</v>
      </c>
      <c r="R712" s="3">
        <f t="shared" si="66"/>
        <v>1797</v>
      </c>
      <c r="S712" s="3">
        <f t="shared" si="67"/>
        <v>359.40000000000003</v>
      </c>
      <c r="T712" s="3">
        <f t="shared" si="68"/>
        <v>1486.6</v>
      </c>
      <c r="U712" s="3">
        <f t="shared" si="69"/>
        <v>228.70000000000005</v>
      </c>
      <c r="V712" s="4">
        <f t="shared" si="70"/>
        <v>0.15384097941611735</v>
      </c>
      <c r="W712" t="str">
        <f t="shared" si="71"/>
        <v>Apr</v>
      </c>
    </row>
    <row r="713" spans="1:23" x14ac:dyDescent="0.25">
      <c r="A713" t="s">
        <v>1099</v>
      </c>
      <c r="B713" t="s">
        <v>122</v>
      </c>
      <c r="C713" s="2">
        <v>45874.004861111112</v>
      </c>
      <c r="D713" t="s">
        <v>110</v>
      </c>
      <c r="E713" t="s">
        <v>111</v>
      </c>
      <c r="F713" t="s">
        <v>98</v>
      </c>
      <c r="G713" t="s">
        <v>112</v>
      </c>
      <c r="H713">
        <v>1</v>
      </c>
      <c r="I713" s="3">
        <v>2999</v>
      </c>
      <c r="J713" s="4">
        <v>0</v>
      </c>
      <c r="K713" s="3">
        <v>79</v>
      </c>
      <c r="L713" t="s">
        <v>119</v>
      </c>
      <c r="M713" t="s">
        <v>120</v>
      </c>
      <c r="N713" t="s">
        <v>40</v>
      </c>
      <c r="O713" t="s">
        <v>93</v>
      </c>
      <c r="P713" t="s">
        <v>33</v>
      </c>
      <c r="R713" s="3">
        <f t="shared" si="66"/>
        <v>2999</v>
      </c>
      <c r="S713" s="3">
        <f t="shared" si="67"/>
        <v>0</v>
      </c>
      <c r="T713" s="3">
        <f t="shared" si="68"/>
        <v>3078</v>
      </c>
      <c r="U713" s="3">
        <f t="shared" si="69"/>
        <v>978.70000000000027</v>
      </c>
      <c r="V713" s="4">
        <f t="shared" si="70"/>
        <v>0.31796621182586104</v>
      </c>
      <c r="W713" t="str">
        <f t="shared" si="71"/>
        <v>Aug</v>
      </c>
    </row>
    <row r="714" spans="1:23" x14ac:dyDescent="0.25">
      <c r="A714" t="s">
        <v>1100</v>
      </c>
      <c r="B714" t="s">
        <v>146</v>
      </c>
      <c r="C714" s="2">
        <v>45808.786805555559</v>
      </c>
      <c r="D714" t="s">
        <v>90</v>
      </c>
      <c r="E714" t="s">
        <v>91</v>
      </c>
      <c r="F714" t="s">
        <v>37</v>
      </c>
      <c r="G714" t="s">
        <v>92</v>
      </c>
      <c r="H714">
        <v>1</v>
      </c>
      <c r="I714" s="3">
        <v>3499</v>
      </c>
      <c r="J714" s="4">
        <v>0</v>
      </c>
      <c r="K714" s="3">
        <v>59</v>
      </c>
      <c r="L714" t="s">
        <v>125</v>
      </c>
      <c r="M714" t="s">
        <v>126</v>
      </c>
      <c r="N714" t="s">
        <v>31</v>
      </c>
      <c r="O714" t="s">
        <v>59</v>
      </c>
      <c r="P714" t="s">
        <v>52</v>
      </c>
      <c r="Q714">
        <v>4</v>
      </c>
      <c r="R714" s="3">
        <f t="shared" si="66"/>
        <v>3499</v>
      </c>
      <c r="S714" s="3">
        <f t="shared" si="67"/>
        <v>0</v>
      </c>
      <c r="T714" s="3">
        <f t="shared" si="68"/>
        <v>3558</v>
      </c>
      <c r="U714" s="3">
        <f t="shared" si="69"/>
        <v>1108.7000000000003</v>
      </c>
      <c r="V714" s="4">
        <f t="shared" si="70"/>
        <v>0.31160764474423841</v>
      </c>
      <c r="W714" t="str">
        <f t="shared" si="71"/>
        <v>May</v>
      </c>
    </row>
    <row r="715" spans="1:23" x14ac:dyDescent="0.25">
      <c r="A715" t="s">
        <v>1101</v>
      </c>
      <c r="B715" t="s">
        <v>695</v>
      </c>
      <c r="C715" s="2">
        <v>45941.376388888893</v>
      </c>
      <c r="D715" t="s">
        <v>90</v>
      </c>
      <c r="E715" t="s">
        <v>91</v>
      </c>
      <c r="F715" t="s">
        <v>37</v>
      </c>
      <c r="G715" t="s">
        <v>92</v>
      </c>
      <c r="H715">
        <v>2</v>
      </c>
      <c r="I715" s="3">
        <v>3499</v>
      </c>
      <c r="J715" s="4">
        <v>0.1</v>
      </c>
      <c r="K715" s="3">
        <v>79</v>
      </c>
      <c r="L715" t="s">
        <v>125</v>
      </c>
      <c r="M715" t="s">
        <v>126</v>
      </c>
      <c r="N715" t="s">
        <v>102</v>
      </c>
      <c r="O715" t="s">
        <v>32</v>
      </c>
      <c r="P715" t="s">
        <v>52</v>
      </c>
      <c r="R715" s="3">
        <f t="shared" si="66"/>
        <v>6998</v>
      </c>
      <c r="S715" s="3">
        <f t="shared" si="67"/>
        <v>699.80000000000007</v>
      </c>
      <c r="T715" s="3">
        <f t="shared" si="68"/>
        <v>6377.2</v>
      </c>
      <c r="U715" s="3">
        <f t="shared" si="69"/>
        <v>1478.6000000000004</v>
      </c>
      <c r="V715" s="4">
        <f t="shared" si="70"/>
        <v>0.23185724142256797</v>
      </c>
      <c r="W715" t="str">
        <f t="shared" si="71"/>
        <v>Oct</v>
      </c>
    </row>
    <row r="716" spans="1:23" x14ac:dyDescent="0.25">
      <c r="A716" t="s">
        <v>1102</v>
      </c>
      <c r="B716" t="s">
        <v>87</v>
      </c>
      <c r="C716" s="2">
        <v>45928.018750000003</v>
      </c>
      <c r="D716" t="s">
        <v>90</v>
      </c>
      <c r="E716" t="s">
        <v>91</v>
      </c>
      <c r="F716" t="s">
        <v>37</v>
      </c>
      <c r="G716" t="s">
        <v>92</v>
      </c>
      <c r="H716">
        <v>2</v>
      </c>
      <c r="I716" s="3">
        <v>3499</v>
      </c>
      <c r="J716" s="4">
        <v>0.05</v>
      </c>
      <c r="K716" s="3">
        <v>99</v>
      </c>
      <c r="L716" t="s">
        <v>113</v>
      </c>
      <c r="M716" t="s">
        <v>114</v>
      </c>
      <c r="N716" t="s">
        <v>71</v>
      </c>
      <c r="O716" t="s">
        <v>59</v>
      </c>
      <c r="P716" t="s">
        <v>85</v>
      </c>
      <c r="Q716">
        <v>4</v>
      </c>
      <c r="R716" s="3">
        <f t="shared" si="66"/>
        <v>6998</v>
      </c>
      <c r="S716" s="3">
        <f t="shared" si="67"/>
        <v>349.90000000000003</v>
      </c>
      <c r="T716" s="3">
        <f t="shared" si="68"/>
        <v>6747.1</v>
      </c>
      <c r="U716" s="3">
        <f t="shared" si="69"/>
        <v>1848.5000000000009</v>
      </c>
      <c r="V716" s="4">
        <f t="shared" si="70"/>
        <v>0.27396955729128081</v>
      </c>
      <c r="W716" t="str">
        <f t="shared" si="71"/>
        <v>Sep</v>
      </c>
    </row>
    <row r="717" spans="1:23" x14ac:dyDescent="0.25">
      <c r="A717" t="s">
        <v>1103</v>
      </c>
      <c r="B717" t="s">
        <v>354</v>
      </c>
      <c r="C717" s="2">
        <v>45988.477777777778</v>
      </c>
      <c r="D717" t="s">
        <v>55</v>
      </c>
      <c r="E717" t="s">
        <v>56</v>
      </c>
      <c r="F717" t="s">
        <v>37</v>
      </c>
      <c r="G717" t="s">
        <v>38</v>
      </c>
      <c r="H717">
        <v>2</v>
      </c>
      <c r="I717" s="3">
        <v>2499</v>
      </c>
      <c r="J717" s="4">
        <v>0.1</v>
      </c>
      <c r="K717" s="3">
        <v>0</v>
      </c>
      <c r="L717" t="s">
        <v>119</v>
      </c>
      <c r="M717" t="s">
        <v>120</v>
      </c>
      <c r="N717" t="s">
        <v>71</v>
      </c>
      <c r="O717" t="s">
        <v>41</v>
      </c>
      <c r="P717" t="s">
        <v>80</v>
      </c>
      <c r="Q717">
        <v>4</v>
      </c>
      <c r="R717" s="3">
        <f t="shared" si="66"/>
        <v>4998</v>
      </c>
      <c r="S717" s="3">
        <f t="shared" si="67"/>
        <v>499.8</v>
      </c>
      <c r="T717" s="3">
        <f t="shared" si="68"/>
        <v>4498.2</v>
      </c>
      <c r="U717" s="3">
        <f t="shared" si="69"/>
        <v>999.59999999999991</v>
      </c>
      <c r="V717" s="4">
        <f t="shared" si="70"/>
        <v>0.22222222222222221</v>
      </c>
      <c r="W717" t="str">
        <f t="shared" si="71"/>
        <v>Nov</v>
      </c>
    </row>
    <row r="718" spans="1:23" x14ac:dyDescent="0.25">
      <c r="A718" t="s">
        <v>1104</v>
      </c>
      <c r="C718" s="2">
        <v>45770.790277777778</v>
      </c>
      <c r="D718" t="s">
        <v>169</v>
      </c>
      <c r="E718" t="s">
        <v>170</v>
      </c>
      <c r="F718" t="s">
        <v>98</v>
      </c>
      <c r="G718" t="s">
        <v>171</v>
      </c>
      <c r="H718">
        <v>1</v>
      </c>
      <c r="I718" s="3">
        <v>799</v>
      </c>
      <c r="J718" s="4">
        <v>0.05</v>
      </c>
      <c r="K718" s="3">
        <v>99</v>
      </c>
      <c r="L718" t="s">
        <v>119</v>
      </c>
      <c r="M718" t="s">
        <v>120</v>
      </c>
      <c r="N718" t="s">
        <v>50</v>
      </c>
      <c r="O718" t="s">
        <v>51</v>
      </c>
      <c r="P718" t="s">
        <v>80</v>
      </c>
      <c r="R718" s="3">
        <f t="shared" si="66"/>
        <v>799</v>
      </c>
      <c r="S718" s="3">
        <f t="shared" si="67"/>
        <v>39.950000000000003</v>
      </c>
      <c r="T718" s="3">
        <f t="shared" si="68"/>
        <v>858.05</v>
      </c>
      <c r="U718" s="3">
        <f t="shared" si="69"/>
        <v>298.75</v>
      </c>
      <c r="V718" s="4">
        <f t="shared" si="70"/>
        <v>0.3481731833809219</v>
      </c>
      <c r="W718" t="str">
        <f t="shared" si="71"/>
        <v>Apr</v>
      </c>
    </row>
    <row r="719" spans="1:23" x14ac:dyDescent="0.25">
      <c r="A719" t="s">
        <v>1105</v>
      </c>
      <c r="B719" t="s">
        <v>809</v>
      </c>
      <c r="C719" s="2">
        <v>46002.865972222222</v>
      </c>
      <c r="D719" t="s">
        <v>77</v>
      </c>
      <c r="E719" t="s">
        <v>78</v>
      </c>
      <c r="F719" t="s">
        <v>79</v>
      </c>
      <c r="G719" t="s">
        <v>28</v>
      </c>
      <c r="H719">
        <v>4</v>
      </c>
      <c r="I719" s="3">
        <v>6499</v>
      </c>
      <c r="J719" s="4">
        <v>0.1</v>
      </c>
      <c r="K719" s="3">
        <v>49</v>
      </c>
      <c r="L719" t="s">
        <v>57</v>
      </c>
      <c r="M719" t="s">
        <v>58</v>
      </c>
      <c r="N719" t="s">
        <v>71</v>
      </c>
      <c r="O719" t="s">
        <v>93</v>
      </c>
      <c r="P719" t="s">
        <v>33</v>
      </c>
      <c r="R719" s="3">
        <f t="shared" si="66"/>
        <v>25996</v>
      </c>
      <c r="S719" s="3">
        <f t="shared" si="67"/>
        <v>2599.6000000000004</v>
      </c>
      <c r="T719" s="3">
        <f t="shared" si="68"/>
        <v>23445.4</v>
      </c>
      <c r="U719" s="3">
        <f t="shared" si="69"/>
        <v>5248.2000000000044</v>
      </c>
      <c r="V719" s="4">
        <f t="shared" si="70"/>
        <v>0.223847748385611</v>
      </c>
      <c r="W719" t="str">
        <f t="shared" si="71"/>
        <v>Dec</v>
      </c>
    </row>
    <row r="720" spans="1:23" x14ac:dyDescent="0.25">
      <c r="A720" t="s">
        <v>1106</v>
      </c>
      <c r="B720" t="s">
        <v>857</v>
      </c>
      <c r="C720" s="2">
        <v>45738.813194444447</v>
      </c>
      <c r="D720" t="s">
        <v>90</v>
      </c>
      <c r="E720" t="s">
        <v>91</v>
      </c>
      <c r="F720" t="s">
        <v>37</v>
      </c>
      <c r="G720" t="s">
        <v>92</v>
      </c>
      <c r="H720">
        <v>1</v>
      </c>
      <c r="I720" s="3">
        <v>3499</v>
      </c>
      <c r="J720" s="4">
        <v>0.1</v>
      </c>
      <c r="K720" s="3">
        <v>79</v>
      </c>
      <c r="L720" t="s">
        <v>100</v>
      </c>
      <c r="M720" t="s">
        <v>101</v>
      </c>
      <c r="N720" t="s">
        <v>50</v>
      </c>
      <c r="O720" t="s">
        <v>41</v>
      </c>
      <c r="P720" t="s">
        <v>33</v>
      </c>
      <c r="Q720">
        <v>5</v>
      </c>
      <c r="R720" s="3">
        <f t="shared" si="66"/>
        <v>3499</v>
      </c>
      <c r="S720" s="3">
        <f t="shared" si="67"/>
        <v>349.90000000000003</v>
      </c>
      <c r="T720" s="3">
        <f t="shared" si="68"/>
        <v>3228.1</v>
      </c>
      <c r="U720" s="3">
        <f t="shared" si="69"/>
        <v>778.80000000000018</v>
      </c>
      <c r="V720" s="4">
        <f t="shared" si="70"/>
        <v>0.24125646665221034</v>
      </c>
      <c r="W720" t="str">
        <f t="shared" si="71"/>
        <v>Mar</v>
      </c>
    </row>
    <row r="721" spans="1:23" x14ac:dyDescent="0.25">
      <c r="A721" t="s">
        <v>1107</v>
      </c>
      <c r="B721" t="s">
        <v>381</v>
      </c>
      <c r="C721" s="2">
        <v>45791.488194444442</v>
      </c>
      <c r="D721" t="s">
        <v>35</v>
      </c>
      <c r="E721" t="s">
        <v>36</v>
      </c>
      <c r="F721" t="s">
        <v>37</v>
      </c>
      <c r="G721" t="s">
        <v>38</v>
      </c>
      <c r="H721">
        <v>1</v>
      </c>
      <c r="I721" s="3">
        <v>599</v>
      </c>
      <c r="J721" s="4">
        <v>0</v>
      </c>
      <c r="K721" s="3">
        <v>99</v>
      </c>
      <c r="L721" t="s">
        <v>39</v>
      </c>
      <c r="M721" t="s">
        <v>39</v>
      </c>
      <c r="N721" t="s">
        <v>31</v>
      </c>
      <c r="O721" t="s">
        <v>51</v>
      </c>
      <c r="P721" t="s">
        <v>33</v>
      </c>
      <c r="Q721">
        <v>4</v>
      </c>
      <c r="R721" s="3">
        <f t="shared" si="66"/>
        <v>599</v>
      </c>
      <c r="S721" s="3">
        <f t="shared" si="67"/>
        <v>0</v>
      </c>
      <c r="T721" s="3">
        <f t="shared" si="68"/>
        <v>698</v>
      </c>
      <c r="U721" s="3">
        <f t="shared" si="69"/>
        <v>278.70000000000005</v>
      </c>
      <c r="V721" s="4">
        <f t="shared" si="70"/>
        <v>0.39928366762177658</v>
      </c>
      <c r="W721" t="str">
        <f t="shared" si="71"/>
        <v>May</v>
      </c>
    </row>
    <row r="722" spans="1:23" x14ac:dyDescent="0.25">
      <c r="A722" t="s">
        <v>1108</v>
      </c>
      <c r="B722" t="s">
        <v>61</v>
      </c>
      <c r="C722" s="2">
        <v>45945.313194444447</v>
      </c>
      <c r="D722" t="s">
        <v>55</v>
      </c>
      <c r="E722" t="s">
        <v>56</v>
      </c>
      <c r="F722" t="s">
        <v>37</v>
      </c>
      <c r="G722" t="s">
        <v>38</v>
      </c>
      <c r="H722">
        <v>1</v>
      </c>
      <c r="I722" s="3">
        <v>2499</v>
      </c>
      <c r="J722" s="4">
        <v>0.05</v>
      </c>
      <c r="K722" s="3">
        <v>59</v>
      </c>
      <c r="L722" t="s">
        <v>125</v>
      </c>
      <c r="M722" t="s">
        <v>126</v>
      </c>
      <c r="N722" t="s">
        <v>102</v>
      </c>
      <c r="O722" t="s">
        <v>51</v>
      </c>
      <c r="P722" t="s">
        <v>33</v>
      </c>
      <c r="Q722">
        <v>2</v>
      </c>
      <c r="R722" s="3">
        <f t="shared" si="66"/>
        <v>2499</v>
      </c>
      <c r="S722" s="3">
        <f t="shared" si="67"/>
        <v>124.95</v>
      </c>
      <c r="T722" s="3">
        <f t="shared" si="68"/>
        <v>2433.0500000000002</v>
      </c>
      <c r="U722" s="3">
        <f t="shared" si="69"/>
        <v>683.75000000000023</v>
      </c>
      <c r="V722" s="4">
        <f t="shared" si="70"/>
        <v>0.28102587287560887</v>
      </c>
      <c r="W722" t="str">
        <f t="shared" si="71"/>
        <v>Oct</v>
      </c>
    </row>
    <row r="723" spans="1:23" x14ac:dyDescent="0.25">
      <c r="A723" t="s">
        <v>1109</v>
      </c>
      <c r="B723" t="s">
        <v>1110</v>
      </c>
      <c r="C723" s="2">
        <v>45711.918749999997</v>
      </c>
      <c r="D723" t="s">
        <v>77</v>
      </c>
      <c r="E723" t="s">
        <v>78</v>
      </c>
      <c r="F723" t="s">
        <v>79</v>
      </c>
      <c r="G723" t="s">
        <v>28</v>
      </c>
      <c r="H723">
        <v>2</v>
      </c>
      <c r="I723" s="3">
        <v>6499</v>
      </c>
      <c r="J723" s="4">
        <v>0.1</v>
      </c>
      <c r="K723" s="3">
        <v>0</v>
      </c>
      <c r="L723" t="s">
        <v>83</v>
      </c>
      <c r="M723" t="s">
        <v>84</v>
      </c>
      <c r="N723" t="s">
        <v>102</v>
      </c>
      <c r="O723" t="s">
        <v>32</v>
      </c>
      <c r="P723" t="s">
        <v>52</v>
      </c>
      <c r="R723" s="3">
        <f t="shared" si="66"/>
        <v>12998</v>
      </c>
      <c r="S723" s="3">
        <f t="shared" si="67"/>
        <v>1299.8000000000002</v>
      </c>
      <c r="T723" s="3">
        <f t="shared" si="68"/>
        <v>11698.2</v>
      </c>
      <c r="U723" s="3">
        <f t="shared" si="69"/>
        <v>2599.6000000000022</v>
      </c>
      <c r="V723" s="4">
        <f t="shared" si="70"/>
        <v>0.2222222222222224</v>
      </c>
      <c r="W723" t="str">
        <f t="shared" si="71"/>
        <v>Feb</v>
      </c>
    </row>
    <row r="724" spans="1:23" x14ac:dyDescent="0.25">
      <c r="A724" t="s">
        <v>1111</v>
      </c>
      <c r="B724" t="s">
        <v>234</v>
      </c>
      <c r="C724" s="2">
        <v>45711.236111111109</v>
      </c>
      <c r="D724" t="s">
        <v>55</v>
      </c>
      <c r="E724" t="s">
        <v>56</v>
      </c>
      <c r="F724" t="s">
        <v>37</v>
      </c>
      <c r="G724" t="s">
        <v>38</v>
      </c>
      <c r="H724">
        <v>1</v>
      </c>
      <c r="I724" s="3">
        <v>2499</v>
      </c>
      <c r="J724" s="4">
        <v>0</v>
      </c>
      <c r="K724" s="3">
        <v>59</v>
      </c>
      <c r="L724" t="s">
        <v>83</v>
      </c>
      <c r="M724" t="s">
        <v>84</v>
      </c>
      <c r="N724" t="s">
        <v>71</v>
      </c>
      <c r="O724" t="s">
        <v>59</v>
      </c>
      <c r="P724" t="s">
        <v>33</v>
      </c>
      <c r="R724" s="3">
        <f t="shared" si="66"/>
        <v>2499</v>
      </c>
      <c r="S724" s="3">
        <f t="shared" si="67"/>
        <v>0</v>
      </c>
      <c r="T724" s="3">
        <f t="shared" si="68"/>
        <v>2558</v>
      </c>
      <c r="U724" s="3">
        <f t="shared" si="69"/>
        <v>808.7</v>
      </c>
      <c r="V724" s="4">
        <f t="shared" si="70"/>
        <v>0.3161454261141517</v>
      </c>
      <c r="W724" t="str">
        <f t="shared" si="71"/>
        <v>Feb</v>
      </c>
    </row>
    <row r="725" spans="1:23" x14ac:dyDescent="0.25">
      <c r="A725" t="s">
        <v>1112</v>
      </c>
      <c r="B725" t="s">
        <v>587</v>
      </c>
      <c r="C725" s="2">
        <v>45708.195138888892</v>
      </c>
      <c r="D725" t="s">
        <v>62</v>
      </c>
      <c r="E725" t="s">
        <v>63</v>
      </c>
      <c r="F725" t="s">
        <v>46</v>
      </c>
      <c r="G725" t="s">
        <v>64</v>
      </c>
      <c r="H725">
        <v>2</v>
      </c>
      <c r="I725" s="3">
        <v>699</v>
      </c>
      <c r="J725" s="4">
        <v>0.05</v>
      </c>
      <c r="K725" s="3">
        <v>49</v>
      </c>
      <c r="L725" t="s">
        <v>119</v>
      </c>
      <c r="M725" t="s">
        <v>120</v>
      </c>
      <c r="N725" t="s">
        <v>50</v>
      </c>
      <c r="O725" t="s">
        <v>59</v>
      </c>
      <c r="P725" t="s">
        <v>33</v>
      </c>
      <c r="Q725">
        <v>4</v>
      </c>
      <c r="R725" s="3">
        <f t="shared" si="66"/>
        <v>1398</v>
      </c>
      <c r="S725" s="3">
        <f t="shared" si="67"/>
        <v>69.900000000000006</v>
      </c>
      <c r="T725" s="3">
        <f t="shared" si="68"/>
        <v>1377.1</v>
      </c>
      <c r="U725" s="3">
        <f t="shared" si="69"/>
        <v>398.5</v>
      </c>
      <c r="V725" s="4">
        <f t="shared" si="70"/>
        <v>0.28937622540120544</v>
      </c>
      <c r="W725" t="str">
        <f t="shared" si="71"/>
        <v>Feb</v>
      </c>
    </row>
    <row r="726" spans="1:23" x14ac:dyDescent="0.25">
      <c r="A726" t="s">
        <v>1113</v>
      </c>
      <c r="B726" t="s">
        <v>89</v>
      </c>
      <c r="C726" s="2">
        <v>45900.429166666669</v>
      </c>
      <c r="D726" t="s">
        <v>35</v>
      </c>
      <c r="E726" t="s">
        <v>36</v>
      </c>
      <c r="F726" t="s">
        <v>37</v>
      </c>
      <c r="G726" t="s">
        <v>38</v>
      </c>
      <c r="H726">
        <v>3</v>
      </c>
      <c r="I726" s="3">
        <v>599</v>
      </c>
      <c r="J726" s="4">
        <v>0</v>
      </c>
      <c r="K726" s="3">
        <v>0</v>
      </c>
      <c r="L726" t="s">
        <v>113</v>
      </c>
      <c r="M726" t="s">
        <v>114</v>
      </c>
      <c r="N726" t="s">
        <v>71</v>
      </c>
      <c r="O726" t="s">
        <v>59</v>
      </c>
      <c r="P726" t="s">
        <v>85</v>
      </c>
      <c r="Q726">
        <v>3</v>
      </c>
      <c r="R726" s="3">
        <f t="shared" si="66"/>
        <v>1797</v>
      </c>
      <c r="S726" s="3">
        <f t="shared" si="67"/>
        <v>0</v>
      </c>
      <c r="T726" s="3">
        <f t="shared" si="68"/>
        <v>1797</v>
      </c>
      <c r="U726" s="3">
        <f t="shared" si="69"/>
        <v>539.10000000000014</v>
      </c>
      <c r="V726" s="4">
        <f t="shared" si="70"/>
        <v>0.3000000000000001</v>
      </c>
      <c r="W726" t="str">
        <f t="shared" si="71"/>
        <v>Aug</v>
      </c>
    </row>
    <row r="727" spans="1:23" x14ac:dyDescent="0.25">
      <c r="A727" t="s">
        <v>1114</v>
      </c>
      <c r="B727" t="s">
        <v>683</v>
      </c>
      <c r="C727" s="2">
        <v>45929.576388888891</v>
      </c>
      <c r="D727" t="s">
        <v>25</v>
      </c>
      <c r="E727" t="s">
        <v>26</v>
      </c>
      <c r="F727" t="s">
        <v>27</v>
      </c>
      <c r="G727" t="s">
        <v>28</v>
      </c>
      <c r="H727">
        <v>1</v>
      </c>
      <c r="I727" s="3">
        <v>249</v>
      </c>
      <c r="J727" s="4">
        <v>0</v>
      </c>
      <c r="K727" s="3">
        <v>79</v>
      </c>
      <c r="L727" t="s">
        <v>113</v>
      </c>
      <c r="M727" t="s">
        <v>114</v>
      </c>
      <c r="N727" t="s">
        <v>40</v>
      </c>
      <c r="O727" t="s">
        <v>59</v>
      </c>
      <c r="P727" t="s">
        <v>33</v>
      </c>
      <c r="R727" s="3">
        <f t="shared" si="66"/>
        <v>249</v>
      </c>
      <c r="S727" s="3">
        <f t="shared" si="67"/>
        <v>0</v>
      </c>
      <c r="T727" s="3">
        <f t="shared" si="68"/>
        <v>328</v>
      </c>
      <c r="U727" s="3">
        <f t="shared" si="69"/>
        <v>153.70000000000002</v>
      </c>
      <c r="V727" s="4">
        <f t="shared" si="70"/>
        <v>0.46859756097560978</v>
      </c>
      <c r="W727" t="str">
        <f t="shared" si="71"/>
        <v>Sep</v>
      </c>
    </row>
    <row r="728" spans="1:23" x14ac:dyDescent="0.25">
      <c r="A728" t="s">
        <v>1115</v>
      </c>
      <c r="B728" t="s">
        <v>818</v>
      </c>
      <c r="C728" s="2">
        <v>45884.200694444437</v>
      </c>
      <c r="D728" t="s">
        <v>62</v>
      </c>
      <c r="E728" t="s">
        <v>63</v>
      </c>
      <c r="F728" t="s">
        <v>46</v>
      </c>
      <c r="G728" t="s">
        <v>64</v>
      </c>
      <c r="H728">
        <v>4</v>
      </c>
      <c r="I728" s="3">
        <v>699</v>
      </c>
      <c r="J728" s="4">
        <v>0.2</v>
      </c>
      <c r="K728" s="3">
        <v>99</v>
      </c>
      <c r="L728" t="s">
        <v>74</v>
      </c>
      <c r="M728" t="s">
        <v>49</v>
      </c>
      <c r="N728" t="s">
        <v>31</v>
      </c>
      <c r="O728" t="s">
        <v>635</v>
      </c>
      <c r="P728" t="s">
        <v>33</v>
      </c>
      <c r="Q728">
        <v>3</v>
      </c>
      <c r="R728" s="3">
        <f t="shared" si="66"/>
        <v>2796</v>
      </c>
      <c r="S728" s="3">
        <f t="shared" si="67"/>
        <v>559.20000000000005</v>
      </c>
      <c r="T728" s="3">
        <f t="shared" si="68"/>
        <v>2335.8000000000002</v>
      </c>
      <c r="U728" s="3">
        <f t="shared" si="69"/>
        <v>378.60000000000036</v>
      </c>
      <c r="V728" s="4">
        <f t="shared" si="70"/>
        <v>0.16208579501669679</v>
      </c>
      <c r="W728" t="str">
        <f t="shared" si="71"/>
        <v>Aug</v>
      </c>
    </row>
    <row r="729" spans="1:23" x14ac:dyDescent="0.25">
      <c r="A729" t="s">
        <v>1116</v>
      </c>
      <c r="B729" t="s">
        <v>1117</v>
      </c>
      <c r="C729" s="2">
        <v>45859.070833333331</v>
      </c>
      <c r="D729" t="s">
        <v>96</v>
      </c>
      <c r="E729" t="s">
        <v>97</v>
      </c>
      <c r="F729" t="s">
        <v>98</v>
      </c>
      <c r="G729" t="s">
        <v>99</v>
      </c>
      <c r="H729">
        <v>1</v>
      </c>
      <c r="I729" s="3">
        <v>1499</v>
      </c>
      <c r="J729" s="4">
        <v>0</v>
      </c>
      <c r="K729" s="3">
        <v>99</v>
      </c>
      <c r="L729" t="s">
        <v>780</v>
      </c>
      <c r="M729" t="s">
        <v>101</v>
      </c>
      <c r="N729" t="s">
        <v>102</v>
      </c>
      <c r="O729" t="s">
        <v>51</v>
      </c>
      <c r="P729" t="s">
        <v>80</v>
      </c>
      <c r="Q729">
        <v>4</v>
      </c>
      <c r="R729" s="3">
        <f t="shared" si="66"/>
        <v>1499</v>
      </c>
      <c r="S729" s="3">
        <f t="shared" si="67"/>
        <v>0</v>
      </c>
      <c r="T729" s="3">
        <f t="shared" si="68"/>
        <v>1598</v>
      </c>
      <c r="U729" s="3">
        <f t="shared" si="69"/>
        <v>548.70000000000005</v>
      </c>
      <c r="V729" s="4">
        <f t="shared" si="70"/>
        <v>0.34336670838548189</v>
      </c>
      <c r="W729" t="str">
        <f t="shared" si="71"/>
        <v>Jul</v>
      </c>
    </row>
    <row r="730" spans="1:23" x14ac:dyDescent="0.25">
      <c r="A730" t="s">
        <v>1118</v>
      </c>
      <c r="B730" t="s">
        <v>292</v>
      </c>
      <c r="C730" s="2">
        <v>45818.458333333343</v>
      </c>
      <c r="D730" t="s">
        <v>96</v>
      </c>
      <c r="E730" t="s">
        <v>97</v>
      </c>
      <c r="F730" t="s">
        <v>98</v>
      </c>
      <c r="G730" t="s">
        <v>99</v>
      </c>
      <c r="H730">
        <v>3</v>
      </c>
      <c r="I730" s="3">
        <v>1499</v>
      </c>
      <c r="J730" s="4">
        <v>0.15</v>
      </c>
      <c r="K730" s="3">
        <v>99</v>
      </c>
      <c r="L730" t="s">
        <v>83</v>
      </c>
      <c r="M730" t="s">
        <v>84</v>
      </c>
      <c r="N730" t="s">
        <v>40</v>
      </c>
      <c r="O730" t="s">
        <v>59</v>
      </c>
      <c r="P730" t="s">
        <v>33</v>
      </c>
      <c r="R730" s="3">
        <f t="shared" si="66"/>
        <v>4497</v>
      </c>
      <c r="S730" s="3">
        <f t="shared" si="67"/>
        <v>674.55</v>
      </c>
      <c r="T730" s="3">
        <f t="shared" si="68"/>
        <v>3921.45</v>
      </c>
      <c r="U730" s="3">
        <f t="shared" si="69"/>
        <v>773.55000000000018</v>
      </c>
      <c r="V730" s="4">
        <f t="shared" si="70"/>
        <v>0.19726121715181891</v>
      </c>
      <c r="W730" t="str">
        <f t="shared" si="71"/>
        <v>Jun</v>
      </c>
    </row>
    <row r="731" spans="1:23" x14ac:dyDescent="0.25">
      <c r="A731" t="s">
        <v>1119</v>
      </c>
      <c r="B731" t="s">
        <v>1120</v>
      </c>
      <c r="C731" s="2">
        <v>45974.852777777778</v>
      </c>
      <c r="D731" t="s">
        <v>67</v>
      </c>
      <c r="E731" t="s">
        <v>68</v>
      </c>
      <c r="F731" t="s">
        <v>37</v>
      </c>
      <c r="G731" t="s">
        <v>38</v>
      </c>
      <c r="H731">
        <v>2</v>
      </c>
      <c r="I731" s="3">
        <v>1299</v>
      </c>
      <c r="J731" s="4">
        <v>0.05</v>
      </c>
      <c r="K731" s="3">
        <v>79</v>
      </c>
      <c r="L731" t="s">
        <v>83</v>
      </c>
      <c r="M731" t="s">
        <v>84</v>
      </c>
      <c r="N731" t="s">
        <v>71</v>
      </c>
      <c r="O731" t="s">
        <v>93</v>
      </c>
      <c r="P731" t="s">
        <v>80</v>
      </c>
      <c r="Q731">
        <v>1</v>
      </c>
      <c r="R731" s="3">
        <f t="shared" si="66"/>
        <v>2598</v>
      </c>
      <c r="S731" s="3">
        <f t="shared" si="67"/>
        <v>129.9</v>
      </c>
      <c r="T731" s="3">
        <f t="shared" si="68"/>
        <v>2547.1</v>
      </c>
      <c r="U731" s="3">
        <f t="shared" si="69"/>
        <v>728.5</v>
      </c>
      <c r="V731" s="4">
        <f t="shared" si="70"/>
        <v>0.2860115425385733</v>
      </c>
      <c r="W731" t="str">
        <f t="shared" si="71"/>
        <v>Nov</v>
      </c>
    </row>
    <row r="732" spans="1:23" x14ac:dyDescent="0.25">
      <c r="A732" t="s">
        <v>1121</v>
      </c>
      <c r="B732" t="s">
        <v>164</v>
      </c>
      <c r="C732" s="2">
        <v>45722.69027777778</v>
      </c>
      <c r="D732" t="s">
        <v>62</v>
      </c>
      <c r="E732" t="s">
        <v>63</v>
      </c>
      <c r="F732" t="s">
        <v>46</v>
      </c>
      <c r="G732" t="s">
        <v>64</v>
      </c>
      <c r="H732">
        <v>1</v>
      </c>
      <c r="I732" s="3">
        <v>699</v>
      </c>
      <c r="J732" s="4">
        <v>0</v>
      </c>
      <c r="K732" s="3">
        <v>0</v>
      </c>
      <c r="L732" t="s">
        <v>74</v>
      </c>
      <c r="M732" t="s">
        <v>49</v>
      </c>
      <c r="N732" t="s">
        <v>102</v>
      </c>
      <c r="O732" t="s">
        <v>51</v>
      </c>
      <c r="P732" t="s">
        <v>33</v>
      </c>
      <c r="Q732">
        <v>5</v>
      </c>
      <c r="R732" s="3">
        <f t="shared" si="66"/>
        <v>699</v>
      </c>
      <c r="S732" s="3">
        <f t="shared" si="67"/>
        <v>0</v>
      </c>
      <c r="T732" s="3">
        <f t="shared" si="68"/>
        <v>699</v>
      </c>
      <c r="U732" s="3">
        <f t="shared" si="69"/>
        <v>209.70000000000005</v>
      </c>
      <c r="V732" s="4">
        <f t="shared" si="70"/>
        <v>0.30000000000000004</v>
      </c>
      <c r="W732" t="str">
        <f t="shared" si="71"/>
        <v>Mar</v>
      </c>
    </row>
    <row r="733" spans="1:23" x14ac:dyDescent="0.25">
      <c r="A733" t="s">
        <v>1122</v>
      </c>
      <c r="B733" t="s">
        <v>336</v>
      </c>
      <c r="C733" s="2">
        <v>45934.761111111111</v>
      </c>
      <c r="D733" t="s">
        <v>169</v>
      </c>
      <c r="E733" t="s">
        <v>170</v>
      </c>
      <c r="F733" t="s">
        <v>98</v>
      </c>
      <c r="G733" t="s">
        <v>171</v>
      </c>
      <c r="H733">
        <v>1</v>
      </c>
      <c r="I733" s="3">
        <v>799</v>
      </c>
      <c r="J733" s="4">
        <v>0.05</v>
      </c>
      <c r="K733" s="3">
        <v>79</v>
      </c>
      <c r="L733" t="s">
        <v>100</v>
      </c>
      <c r="M733" t="s">
        <v>101</v>
      </c>
      <c r="N733" t="s">
        <v>31</v>
      </c>
      <c r="O733" t="s">
        <v>93</v>
      </c>
      <c r="P733" t="s">
        <v>33</v>
      </c>
      <c r="R733" s="3">
        <f t="shared" si="66"/>
        <v>799</v>
      </c>
      <c r="S733" s="3">
        <f t="shared" si="67"/>
        <v>39.950000000000003</v>
      </c>
      <c r="T733" s="3">
        <f t="shared" si="68"/>
        <v>838.05</v>
      </c>
      <c r="U733" s="3">
        <f t="shared" si="69"/>
        <v>278.75</v>
      </c>
      <c r="V733" s="4">
        <f t="shared" si="70"/>
        <v>0.33261738559751808</v>
      </c>
      <c r="W733" t="str">
        <f t="shared" si="71"/>
        <v>Oct</v>
      </c>
    </row>
    <row r="734" spans="1:23" x14ac:dyDescent="0.25">
      <c r="A734" t="s">
        <v>1123</v>
      </c>
      <c r="B734" t="s">
        <v>95</v>
      </c>
      <c r="C734" s="2">
        <v>45839.127083333333</v>
      </c>
      <c r="D734" t="s">
        <v>169</v>
      </c>
      <c r="E734" t="s">
        <v>170</v>
      </c>
      <c r="F734" t="s">
        <v>98</v>
      </c>
      <c r="G734" t="s">
        <v>171</v>
      </c>
      <c r="H734">
        <v>2</v>
      </c>
      <c r="I734" s="3">
        <v>799</v>
      </c>
      <c r="J734" s="4">
        <v>0</v>
      </c>
      <c r="K734" s="3">
        <v>79</v>
      </c>
      <c r="L734" t="s">
        <v>48</v>
      </c>
      <c r="M734" t="s">
        <v>49</v>
      </c>
      <c r="N734" t="s">
        <v>102</v>
      </c>
      <c r="O734" t="s">
        <v>93</v>
      </c>
      <c r="P734" t="s">
        <v>80</v>
      </c>
      <c r="Q734">
        <v>4</v>
      </c>
      <c r="R734" s="3">
        <f t="shared" si="66"/>
        <v>1598</v>
      </c>
      <c r="S734" s="3">
        <f t="shared" si="67"/>
        <v>0</v>
      </c>
      <c r="T734" s="3">
        <f t="shared" si="68"/>
        <v>1677</v>
      </c>
      <c r="U734" s="3">
        <f t="shared" si="69"/>
        <v>558.40000000000009</v>
      </c>
      <c r="V734" s="4">
        <f t="shared" si="70"/>
        <v>0.33297555158020281</v>
      </c>
      <c r="W734" t="str">
        <f t="shared" si="71"/>
        <v>Jul</v>
      </c>
    </row>
    <row r="735" spans="1:23" x14ac:dyDescent="0.25">
      <c r="A735" t="s">
        <v>1124</v>
      </c>
      <c r="B735" t="s">
        <v>457</v>
      </c>
      <c r="C735" s="2">
        <v>45955.78125</v>
      </c>
      <c r="D735" t="s">
        <v>169</v>
      </c>
      <c r="E735" t="s">
        <v>170</v>
      </c>
      <c r="F735" t="s">
        <v>98</v>
      </c>
      <c r="G735" t="s">
        <v>171</v>
      </c>
      <c r="H735">
        <v>3</v>
      </c>
      <c r="I735" s="3">
        <v>799</v>
      </c>
      <c r="J735" s="4">
        <v>0.2</v>
      </c>
      <c r="K735" s="3">
        <v>99</v>
      </c>
      <c r="L735" t="s">
        <v>113</v>
      </c>
      <c r="M735" t="s">
        <v>114</v>
      </c>
      <c r="N735" t="s">
        <v>71</v>
      </c>
      <c r="O735" t="s">
        <v>51</v>
      </c>
      <c r="P735" t="s">
        <v>80</v>
      </c>
      <c r="Q735">
        <v>3</v>
      </c>
      <c r="R735" s="3">
        <f t="shared" si="66"/>
        <v>2397</v>
      </c>
      <c r="S735" s="3">
        <f t="shared" si="67"/>
        <v>479.40000000000003</v>
      </c>
      <c r="T735" s="3">
        <f t="shared" si="68"/>
        <v>2016.6</v>
      </c>
      <c r="U735" s="3">
        <f t="shared" si="69"/>
        <v>338.70000000000005</v>
      </c>
      <c r="V735" s="4">
        <f t="shared" si="70"/>
        <v>0.16795596548646238</v>
      </c>
      <c r="W735" t="str">
        <f t="shared" si="71"/>
        <v>Oct</v>
      </c>
    </row>
    <row r="736" spans="1:23" x14ac:dyDescent="0.25">
      <c r="A736" t="s">
        <v>1125</v>
      </c>
      <c r="B736" t="s">
        <v>516</v>
      </c>
      <c r="C736" s="2">
        <v>45851.699305555558</v>
      </c>
      <c r="D736" t="s">
        <v>25</v>
      </c>
      <c r="E736" t="s">
        <v>26</v>
      </c>
      <c r="F736" t="s">
        <v>27</v>
      </c>
      <c r="G736" t="s">
        <v>28</v>
      </c>
      <c r="H736">
        <v>2</v>
      </c>
      <c r="I736" s="3">
        <v>249</v>
      </c>
      <c r="J736" s="4">
        <v>0</v>
      </c>
      <c r="K736" s="3">
        <v>59</v>
      </c>
      <c r="L736" t="s">
        <v>125</v>
      </c>
      <c r="M736" t="s">
        <v>126</v>
      </c>
      <c r="N736" t="s">
        <v>102</v>
      </c>
      <c r="O736" t="s">
        <v>41</v>
      </c>
      <c r="P736" t="s">
        <v>33</v>
      </c>
      <c r="R736" s="3">
        <f t="shared" si="66"/>
        <v>498</v>
      </c>
      <c r="S736" s="3">
        <f t="shared" si="67"/>
        <v>0</v>
      </c>
      <c r="T736" s="3">
        <f t="shared" si="68"/>
        <v>557</v>
      </c>
      <c r="U736" s="3">
        <f t="shared" si="69"/>
        <v>208.40000000000003</v>
      </c>
      <c r="V736" s="4">
        <f t="shared" si="70"/>
        <v>0.37414721723518857</v>
      </c>
      <c r="W736" t="str">
        <f t="shared" si="71"/>
        <v>Jul</v>
      </c>
    </row>
    <row r="737" spans="1:23" x14ac:dyDescent="0.25">
      <c r="A737" t="s">
        <v>1126</v>
      </c>
      <c r="B737" t="s">
        <v>440</v>
      </c>
      <c r="C737" s="2">
        <v>46022.578472222223</v>
      </c>
      <c r="D737" t="s">
        <v>169</v>
      </c>
      <c r="E737" t="s">
        <v>170</v>
      </c>
      <c r="F737" t="s">
        <v>98</v>
      </c>
      <c r="G737" t="s">
        <v>171</v>
      </c>
      <c r="H737">
        <v>1</v>
      </c>
      <c r="I737" s="3">
        <v>799</v>
      </c>
      <c r="J737" s="4">
        <v>0</v>
      </c>
      <c r="K737" s="3">
        <v>0</v>
      </c>
      <c r="L737" t="s">
        <v>119</v>
      </c>
      <c r="M737" t="s">
        <v>120</v>
      </c>
      <c r="N737" t="s">
        <v>40</v>
      </c>
      <c r="O737" t="s">
        <v>41</v>
      </c>
      <c r="P737" t="s">
        <v>52</v>
      </c>
      <c r="Q737">
        <v>4</v>
      </c>
      <c r="R737" s="3">
        <f t="shared" si="66"/>
        <v>799</v>
      </c>
      <c r="S737" s="3">
        <f t="shared" si="67"/>
        <v>0</v>
      </c>
      <c r="T737" s="3">
        <f t="shared" si="68"/>
        <v>799</v>
      </c>
      <c r="U737" s="3">
        <f t="shared" si="69"/>
        <v>239.70000000000005</v>
      </c>
      <c r="V737" s="4">
        <f t="shared" si="70"/>
        <v>0.30000000000000004</v>
      </c>
      <c r="W737" t="str">
        <f t="shared" si="71"/>
        <v>Dec</v>
      </c>
    </row>
    <row r="738" spans="1:23" x14ac:dyDescent="0.25">
      <c r="A738" t="s">
        <v>1127</v>
      </c>
      <c r="B738" t="s">
        <v>500</v>
      </c>
      <c r="C738" s="2">
        <v>46004.684027777781</v>
      </c>
      <c r="D738" t="s">
        <v>67</v>
      </c>
      <c r="E738" t="s">
        <v>68</v>
      </c>
      <c r="F738" t="s">
        <v>37</v>
      </c>
      <c r="G738" t="s">
        <v>38</v>
      </c>
      <c r="H738">
        <v>1</v>
      </c>
      <c r="I738" s="3"/>
      <c r="J738" s="4">
        <v>0.15</v>
      </c>
      <c r="K738" s="3">
        <v>99</v>
      </c>
      <c r="L738" t="s">
        <v>119</v>
      </c>
      <c r="M738" t="s">
        <v>120</v>
      </c>
      <c r="N738" t="s">
        <v>71</v>
      </c>
      <c r="O738" t="s">
        <v>32</v>
      </c>
      <c r="P738" t="s">
        <v>85</v>
      </c>
      <c r="Q738">
        <v>4</v>
      </c>
      <c r="R738" s="3">
        <f t="shared" si="66"/>
        <v>0</v>
      </c>
      <c r="S738" s="3">
        <f t="shared" si="67"/>
        <v>0</v>
      </c>
      <c r="T738" s="3">
        <f t="shared" si="68"/>
        <v>99</v>
      </c>
      <c r="U738" s="3">
        <f t="shared" si="69"/>
        <v>99</v>
      </c>
      <c r="V738" s="4">
        <f t="shared" si="70"/>
        <v>1</v>
      </c>
      <c r="W738" t="str">
        <f t="shared" si="71"/>
        <v>Dec</v>
      </c>
    </row>
    <row r="739" spans="1:23" x14ac:dyDescent="0.25">
      <c r="A739" t="s">
        <v>1128</v>
      </c>
      <c r="B739" t="s">
        <v>336</v>
      </c>
      <c r="C739" s="2">
        <v>46010.656944444447</v>
      </c>
      <c r="D739" t="s">
        <v>25</v>
      </c>
      <c r="E739" t="s">
        <v>26</v>
      </c>
      <c r="F739" t="s">
        <v>27</v>
      </c>
      <c r="G739" t="s">
        <v>28</v>
      </c>
      <c r="H739">
        <v>5</v>
      </c>
      <c r="I739" s="3">
        <v>249</v>
      </c>
      <c r="J739" s="4">
        <v>0</v>
      </c>
      <c r="K739" s="3">
        <v>49</v>
      </c>
      <c r="L739" t="s">
        <v>57</v>
      </c>
      <c r="M739" t="s">
        <v>58</v>
      </c>
      <c r="N739" t="s">
        <v>50</v>
      </c>
      <c r="O739" t="s">
        <v>59</v>
      </c>
      <c r="P739" t="s">
        <v>52</v>
      </c>
      <c r="R739" s="3">
        <f t="shared" si="66"/>
        <v>1245</v>
      </c>
      <c r="S739" s="3">
        <f t="shared" si="67"/>
        <v>0</v>
      </c>
      <c r="T739" s="3">
        <f t="shared" si="68"/>
        <v>1294</v>
      </c>
      <c r="U739" s="3">
        <f t="shared" si="69"/>
        <v>422.5</v>
      </c>
      <c r="V739" s="4">
        <f t="shared" si="70"/>
        <v>0.32650695517774342</v>
      </c>
      <c r="W739" t="str">
        <f t="shared" si="71"/>
        <v>Dec</v>
      </c>
    </row>
    <row r="740" spans="1:23" x14ac:dyDescent="0.25">
      <c r="A740" t="s">
        <v>1129</v>
      </c>
      <c r="B740" t="s">
        <v>417</v>
      </c>
      <c r="C740" s="2">
        <v>45920.671527777777</v>
      </c>
      <c r="D740" t="s">
        <v>90</v>
      </c>
      <c r="E740" t="s">
        <v>91</v>
      </c>
      <c r="F740" t="s">
        <v>37</v>
      </c>
      <c r="G740" t="s">
        <v>92</v>
      </c>
      <c r="H740">
        <v>4</v>
      </c>
      <c r="I740" s="3">
        <v>3499</v>
      </c>
      <c r="J740" s="4">
        <v>0</v>
      </c>
      <c r="K740" s="3">
        <v>79</v>
      </c>
      <c r="L740" t="s">
        <v>100</v>
      </c>
      <c r="M740" t="s">
        <v>101</v>
      </c>
      <c r="N740" t="s">
        <v>31</v>
      </c>
      <c r="O740" t="s">
        <v>41</v>
      </c>
      <c r="P740" t="s">
        <v>80</v>
      </c>
      <c r="Q740">
        <v>5</v>
      </c>
      <c r="R740" s="3">
        <f t="shared" si="66"/>
        <v>13996</v>
      </c>
      <c r="S740" s="3">
        <f t="shared" si="67"/>
        <v>0</v>
      </c>
      <c r="T740" s="3">
        <f t="shared" si="68"/>
        <v>14075</v>
      </c>
      <c r="U740" s="3">
        <f t="shared" si="69"/>
        <v>4277.8000000000011</v>
      </c>
      <c r="V740" s="4">
        <f t="shared" si="70"/>
        <v>0.30392895204262887</v>
      </c>
      <c r="W740" t="str">
        <f t="shared" si="71"/>
        <v>Sep</v>
      </c>
    </row>
    <row r="741" spans="1:23" x14ac:dyDescent="0.25">
      <c r="A741" t="s">
        <v>1130</v>
      </c>
      <c r="B741" t="s">
        <v>154</v>
      </c>
      <c r="C741" s="2">
        <v>45867.129861111112</v>
      </c>
      <c r="D741" t="s">
        <v>169</v>
      </c>
      <c r="E741" t="s">
        <v>170</v>
      </c>
      <c r="F741" t="s">
        <v>98</v>
      </c>
      <c r="G741" t="s">
        <v>171</v>
      </c>
      <c r="H741">
        <v>2</v>
      </c>
      <c r="I741" s="3">
        <v>799</v>
      </c>
      <c r="J741" s="4">
        <v>0.15</v>
      </c>
      <c r="K741" s="3">
        <v>59</v>
      </c>
      <c r="L741" t="s">
        <v>29</v>
      </c>
      <c r="M741" t="s">
        <v>30</v>
      </c>
      <c r="N741" t="s">
        <v>102</v>
      </c>
      <c r="O741" t="s">
        <v>41</v>
      </c>
      <c r="P741" t="s">
        <v>33</v>
      </c>
      <c r="Q741">
        <v>1</v>
      </c>
      <c r="R741" s="3">
        <f t="shared" si="66"/>
        <v>1598</v>
      </c>
      <c r="S741" s="3">
        <f t="shared" si="67"/>
        <v>239.7</v>
      </c>
      <c r="T741" s="3">
        <f t="shared" si="68"/>
        <v>1417.3</v>
      </c>
      <c r="U741" s="3">
        <f t="shared" si="69"/>
        <v>298.70000000000005</v>
      </c>
      <c r="V741" s="4">
        <f t="shared" si="70"/>
        <v>0.21075283990686519</v>
      </c>
      <c r="W741" t="str">
        <f t="shared" si="71"/>
        <v>Jul</v>
      </c>
    </row>
    <row r="742" spans="1:23" x14ac:dyDescent="0.25">
      <c r="A742" t="s">
        <v>1131</v>
      </c>
      <c r="B742" t="s">
        <v>673</v>
      </c>
      <c r="C742" s="2">
        <v>45813.396527777782</v>
      </c>
      <c r="D742" t="s">
        <v>169</v>
      </c>
      <c r="E742" t="s">
        <v>170</v>
      </c>
      <c r="F742" t="s">
        <v>98</v>
      </c>
      <c r="G742" t="s">
        <v>171</v>
      </c>
      <c r="H742">
        <v>5</v>
      </c>
      <c r="I742" s="3">
        <v>799</v>
      </c>
      <c r="J742" s="4">
        <v>0</v>
      </c>
      <c r="K742" s="3">
        <v>49</v>
      </c>
      <c r="L742" t="s">
        <v>48</v>
      </c>
      <c r="M742" t="s">
        <v>49</v>
      </c>
      <c r="N742" t="s">
        <v>863</v>
      </c>
      <c r="O742" t="s">
        <v>51</v>
      </c>
      <c r="P742" t="s">
        <v>33</v>
      </c>
      <c r="Q742">
        <v>3</v>
      </c>
      <c r="R742" s="3">
        <f t="shared" si="66"/>
        <v>3995</v>
      </c>
      <c r="S742" s="3">
        <f t="shared" si="67"/>
        <v>0</v>
      </c>
      <c r="T742" s="3">
        <f t="shared" si="68"/>
        <v>4044</v>
      </c>
      <c r="U742" s="3">
        <f t="shared" si="69"/>
        <v>1247.5</v>
      </c>
      <c r="V742" s="4">
        <f t="shared" si="70"/>
        <v>0.30848170128585561</v>
      </c>
      <c r="W742" t="str">
        <f t="shared" si="71"/>
        <v>Jun</v>
      </c>
    </row>
    <row r="743" spans="1:23" x14ac:dyDescent="0.25">
      <c r="A743" t="s">
        <v>1132</v>
      </c>
      <c r="B743" t="s">
        <v>150</v>
      </c>
      <c r="C743" s="2">
        <v>45908.004861111112</v>
      </c>
      <c r="D743" t="s">
        <v>67</v>
      </c>
      <c r="E743" t="s">
        <v>68</v>
      </c>
      <c r="F743" t="s">
        <v>37</v>
      </c>
      <c r="G743" t="s">
        <v>38</v>
      </c>
      <c r="H743">
        <v>3</v>
      </c>
      <c r="I743" s="3">
        <v>1299</v>
      </c>
      <c r="J743" s="4">
        <v>0.05</v>
      </c>
      <c r="K743" s="3">
        <v>0</v>
      </c>
      <c r="L743" t="s">
        <v>100</v>
      </c>
      <c r="M743" t="s">
        <v>101</v>
      </c>
      <c r="N743" t="s">
        <v>40</v>
      </c>
      <c r="O743" t="s">
        <v>59</v>
      </c>
      <c r="P743" t="s">
        <v>85</v>
      </c>
      <c r="Q743">
        <v>5</v>
      </c>
      <c r="R743" s="3">
        <f t="shared" si="66"/>
        <v>3897</v>
      </c>
      <c r="S743" s="3">
        <f t="shared" si="67"/>
        <v>194.85000000000002</v>
      </c>
      <c r="T743" s="3">
        <f t="shared" si="68"/>
        <v>3702.15</v>
      </c>
      <c r="U743" s="3">
        <f t="shared" si="69"/>
        <v>974.25000000000045</v>
      </c>
      <c r="V743" s="4">
        <f t="shared" si="70"/>
        <v>0.2631578947368422</v>
      </c>
      <c r="W743" t="str">
        <f t="shared" si="71"/>
        <v>Sep</v>
      </c>
    </row>
    <row r="744" spans="1:23" x14ac:dyDescent="0.25">
      <c r="A744" t="s">
        <v>1133</v>
      </c>
      <c r="B744" t="s">
        <v>345</v>
      </c>
      <c r="C744" s="2">
        <v>45830.520833333343</v>
      </c>
      <c r="D744" t="s">
        <v>110</v>
      </c>
      <c r="E744" t="s">
        <v>111</v>
      </c>
      <c r="F744" t="s">
        <v>98</v>
      </c>
      <c r="G744" t="s">
        <v>112</v>
      </c>
      <c r="H744">
        <v>2</v>
      </c>
      <c r="I744" s="3">
        <v>2999</v>
      </c>
      <c r="J744" s="4">
        <v>0.15</v>
      </c>
      <c r="K744" s="3">
        <v>49</v>
      </c>
      <c r="L744" t="s">
        <v>125</v>
      </c>
      <c r="M744" t="s">
        <v>126</v>
      </c>
      <c r="N744" t="s">
        <v>102</v>
      </c>
      <c r="O744" t="s">
        <v>59</v>
      </c>
      <c r="P744" t="s">
        <v>80</v>
      </c>
      <c r="R744" s="3">
        <f t="shared" si="66"/>
        <v>5998</v>
      </c>
      <c r="S744" s="3">
        <f t="shared" si="67"/>
        <v>899.69999999999993</v>
      </c>
      <c r="T744" s="3">
        <f t="shared" si="68"/>
        <v>5147.3</v>
      </c>
      <c r="U744" s="3">
        <f t="shared" si="69"/>
        <v>948.70000000000073</v>
      </c>
      <c r="V744" s="4">
        <f t="shared" si="70"/>
        <v>0.1843102208925069</v>
      </c>
      <c r="W744" t="str">
        <f t="shared" si="71"/>
        <v>Jun</v>
      </c>
    </row>
    <row r="745" spans="1:23" x14ac:dyDescent="0.25">
      <c r="A745" t="s">
        <v>1134</v>
      </c>
      <c r="B745" t="s">
        <v>168</v>
      </c>
      <c r="C745" s="2">
        <v>45824.118750000001</v>
      </c>
      <c r="D745" t="s">
        <v>90</v>
      </c>
      <c r="E745" t="s">
        <v>91</v>
      </c>
      <c r="F745" t="s">
        <v>37</v>
      </c>
      <c r="G745" t="s">
        <v>92</v>
      </c>
      <c r="H745">
        <v>1</v>
      </c>
      <c r="I745" s="3">
        <v>3499</v>
      </c>
      <c r="J745" s="4">
        <v>0.2</v>
      </c>
      <c r="K745" s="3">
        <v>99</v>
      </c>
      <c r="L745" t="s">
        <v>119</v>
      </c>
      <c r="M745" t="s">
        <v>120</v>
      </c>
      <c r="N745" t="s">
        <v>40</v>
      </c>
      <c r="O745" t="s">
        <v>41</v>
      </c>
      <c r="P745" t="s">
        <v>85</v>
      </c>
      <c r="Q745">
        <v>4</v>
      </c>
      <c r="R745" s="3">
        <f t="shared" si="66"/>
        <v>3499</v>
      </c>
      <c r="S745" s="3">
        <f t="shared" si="67"/>
        <v>699.80000000000007</v>
      </c>
      <c r="T745" s="3">
        <f t="shared" si="68"/>
        <v>2898.2</v>
      </c>
      <c r="U745" s="3">
        <f t="shared" si="69"/>
        <v>448.90000000000009</v>
      </c>
      <c r="V745" s="4">
        <f t="shared" si="70"/>
        <v>0.15488924159823342</v>
      </c>
      <c r="W745" t="str">
        <f t="shared" si="71"/>
        <v>Jun</v>
      </c>
    </row>
    <row r="746" spans="1:23" x14ac:dyDescent="0.25">
      <c r="A746" t="s">
        <v>1135</v>
      </c>
      <c r="B746" t="s">
        <v>660</v>
      </c>
      <c r="C746" s="2">
        <v>46001.615972222222</v>
      </c>
      <c r="D746" t="s">
        <v>169</v>
      </c>
      <c r="E746" t="s">
        <v>170</v>
      </c>
      <c r="F746" t="s">
        <v>98</v>
      </c>
      <c r="G746" t="s">
        <v>171</v>
      </c>
      <c r="H746">
        <v>1</v>
      </c>
      <c r="I746" s="3">
        <v>799</v>
      </c>
      <c r="J746" s="4">
        <v>0.2</v>
      </c>
      <c r="K746" s="3">
        <v>0</v>
      </c>
      <c r="L746" t="s">
        <v>83</v>
      </c>
      <c r="M746" t="s">
        <v>84</v>
      </c>
      <c r="N746" t="s">
        <v>31</v>
      </c>
      <c r="O746" t="s">
        <v>32</v>
      </c>
      <c r="P746" t="s">
        <v>33</v>
      </c>
      <c r="R746" s="3">
        <f t="shared" si="66"/>
        <v>799</v>
      </c>
      <c r="S746" s="3">
        <f t="shared" si="67"/>
        <v>159.80000000000001</v>
      </c>
      <c r="T746" s="3">
        <f t="shared" si="68"/>
        <v>639.20000000000005</v>
      </c>
      <c r="U746" s="3">
        <f t="shared" si="69"/>
        <v>79.900000000000091</v>
      </c>
      <c r="V746" s="4">
        <f t="shared" si="70"/>
        <v>0.12500000000000014</v>
      </c>
      <c r="W746" t="str">
        <f t="shared" si="71"/>
        <v>Dec</v>
      </c>
    </row>
    <row r="747" spans="1:23" x14ac:dyDescent="0.25">
      <c r="A747" t="s">
        <v>1136</v>
      </c>
      <c r="B747" t="s">
        <v>448</v>
      </c>
      <c r="C747" s="2">
        <v>45721.857638888891</v>
      </c>
      <c r="D747" t="s">
        <v>77</v>
      </c>
      <c r="E747" t="s">
        <v>78</v>
      </c>
      <c r="F747" t="s">
        <v>79</v>
      </c>
      <c r="G747" t="s">
        <v>28</v>
      </c>
      <c r="H747">
        <v>2</v>
      </c>
      <c r="I747" s="3">
        <v>6499</v>
      </c>
      <c r="J747" s="4">
        <v>0</v>
      </c>
      <c r="K747" s="3">
        <v>99</v>
      </c>
      <c r="L747" t="s">
        <v>48</v>
      </c>
      <c r="M747" t="s">
        <v>49</v>
      </c>
      <c r="N747" t="s">
        <v>102</v>
      </c>
      <c r="O747" t="s">
        <v>93</v>
      </c>
      <c r="P747" t="s">
        <v>33</v>
      </c>
      <c r="Q747">
        <v>5</v>
      </c>
      <c r="R747" s="3">
        <f t="shared" si="66"/>
        <v>12998</v>
      </c>
      <c r="S747" s="3">
        <f t="shared" si="67"/>
        <v>0</v>
      </c>
      <c r="T747" s="3">
        <f t="shared" si="68"/>
        <v>13097</v>
      </c>
      <c r="U747" s="3">
        <f t="shared" si="69"/>
        <v>3998.4000000000015</v>
      </c>
      <c r="V747" s="4">
        <f t="shared" si="70"/>
        <v>0.30529128808124006</v>
      </c>
      <c r="W747" t="str">
        <f t="shared" si="71"/>
        <v>Mar</v>
      </c>
    </row>
    <row r="748" spans="1:23" x14ac:dyDescent="0.25">
      <c r="A748" t="s">
        <v>1137</v>
      </c>
      <c r="B748" t="s">
        <v>942</v>
      </c>
      <c r="C748" s="2">
        <v>45915.004861111112</v>
      </c>
      <c r="D748" t="s">
        <v>62</v>
      </c>
      <c r="E748" t="s">
        <v>63</v>
      </c>
      <c r="F748" t="s">
        <v>46</v>
      </c>
      <c r="G748" t="s">
        <v>64</v>
      </c>
      <c r="H748">
        <v>3</v>
      </c>
      <c r="I748" s="3">
        <v>699</v>
      </c>
      <c r="J748" s="4">
        <v>0.15</v>
      </c>
      <c r="K748" s="3">
        <v>49</v>
      </c>
      <c r="L748" t="s">
        <v>113</v>
      </c>
      <c r="M748" t="s">
        <v>114</v>
      </c>
      <c r="N748" t="s">
        <v>71</v>
      </c>
      <c r="O748" t="s">
        <v>41</v>
      </c>
      <c r="P748" t="s">
        <v>80</v>
      </c>
      <c r="Q748">
        <v>2</v>
      </c>
      <c r="R748" s="3">
        <f t="shared" si="66"/>
        <v>2097</v>
      </c>
      <c r="S748" s="3">
        <f t="shared" si="67"/>
        <v>314.55</v>
      </c>
      <c r="T748" s="3">
        <f t="shared" si="68"/>
        <v>1831.45</v>
      </c>
      <c r="U748" s="3">
        <f t="shared" si="69"/>
        <v>363.55000000000018</v>
      </c>
      <c r="V748" s="4">
        <f t="shared" si="70"/>
        <v>0.19850391766086989</v>
      </c>
      <c r="W748" t="str">
        <f t="shared" si="71"/>
        <v>Sep</v>
      </c>
    </row>
    <row r="749" spans="1:23" x14ac:dyDescent="0.25">
      <c r="A749" t="s">
        <v>1138</v>
      </c>
      <c r="B749" t="s">
        <v>707</v>
      </c>
      <c r="C749" s="2">
        <v>45931.805555555547</v>
      </c>
      <c r="D749" t="s">
        <v>77</v>
      </c>
      <c r="E749" t="s">
        <v>78</v>
      </c>
      <c r="F749" t="s">
        <v>79</v>
      </c>
      <c r="G749" t="s">
        <v>28</v>
      </c>
      <c r="H749">
        <v>1</v>
      </c>
      <c r="I749" s="3">
        <v>6499</v>
      </c>
      <c r="J749" s="4">
        <v>0.15</v>
      </c>
      <c r="K749" s="3">
        <v>0</v>
      </c>
      <c r="L749" t="s">
        <v>125</v>
      </c>
      <c r="M749" t="s">
        <v>126</v>
      </c>
      <c r="N749" t="s">
        <v>31</v>
      </c>
      <c r="O749" t="s">
        <v>51</v>
      </c>
      <c r="P749" t="s">
        <v>52</v>
      </c>
      <c r="Q749">
        <v>4</v>
      </c>
      <c r="R749" s="3">
        <f t="shared" si="66"/>
        <v>6499</v>
      </c>
      <c r="S749" s="3">
        <f t="shared" si="67"/>
        <v>974.84999999999991</v>
      </c>
      <c r="T749" s="3">
        <f t="shared" si="68"/>
        <v>5524.15</v>
      </c>
      <c r="U749" s="3">
        <f t="shared" si="69"/>
        <v>974.85000000000036</v>
      </c>
      <c r="V749" s="4">
        <f t="shared" si="70"/>
        <v>0.17647058823529418</v>
      </c>
      <c r="W749" t="str">
        <f t="shared" si="71"/>
        <v>Oct</v>
      </c>
    </row>
    <row r="750" spans="1:23" x14ac:dyDescent="0.25">
      <c r="A750" t="s">
        <v>1139</v>
      </c>
      <c r="B750" t="s">
        <v>754</v>
      </c>
      <c r="C750" s="2">
        <v>45928.433333333327</v>
      </c>
      <c r="D750" t="s">
        <v>105</v>
      </c>
      <c r="E750" t="s">
        <v>106</v>
      </c>
      <c r="F750" t="s">
        <v>37</v>
      </c>
      <c r="G750" t="s">
        <v>107</v>
      </c>
      <c r="H750">
        <v>1</v>
      </c>
      <c r="I750" s="3">
        <v>1799</v>
      </c>
      <c r="J750" s="4">
        <v>0</v>
      </c>
      <c r="K750" s="3">
        <v>0</v>
      </c>
      <c r="L750" t="s">
        <v>57</v>
      </c>
      <c r="M750" t="s">
        <v>58</v>
      </c>
      <c r="N750" t="s">
        <v>102</v>
      </c>
      <c r="O750" t="s">
        <v>41</v>
      </c>
      <c r="P750" t="s">
        <v>33</v>
      </c>
      <c r="Q750">
        <v>3</v>
      </c>
      <c r="R750" s="3">
        <f t="shared" si="66"/>
        <v>1799</v>
      </c>
      <c r="S750" s="3">
        <f t="shared" si="67"/>
        <v>0</v>
      </c>
      <c r="T750" s="3">
        <f t="shared" si="68"/>
        <v>1799</v>
      </c>
      <c r="U750" s="3">
        <f t="shared" si="69"/>
        <v>539.70000000000005</v>
      </c>
      <c r="V750" s="4">
        <f t="shared" si="70"/>
        <v>0.30000000000000004</v>
      </c>
      <c r="W750" t="str">
        <f t="shared" si="71"/>
        <v>Sep</v>
      </c>
    </row>
    <row r="751" spans="1:23" x14ac:dyDescent="0.25">
      <c r="A751" t="s">
        <v>1140</v>
      </c>
      <c r="B751" t="s">
        <v>600</v>
      </c>
      <c r="C751" s="2">
        <v>45703.179861111108</v>
      </c>
      <c r="D751" t="s">
        <v>105</v>
      </c>
      <c r="E751" t="s">
        <v>106</v>
      </c>
      <c r="F751" t="s">
        <v>37</v>
      </c>
      <c r="G751" t="s">
        <v>107</v>
      </c>
      <c r="H751">
        <v>1</v>
      </c>
      <c r="I751" s="3">
        <v>1799</v>
      </c>
      <c r="J751" s="4">
        <v>0.2</v>
      </c>
      <c r="K751" s="3">
        <v>49</v>
      </c>
      <c r="L751" t="s">
        <v>100</v>
      </c>
      <c r="M751" t="s">
        <v>101</v>
      </c>
      <c r="N751" t="s">
        <v>102</v>
      </c>
      <c r="O751" t="s">
        <v>51</v>
      </c>
      <c r="P751" t="s">
        <v>52</v>
      </c>
      <c r="Q751">
        <v>2</v>
      </c>
      <c r="R751" s="3">
        <f t="shared" si="66"/>
        <v>1799</v>
      </c>
      <c r="S751" s="3">
        <f t="shared" si="67"/>
        <v>359.8</v>
      </c>
      <c r="T751" s="3">
        <f t="shared" si="68"/>
        <v>1488.2</v>
      </c>
      <c r="U751" s="3">
        <f t="shared" si="69"/>
        <v>228.90000000000009</v>
      </c>
      <c r="V751" s="4">
        <f t="shared" si="70"/>
        <v>0.15380997177798689</v>
      </c>
      <c r="W751" t="str">
        <f t="shared" si="71"/>
        <v>Feb</v>
      </c>
    </row>
    <row r="752" spans="1:23" x14ac:dyDescent="0.25">
      <c r="A752" t="s">
        <v>1141</v>
      </c>
      <c r="B752" t="s">
        <v>347</v>
      </c>
      <c r="C752" s="2">
        <v>45708.42291666667</v>
      </c>
      <c r="D752" t="s">
        <v>35</v>
      </c>
      <c r="E752" t="s">
        <v>36</v>
      </c>
      <c r="F752" t="s">
        <v>37</v>
      </c>
      <c r="G752" t="s">
        <v>38</v>
      </c>
      <c r="H752">
        <v>1</v>
      </c>
      <c r="I752" s="3">
        <v>599</v>
      </c>
      <c r="J752" s="4">
        <v>0.05</v>
      </c>
      <c r="K752" s="3">
        <v>59</v>
      </c>
      <c r="L752" t="s">
        <v>39</v>
      </c>
      <c r="M752" t="s">
        <v>39</v>
      </c>
      <c r="N752" t="s">
        <v>31</v>
      </c>
      <c r="O752" t="s">
        <v>93</v>
      </c>
      <c r="P752" t="s">
        <v>52</v>
      </c>
      <c r="Q752">
        <v>2</v>
      </c>
      <c r="R752" s="3">
        <f t="shared" si="66"/>
        <v>599</v>
      </c>
      <c r="S752" s="3">
        <f t="shared" si="67"/>
        <v>29.950000000000003</v>
      </c>
      <c r="T752" s="3">
        <f t="shared" si="68"/>
        <v>628.04999999999995</v>
      </c>
      <c r="U752" s="3">
        <f t="shared" si="69"/>
        <v>208.75</v>
      </c>
      <c r="V752" s="4">
        <f t="shared" si="70"/>
        <v>0.33237799538253326</v>
      </c>
      <c r="W752" t="str">
        <f t="shared" si="71"/>
        <v>Feb</v>
      </c>
    </row>
    <row r="753" spans="1:23" x14ac:dyDescent="0.25">
      <c r="A753" t="s">
        <v>1142</v>
      </c>
      <c r="B753" t="s">
        <v>73</v>
      </c>
      <c r="C753" s="2">
        <v>45910.7</v>
      </c>
      <c r="D753" t="s">
        <v>67</v>
      </c>
      <c r="E753" t="s">
        <v>68</v>
      </c>
      <c r="F753" t="s">
        <v>37</v>
      </c>
      <c r="G753" t="s">
        <v>38</v>
      </c>
      <c r="H753">
        <v>2</v>
      </c>
      <c r="I753" s="3">
        <v>1299</v>
      </c>
      <c r="J753" s="4">
        <v>0.1</v>
      </c>
      <c r="K753" s="3">
        <v>0</v>
      </c>
      <c r="L753" t="s">
        <v>125</v>
      </c>
      <c r="M753" t="s">
        <v>126</v>
      </c>
      <c r="N753" t="s">
        <v>31</v>
      </c>
      <c r="O753" t="s">
        <v>51</v>
      </c>
      <c r="P753" t="s">
        <v>85</v>
      </c>
      <c r="Q753">
        <v>4</v>
      </c>
      <c r="R753" s="3">
        <f t="shared" si="66"/>
        <v>2598</v>
      </c>
      <c r="S753" s="3">
        <f t="shared" si="67"/>
        <v>259.8</v>
      </c>
      <c r="T753" s="3">
        <f t="shared" si="68"/>
        <v>2338.1999999999998</v>
      </c>
      <c r="U753" s="3">
        <f t="shared" si="69"/>
        <v>519.59999999999991</v>
      </c>
      <c r="V753" s="4">
        <f t="shared" si="70"/>
        <v>0.22222222222222221</v>
      </c>
      <c r="W753" t="str">
        <f t="shared" si="71"/>
        <v>Sep</v>
      </c>
    </row>
    <row r="754" spans="1:23" x14ac:dyDescent="0.25">
      <c r="A754" t="s">
        <v>1143</v>
      </c>
      <c r="B754" t="s">
        <v>773</v>
      </c>
      <c r="C754" s="2">
        <v>45672.569444444453</v>
      </c>
      <c r="D754" t="s">
        <v>62</v>
      </c>
      <c r="E754" t="s">
        <v>63</v>
      </c>
      <c r="F754" t="s">
        <v>46</v>
      </c>
      <c r="G754" t="s">
        <v>64</v>
      </c>
      <c r="H754">
        <v>1</v>
      </c>
      <c r="I754" s="3">
        <v>699</v>
      </c>
      <c r="J754" s="4">
        <v>0</v>
      </c>
      <c r="K754" s="3">
        <v>59</v>
      </c>
      <c r="L754" t="s">
        <v>57</v>
      </c>
      <c r="M754" t="s">
        <v>58</v>
      </c>
      <c r="N754" t="s">
        <v>102</v>
      </c>
      <c r="O754" t="s">
        <v>93</v>
      </c>
      <c r="P754" t="s">
        <v>33</v>
      </c>
      <c r="Q754">
        <v>2</v>
      </c>
      <c r="R754" s="3">
        <f t="shared" si="66"/>
        <v>699</v>
      </c>
      <c r="S754" s="3">
        <f t="shared" si="67"/>
        <v>0</v>
      </c>
      <c r="T754" s="3">
        <f t="shared" si="68"/>
        <v>758</v>
      </c>
      <c r="U754" s="3">
        <f t="shared" si="69"/>
        <v>268.70000000000005</v>
      </c>
      <c r="V754" s="4">
        <f t="shared" si="70"/>
        <v>0.35448548812664915</v>
      </c>
      <c r="W754" t="str">
        <f t="shared" si="71"/>
        <v>Jan</v>
      </c>
    </row>
    <row r="755" spans="1:23" x14ac:dyDescent="0.25">
      <c r="A755" t="s">
        <v>1144</v>
      </c>
      <c r="B755" t="s">
        <v>597</v>
      </c>
      <c r="C755" s="2">
        <v>45866.586805555547</v>
      </c>
      <c r="D755" t="s">
        <v>62</v>
      </c>
      <c r="E755" t="s">
        <v>63</v>
      </c>
      <c r="F755" t="s">
        <v>46</v>
      </c>
      <c r="G755" t="s">
        <v>64</v>
      </c>
      <c r="H755">
        <v>1</v>
      </c>
      <c r="I755" s="3">
        <v>699</v>
      </c>
      <c r="J755" s="4">
        <v>0.15</v>
      </c>
      <c r="K755" s="3">
        <v>49</v>
      </c>
      <c r="L755" t="s">
        <v>100</v>
      </c>
      <c r="M755" t="s">
        <v>101</v>
      </c>
      <c r="N755" t="s">
        <v>71</v>
      </c>
      <c r="O755" t="s">
        <v>32</v>
      </c>
      <c r="P755" t="s">
        <v>80</v>
      </c>
      <c r="Q755">
        <v>2</v>
      </c>
      <c r="R755" s="3">
        <f t="shared" si="66"/>
        <v>699</v>
      </c>
      <c r="S755" s="3">
        <f t="shared" si="67"/>
        <v>104.85</v>
      </c>
      <c r="T755" s="3">
        <f t="shared" si="68"/>
        <v>643.15</v>
      </c>
      <c r="U755" s="3">
        <f t="shared" si="69"/>
        <v>153.85000000000002</v>
      </c>
      <c r="V755" s="4">
        <f t="shared" si="70"/>
        <v>0.23921324729845297</v>
      </c>
      <c r="W755" t="str">
        <f t="shared" si="71"/>
        <v>Jul</v>
      </c>
    </row>
    <row r="756" spans="1:23" x14ac:dyDescent="0.25">
      <c r="A756" t="s">
        <v>1145</v>
      </c>
      <c r="B756" t="s">
        <v>403</v>
      </c>
      <c r="C756" s="2">
        <v>45942.584722222222</v>
      </c>
      <c r="D756" t="s">
        <v>67</v>
      </c>
      <c r="E756" t="s">
        <v>68</v>
      </c>
      <c r="F756" t="s">
        <v>37</v>
      </c>
      <c r="G756" t="s">
        <v>38</v>
      </c>
      <c r="H756">
        <v>4</v>
      </c>
      <c r="I756" s="3">
        <v>1299</v>
      </c>
      <c r="J756" s="4">
        <v>0.1</v>
      </c>
      <c r="K756" s="3">
        <v>99</v>
      </c>
      <c r="L756" t="s">
        <v>83</v>
      </c>
      <c r="M756" t="s">
        <v>84</v>
      </c>
      <c r="N756" t="s">
        <v>50</v>
      </c>
      <c r="O756" t="s">
        <v>93</v>
      </c>
      <c r="P756" t="s">
        <v>33</v>
      </c>
      <c r="Q756">
        <v>1</v>
      </c>
      <c r="R756" s="3">
        <f t="shared" si="66"/>
        <v>5196</v>
      </c>
      <c r="S756" s="3">
        <f t="shared" si="67"/>
        <v>519.6</v>
      </c>
      <c r="T756" s="3">
        <f t="shared" si="68"/>
        <v>4775.3999999999996</v>
      </c>
      <c r="U756" s="3">
        <f t="shared" si="69"/>
        <v>1138.1999999999998</v>
      </c>
      <c r="V756" s="4">
        <f t="shared" si="70"/>
        <v>0.23834652594547051</v>
      </c>
      <c r="W756" t="str">
        <f t="shared" si="71"/>
        <v>Oct</v>
      </c>
    </row>
    <row r="757" spans="1:23" x14ac:dyDescent="0.25">
      <c r="A757" t="s">
        <v>1146</v>
      </c>
      <c r="B757" t="s">
        <v>164</v>
      </c>
      <c r="C757" s="2">
        <v>46006.515277777777</v>
      </c>
      <c r="D757" t="s">
        <v>90</v>
      </c>
      <c r="E757" t="s">
        <v>91</v>
      </c>
      <c r="F757" t="s">
        <v>37</v>
      </c>
      <c r="G757" t="s">
        <v>92</v>
      </c>
      <c r="H757">
        <v>2</v>
      </c>
      <c r="I757" s="3">
        <v>3499</v>
      </c>
      <c r="J757" s="4">
        <v>0</v>
      </c>
      <c r="K757" s="3">
        <v>99</v>
      </c>
      <c r="L757" t="s">
        <v>48</v>
      </c>
      <c r="M757" t="s">
        <v>49</v>
      </c>
      <c r="N757" t="s">
        <v>71</v>
      </c>
      <c r="O757" t="s">
        <v>93</v>
      </c>
      <c r="P757" t="s">
        <v>80</v>
      </c>
      <c r="Q757">
        <v>2</v>
      </c>
      <c r="R757" s="3">
        <f t="shared" si="66"/>
        <v>6998</v>
      </c>
      <c r="S757" s="3">
        <f t="shared" si="67"/>
        <v>0</v>
      </c>
      <c r="T757" s="3">
        <f t="shared" si="68"/>
        <v>7097</v>
      </c>
      <c r="U757" s="3">
        <f t="shared" si="69"/>
        <v>2198.4000000000005</v>
      </c>
      <c r="V757" s="4">
        <f t="shared" si="70"/>
        <v>0.30976468930534035</v>
      </c>
      <c r="W757" t="str">
        <f t="shared" si="71"/>
        <v>Dec</v>
      </c>
    </row>
    <row r="758" spans="1:23" x14ac:dyDescent="0.25">
      <c r="A758" t="s">
        <v>1147</v>
      </c>
      <c r="B758" t="s">
        <v>309</v>
      </c>
      <c r="C758" s="2">
        <v>45811.100694444453</v>
      </c>
      <c r="D758" t="s">
        <v>77</v>
      </c>
      <c r="E758" t="s">
        <v>78</v>
      </c>
      <c r="F758" t="s">
        <v>79</v>
      </c>
      <c r="G758" t="s">
        <v>28</v>
      </c>
      <c r="H758">
        <v>2</v>
      </c>
      <c r="I758" s="3">
        <v>6499</v>
      </c>
      <c r="J758" s="4">
        <v>0</v>
      </c>
      <c r="K758" s="3">
        <v>49</v>
      </c>
      <c r="L758" t="s">
        <v>83</v>
      </c>
      <c r="M758" t="s">
        <v>84</v>
      </c>
      <c r="N758" t="s">
        <v>71</v>
      </c>
      <c r="O758" t="s">
        <v>59</v>
      </c>
      <c r="P758" t="s">
        <v>80</v>
      </c>
      <c r="Q758">
        <v>2</v>
      </c>
      <c r="R758" s="3">
        <f t="shared" si="66"/>
        <v>12998</v>
      </c>
      <c r="S758" s="3">
        <f t="shared" si="67"/>
        <v>0</v>
      </c>
      <c r="T758" s="3">
        <f t="shared" si="68"/>
        <v>13047</v>
      </c>
      <c r="U758" s="3">
        <f t="shared" si="69"/>
        <v>3948.4000000000015</v>
      </c>
      <c r="V758" s="4">
        <f t="shared" si="70"/>
        <v>0.30262895684831775</v>
      </c>
      <c r="W758" t="str">
        <f t="shared" si="71"/>
        <v>Jun</v>
      </c>
    </row>
    <row r="759" spans="1:23" x14ac:dyDescent="0.25">
      <c r="A759" t="s">
        <v>1148</v>
      </c>
      <c r="B759" t="s">
        <v>315</v>
      </c>
      <c r="C759" s="2">
        <v>45820.88958333333</v>
      </c>
      <c r="D759" t="s">
        <v>44</v>
      </c>
      <c r="E759" t="s">
        <v>45</v>
      </c>
      <c r="F759" t="s">
        <v>46</v>
      </c>
      <c r="G759" t="s">
        <v>47</v>
      </c>
      <c r="H759">
        <v>4</v>
      </c>
      <c r="I759" s="3">
        <v>1199</v>
      </c>
      <c r="J759" s="4">
        <v>0.05</v>
      </c>
      <c r="K759" s="3">
        <v>79</v>
      </c>
      <c r="L759" t="s">
        <v>83</v>
      </c>
      <c r="M759" t="s">
        <v>84</v>
      </c>
      <c r="N759" t="s">
        <v>50</v>
      </c>
      <c r="O759" t="s">
        <v>51</v>
      </c>
      <c r="P759" t="s">
        <v>80</v>
      </c>
      <c r="Q759">
        <v>3</v>
      </c>
      <c r="R759" s="3">
        <f t="shared" si="66"/>
        <v>4796</v>
      </c>
      <c r="S759" s="3">
        <f t="shared" si="67"/>
        <v>239.8</v>
      </c>
      <c r="T759" s="3">
        <f t="shared" si="68"/>
        <v>4635.2</v>
      </c>
      <c r="U759" s="3">
        <f t="shared" si="69"/>
        <v>1278</v>
      </c>
      <c r="V759" s="4">
        <f t="shared" si="70"/>
        <v>0.275716258198136</v>
      </c>
      <c r="W759" t="str">
        <f t="shared" si="71"/>
        <v>Jun</v>
      </c>
    </row>
    <row r="760" spans="1:23" x14ac:dyDescent="0.25">
      <c r="A760" t="s">
        <v>1149</v>
      </c>
      <c r="B760" t="s">
        <v>186</v>
      </c>
      <c r="C760" s="2">
        <v>45826.040277777778</v>
      </c>
      <c r="D760" t="s">
        <v>67</v>
      </c>
      <c r="E760" t="s">
        <v>68</v>
      </c>
      <c r="F760" t="s">
        <v>37</v>
      </c>
      <c r="G760" t="s">
        <v>38</v>
      </c>
      <c r="H760">
        <v>4</v>
      </c>
      <c r="I760" s="3">
        <v>1299</v>
      </c>
      <c r="J760" s="4">
        <v>0</v>
      </c>
      <c r="K760" s="3">
        <v>0</v>
      </c>
      <c r="L760" t="s">
        <v>119</v>
      </c>
      <c r="M760" t="s">
        <v>120</v>
      </c>
      <c r="N760" t="s">
        <v>31</v>
      </c>
      <c r="O760" t="s">
        <v>93</v>
      </c>
      <c r="P760" t="s">
        <v>80</v>
      </c>
      <c r="R760" s="3">
        <f t="shared" si="66"/>
        <v>5196</v>
      </c>
      <c r="S760" s="3">
        <f t="shared" si="67"/>
        <v>0</v>
      </c>
      <c r="T760" s="3">
        <f t="shared" si="68"/>
        <v>5196</v>
      </c>
      <c r="U760" s="3">
        <f t="shared" si="69"/>
        <v>1558.8000000000002</v>
      </c>
      <c r="V760" s="4">
        <f t="shared" si="70"/>
        <v>0.30000000000000004</v>
      </c>
      <c r="W760" t="str">
        <f t="shared" si="71"/>
        <v>Jun</v>
      </c>
    </row>
    <row r="761" spans="1:23" x14ac:dyDescent="0.25">
      <c r="A761" t="s">
        <v>1150</v>
      </c>
      <c r="B761" t="s">
        <v>188</v>
      </c>
      <c r="C761" s="2">
        <v>46014.938194444447</v>
      </c>
      <c r="D761" t="s">
        <v>105</v>
      </c>
      <c r="E761" t="s">
        <v>106</v>
      </c>
      <c r="F761" t="s">
        <v>37</v>
      </c>
      <c r="G761" t="s">
        <v>107</v>
      </c>
      <c r="H761">
        <v>2</v>
      </c>
      <c r="I761" s="3">
        <v>1799</v>
      </c>
      <c r="J761" s="4">
        <v>0.15</v>
      </c>
      <c r="K761" s="3">
        <v>0</v>
      </c>
      <c r="L761" t="s">
        <v>57</v>
      </c>
      <c r="M761" t="s">
        <v>58</v>
      </c>
      <c r="N761" t="s">
        <v>102</v>
      </c>
      <c r="O761" t="s">
        <v>93</v>
      </c>
      <c r="P761" t="s">
        <v>52</v>
      </c>
      <c r="R761" s="3">
        <f t="shared" si="66"/>
        <v>3598</v>
      </c>
      <c r="S761" s="3">
        <f t="shared" si="67"/>
        <v>539.69999999999993</v>
      </c>
      <c r="T761" s="3">
        <f t="shared" si="68"/>
        <v>3058.3</v>
      </c>
      <c r="U761" s="3">
        <f t="shared" si="69"/>
        <v>539.70000000000027</v>
      </c>
      <c r="V761" s="4">
        <f t="shared" si="70"/>
        <v>0.17647058823529418</v>
      </c>
      <c r="W761" t="str">
        <f t="shared" si="71"/>
        <v>Dec</v>
      </c>
    </row>
    <row r="762" spans="1:23" x14ac:dyDescent="0.25">
      <c r="A762" t="s">
        <v>1151</v>
      </c>
      <c r="B762" t="s">
        <v>181</v>
      </c>
      <c r="C762" s="2">
        <v>45838.536111111112</v>
      </c>
      <c r="D762" t="s">
        <v>25</v>
      </c>
      <c r="E762" t="s">
        <v>26</v>
      </c>
      <c r="F762" t="s">
        <v>27</v>
      </c>
      <c r="G762" t="s">
        <v>28</v>
      </c>
      <c r="H762">
        <v>2</v>
      </c>
      <c r="I762" s="3">
        <v>249</v>
      </c>
      <c r="J762" s="4">
        <v>0.05</v>
      </c>
      <c r="K762" s="3">
        <v>79</v>
      </c>
      <c r="L762" t="s">
        <v>119</v>
      </c>
      <c r="M762" t="s">
        <v>120</v>
      </c>
      <c r="N762" t="s">
        <v>31</v>
      </c>
      <c r="O762" t="s">
        <v>93</v>
      </c>
      <c r="P762" t="s">
        <v>85</v>
      </c>
      <c r="Q762">
        <v>4</v>
      </c>
      <c r="R762" s="3">
        <f t="shared" si="66"/>
        <v>498</v>
      </c>
      <c r="S762" s="3">
        <f t="shared" si="67"/>
        <v>24.900000000000002</v>
      </c>
      <c r="T762" s="3">
        <f t="shared" si="68"/>
        <v>552.1</v>
      </c>
      <c r="U762" s="3">
        <f t="shared" si="69"/>
        <v>203.50000000000006</v>
      </c>
      <c r="V762" s="4">
        <f t="shared" si="70"/>
        <v>0.36859264625973565</v>
      </c>
      <c r="W762" t="str">
        <f t="shared" si="71"/>
        <v>Jun</v>
      </c>
    </row>
    <row r="763" spans="1:23" x14ac:dyDescent="0.25">
      <c r="A763" t="s">
        <v>1152</v>
      </c>
      <c r="B763" t="s">
        <v>160</v>
      </c>
      <c r="C763" s="2">
        <v>45771.959027777782</v>
      </c>
      <c r="D763" t="s">
        <v>169</v>
      </c>
      <c r="E763" t="s">
        <v>170</v>
      </c>
      <c r="F763" t="s">
        <v>98</v>
      </c>
      <c r="G763" t="s">
        <v>171</v>
      </c>
      <c r="H763">
        <v>1</v>
      </c>
      <c r="I763" s="3">
        <v>799</v>
      </c>
      <c r="J763" s="4">
        <v>0.2</v>
      </c>
      <c r="K763" s="3">
        <v>59</v>
      </c>
      <c r="L763" t="s">
        <v>113</v>
      </c>
      <c r="M763" t="s">
        <v>114</v>
      </c>
      <c r="N763" t="s">
        <v>31</v>
      </c>
      <c r="O763" t="s">
        <v>32</v>
      </c>
      <c r="P763" t="s">
        <v>33</v>
      </c>
      <c r="R763" s="3">
        <f t="shared" si="66"/>
        <v>799</v>
      </c>
      <c r="S763" s="3">
        <f t="shared" si="67"/>
        <v>159.80000000000001</v>
      </c>
      <c r="T763" s="3">
        <f t="shared" si="68"/>
        <v>698.2</v>
      </c>
      <c r="U763" s="3">
        <f t="shared" si="69"/>
        <v>138.90000000000009</v>
      </c>
      <c r="V763" s="4">
        <f t="shared" si="70"/>
        <v>0.198940131767402</v>
      </c>
      <c r="W763" t="str">
        <f t="shared" si="71"/>
        <v>Apr</v>
      </c>
    </row>
    <row r="764" spans="1:23" x14ac:dyDescent="0.25">
      <c r="A764" t="s">
        <v>1153</v>
      </c>
      <c r="B764" t="s">
        <v>148</v>
      </c>
      <c r="C764" s="2">
        <v>45910.459722222222</v>
      </c>
      <c r="D764" t="s">
        <v>110</v>
      </c>
      <c r="E764" t="s">
        <v>111</v>
      </c>
      <c r="F764" t="s">
        <v>98</v>
      </c>
      <c r="G764" t="s">
        <v>112</v>
      </c>
      <c r="H764">
        <v>1</v>
      </c>
      <c r="I764" s="3">
        <v>2999</v>
      </c>
      <c r="J764" s="4">
        <v>0.1</v>
      </c>
      <c r="K764" s="3">
        <v>99</v>
      </c>
      <c r="L764" t="s">
        <v>113</v>
      </c>
      <c r="M764" t="s">
        <v>114</v>
      </c>
      <c r="N764" t="s">
        <v>31</v>
      </c>
      <c r="O764" t="s">
        <v>41</v>
      </c>
      <c r="P764" t="s">
        <v>33</v>
      </c>
      <c r="R764" s="3">
        <f t="shared" si="66"/>
        <v>2999</v>
      </c>
      <c r="S764" s="3">
        <f t="shared" si="67"/>
        <v>299.90000000000003</v>
      </c>
      <c r="T764" s="3">
        <f t="shared" si="68"/>
        <v>2798.1</v>
      </c>
      <c r="U764" s="3">
        <f t="shared" si="69"/>
        <v>698.80000000000018</v>
      </c>
      <c r="V764" s="4">
        <f t="shared" si="70"/>
        <v>0.24974089560773388</v>
      </c>
      <c r="W764" t="str">
        <f t="shared" si="71"/>
        <v>Sep</v>
      </c>
    </row>
    <row r="765" spans="1:23" x14ac:dyDescent="0.25">
      <c r="A765" t="s">
        <v>1154</v>
      </c>
      <c r="B765" t="s">
        <v>409</v>
      </c>
      <c r="C765" s="2">
        <v>45800.772222222222</v>
      </c>
      <c r="D765" t="s">
        <v>25</v>
      </c>
      <c r="E765" t="s">
        <v>26</v>
      </c>
      <c r="F765" t="s">
        <v>27</v>
      </c>
      <c r="G765" t="s">
        <v>28</v>
      </c>
      <c r="H765">
        <v>1</v>
      </c>
      <c r="I765" s="3">
        <v>249</v>
      </c>
      <c r="J765" s="4">
        <v>0</v>
      </c>
      <c r="K765" s="3">
        <v>99</v>
      </c>
      <c r="L765" t="s">
        <v>57</v>
      </c>
      <c r="M765" t="s">
        <v>58</v>
      </c>
      <c r="N765" t="s">
        <v>102</v>
      </c>
      <c r="O765" t="s">
        <v>32</v>
      </c>
      <c r="P765" t="s">
        <v>52</v>
      </c>
      <c r="Q765">
        <v>5</v>
      </c>
      <c r="R765" s="3">
        <f t="shared" si="66"/>
        <v>249</v>
      </c>
      <c r="S765" s="3">
        <f t="shared" si="67"/>
        <v>0</v>
      </c>
      <c r="T765" s="3">
        <f t="shared" si="68"/>
        <v>348</v>
      </c>
      <c r="U765" s="3">
        <f t="shared" si="69"/>
        <v>173.70000000000002</v>
      </c>
      <c r="V765" s="4">
        <f t="shared" si="70"/>
        <v>0.49913793103448278</v>
      </c>
      <c r="W765" t="str">
        <f t="shared" si="71"/>
        <v>May</v>
      </c>
    </row>
    <row r="766" spans="1:23" x14ac:dyDescent="0.25">
      <c r="A766" t="s">
        <v>1155</v>
      </c>
      <c r="B766" t="s">
        <v>274</v>
      </c>
      <c r="C766" s="2">
        <v>45691.177777777782</v>
      </c>
      <c r="D766" t="s">
        <v>105</v>
      </c>
      <c r="E766" t="s">
        <v>106</v>
      </c>
      <c r="F766" t="s">
        <v>37</v>
      </c>
      <c r="G766" t="s">
        <v>107</v>
      </c>
      <c r="H766">
        <v>2</v>
      </c>
      <c r="I766" s="3">
        <v>1799</v>
      </c>
      <c r="J766" s="4">
        <v>0</v>
      </c>
      <c r="K766" s="3">
        <v>99</v>
      </c>
      <c r="L766" t="s">
        <v>29</v>
      </c>
      <c r="M766" t="s">
        <v>30</v>
      </c>
      <c r="N766" t="s">
        <v>50</v>
      </c>
      <c r="O766" t="s">
        <v>93</v>
      </c>
      <c r="P766" t="s">
        <v>85</v>
      </c>
      <c r="R766" s="3">
        <f t="shared" si="66"/>
        <v>3598</v>
      </c>
      <c r="S766" s="3">
        <f t="shared" si="67"/>
        <v>0</v>
      </c>
      <c r="T766" s="3">
        <f t="shared" si="68"/>
        <v>3697</v>
      </c>
      <c r="U766" s="3">
        <f t="shared" si="69"/>
        <v>1178.4000000000001</v>
      </c>
      <c r="V766" s="4">
        <f t="shared" si="70"/>
        <v>0.31874492832025969</v>
      </c>
      <c r="W766" t="str">
        <f t="shared" si="71"/>
        <v>Feb</v>
      </c>
    </row>
    <row r="767" spans="1:23" x14ac:dyDescent="0.25">
      <c r="A767" t="s">
        <v>1156</v>
      </c>
      <c r="B767" t="s">
        <v>1059</v>
      </c>
      <c r="C767" s="2">
        <v>46006.74722222222</v>
      </c>
      <c r="D767" t="s">
        <v>25</v>
      </c>
      <c r="E767" t="s">
        <v>26</v>
      </c>
      <c r="F767" t="s">
        <v>27</v>
      </c>
      <c r="G767" t="s">
        <v>28</v>
      </c>
      <c r="H767">
        <v>2</v>
      </c>
      <c r="I767" s="3">
        <v>249</v>
      </c>
      <c r="J767" s="4">
        <v>0</v>
      </c>
      <c r="K767" s="3">
        <v>79</v>
      </c>
      <c r="L767" t="s">
        <v>982</v>
      </c>
      <c r="M767" t="s">
        <v>84</v>
      </c>
      <c r="N767" t="s">
        <v>71</v>
      </c>
      <c r="O767" t="s">
        <v>59</v>
      </c>
      <c r="P767" t="s">
        <v>52</v>
      </c>
      <c r="R767" s="3">
        <f t="shared" si="66"/>
        <v>498</v>
      </c>
      <c r="S767" s="3">
        <f t="shared" si="67"/>
        <v>0</v>
      </c>
      <c r="T767" s="3">
        <f t="shared" si="68"/>
        <v>577</v>
      </c>
      <c r="U767" s="3">
        <f t="shared" si="69"/>
        <v>228.40000000000003</v>
      </c>
      <c r="V767" s="4">
        <f t="shared" si="70"/>
        <v>0.39584055459272105</v>
      </c>
      <c r="W767" t="str">
        <f t="shared" si="71"/>
        <v>Dec</v>
      </c>
    </row>
    <row r="768" spans="1:23" x14ac:dyDescent="0.25">
      <c r="A768" t="s">
        <v>1157</v>
      </c>
      <c r="B768" t="s">
        <v>733</v>
      </c>
      <c r="C768" s="2">
        <v>45923.604861111111</v>
      </c>
      <c r="D768" t="s">
        <v>96</v>
      </c>
      <c r="E768" t="s">
        <v>97</v>
      </c>
      <c r="F768" t="s">
        <v>98</v>
      </c>
      <c r="G768" t="s">
        <v>99</v>
      </c>
      <c r="H768">
        <v>1</v>
      </c>
      <c r="I768" s="3">
        <v>1499</v>
      </c>
      <c r="J768" s="4">
        <v>0.15</v>
      </c>
      <c r="K768" s="3">
        <v>0</v>
      </c>
      <c r="L768" t="s">
        <v>48</v>
      </c>
      <c r="M768" t="s">
        <v>49</v>
      </c>
      <c r="N768" t="s">
        <v>31</v>
      </c>
      <c r="O768" t="s">
        <v>51</v>
      </c>
      <c r="P768" t="s">
        <v>33</v>
      </c>
      <c r="Q768">
        <v>4</v>
      </c>
      <c r="R768" s="3">
        <f t="shared" si="66"/>
        <v>1499</v>
      </c>
      <c r="S768" s="3">
        <f t="shared" si="67"/>
        <v>224.85</v>
      </c>
      <c r="T768" s="3">
        <f t="shared" si="68"/>
        <v>1274.1500000000001</v>
      </c>
      <c r="U768" s="3">
        <f t="shared" si="69"/>
        <v>224.85000000000014</v>
      </c>
      <c r="V768" s="4">
        <f t="shared" si="70"/>
        <v>0.17647058823529421</v>
      </c>
      <c r="W768" t="str">
        <f t="shared" si="71"/>
        <v>Sep</v>
      </c>
    </row>
    <row r="769" spans="1:23" x14ac:dyDescent="0.25">
      <c r="A769" t="s">
        <v>1158</v>
      </c>
      <c r="B769" t="s">
        <v>642</v>
      </c>
      <c r="C769" s="2">
        <v>45858.26458333333</v>
      </c>
      <c r="D769" t="s">
        <v>62</v>
      </c>
      <c r="E769" t="s">
        <v>63</v>
      </c>
      <c r="F769" t="s">
        <v>46</v>
      </c>
      <c r="G769" t="s">
        <v>64</v>
      </c>
      <c r="H769">
        <v>1</v>
      </c>
      <c r="I769" s="3">
        <v>699</v>
      </c>
      <c r="J769" s="4">
        <v>0.15</v>
      </c>
      <c r="K769" s="3">
        <v>0</v>
      </c>
      <c r="L769" t="s">
        <v>119</v>
      </c>
      <c r="M769" t="s">
        <v>120</v>
      </c>
      <c r="N769" t="s">
        <v>40</v>
      </c>
      <c r="O769" t="s">
        <v>93</v>
      </c>
      <c r="P769" t="s">
        <v>33</v>
      </c>
      <c r="Q769">
        <v>2</v>
      </c>
      <c r="R769" s="3">
        <f t="shared" si="66"/>
        <v>699</v>
      </c>
      <c r="S769" s="3">
        <f t="shared" si="67"/>
        <v>104.85</v>
      </c>
      <c r="T769" s="3">
        <f t="shared" si="68"/>
        <v>594.15</v>
      </c>
      <c r="U769" s="3">
        <f t="shared" si="69"/>
        <v>104.85000000000002</v>
      </c>
      <c r="V769" s="4">
        <f t="shared" si="70"/>
        <v>0.17647058823529416</v>
      </c>
      <c r="W769" t="str">
        <f t="shared" si="71"/>
        <v>Jul</v>
      </c>
    </row>
    <row r="770" spans="1:23" x14ac:dyDescent="0.25">
      <c r="A770" t="s">
        <v>1159</v>
      </c>
      <c r="B770" t="s">
        <v>692</v>
      </c>
      <c r="C770" s="2">
        <v>45690.861111111109</v>
      </c>
      <c r="D770" t="s">
        <v>67</v>
      </c>
      <c r="E770" t="s">
        <v>68</v>
      </c>
      <c r="F770" t="s">
        <v>37</v>
      </c>
      <c r="G770" t="s">
        <v>38</v>
      </c>
      <c r="H770">
        <v>1</v>
      </c>
      <c r="I770" s="3">
        <v>1299</v>
      </c>
      <c r="J770" s="4">
        <v>0</v>
      </c>
      <c r="K770" s="3">
        <v>79</v>
      </c>
      <c r="L770" t="s">
        <v>100</v>
      </c>
      <c r="M770" t="s">
        <v>101</v>
      </c>
      <c r="N770" t="s">
        <v>31</v>
      </c>
      <c r="O770" t="s">
        <v>32</v>
      </c>
      <c r="P770" t="s">
        <v>33</v>
      </c>
      <c r="R770" s="3">
        <f t="shared" ref="R770:R833" si="72">IFERROR(H770*I770,"")</f>
        <v>1299</v>
      </c>
      <c r="S770" s="3">
        <f t="shared" ref="S770:S833" si="73">IFERROR(R770*J770,"")</f>
        <v>0</v>
      </c>
      <c r="T770" s="3">
        <f t="shared" ref="T770:T833" si="74">IFERROR(R770-S770+K770,"")</f>
        <v>1378</v>
      </c>
      <c r="U770" s="3">
        <f t="shared" ref="U770:U833" si="75">IFERROR(T770-(R770*70%),"")</f>
        <v>468.70000000000005</v>
      </c>
      <c r="V770" s="4">
        <f t="shared" ref="V770:V833" si="76">IFERROR(U770/T770,"")</f>
        <v>0.3401306240928883</v>
      </c>
      <c r="W770" t="str">
        <f t="shared" ref="W770:W833" si="77">IFERROR(TEXT(C770,"mmm"),"")</f>
        <v>Feb</v>
      </c>
    </row>
    <row r="771" spans="1:23" x14ac:dyDescent="0.25">
      <c r="A771" t="s">
        <v>1160</v>
      </c>
      <c r="B771" t="s">
        <v>1161</v>
      </c>
      <c r="C771" s="2">
        <v>45784.145833333343</v>
      </c>
      <c r="D771" t="s">
        <v>25</v>
      </c>
      <c r="E771" t="s">
        <v>26</v>
      </c>
      <c r="F771" t="s">
        <v>27</v>
      </c>
      <c r="G771" t="s">
        <v>28</v>
      </c>
      <c r="H771">
        <v>3</v>
      </c>
      <c r="I771" s="3">
        <v>249</v>
      </c>
      <c r="J771" s="4">
        <v>0.05</v>
      </c>
      <c r="K771" s="3">
        <v>0</v>
      </c>
      <c r="L771" t="s">
        <v>74</v>
      </c>
      <c r="M771" t="s">
        <v>49</v>
      </c>
      <c r="N771" t="s">
        <v>102</v>
      </c>
      <c r="O771" t="s">
        <v>41</v>
      </c>
      <c r="P771" t="s">
        <v>33</v>
      </c>
      <c r="Q771">
        <v>1</v>
      </c>
      <c r="R771" s="3">
        <f t="shared" si="72"/>
        <v>747</v>
      </c>
      <c r="S771" s="3">
        <f t="shared" si="73"/>
        <v>37.35</v>
      </c>
      <c r="T771" s="3">
        <f t="shared" si="74"/>
        <v>709.65</v>
      </c>
      <c r="U771" s="3">
        <f t="shared" si="75"/>
        <v>186.75</v>
      </c>
      <c r="V771" s="4">
        <f t="shared" si="76"/>
        <v>0.26315789473684209</v>
      </c>
      <c r="W771" t="str">
        <f t="shared" si="77"/>
        <v>May</v>
      </c>
    </row>
    <row r="772" spans="1:23" x14ac:dyDescent="0.25">
      <c r="A772" t="s">
        <v>1162</v>
      </c>
      <c r="B772" t="s">
        <v>440</v>
      </c>
      <c r="C772" s="2">
        <v>45706.852777777778</v>
      </c>
      <c r="D772" t="s">
        <v>44</v>
      </c>
      <c r="E772" t="s">
        <v>45</v>
      </c>
      <c r="F772" t="s">
        <v>46</v>
      </c>
      <c r="G772" t="s">
        <v>47</v>
      </c>
      <c r="H772">
        <v>1</v>
      </c>
      <c r="I772" s="3">
        <v>1199</v>
      </c>
      <c r="J772" s="4">
        <v>0</v>
      </c>
      <c r="K772" s="3">
        <v>0</v>
      </c>
      <c r="L772" t="s">
        <v>125</v>
      </c>
      <c r="M772" t="s">
        <v>126</v>
      </c>
      <c r="N772" t="s">
        <v>863</v>
      </c>
      <c r="O772" t="s">
        <v>59</v>
      </c>
      <c r="P772" t="s">
        <v>85</v>
      </c>
      <c r="Q772">
        <v>3</v>
      </c>
      <c r="R772" s="3">
        <f t="shared" si="72"/>
        <v>1199</v>
      </c>
      <c r="S772" s="3">
        <f t="shared" si="73"/>
        <v>0</v>
      </c>
      <c r="T772" s="3">
        <f t="shared" si="74"/>
        <v>1199</v>
      </c>
      <c r="U772" s="3">
        <f t="shared" si="75"/>
        <v>359.70000000000005</v>
      </c>
      <c r="V772" s="4">
        <f t="shared" si="76"/>
        <v>0.30000000000000004</v>
      </c>
      <c r="W772" t="str">
        <f t="shared" si="77"/>
        <v>Feb</v>
      </c>
    </row>
    <row r="773" spans="1:23" x14ac:dyDescent="0.25">
      <c r="A773" t="s">
        <v>1163</v>
      </c>
      <c r="B773" t="s">
        <v>715</v>
      </c>
      <c r="C773" s="2">
        <v>45689.585416666669</v>
      </c>
      <c r="D773" t="s">
        <v>77</v>
      </c>
      <c r="E773" t="s">
        <v>78</v>
      </c>
      <c r="F773" t="s">
        <v>79</v>
      </c>
      <c r="G773" t="s">
        <v>28</v>
      </c>
      <c r="H773">
        <v>3</v>
      </c>
      <c r="I773" s="3">
        <v>6499</v>
      </c>
      <c r="J773" s="4">
        <v>0.15</v>
      </c>
      <c r="K773" s="3">
        <v>79</v>
      </c>
      <c r="L773" t="s">
        <v>29</v>
      </c>
      <c r="M773" t="s">
        <v>30</v>
      </c>
      <c r="N773" t="s">
        <v>31</v>
      </c>
      <c r="O773" t="s">
        <v>93</v>
      </c>
      <c r="P773" t="s">
        <v>33</v>
      </c>
      <c r="Q773">
        <v>5</v>
      </c>
      <c r="R773" s="3">
        <f t="shared" si="72"/>
        <v>19497</v>
      </c>
      <c r="S773" s="3">
        <f t="shared" si="73"/>
        <v>2924.5499999999997</v>
      </c>
      <c r="T773" s="3">
        <f t="shared" si="74"/>
        <v>16651.45</v>
      </c>
      <c r="U773" s="3">
        <f t="shared" si="75"/>
        <v>3003.5500000000011</v>
      </c>
      <c r="V773" s="4">
        <f t="shared" si="76"/>
        <v>0.18037768482624641</v>
      </c>
      <c r="W773" t="str">
        <f t="shared" si="77"/>
        <v>Feb</v>
      </c>
    </row>
    <row r="774" spans="1:23" x14ac:dyDescent="0.25">
      <c r="A774" t="s">
        <v>1164</v>
      </c>
      <c r="B774" t="s">
        <v>835</v>
      </c>
      <c r="C774" s="2">
        <v>45863.152083333327</v>
      </c>
      <c r="D774" t="s">
        <v>35</v>
      </c>
      <c r="E774" t="s">
        <v>36</v>
      </c>
      <c r="F774" t="s">
        <v>37</v>
      </c>
      <c r="G774" t="s">
        <v>38</v>
      </c>
      <c r="H774">
        <v>3</v>
      </c>
      <c r="I774" s="3">
        <v>599</v>
      </c>
      <c r="J774" s="4">
        <v>0</v>
      </c>
      <c r="K774" s="3">
        <v>99</v>
      </c>
      <c r="L774" t="s">
        <v>48</v>
      </c>
      <c r="M774" t="s">
        <v>49</v>
      </c>
      <c r="N774" t="s">
        <v>40</v>
      </c>
      <c r="O774" t="s">
        <v>59</v>
      </c>
      <c r="P774" t="s">
        <v>52</v>
      </c>
      <c r="Q774">
        <v>4</v>
      </c>
      <c r="R774" s="3">
        <f t="shared" si="72"/>
        <v>1797</v>
      </c>
      <c r="S774" s="3">
        <f t="shared" si="73"/>
        <v>0</v>
      </c>
      <c r="T774" s="3">
        <f t="shared" si="74"/>
        <v>1896</v>
      </c>
      <c r="U774" s="3">
        <f t="shared" si="75"/>
        <v>638.10000000000014</v>
      </c>
      <c r="V774" s="4">
        <f t="shared" si="76"/>
        <v>0.33655063291139248</v>
      </c>
      <c r="W774" t="str">
        <f t="shared" si="77"/>
        <v>Jul</v>
      </c>
    </row>
    <row r="775" spans="1:23" x14ac:dyDescent="0.25">
      <c r="A775" t="s">
        <v>1165</v>
      </c>
      <c r="B775" t="s">
        <v>1081</v>
      </c>
      <c r="C775" s="2">
        <v>45831.863194444442</v>
      </c>
      <c r="D775" t="s">
        <v>96</v>
      </c>
      <c r="E775" t="s">
        <v>97</v>
      </c>
      <c r="F775" t="s">
        <v>98</v>
      </c>
      <c r="G775" t="s">
        <v>99</v>
      </c>
      <c r="H775">
        <v>2</v>
      </c>
      <c r="I775" s="3">
        <v>1499</v>
      </c>
      <c r="J775" s="4">
        <v>0.1</v>
      </c>
      <c r="K775" s="3">
        <v>99</v>
      </c>
      <c r="L775" t="s">
        <v>125</v>
      </c>
      <c r="M775" t="s">
        <v>126</v>
      </c>
      <c r="N775" t="s">
        <v>102</v>
      </c>
      <c r="O775" t="s">
        <v>41</v>
      </c>
      <c r="P775" t="s">
        <v>33</v>
      </c>
      <c r="Q775">
        <v>1</v>
      </c>
      <c r="R775" s="3">
        <f t="shared" si="72"/>
        <v>2998</v>
      </c>
      <c r="S775" s="3">
        <f t="shared" si="73"/>
        <v>299.8</v>
      </c>
      <c r="T775" s="3">
        <f t="shared" si="74"/>
        <v>2797.2</v>
      </c>
      <c r="U775" s="3">
        <f t="shared" si="75"/>
        <v>698.59999999999991</v>
      </c>
      <c r="V775" s="4">
        <f t="shared" si="76"/>
        <v>0.24974974974974973</v>
      </c>
      <c r="W775" t="str">
        <f t="shared" si="77"/>
        <v>Jun</v>
      </c>
    </row>
    <row r="776" spans="1:23" x14ac:dyDescent="0.25">
      <c r="A776" t="s">
        <v>1166</v>
      </c>
      <c r="B776" t="s">
        <v>713</v>
      </c>
      <c r="C776" s="2">
        <v>45692.784722222219</v>
      </c>
      <c r="D776" t="s">
        <v>55</v>
      </c>
      <c r="E776" t="s">
        <v>56</v>
      </c>
      <c r="F776" t="s">
        <v>37</v>
      </c>
      <c r="G776" t="s">
        <v>38</v>
      </c>
      <c r="H776">
        <v>2</v>
      </c>
      <c r="I776" s="3">
        <v>2499</v>
      </c>
      <c r="J776" s="4">
        <v>0.15</v>
      </c>
      <c r="K776" s="3">
        <v>49</v>
      </c>
      <c r="L776" t="s">
        <v>39</v>
      </c>
      <c r="M776" t="s">
        <v>39</v>
      </c>
      <c r="N776" t="s">
        <v>71</v>
      </c>
      <c r="O776" t="s">
        <v>51</v>
      </c>
      <c r="P776" t="s">
        <v>33</v>
      </c>
      <c r="Q776">
        <v>4</v>
      </c>
      <c r="R776" s="3">
        <f t="shared" si="72"/>
        <v>4998</v>
      </c>
      <c r="S776" s="3">
        <f t="shared" si="73"/>
        <v>749.69999999999993</v>
      </c>
      <c r="T776" s="3">
        <f t="shared" si="74"/>
        <v>4297.3</v>
      </c>
      <c r="U776" s="3">
        <f t="shared" si="75"/>
        <v>798.70000000000027</v>
      </c>
      <c r="V776" s="4">
        <f t="shared" si="76"/>
        <v>0.18586088939566711</v>
      </c>
      <c r="W776" t="str">
        <f t="shared" si="77"/>
        <v>Feb</v>
      </c>
    </row>
    <row r="777" spans="1:23" x14ac:dyDescent="0.25">
      <c r="A777" t="s">
        <v>1167</v>
      </c>
      <c r="B777" t="s">
        <v>116</v>
      </c>
      <c r="C777" s="2">
        <v>45782.20208333333</v>
      </c>
      <c r="D777" t="s">
        <v>90</v>
      </c>
      <c r="E777" t="s">
        <v>91</v>
      </c>
      <c r="F777" t="s">
        <v>37</v>
      </c>
      <c r="G777" t="s">
        <v>92</v>
      </c>
      <c r="H777">
        <v>1</v>
      </c>
      <c r="I777" s="3">
        <v>3499</v>
      </c>
      <c r="J777" s="4">
        <v>0</v>
      </c>
      <c r="K777" s="3">
        <v>49</v>
      </c>
      <c r="L777" t="s">
        <v>125</v>
      </c>
      <c r="M777" t="s">
        <v>126</v>
      </c>
      <c r="N777" t="s">
        <v>102</v>
      </c>
      <c r="O777" t="s">
        <v>59</v>
      </c>
      <c r="P777" t="s">
        <v>33</v>
      </c>
      <c r="Q777">
        <v>5</v>
      </c>
      <c r="R777" s="3">
        <f t="shared" si="72"/>
        <v>3499</v>
      </c>
      <c r="S777" s="3">
        <f t="shared" si="73"/>
        <v>0</v>
      </c>
      <c r="T777" s="3">
        <f t="shared" si="74"/>
        <v>3548</v>
      </c>
      <c r="U777" s="3">
        <f t="shared" si="75"/>
        <v>1098.7000000000003</v>
      </c>
      <c r="V777" s="4">
        <f t="shared" si="76"/>
        <v>0.30966741826381067</v>
      </c>
      <c r="W777" t="str">
        <f t="shared" si="77"/>
        <v>May</v>
      </c>
    </row>
    <row r="778" spans="1:23" x14ac:dyDescent="0.25">
      <c r="A778" t="s">
        <v>1168</v>
      </c>
      <c r="C778" s="2">
        <v>45935.17291666667</v>
      </c>
      <c r="D778" t="s">
        <v>25</v>
      </c>
      <c r="E778" t="s">
        <v>26</v>
      </c>
      <c r="F778" t="s">
        <v>27</v>
      </c>
      <c r="G778" t="s">
        <v>28</v>
      </c>
      <c r="H778">
        <v>1</v>
      </c>
      <c r="I778" s="3">
        <v>249</v>
      </c>
      <c r="J778" s="4">
        <v>0.05</v>
      </c>
      <c r="K778" s="3">
        <v>99</v>
      </c>
      <c r="L778" t="s">
        <v>74</v>
      </c>
      <c r="M778" t="s">
        <v>49</v>
      </c>
      <c r="N778" t="s">
        <v>71</v>
      </c>
      <c r="O778" t="s">
        <v>51</v>
      </c>
      <c r="P778" t="s">
        <v>52</v>
      </c>
      <c r="Q778">
        <v>1</v>
      </c>
      <c r="R778" s="3">
        <f t="shared" si="72"/>
        <v>249</v>
      </c>
      <c r="S778" s="3">
        <f t="shared" si="73"/>
        <v>12.450000000000001</v>
      </c>
      <c r="T778" s="3">
        <f t="shared" si="74"/>
        <v>335.55</v>
      </c>
      <c r="U778" s="3">
        <f t="shared" si="75"/>
        <v>161.25000000000003</v>
      </c>
      <c r="V778" s="4">
        <f t="shared" si="76"/>
        <v>0.48055431381314268</v>
      </c>
      <c r="W778" t="str">
        <f t="shared" si="77"/>
        <v>Oct</v>
      </c>
    </row>
    <row r="779" spans="1:23" x14ac:dyDescent="0.25">
      <c r="A779" t="s">
        <v>1169</v>
      </c>
      <c r="B779" t="s">
        <v>1053</v>
      </c>
      <c r="C779" s="2">
        <v>45732.052083333343</v>
      </c>
      <c r="D779" t="s">
        <v>62</v>
      </c>
      <c r="E779" t="s">
        <v>63</v>
      </c>
      <c r="F779" t="s">
        <v>46</v>
      </c>
      <c r="G779" t="s">
        <v>64</v>
      </c>
      <c r="H779">
        <v>2</v>
      </c>
      <c r="I779" s="3">
        <v>699</v>
      </c>
      <c r="J779" s="4">
        <v>0.15</v>
      </c>
      <c r="K779" s="3">
        <v>0</v>
      </c>
      <c r="L779" t="s">
        <v>125</v>
      </c>
      <c r="M779" t="s">
        <v>126</v>
      </c>
      <c r="N779" t="s">
        <v>71</v>
      </c>
      <c r="O779" t="s">
        <v>41</v>
      </c>
      <c r="P779" t="s">
        <v>85</v>
      </c>
      <c r="Q779">
        <v>2</v>
      </c>
      <c r="R779" s="3">
        <f t="shared" si="72"/>
        <v>1398</v>
      </c>
      <c r="S779" s="3">
        <f t="shared" si="73"/>
        <v>209.7</v>
      </c>
      <c r="T779" s="3">
        <f t="shared" si="74"/>
        <v>1188.3</v>
      </c>
      <c r="U779" s="3">
        <f t="shared" si="75"/>
        <v>209.70000000000005</v>
      </c>
      <c r="V779" s="4">
        <f t="shared" si="76"/>
        <v>0.17647058823529416</v>
      </c>
      <c r="W779" t="str">
        <f t="shared" si="77"/>
        <v>Mar</v>
      </c>
    </row>
    <row r="780" spans="1:23" x14ac:dyDescent="0.25">
      <c r="A780" t="s">
        <v>1170</v>
      </c>
      <c r="B780" t="s">
        <v>483</v>
      </c>
      <c r="C780" s="2">
        <v>45832.279166666667</v>
      </c>
      <c r="D780" t="s">
        <v>25</v>
      </c>
      <c r="E780" t="s">
        <v>26</v>
      </c>
      <c r="F780" t="s">
        <v>27</v>
      </c>
      <c r="G780" t="s">
        <v>28</v>
      </c>
      <c r="H780">
        <v>3</v>
      </c>
      <c r="I780" s="3">
        <v>249</v>
      </c>
      <c r="J780" s="4">
        <v>0.2</v>
      </c>
      <c r="K780" s="3">
        <v>79</v>
      </c>
      <c r="L780" t="s">
        <v>113</v>
      </c>
      <c r="M780" t="s">
        <v>114</v>
      </c>
      <c r="N780" t="s">
        <v>102</v>
      </c>
      <c r="O780" t="s">
        <v>32</v>
      </c>
      <c r="P780" t="s">
        <v>52</v>
      </c>
      <c r="Q780">
        <v>3</v>
      </c>
      <c r="R780" s="3">
        <f t="shared" si="72"/>
        <v>747</v>
      </c>
      <c r="S780" s="3">
        <f t="shared" si="73"/>
        <v>149.4</v>
      </c>
      <c r="T780" s="3">
        <f t="shared" si="74"/>
        <v>676.6</v>
      </c>
      <c r="U780" s="3">
        <f t="shared" si="75"/>
        <v>153.70000000000005</v>
      </c>
      <c r="V780" s="4">
        <f t="shared" si="76"/>
        <v>0.22716523795447832</v>
      </c>
      <c r="W780" t="str">
        <f t="shared" si="77"/>
        <v>Jun</v>
      </c>
    </row>
    <row r="781" spans="1:23" x14ac:dyDescent="0.25">
      <c r="A781" t="s">
        <v>1171</v>
      </c>
      <c r="B781" t="s">
        <v>945</v>
      </c>
      <c r="C781" s="2">
        <v>45741.145138888889</v>
      </c>
      <c r="D781" t="s">
        <v>44</v>
      </c>
      <c r="E781" t="s">
        <v>45</v>
      </c>
      <c r="F781" t="s">
        <v>46</v>
      </c>
      <c r="G781" t="s">
        <v>47</v>
      </c>
      <c r="H781">
        <v>1</v>
      </c>
      <c r="I781" s="3">
        <v>1199</v>
      </c>
      <c r="J781" s="4">
        <v>0.1</v>
      </c>
      <c r="K781" s="3">
        <v>49</v>
      </c>
      <c r="L781" t="s">
        <v>48</v>
      </c>
      <c r="M781" t="s">
        <v>49</v>
      </c>
      <c r="N781" t="s">
        <v>50</v>
      </c>
      <c r="O781" t="s">
        <v>41</v>
      </c>
      <c r="P781" t="s">
        <v>33</v>
      </c>
      <c r="Q781">
        <v>4</v>
      </c>
      <c r="R781" s="3">
        <f t="shared" si="72"/>
        <v>1199</v>
      </c>
      <c r="S781" s="3">
        <f t="shared" si="73"/>
        <v>119.9</v>
      </c>
      <c r="T781" s="3">
        <f t="shared" si="74"/>
        <v>1128.0999999999999</v>
      </c>
      <c r="U781" s="3">
        <f t="shared" si="75"/>
        <v>288.79999999999995</v>
      </c>
      <c r="V781" s="4">
        <f t="shared" si="76"/>
        <v>0.256005673255917</v>
      </c>
      <c r="W781" t="str">
        <f t="shared" si="77"/>
        <v>Mar</v>
      </c>
    </row>
    <row r="782" spans="1:23" x14ac:dyDescent="0.25">
      <c r="A782" t="s">
        <v>1172</v>
      </c>
      <c r="B782" t="s">
        <v>1173</v>
      </c>
      <c r="C782" s="2">
        <v>45827.974999999999</v>
      </c>
      <c r="D782" t="s">
        <v>44</v>
      </c>
      <c r="E782" t="s">
        <v>45</v>
      </c>
      <c r="F782" t="s">
        <v>46</v>
      </c>
      <c r="G782" t="s">
        <v>47</v>
      </c>
      <c r="H782">
        <v>1</v>
      </c>
      <c r="I782" s="3">
        <v>1199</v>
      </c>
      <c r="J782" s="4">
        <v>0.1</v>
      </c>
      <c r="K782" s="3">
        <v>49</v>
      </c>
      <c r="L782" t="s">
        <v>113</v>
      </c>
      <c r="M782" t="s">
        <v>114</v>
      </c>
      <c r="N782" t="s">
        <v>71</v>
      </c>
      <c r="O782" t="s">
        <v>93</v>
      </c>
      <c r="P782" t="s">
        <v>33</v>
      </c>
      <c r="Q782">
        <v>1</v>
      </c>
      <c r="R782" s="3">
        <f t="shared" si="72"/>
        <v>1199</v>
      </c>
      <c r="S782" s="3">
        <f t="shared" si="73"/>
        <v>119.9</v>
      </c>
      <c r="T782" s="3">
        <f t="shared" si="74"/>
        <v>1128.0999999999999</v>
      </c>
      <c r="U782" s="3">
        <f t="shared" si="75"/>
        <v>288.79999999999995</v>
      </c>
      <c r="V782" s="4">
        <f t="shared" si="76"/>
        <v>0.256005673255917</v>
      </c>
      <c r="W782" t="str">
        <f t="shared" si="77"/>
        <v>Jun</v>
      </c>
    </row>
    <row r="783" spans="1:23" x14ac:dyDescent="0.25">
      <c r="A783" t="s">
        <v>1174</v>
      </c>
      <c r="B783" t="s">
        <v>737</v>
      </c>
      <c r="C783" s="2">
        <v>45730.394444444442</v>
      </c>
      <c r="D783" t="s">
        <v>169</v>
      </c>
      <c r="E783" t="s">
        <v>170</v>
      </c>
      <c r="F783" t="s">
        <v>98</v>
      </c>
      <c r="G783" t="s">
        <v>171</v>
      </c>
      <c r="H783">
        <v>2</v>
      </c>
      <c r="I783" s="3">
        <v>799</v>
      </c>
      <c r="J783" s="4">
        <v>0.2</v>
      </c>
      <c r="K783" s="3">
        <v>99</v>
      </c>
      <c r="L783" t="s">
        <v>39</v>
      </c>
      <c r="M783" t="s">
        <v>39</v>
      </c>
      <c r="N783" t="s">
        <v>31</v>
      </c>
      <c r="O783" t="s">
        <v>489</v>
      </c>
      <c r="P783" t="s">
        <v>33</v>
      </c>
      <c r="Q783">
        <v>2</v>
      </c>
      <c r="R783" s="3">
        <f t="shared" si="72"/>
        <v>1598</v>
      </c>
      <c r="S783" s="3">
        <f t="shared" si="73"/>
        <v>319.60000000000002</v>
      </c>
      <c r="T783" s="3">
        <f t="shared" si="74"/>
        <v>1377.4</v>
      </c>
      <c r="U783" s="3">
        <f t="shared" si="75"/>
        <v>258.80000000000018</v>
      </c>
      <c r="V783" s="4">
        <f t="shared" si="76"/>
        <v>0.18789022796573265</v>
      </c>
      <c r="W783" t="str">
        <f t="shared" si="77"/>
        <v>Mar</v>
      </c>
    </row>
    <row r="784" spans="1:23" x14ac:dyDescent="0.25">
      <c r="A784" t="s">
        <v>1175</v>
      </c>
      <c r="B784" t="s">
        <v>479</v>
      </c>
      <c r="C784" s="2">
        <v>45792.96597222222</v>
      </c>
      <c r="D784" t="s">
        <v>67</v>
      </c>
      <c r="E784" t="s">
        <v>68</v>
      </c>
      <c r="F784" t="s">
        <v>37</v>
      </c>
      <c r="G784" t="s">
        <v>38</v>
      </c>
      <c r="H784">
        <v>1</v>
      </c>
      <c r="I784" s="3">
        <v>1299</v>
      </c>
      <c r="J784" s="4">
        <v>0.15</v>
      </c>
      <c r="K784" s="3">
        <v>49</v>
      </c>
      <c r="L784" t="s">
        <v>48</v>
      </c>
      <c r="M784" t="s">
        <v>49</v>
      </c>
      <c r="N784" t="s">
        <v>50</v>
      </c>
      <c r="O784" t="s">
        <v>93</v>
      </c>
      <c r="P784" t="s">
        <v>33</v>
      </c>
      <c r="Q784">
        <v>2</v>
      </c>
      <c r="R784" s="3">
        <f t="shared" si="72"/>
        <v>1299</v>
      </c>
      <c r="S784" s="3">
        <f t="shared" si="73"/>
        <v>194.85</v>
      </c>
      <c r="T784" s="3">
        <f t="shared" si="74"/>
        <v>1153.1500000000001</v>
      </c>
      <c r="U784" s="3">
        <f t="shared" si="75"/>
        <v>243.85000000000014</v>
      </c>
      <c r="V784" s="4">
        <f t="shared" si="76"/>
        <v>0.21146425009755895</v>
      </c>
      <c r="W784" t="str">
        <f t="shared" si="77"/>
        <v>May</v>
      </c>
    </row>
    <row r="785" spans="1:23" x14ac:dyDescent="0.25">
      <c r="A785" t="s">
        <v>1176</v>
      </c>
      <c r="B785" t="s">
        <v>148</v>
      </c>
      <c r="C785" s="2">
        <v>46004.183333333327</v>
      </c>
      <c r="D785" t="s">
        <v>110</v>
      </c>
      <c r="E785" t="s">
        <v>111</v>
      </c>
      <c r="F785" t="s">
        <v>98</v>
      </c>
      <c r="G785" t="s">
        <v>112</v>
      </c>
      <c r="H785">
        <v>1</v>
      </c>
      <c r="I785" s="3">
        <v>2999</v>
      </c>
      <c r="J785" s="4">
        <v>0</v>
      </c>
      <c r="K785" s="3">
        <v>59</v>
      </c>
      <c r="L785" t="s">
        <v>29</v>
      </c>
      <c r="M785" t="s">
        <v>30</v>
      </c>
      <c r="N785" t="s">
        <v>71</v>
      </c>
      <c r="O785" t="s">
        <v>59</v>
      </c>
      <c r="P785" t="s">
        <v>80</v>
      </c>
      <c r="Q785">
        <v>2</v>
      </c>
      <c r="R785" s="3">
        <f t="shared" si="72"/>
        <v>2999</v>
      </c>
      <c r="S785" s="3">
        <f t="shared" si="73"/>
        <v>0</v>
      </c>
      <c r="T785" s="3">
        <f t="shared" si="74"/>
        <v>3058</v>
      </c>
      <c r="U785" s="3">
        <f t="shared" si="75"/>
        <v>958.70000000000027</v>
      </c>
      <c r="V785" s="4">
        <f t="shared" si="76"/>
        <v>0.31350555918901252</v>
      </c>
      <c r="W785" t="str">
        <f t="shared" si="77"/>
        <v>Dec</v>
      </c>
    </row>
    <row r="786" spans="1:23" x14ac:dyDescent="0.25">
      <c r="A786" t="s">
        <v>1177</v>
      </c>
      <c r="B786" t="s">
        <v>411</v>
      </c>
      <c r="C786" s="2">
        <v>45927.830555555563</v>
      </c>
      <c r="D786" t="s">
        <v>169</v>
      </c>
      <c r="E786" t="s">
        <v>170</v>
      </c>
      <c r="F786" t="s">
        <v>98</v>
      </c>
      <c r="G786" t="s">
        <v>171</v>
      </c>
      <c r="H786">
        <v>2</v>
      </c>
      <c r="I786" s="3">
        <v>799</v>
      </c>
      <c r="J786" s="4">
        <v>0.2</v>
      </c>
      <c r="K786" s="3">
        <v>0</v>
      </c>
      <c r="L786" t="s">
        <v>74</v>
      </c>
      <c r="M786" t="s">
        <v>49</v>
      </c>
      <c r="N786" t="s">
        <v>50</v>
      </c>
      <c r="O786" t="s">
        <v>41</v>
      </c>
      <c r="P786" t="s">
        <v>52</v>
      </c>
      <c r="R786" s="3">
        <f t="shared" si="72"/>
        <v>1598</v>
      </c>
      <c r="S786" s="3">
        <f t="shared" si="73"/>
        <v>319.60000000000002</v>
      </c>
      <c r="T786" s="3">
        <f t="shared" si="74"/>
        <v>1278.4000000000001</v>
      </c>
      <c r="U786" s="3">
        <f t="shared" si="75"/>
        <v>159.80000000000018</v>
      </c>
      <c r="V786" s="4">
        <f t="shared" si="76"/>
        <v>0.12500000000000014</v>
      </c>
      <c r="W786" t="str">
        <f t="shared" si="77"/>
        <v>Sep</v>
      </c>
    </row>
    <row r="787" spans="1:23" x14ac:dyDescent="0.25">
      <c r="A787" t="s">
        <v>1178</v>
      </c>
      <c r="B787" t="s">
        <v>61</v>
      </c>
      <c r="C787" s="2">
        <v>46013.472222222219</v>
      </c>
      <c r="D787" t="s">
        <v>67</v>
      </c>
      <c r="E787" t="s">
        <v>68</v>
      </c>
      <c r="F787" t="s">
        <v>37</v>
      </c>
      <c r="G787" t="s">
        <v>38</v>
      </c>
      <c r="H787">
        <v>2</v>
      </c>
      <c r="I787" s="3">
        <v>1299</v>
      </c>
      <c r="J787" s="4">
        <v>0.1</v>
      </c>
      <c r="K787" s="3">
        <v>49</v>
      </c>
      <c r="L787" t="s">
        <v>113</v>
      </c>
      <c r="M787" t="s">
        <v>114</v>
      </c>
      <c r="N787" t="s">
        <v>102</v>
      </c>
      <c r="O787" t="s">
        <v>32</v>
      </c>
      <c r="P787" t="s">
        <v>85</v>
      </c>
      <c r="Q787">
        <v>2</v>
      </c>
      <c r="R787" s="3">
        <f t="shared" si="72"/>
        <v>2598</v>
      </c>
      <c r="S787" s="3">
        <f t="shared" si="73"/>
        <v>259.8</v>
      </c>
      <c r="T787" s="3">
        <f t="shared" si="74"/>
        <v>2387.1999999999998</v>
      </c>
      <c r="U787" s="3">
        <f t="shared" si="75"/>
        <v>568.59999999999991</v>
      </c>
      <c r="V787" s="4">
        <f t="shared" si="76"/>
        <v>0.23818699731903484</v>
      </c>
      <c r="W787" t="str">
        <f t="shared" si="77"/>
        <v>Dec</v>
      </c>
    </row>
    <row r="788" spans="1:23" x14ac:dyDescent="0.25">
      <c r="A788" t="s">
        <v>1179</v>
      </c>
      <c r="B788" t="s">
        <v>713</v>
      </c>
      <c r="C788" s="2">
        <v>45825.293749999997</v>
      </c>
      <c r="D788" t="s">
        <v>62</v>
      </c>
      <c r="E788" t="s">
        <v>63</v>
      </c>
      <c r="F788" t="s">
        <v>46</v>
      </c>
      <c r="G788" t="s">
        <v>64</v>
      </c>
      <c r="H788">
        <v>3</v>
      </c>
      <c r="I788" s="3">
        <v>699</v>
      </c>
      <c r="J788" s="4">
        <v>0.05</v>
      </c>
      <c r="K788" s="3">
        <v>49</v>
      </c>
      <c r="L788" t="s">
        <v>48</v>
      </c>
      <c r="M788" t="s">
        <v>49</v>
      </c>
      <c r="N788" t="s">
        <v>102</v>
      </c>
      <c r="O788" t="s">
        <v>59</v>
      </c>
      <c r="P788" t="s">
        <v>80</v>
      </c>
      <c r="Q788">
        <v>2</v>
      </c>
      <c r="R788" s="3">
        <f t="shared" si="72"/>
        <v>2097</v>
      </c>
      <c r="S788" s="3">
        <f t="shared" si="73"/>
        <v>104.85000000000001</v>
      </c>
      <c r="T788" s="3">
        <f t="shared" si="74"/>
        <v>2041.15</v>
      </c>
      <c r="U788" s="3">
        <f t="shared" si="75"/>
        <v>573.25000000000023</v>
      </c>
      <c r="V788" s="4">
        <f t="shared" si="76"/>
        <v>0.28084658158391113</v>
      </c>
      <c r="W788" t="str">
        <f t="shared" si="77"/>
        <v>Jun</v>
      </c>
    </row>
    <row r="789" spans="1:23" x14ac:dyDescent="0.25">
      <c r="A789" t="s">
        <v>1180</v>
      </c>
      <c r="B789" t="s">
        <v>713</v>
      </c>
      <c r="C789" s="2">
        <v>45997.794444444437</v>
      </c>
      <c r="D789" t="s">
        <v>77</v>
      </c>
      <c r="E789" t="s">
        <v>78</v>
      </c>
      <c r="F789" t="s">
        <v>79</v>
      </c>
      <c r="G789" t="s">
        <v>28</v>
      </c>
      <c r="I789" s="3">
        <v>6499</v>
      </c>
      <c r="J789" s="4">
        <v>0.15</v>
      </c>
      <c r="K789" s="3">
        <v>79</v>
      </c>
      <c r="L789" t="s">
        <v>29</v>
      </c>
      <c r="M789" t="s">
        <v>30</v>
      </c>
      <c r="N789" t="s">
        <v>71</v>
      </c>
      <c r="O789" t="s">
        <v>59</v>
      </c>
      <c r="P789" t="s">
        <v>33</v>
      </c>
      <c r="Q789">
        <v>5</v>
      </c>
      <c r="R789" s="3">
        <f t="shared" si="72"/>
        <v>0</v>
      </c>
      <c r="S789" s="3">
        <f t="shared" si="73"/>
        <v>0</v>
      </c>
      <c r="T789" s="3">
        <f t="shared" si="74"/>
        <v>79</v>
      </c>
      <c r="U789" s="3">
        <f t="shared" si="75"/>
        <v>79</v>
      </c>
      <c r="V789" s="4">
        <f t="shared" si="76"/>
        <v>1</v>
      </c>
      <c r="W789" t="str">
        <f t="shared" si="77"/>
        <v>Dec</v>
      </c>
    </row>
    <row r="790" spans="1:23" x14ac:dyDescent="0.25">
      <c r="A790" t="s">
        <v>1181</v>
      </c>
      <c r="B790" t="s">
        <v>417</v>
      </c>
      <c r="C790" s="2">
        <v>45849.697222222218</v>
      </c>
      <c r="D790" t="s">
        <v>90</v>
      </c>
      <c r="E790" t="s">
        <v>91</v>
      </c>
      <c r="F790" t="s">
        <v>37</v>
      </c>
      <c r="G790" t="s">
        <v>92</v>
      </c>
      <c r="H790">
        <v>1</v>
      </c>
      <c r="I790" s="3">
        <v>3499</v>
      </c>
      <c r="J790" s="4">
        <v>0.2</v>
      </c>
      <c r="K790" s="3">
        <v>79</v>
      </c>
      <c r="L790" t="s">
        <v>100</v>
      </c>
      <c r="M790" t="s">
        <v>101</v>
      </c>
      <c r="N790" t="s">
        <v>71</v>
      </c>
      <c r="O790" t="s">
        <v>32</v>
      </c>
      <c r="P790" t="s">
        <v>52</v>
      </c>
      <c r="Q790">
        <v>4</v>
      </c>
      <c r="R790" s="3">
        <f t="shared" si="72"/>
        <v>3499</v>
      </c>
      <c r="S790" s="3">
        <f t="shared" si="73"/>
        <v>699.80000000000007</v>
      </c>
      <c r="T790" s="3">
        <f t="shared" si="74"/>
        <v>2878.2</v>
      </c>
      <c r="U790" s="3">
        <f t="shared" si="75"/>
        <v>428.90000000000009</v>
      </c>
      <c r="V790" s="4">
        <f t="shared" si="76"/>
        <v>0.14901674657772224</v>
      </c>
      <c r="W790" t="str">
        <f t="shared" si="77"/>
        <v>Jul</v>
      </c>
    </row>
    <row r="791" spans="1:23" x14ac:dyDescent="0.25">
      <c r="A791" t="s">
        <v>1182</v>
      </c>
      <c r="B791" t="s">
        <v>500</v>
      </c>
      <c r="C791" s="2">
        <v>45764.331250000003</v>
      </c>
      <c r="D791" t="s">
        <v>25</v>
      </c>
      <c r="E791" t="s">
        <v>26</v>
      </c>
      <c r="F791" t="s">
        <v>27</v>
      </c>
      <c r="G791" t="s">
        <v>28</v>
      </c>
      <c r="H791">
        <v>2</v>
      </c>
      <c r="I791" s="3">
        <v>249</v>
      </c>
      <c r="J791" s="4">
        <v>0.1</v>
      </c>
      <c r="K791" s="3">
        <v>49</v>
      </c>
      <c r="L791" t="s">
        <v>125</v>
      </c>
      <c r="M791" t="s">
        <v>126</v>
      </c>
      <c r="N791" t="s">
        <v>50</v>
      </c>
      <c r="O791" t="s">
        <v>51</v>
      </c>
      <c r="P791" t="s">
        <v>33</v>
      </c>
      <c r="Q791">
        <v>4</v>
      </c>
      <c r="R791" s="3">
        <f t="shared" si="72"/>
        <v>498</v>
      </c>
      <c r="S791" s="3">
        <f t="shared" si="73"/>
        <v>49.800000000000004</v>
      </c>
      <c r="T791" s="3">
        <f t="shared" si="74"/>
        <v>497.2</v>
      </c>
      <c r="U791" s="3">
        <f t="shared" si="75"/>
        <v>148.60000000000002</v>
      </c>
      <c r="V791" s="4">
        <f t="shared" si="76"/>
        <v>0.29887369267900249</v>
      </c>
      <c r="W791" t="str">
        <f t="shared" si="77"/>
        <v>Apr</v>
      </c>
    </row>
    <row r="792" spans="1:23" x14ac:dyDescent="0.25">
      <c r="A792" t="s">
        <v>1183</v>
      </c>
      <c r="B792" t="s">
        <v>591</v>
      </c>
      <c r="C792" s="2">
        <v>45849.357638888891</v>
      </c>
      <c r="D792" t="s">
        <v>96</v>
      </c>
      <c r="E792" t="s">
        <v>97</v>
      </c>
      <c r="F792" t="s">
        <v>98</v>
      </c>
      <c r="G792" t="s">
        <v>99</v>
      </c>
      <c r="H792">
        <v>1</v>
      </c>
      <c r="I792" s="3">
        <v>1499</v>
      </c>
      <c r="J792" s="4">
        <v>0</v>
      </c>
      <c r="K792" s="3">
        <v>0</v>
      </c>
      <c r="L792" t="s">
        <v>125</v>
      </c>
      <c r="M792" t="s">
        <v>126</v>
      </c>
      <c r="N792" t="s">
        <v>40</v>
      </c>
      <c r="O792" t="s">
        <v>32</v>
      </c>
      <c r="P792" t="s">
        <v>33</v>
      </c>
      <c r="Q792">
        <v>3</v>
      </c>
      <c r="R792" s="3">
        <f t="shared" si="72"/>
        <v>1499</v>
      </c>
      <c r="S792" s="3">
        <f t="shared" si="73"/>
        <v>0</v>
      </c>
      <c r="T792" s="3">
        <f t="shared" si="74"/>
        <v>1499</v>
      </c>
      <c r="U792" s="3">
        <f t="shared" si="75"/>
        <v>449.70000000000005</v>
      </c>
      <c r="V792" s="4">
        <f t="shared" si="76"/>
        <v>0.30000000000000004</v>
      </c>
      <c r="W792" t="str">
        <f t="shared" si="77"/>
        <v>Jul</v>
      </c>
    </row>
    <row r="793" spans="1:23" x14ac:dyDescent="0.25">
      <c r="A793" t="s">
        <v>1184</v>
      </c>
      <c r="B793" t="s">
        <v>692</v>
      </c>
      <c r="C793" s="2">
        <v>45920.806250000001</v>
      </c>
      <c r="D793" t="s">
        <v>67</v>
      </c>
      <c r="E793" t="s">
        <v>68</v>
      </c>
      <c r="F793" t="s">
        <v>37</v>
      </c>
      <c r="G793" t="s">
        <v>38</v>
      </c>
      <c r="H793">
        <v>1</v>
      </c>
      <c r="I793" s="3">
        <v>1299</v>
      </c>
      <c r="J793" s="4">
        <v>0.1</v>
      </c>
      <c r="K793" s="3">
        <v>79</v>
      </c>
      <c r="L793" t="s">
        <v>125</v>
      </c>
      <c r="M793" t="s">
        <v>126</v>
      </c>
      <c r="N793" t="s">
        <v>40</v>
      </c>
      <c r="O793" t="s">
        <v>51</v>
      </c>
      <c r="P793" t="s">
        <v>52</v>
      </c>
      <c r="R793" s="3">
        <f t="shared" si="72"/>
        <v>1299</v>
      </c>
      <c r="S793" s="3">
        <f t="shared" si="73"/>
        <v>129.9</v>
      </c>
      <c r="T793" s="3">
        <f t="shared" si="74"/>
        <v>1248.0999999999999</v>
      </c>
      <c r="U793" s="3">
        <f t="shared" si="75"/>
        <v>338.79999999999995</v>
      </c>
      <c r="V793" s="4">
        <f t="shared" si="76"/>
        <v>0.27145260796410542</v>
      </c>
      <c r="W793" t="str">
        <f t="shared" si="77"/>
        <v>Sep</v>
      </c>
    </row>
    <row r="794" spans="1:23" x14ac:dyDescent="0.25">
      <c r="A794" t="s">
        <v>1185</v>
      </c>
      <c r="B794" t="s">
        <v>289</v>
      </c>
      <c r="C794" s="2">
        <v>45670.227777777778</v>
      </c>
      <c r="D794" t="s">
        <v>90</v>
      </c>
      <c r="E794" t="s">
        <v>91</v>
      </c>
      <c r="F794" t="s">
        <v>37</v>
      </c>
      <c r="G794" t="s">
        <v>92</v>
      </c>
      <c r="H794">
        <v>1</v>
      </c>
      <c r="I794" s="3">
        <v>3499</v>
      </c>
      <c r="J794" s="4">
        <v>0.05</v>
      </c>
      <c r="K794" s="3">
        <v>0</v>
      </c>
      <c r="L794" t="s">
        <v>74</v>
      </c>
      <c r="M794" t="s">
        <v>49</v>
      </c>
      <c r="N794" t="s">
        <v>31</v>
      </c>
      <c r="O794" t="s">
        <v>51</v>
      </c>
      <c r="P794" t="s">
        <v>33</v>
      </c>
      <c r="R794" s="3">
        <f t="shared" si="72"/>
        <v>3499</v>
      </c>
      <c r="S794" s="3">
        <f t="shared" si="73"/>
        <v>174.95000000000002</v>
      </c>
      <c r="T794" s="3">
        <f t="shared" si="74"/>
        <v>3324.05</v>
      </c>
      <c r="U794" s="3">
        <f t="shared" si="75"/>
        <v>874.75000000000045</v>
      </c>
      <c r="V794" s="4">
        <f t="shared" si="76"/>
        <v>0.2631578947368422</v>
      </c>
      <c r="W794" t="str">
        <f t="shared" si="77"/>
        <v>Jan</v>
      </c>
    </row>
    <row r="795" spans="1:23" x14ac:dyDescent="0.25">
      <c r="A795" t="s">
        <v>1186</v>
      </c>
      <c r="B795" t="s">
        <v>717</v>
      </c>
      <c r="C795" s="2">
        <v>45698.374305555553</v>
      </c>
      <c r="D795" t="s">
        <v>62</v>
      </c>
      <c r="E795" t="s">
        <v>63</v>
      </c>
      <c r="F795" t="s">
        <v>46</v>
      </c>
      <c r="G795" t="s">
        <v>64</v>
      </c>
      <c r="H795">
        <v>2</v>
      </c>
      <c r="I795" s="3">
        <v>699</v>
      </c>
      <c r="J795" s="4">
        <v>0</v>
      </c>
      <c r="K795" s="3">
        <v>0</v>
      </c>
      <c r="L795" t="s">
        <v>83</v>
      </c>
      <c r="M795" t="s">
        <v>84</v>
      </c>
      <c r="N795" t="s">
        <v>71</v>
      </c>
      <c r="O795" t="s">
        <v>93</v>
      </c>
      <c r="P795" t="s">
        <v>33</v>
      </c>
      <c r="Q795">
        <v>5</v>
      </c>
      <c r="R795" s="3">
        <f t="shared" si="72"/>
        <v>1398</v>
      </c>
      <c r="S795" s="3">
        <f t="shared" si="73"/>
        <v>0</v>
      </c>
      <c r="T795" s="3">
        <f t="shared" si="74"/>
        <v>1398</v>
      </c>
      <c r="U795" s="3">
        <f t="shared" si="75"/>
        <v>419.40000000000009</v>
      </c>
      <c r="V795" s="4">
        <f t="shared" si="76"/>
        <v>0.30000000000000004</v>
      </c>
      <c r="W795" t="str">
        <f t="shared" si="77"/>
        <v>Feb</v>
      </c>
    </row>
    <row r="796" spans="1:23" x14ac:dyDescent="0.25">
      <c r="A796" t="s">
        <v>1187</v>
      </c>
      <c r="B796" t="s">
        <v>1188</v>
      </c>
      <c r="C796" s="2">
        <v>45826.34652777778</v>
      </c>
      <c r="D796" t="s">
        <v>67</v>
      </c>
      <c r="E796" t="s">
        <v>68</v>
      </c>
      <c r="F796" t="s">
        <v>37</v>
      </c>
      <c r="G796" t="s">
        <v>38</v>
      </c>
      <c r="H796">
        <v>1</v>
      </c>
      <c r="I796" s="3">
        <v>1299</v>
      </c>
      <c r="J796" s="4">
        <v>0.2</v>
      </c>
      <c r="K796" s="3">
        <v>59</v>
      </c>
      <c r="L796" t="s">
        <v>74</v>
      </c>
      <c r="M796" t="s">
        <v>49</v>
      </c>
      <c r="N796" t="s">
        <v>102</v>
      </c>
      <c r="O796" t="s">
        <v>458</v>
      </c>
      <c r="P796" t="s">
        <v>80</v>
      </c>
      <c r="R796" s="3">
        <f t="shared" si="72"/>
        <v>1299</v>
      </c>
      <c r="S796" s="3">
        <f t="shared" si="73"/>
        <v>259.8</v>
      </c>
      <c r="T796" s="3">
        <f t="shared" si="74"/>
        <v>1098.2</v>
      </c>
      <c r="U796" s="3">
        <f t="shared" si="75"/>
        <v>188.90000000000009</v>
      </c>
      <c r="V796" s="4">
        <f t="shared" si="76"/>
        <v>0.17200874157712628</v>
      </c>
      <c r="W796" t="str">
        <f t="shared" si="77"/>
        <v>Jun</v>
      </c>
    </row>
    <row r="797" spans="1:23" x14ac:dyDescent="0.25">
      <c r="A797" t="s">
        <v>1189</v>
      </c>
      <c r="B797" t="s">
        <v>257</v>
      </c>
      <c r="C797" s="2">
        <v>45662.387499999997</v>
      </c>
      <c r="D797" t="s">
        <v>77</v>
      </c>
      <c r="E797" t="s">
        <v>78</v>
      </c>
      <c r="F797" t="s">
        <v>79</v>
      </c>
      <c r="G797" t="s">
        <v>28</v>
      </c>
      <c r="H797">
        <v>4</v>
      </c>
      <c r="I797" s="3">
        <v>6499</v>
      </c>
      <c r="J797" s="4">
        <v>0.1</v>
      </c>
      <c r="K797" s="3">
        <v>79</v>
      </c>
      <c r="L797" t="s">
        <v>83</v>
      </c>
      <c r="M797" t="s">
        <v>84</v>
      </c>
      <c r="N797" t="s">
        <v>31</v>
      </c>
      <c r="O797" t="s">
        <v>59</v>
      </c>
      <c r="P797" t="s">
        <v>33</v>
      </c>
      <c r="R797" s="3">
        <f t="shared" si="72"/>
        <v>25996</v>
      </c>
      <c r="S797" s="3">
        <f t="shared" si="73"/>
        <v>2599.6000000000004</v>
      </c>
      <c r="T797" s="3">
        <f t="shared" si="74"/>
        <v>23475.4</v>
      </c>
      <c r="U797" s="3">
        <f t="shared" si="75"/>
        <v>5278.2000000000044</v>
      </c>
      <c r="V797" s="4">
        <f t="shared" si="76"/>
        <v>0.22483961934620939</v>
      </c>
      <c r="W797" t="str">
        <f t="shared" si="77"/>
        <v>Jan</v>
      </c>
    </row>
    <row r="798" spans="1:23" x14ac:dyDescent="0.25">
      <c r="A798" t="s">
        <v>1190</v>
      </c>
      <c r="B798" t="s">
        <v>457</v>
      </c>
      <c r="C798" s="2">
        <v>45774.323611111111</v>
      </c>
      <c r="D798" t="s">
        <v>62</v>
      </c>
      <c r="E798" t="s">
        <v>63</v>
      </c>
      <c r="F798" t="s">
        <v>46</v>
      </c>
      <c r="G798" t="s">
        <v>64</v>
      </c>
      <c r="H798">
        <v>3</v>
      </c>
      <c r="I798" s="3">
        <v>699</v>
      </c>
      <c r="J798" s="4">
        <v>0</v>
      </c>
      <c r="K798" s="3">
        <v>79</v>
      </c>
      <c r="L798" t="s">
        <v>100</v>
      </c>
      <c r="M798" t="s">
        <v>101</v>
      </c>
      <c r="N798" t="s">
        <v>102</v>
      </c>
      <c r="O798" t="s">
        <v>32</v>
      </c>
      <c r="P798" t="s">
        <v>80</v>
      </c>
      <c r="R798" s="3">
        <f t="shared" si="72"/>
        <v>2097</v>
      </c>
      <c r="S798" s="3">
        <f t="shared" si="73"/>
        <v>0</v>
      </c>
      <c r="T798" s="3">
        <f t="shared" si="74"/>
        <v>2176</v>
      </c>
      <c r="U798" s="3">
        <f t="shared" si="75"/>
        <v>708.10000000000014</v>
      </c>
      <c r="V798" s="4">
        <f t="shared" si="76"/>
        <v>0.32541360294117655</v>
      </c>
      <c r="W798" t="str">
        <f t="shared" si="77"/>
        <v>Apr</v>
      </c>
    </row>
    <row r="799" spans="1:23" x14ac:dyDescent="0.25">
      <c r="A799" t="s">
        <v>1191</v>
      </c>
      <c r="B799" t="s">
        <v>232</v>
      </c>
      <c r="C799" s="2">
        <v>45894.451388888891</v>
      </c>
      <c r="D799" t="s">
        <v>62</v>
      </c>
      <c r="E799" t="s">
        <v>63</v>
      </c>
      <c r="F799" t="s">
        <v>46</v>
      </c>
      <c r="G799" t="s">
        <v>64</v>
      </c>
      <c r="H799">
        <v>2</v>
      </c>
      <c r="I799" s="3">
        <v>699</v>
      </c>
      <c r="J799" s="4">
        <v>0.05</v>
      </c>
      <c r="K799" s="3">
        <v>49</v>
      </c>
      <c r="L799" t="s">
        <v>119</v>
      </c>
      <c r="M799" t="s">
        <v>120</v>
      </c>
      <c r="N799" t="s">
        <v>40</v>
      </c>
      <c r="O799" t="s">
        <v>41</v>
      </c>
      <c r="P799" t="s">
        <v>33</v>
      </c>
      <c r="Q799">
        <v>4</v>
      </c>
      <c r="R799" s="3">
        <f t="shared" si="72"/>
        <v>1398</v>
      </c>
      <c r="S799" s="3">
        <f t="shared" si="73"/>
        <v>69.900000000000006</v>
      </c>
      <c r="T799" s="3">
        <f t="shared" si="74"/>
        <v>1377.1</v>
      </c>
      <c r="U799" s="3">
        <f t="shared" si="75"/>
        <v>398.5</v>
      </c>
      <c r="V799" s="4">
        <f t="shared" si="76"/>
        <v>0.28937622540120544</v>
      </c>
      <c r="W799" t="str">
        <f t="shared" si="77"/>
        <v>Aug</v>
      </c>
    </row>
    <row r="800" spans="1:23" x14ac:dyDescent="0.25">
      <c r="A800" t="s">
        <v>1192</v>
      </c>
      <c r="B800" t="s">
        <v>552</v>
      </c>
      <c r="C800" s="2">
        <v>45729.788194444453</v>
      </c>
      <c r="D800" t="s">
        <v>90</v>
      </c>
      <c r="E800" t="s">
        <v>91</v>
      </c>
      <c r="F800" t="s">
        <v>37</v>
      </c>
      <c r="G800" t="s">
        <v>92</v>
      </c>
      <c r="H800">
        <v>1</v>
      </c>
      <c r="I800" s="3">
        <v>3499</v>
      </c>
      <c r="J800" s="4">
        <v>0.05</v>
      </c>
      <c r="K800" s="3">
        <v>0</v>
      </c>
      <c r="L800" t="s">
        <v>83</v>
      </c>
      <c r="M800" t="s">
        <v>84</v>
      </c>
      <c r="N800" t="s">
        <v>71</v>
      </c>
      <c r="O800" t="s">
        <v>51</v>
      </c>
      <c r="P800" t="s">
        <v>33</v>
      </c>
      <c r="Q800">
        <v>2</v>
      </c>
      <c r="R800" s="3">
        <f t="shared" si="72"/>
        <v>3499</v>
      </c>
      <c r="S800" s="3">
        <f t="shared" si="73"/>
        <v>174.95000000000002</v>
      </c>
      <c r="T800" s="3">
        <f t="shared" si="74"/>
        <v>3324.05</v>
      </c>
      <c r="U800" s="3">
        <f t="shared" si="75"/>
        <v>874.75000000000045</v>
      </c>
      <c r="V800" s="4">
        <f t="shared" si="76"/>
        <v>0.2631578947368422</v>
      </c>
      <c r="W800" t="str">
        <f t="shared" si="77"/>
        <v>Mar</v>
      </c>
    </row>
    <row r="801" spans="1:23" x14ac:dyDescent="0.25">
      <c r="A801" t="s">
        <v>1193</v>
      </c>
      <c r="B801" t="s">
        <v>745</v>
      </c>
      <c r="C801" s="2">
        <v>45864.94027777778</v>
      </c>
      <c r="D801" t="s">
        <v>96</v>
      </c>
      <c r="E801" t="s">
        <v>97</v>
      </c>
      <c r="F801" t="s">
        <v>98</v>
      </c>
      <c r="G801" t="s">
        <v>99</v>
      </c>
      <c r="H801">
        <v>2</v>
      </c>
      <c r="I801" s="3">
        <v>1499</v>
      </c>
      <c r="J801" s="4">
        <v>0.05</v>
      </c>
      <c r="K801" s="3">
        <v>99</v>
      </c>
      <c r="L801" t="s">
        <v>57</v>
      </c>
      <c r="M801" t="s">
        <v>58</v>
      </c>
      <c r="N801" t="s">
        <v>102</v>
      </c>
      <c r="O801" t="s">
        <v>489</v>
      </c>
      <c r="P801" t="s">
        <v>33</v>
      </c>
      <c r="Q801">
        <v>2</v>
      </c>
      <c r="R801" s="3">
        <f t="shared" si="72"/>
        <v>2998</v>
      </c>
      <c r="S801" s="3">
        <f t="shared" si="73"/>
        <v>149.9</v>
      </c>
      <c r="T801" s="3">
        <f t="shared" si="74"/>
        <v>2947.1</v>
      </c>
      <c r="U801" s="3">
        <f t="shared" si="75"/>
        <v>848.5</v>
      </c>
      <c r="V801" s="4">
        <f t="shared" si="76"/>
        <v>0.28791014895999456</v>
      </c>
      <c r="W801" t="str">
        <f t="shared" si="77"/>
        <v>Jul</v>
      </c>
    </row>
    <row r="802" spans="1:23" x14ac:dyDescent="0.25">
      <c r="A802" t="s">
        <v>1194</v>
      </c>
      <c r="C802" s="2">
        <v>45966.816666666673</v>
      </c>
      <c r="D802" t="s">
        <v>105</v>
      </c>
      <c r="E802" t="s">
        <v>106</v>
      </c>
      <c r="F802" t="s">
        <v>37</v>
      </c>
      <c r="G802" t="s">
        <v>107</v>
      </c>
      <c r="H802">
        <v>2</v>
      </c>
      <c r="I802" s="3">
        <v>1799</v>
      </c>
      <c r="J802" s="4">
        <v>0.1</v>
      </c>
      <c r="K802" s="3">
        <v>49</v>
      </c>
      <c r="L802" t="s">
        <v>74</v>
      </c>
      <c r="M802" t="s">
        <v>49</v>
      </c>
      <c r="N802" t="s">
        <v>31</v>
      </c>
      <c r="O802" t="s">
        <v>32</v>
      </c>
      <c r="P802" t="s">
        <v>52</v>
      </c>
      <c r="Q802">
        <v>4</v>
      </c>
      <c r="R802" s="3">
        <f t="shared" si="72"/>
        <v>3598</v>
      </c>
      <c r="S802" s="3">
        <f t="shared" si="73"/>
        <v>359.8</v>
      </c>
      <c r="T802" s="3">
        <f t="shared" si="74"/>
        <v>3287.2</v>
      </c>
      <c r="U802" s="3">
        <f t="shared" si="75"/>
        <v>768.59999999999991</v>
      </c>
      <c r="V802" s="4">
        <f t="shared" si="76"/>
        <v>0.23381601362862009</v>
      </c>
      <c r="W802" t="str">
        <f t="shared" si="77"/>
        <v>Nov</v>
      </c>
    </row>
    <row r="803" spans="1:23" x14ac:dyDescent="0.25">
      <c r="A803" t="s">
        <v>1195</v>
      </c>
      <c r="B803" t="s">
        <v>574</v>
      </c>
      <c r="C803" s="2">
        <v>45949.611111111109</v>
      </c>
      <c r="D803" t="s">
        <v>67</v>
      </c>
      <c r="E803" t="s">
        <v>68</v>
      </c>
      <c r="F803" t="s">
        <v>37</v>
      </c>
      <c r="G803" t="s">
        <v>38</v>
      </c>
      <c r="H803">
        <v>1</v>
      </c>
      <c r="I803" s="3">
        <v>1299</v>
      </c>
      <c r="J803" s="4"/>
      <c r="K803" s="3">
        <v>49</v>
      </c>
      <c r="L803" t="s">
        <v>119</v>
      </c>
      <c r="M803" t="s">
        <v>120</v>
      </c>
      <c r="N803" t="s">
        <v>102</v>
      </c>
      <c r="O803" t="s">
        <v>41</v>
      </c>
      <c r="P803" t="s">
        <v>33</v>
      </c>
      <c r="Q803">
        <v>1</v>
      </c>
      <c r="R803" s="3">
        <f t="shared" si="72"/>
        <v>1299</v>
      </c>
      <c r="S803" s="3">
        <f t="shared" si="73"/>
        <v>0</v>
      </c>
      <c r="T803" s="3">
        <f t="shared" si="74"/>
        <v>1348</v>
      </c>
      <c r="U803" s="3">
        <f t="shared" si="75"/>
        <v>438.70000000000005</v>
      </c>
      <c r="V803" s="4">
        <f t="shared" si="76"/>
        <v>0.32544510385756681</v>
      </c>
      <c r="W803" t="str">
        <f t="shared" si="77"/>
        <v>Oct</v>
      </c>
    </row>
    <row r="804" spans="1:23" x14ac:dyDescent="0.25">
      <c r="A804" t="s">
        <v>1196</v>
      </c>
      <c r="B804" t="s">
        <v>457</v>
      </c>
      <c r="C804" s="2">
        <v>45753.25277777778</v>
      </c>
      <c r="D804" t="s">
        <v>77</v>
      </c>
      <c r="E804" t="s">
        <v>78</v>
      </c>
      <c r="F804" t="s">
        <v>79</v>
      </c>
      <c r="G804" t="s">
        <v>28</v>
      </c>
      <c r="H804">
        <v>2</v>
      </c>
      <c r="I804" s="3">
        <v>6499</v>
      </c>
      <c r="J804" s="4">
        <v>0.05</v>
      </c>
      <c r="K804" s="3">
        <v>49</v>
      </c>
      <c r="L804" t="s">
        <v>125</v>
      </c>
      <c r="M804" t="s">
        <v>126</v>
      </c>
      <c r="N804" t="s">
        <v>71</v>
      </c>
      <c r="O804" t="s">
        <v>32</v>
      </c>
      <c r="P804" t="s">
        <v>52</v>
      </c>
      <c r="Q804">
        <v>1</v>
      </c>
      <c r="R804" s="3">
        <f t="shared" si="72"/>
        <v>12998</v>
      </c>
      <c r="S804" s="3">
        <f t="shared" si="73"/>
        <v>649.90000000000009</v>
      </c>
      <c r="T804" s="3">
        <f t="shared" si="74"/>
        <v>12397.1</v>
      </c>
      <c r="U804" s="3">
        <f t="shared" si="75"/>
        <v>3298.5000000000018</v>
      </c>
      <c r="V804" s="4">
        <f t="shared" si="76"/>
        <v>0.26607029063248677</v>
      </c>
      <c r="W804" t="str">
        <f t="shared" si="77"/>
        <v>Apr</v>
      </c>
    </row>
    <row r="805" spans="1:23" x14ac:dyDescent="0.25">
      <c r="A805" t="s">
        <v>1197</v>
      </c>
      <c r="B805" t="s">
        <v>1062</v>
      </c>
      <c r="C805" s="2">
        <v>45663.222222222219</v>
      </c>
      <c r="D805" t="s">
        <v>90</v>
      </c>
      <c r="E805" t="s">
        <v>91</v>
      </c>
      <c r="F805" t="s">
        <v>37</v>
      </c>
      <c r="G805" t="s">
        <v>92</v>
      </c>
      <c r="H805">
        <v>1</v>
      </c>
      <c r="I805" s="3">
        <v>3499</v>
      </c>
      <c r="J805" s="4">
        <v>0.1</v>
      </c>
      <c r="K805" s="3">
        <v>49</v>
      </c>
      <c r="L805" t="s">
        <v>39</v>
      </c>
      <c r="M805" t="s">
        <v>39</v>
      </c>
      <c r="N805" t="s">
        <v>50</v>
      </c>
      <c r="O805" t="s">
        <v>32</v>
      </c>
      <c r="P805" t="s">
        <v>52</v>
      </c>
      <c r="Q805">
        <v>4</v>
      </c>
      <c r="R805" s="3">
        <f t="shared" si="72"/>
        <v>3499</v>
      </c>
      <c r="S805" s="3">
        <f t="shared" si="73"/>
        <v>349.90000000000003</v>
      </c>
      <c r="T805" s="3">
        <f t="shared" si="74"/>
        <v>3198.1</v>
      </c>
      <c r="U805" s="3">
        <f t="shared" si="75"/>
        <v>748.80000000000018</v>
      </c>
      <c r="V805" s="4">
        <f t="shared" si="76"/>
        <v>0.23413902004315068</v>
      </c>
      <c r="W805" t="str">
        <f t="shared" si="77"/>
        <v>Jan</v>
      </c>
    </row>
    <row r="806" spans="1:23" x14ac:dyDescent="0.25">
      <c r="A806" t="s">
        <v>1198</v>
      </c>
      <c r="B806" t="s">
        <v>186</v>
      </c>
      <c r="C806" s="2">
        <v>45763.204861111109</v>
      </c>
      <c r="D806" t="s">
        <v>90</v>
      </c>
      <c r="E806" t="s">
        <v>91</v>
      </c>
      <c r="F806" t="s">
        <v>37</v>
      </c>
      <c r="G806" t="s">
        <v>92</v>
      </c>
      <c r="H806">
        <v>1</v>
      </c>
      <c r="I806" s="3">
        <v>3499</v>
      </c>
      <c r="J806" s="4">
        <v>0.05</v>
      </c>
      <c r="K806" s="3">
        <v>79</v>
      </c>
      <c r="L806" t="s">
        <v>29</v>
      </c>
      <c r="M806" t="s">
        <v>30</v>
      </c>
      <c r="N806" t="s">
        <v>50</v>
      </c>
      <c r="O806" t="s">
        <v>32</v>
      </c>
      <c r="P806" t="s">
        <v>33</v>
      </c>
      <c r="Q806">
        <v>5</v>
      </c>
      <c r="R806" s="3">
        <f t="shared" si="72"/>
        <v>3499</v>
      </c>
      <c r="S806" s="3">
        <f t="shared" si="73"/>
        <v>174.95000000000002</v>
      </c>
      <c r="T806" s="3">
        <f t="shared" si="74"/>
        <v>3403.05</v>
      </c>
      <c r="U806" s="3">
        <f t="shared" si="75"/>
        <v>953.75000000000045</v>
      </c>
      <c r="V806" s="4">
        <f t="shared" si="76"/>
        <v>0.28026329322225663</v>
      </c>
      <c r="W806" t="str">
        <f t="shared" si="77"/>
        <v>Apr</v>
      </c>
    </row>
    <row r="807" spans="1:23" x14ac:dyDescent="0.25">
      <c r="A807" t="s">
        <v>1199</v>
      </c>
      <c r="B807" t="s">
        <v>609</v>
      </c>
      <c r="C807" s="2">
        <v>46008.595138888893</v>
      </c>
      <c r="D807" t="s">
        <v>110</v>
      </c>
      <c r="E807" t="s">
        <v>111</v>
      </c>
      <c r="F807" t="s">
        <v>98</v>
      </c>
      <c r="G807" t="s">
        <v>112</v>
      </c>
      <c r="H807">
        <v>1</v>
      </c>
      <c r="I807" s="3">
        <v>2999</v>
      </c>
      <c r="J807" s="4">
        <v>0</v>
      </c>
      <c r="K807" s="3">
        <v>49</v>
      </c>
      <c r="L807" t="s">
        <v>125</v>
      </c>
      <c r="M807" t="s">
        <v>126</v>
      </c>
      <c r="N807" t="s">
        <v>31</v>
      </c>
      <c r="O807" t="s">
        <v>59</v>
      </c>
      <c r="P807" t="s">
        <v>33</v>
      </c>
      <c r="Q807">
        <v>5</v>
      </c>
      <c r="R807" s="3">
        <f t="shared" si="72"/>
        <v>2999</v>
      </c>
      <c r="S807" s="3">
        <f t="shared" si="73"/>
        <v>0</v>
      </c>
      <c r="T807" s="3">
        <f t="shared" si="74"/>
        <v>3048</v>
      </c>
      <c r="U807" s="3">
        <f t="shared" si="75"/>
        <v>948.70000000000027</v>
      </c>
      <c r="V807" s="4">
        <f t="shared" si="76"/>
        <v>0.31125328083989512</v>
      </c>
      <c r="W807" t="str">
        <f t="shared" si="77"/>
        <v>Dec</v>
      </c>
    </row>
    <row r="808" spans="1:23" x14ac:dyDescent="0.25">
      <c r="A808" t="s">
        <v>1200</v>
      </c>
      <c r="B808" t="s">
        <v>582</v>
      </c>
      <c r="C808" s="2">
        <v>45949.645138888889</v>
      </c>
      <c r="D808" t="s">
        <v>67</v>
      </c>
      <c r="E808" t="s">
        <v>68</v>
      </c>
      <c r="F808" t="s">
        <v>37</v>
      </c>
      <c r="G808" t="s">
        <v>38</v>
      </c>
      <c r="H808">
        <v>1</v>
      </c>
      <c r="I808" s="3">
        <v>1299</v>
      </c>
      <c r="J808" s="4">
        <v>0.15</v>
      </c>
      <c r="K808" s="3">
        <v>0</v>
      </c>
      <c r="L808" t="s">
        <v>83</v>
      </c>
      <c r="M808" t="s">
        <v>84</v>
      </c>
      <c r="N808" t="s">
        <v>71</v>
      </c>
      <c r="O808" t="s">
        <v>59</v>
      </c>
      <c r="P808" t="s">
        <v>52</v>
      </c>
      <c r="Q808">
        <v>3</v>
      </c>
      <c r="R808" s="3">
        <f t="shared" si="72"/>
        <v>1299</v>
      </c>
      <c r="S808" s="3">
        <f t="shared" si="73"/>
        <v>194.85</v>
      </c>
      <c r="T808" s="3">
        <f t="shared" si="74"/>
        <v>1104.1500000000001</v>
      </c>
      <c r="U808" s="3">
        <f t="shared" si="75"/>
        <v>194.85000000000014</v>
      </c>
      <c r="V808" s="4">
        <f t="shared" si="76"/>
        <v>0.17647058823529424</v>
      </c>
      <c r="W808" t="str">
        <f t="shared" si="77"/>
        <v>Oct</v>
      </c>
    </row>
    <row r="809" spans="1:23" x14ac:dyDescent="0.25">
      <c r="A809" t="s">
        <v>1201</v>
      </c>
      <c r="B809" t="s">
        <v>951</v>
      </c>
      <c r="C809" s="2">
        <v>45747.552083333343</v>
      </c>
      <c r="D809" t="s">
        <v>77</v>
      </c>
      <c r="E809" t="s">
        <v>78</v>
      </c>
      <c r="F809" t="s">
        <v>79</v>
      </c>
      <c r="G809" t="s">
        <v>28</v>
      </c>
      <c r="H809">
        <v>1</v>
      </c>
      <c r="I809" s="3">
        <v>6499</v>
      </c>
      <c r="J809" s="4">
        <v>0.15</v>
      </c>
      <c r="K809" s="3">
        <v>79</v>
      </c>
      <c r="L809" t="s">
        <v>48</v>
      </c>
      <c r="M809" t="s">
        <v>49</v>
      </c>
      <c r="N809" t="s">
        <v>40</v>
      </c>
      <c r="O809" t="s">
        <v>41</v>
      </c>
      <c r="P809" t="s">
        <v>33</v>
      </c>
      <c r="R809" s="3">
        <f t="shared" si="72"/>
        <v>6499</v>
      </c>
      <c r="S809" s="3">
        <f t="shared" si="73"/>
        <v>974.84999999999991</v>
      </c>
      <c r="T809" s="3">
        <f t="shared" si="74"/>
        <v>5603.15</v>
      </c>
      <c r="U809" s="3">
        <f t="shared" si="75"/>
        <v>1053.8500000000004</v>
      </c>
      <c r="V809" s="4">
        <f t="shared" si="76"/>
        <v>0.18808170404147675</v>
      </c>
      <c r="W809" t="str">
        <f t="shared" si="77"/>
        <v>Mar</v>
      </c>
    </row>
    <row r="810" spans="1:23" x14ac:dyDescent="0.25">
      <c r="A810" t="s">
        <v>1202</v>
      </c>
      <c r="B810" t="s">
        <v>252</v>
      </c>
      <c r="C810" s="2">
        <v>45680.330555555563</v>
      </c>
      <c r="D810" t="s">
        <v>44</v>
      </c>
      <c r="E810" t="s">
        <v>45</v>
      </c>
      <c r="F810" t="s">
        <v>46</v>
      </c>
      <c r="G810" t="s">
        <v>47</v>
      </c>
      <c r="H810">
        <v>1</v>
      </c>
      <c r="I810" s="3">
        <v>1199</v>
      </c>
      <c r="J810" s="4">
        <v>0.05</v>
      </c>
      <c r="K810" s="3">
        <v>99</v>
      </c>
      <c r="L810" t="s">
        <v>29</v>
      </c>
      <c r="M810" t="s">
        <v>30</v>
      </c>
      <c r="N810" t="s">
        <v>31</v>
      </c>
      <c r="O810" t="s">
        <v>41</v>
      </c>
      <c r="P810" t="s">
        <v>33</v>
      </c>
      <c r="Q810">
        <v>4</v>
      </c>
      <c r="R810" s="3">
        <f t="shared" si="72"/>
        <v>1199</v>
      </c>
      <c r="S810" s="3">
        <f t="shared" si="73"/>
        <v>59.95</v>
      </c>
      <c r="T810" s="3">
        <f t="shared" si="74"/>
        <v>1238.05</v>
      </c>
      <c r="U810" s="3">
        <f t="shared" si="75"/>
        <v>398.75</v>
      </c>
      <c r="V810" s="4">
        <f t="shared" si="76"/>
        <v>0.32207907596623725</v>
      </c>
      <c r="W810" t="str">
        <f t="shared" si="77"/>
        <v>Jan</v>
      </c>
    </row>
    <row r="811" spans="1:23" x14ac:dyDescent="0.25">
      <c r="A811" t="s">
        <v>1203</v>
      </c>
      <c r="B811" t="s">
        <v>168</v>
      </c>
      <c r="C811" s="2">
        <v>45846.116666666669</v>
      </c>
      <c r="D811" t="s">
        <v>96</v>
      </c>
      <c r="E811" t="s">
        <v>97</v>
      </c>
      <c r="F811" t="s">
        <v>98</v>
      </c>
      <c r="G811" t="s">
        <v>99</v>
      </c>
      <c r="H811">
        <v>1</v>
      </c>
      <c r="I811" s="3">
        <v>1499</v>
      </c>
      <c r="J811" s="4">
        <v>0.15</v>
      </c>
      <c r="K811" s="3">
        <v>59</v>
      </c>
      <c r="L811" t="s">
        <v>83</v>
      </c>
      <c r="M811" t="s">
        <v>84</v>
      </c>
      <c r="N811" t="s">
        <v>40</v>
      </c>
      <c r="O811" t="s">
        <v>41</v>
      </c>
      <c r="P811" t="s">
        <v>33</v>
      </c>
      <c r="Q811">
        <v>3</v>
      </c>
      <c r="R811" s="3">
        <f t="shared" si="72"/>
        <v>1499</v>
      </c>
      <c r="S811" s="3">
        <f t="shared" si="73"/>
        <v>224.85</v>
      </c>
      <c r="T811" s="3">
        <f t="shared" si="74"/>
        <v>1333.15</v>
      </c>
      <c r="U811" s="3">
        <f t="shared" si="75"/>
        <v>283.85000000000014</v>
      </c>
      <c r="V811" s="4">
        <f t="shared" si="76"/>
        <v>0.21291677605670789</v>
      </c>
      <c r="W811" t="str">
        <f t="shared" si="77"/>
        <v>Jul</v>
      </c>
    </row>
    <row r="812" spans="1:23" x14ac:dyDescent="0.25">
      <c r="A812" t="s">
        <v>1204</v>
      </c>
      <c r="B812" t="s">
        <v>450</v>
      </c>
      <c r="C812" s="2">
        <v>45671.111111111109</v>
      </c>
      <c r="D812" t="s">
        <v>67</v>
      </c>
      <c r="E812" t="s">
        <v>68</v>
      </c>
      <c r="F812" t="s">
        <v>37</v>
      </c>
      <c r="G812" t="s">
        <v>38</v>
      </c>
      <c r="H812">
        <v>1</v>
      </c>
      <c r="I812" s="3">
        <v>1299</v>
      </c>
      <c r="J812" s="4">
        <v>0.2</v>
      </c>
      <c r="K812" s="3">
        <v>79</v>
      </c>
      <c r="L812" t="s">
        <v>83</v>
      </c>
      <c r="M812" t="s">
        <v>84</v>
      </c>
      <c r="N812" t="s">
        <v>71</v>
      </c>
      <c r="O812" t="s">
        <v>59</v>
      </c>
      <c r="P812" t="s">
        <v>80</v>
      </c>
      <c r="R812" s="3">
        <f t="shared" si="72"/>
        <v>1299</v>
      </c>
      <c r="S812" s="3">
        <f t="shared" si="73"/>
        <v>259.8</v>
      </c>
      <c r="T812" s="3">
        <f t="shared" si="74"/>
        <v>1118.2</v>
      </c>
      <c r="U812" s="3">
        <f t="shared" si="75"/>
        <v>208.90000000000009</v>
      </c>
      <c r="V812" s="4">
        <f t="shared" si="76"/>
        <v>0.18681810051869083</v>
      </c>
      <c r="W812" t="str">
        <f t="shared" si="77"/>
        <v>Jan</v>
      </c>
    </row>
    <row r="813" spans="1:23" x14ac:dyDescent="0.25">
      <c r="A813" t="s">
        <v>1205</v>
      </c>
      <c r="B813" t="s">
        <v>122</v>
      </c>
      <c r="C813" s="2">
        <v>45786.15625</v>
      </c>
      <c r="D813" t="s">
        <v>67</v>
      </c>
      <c r="E813" t="s">
        <v>68</v>
      </c>
      <c r="F813" t="s">
        <v>37</v>
      </c>
      <c r="G813" t="s">
        <v>38</v>
      </c>
      <c r="H813">
        <v>1</v>
      </c>
      <c r="I813" s="3">
        <v>1299</v>
      </c>
      <c r="J813" s="4">
        <v>0.05</v>
      </c>
      <c r="K813" s="3">
        <v>79</v>
      </c>
      <c r="L813" t="s">
        <v>57</v>
      </c>
      <c r="M813" t="s">
        <v>58</v>
      </c>
      <c r="N813" t="s">
        <v>40</v>
      </c>
      <c r="O813" t="s">
        <v>93</v>
      </c>
      <c r="P813" t="s">
        <v>33</v>
      </c>
      <c r="Q813">
        <v>1</v>
      </c>
      <c r="R813" s="3">
        <f t="shared" si="72"/>
        <v>1299</v>
      </c>
      <c r="S813" s="3">
        <f t="shared" si="73"/>
        <v>64.95</v>
      </c>
      <c r="T813" s="3">
        <f t="shared" si="74"/>
        <v>1313.05</v>
      </c>
      <c r="U813" s="3">
        <f t="shared" si="75"/>
        <v>403.75</v>
      </c>
      <c r="V813" s="4">
        <f t="shared" si="76"/>
        <v>0.30749019458512622</v>
      </c>
      <c r="W813" t="str">
        <f t="shared" si="77"/>
        <v>May</v>
      </c>
    </row>
    <row r="814" spans="1:23" x14ac:dyDescent="0.25">
      <c r="A814" t="s">
        <v>1206</v>
      </c>
      <c r="B814" t="s">
        <v>942</v>
      </c>
      <c r="C814" s="2">
        <v>45882.1875</v>
      </c>
      <c r="D814" t="s">
        <v>62</v>
      </c>
      <c r="E814" t="s">
        <v>63</v>
      </c>
      <c r="F814" t="s">
        <v>46</v>
      </c>
      <c r="G814" t="s">
        <v>64</v>
      </c>
      <c r="H814">
        <v>2</v>
      </c>
      <c r="I814" s="3">
        <v>699</v>
      </c>
      <c r="J814" s="4">
        <v>0</v>
      </c>
      <c r="K814" s="3">
        <v>49</v>
      </c>
      <c r="L814" t="s">
        <v>113</v>
      </c>
      <c r="M814" t="s">
        <v>114</v>
      </c>
      <c r="N814" t="s">
        <v>102</v>
      </c>
      <c r="O814" t="s">
        <v>93</v>
      </c>
      <c r="P814" t="s">
        <v>33</v>
      </c>
      <c r="Q814">
        <v>2</v>
      </c>
      <c r="R814" s="3">
        <f t="shared" si="72"/>
        <v>1398</v>
      </c>
      <c r="S814" s="3">
        <f t="shared" si="73"/>
        <v>0</v>
      </c>
      <c r="T814" s="3">
        <f t="shared" si="74"/>
        <v>1447</v>
      </c>
      <c r="U814" s="3">
        <f t="shared" si="75"/>
        <v>468.40000000000009</v>
      </c>
      <c r="V814" s="4">
        <f t="shared" si="76"/>
        <v>0.32370421561852114</v>
      </c>
      <c r="W814" t="str">
        <f t="shared" si="77"/>
        <v>Aug</v>
      </c>
    </row>
    <row r="815" spans="1:23" x14ac:dyDescent="0.25">
      <c r="A815" t="s">
        <v>1207</v>
      </c>
      <c r="B815" t="s">
        <v>837</v>
      </c>
      <c r="C815" s="2">
        <v>45858.211111111108</v>
      </c>
      <c r="D815" t="s">
        <v>110</v>
      </c>
      <c r="E815" t="s">
        <v>111</v>
      </c>
      <c r="F815" t="s">
        <v>98</v>
      </c>
      <c r="G815" t="s">
        <v>112</v>
      </c>
      <c r="H815">
        <v>2</v>
      </c>
      <c r="I815" s="3">
        <v>2999</v>
      </c>
      <c r="J815" s="4">
        <v>0</v>
      </c>
      <c r="K815" s="3">
        <v>59</v>
      </c>
      <c r="L815" t="s">
        <v>29</v>
      </c>
      <c r="M815" t="s">
        <v>30</v>
      </c>
      <c r="N815" t="s">
        <v>40</v>
      </c>
      <c r="O815" t="s">
        <v>51</v>
      </c>
      <c r="P815" t="s">
        <v>80</v>
      </c>
      <c r="Q815">
        <v>2</v>
      </c>
      <c r="R815" s="3">
        <f t="shared" si="72"/>
        <v>5998</v>
      </c>
      <c r="S815" s="3">
        <f t="shared" si="73"/>
        <v>0</v>
      </c>
      <c r="T815" s="3">
        <f t="shared" si="74"/>
        <v>6057</v>
      </c>
      <c r="U815" s="3">
        <f t="shared" si="75"/>
        <v>1858.4000000000005</v>
      </c>
      <c r="V815" s="4">
        <f t="shared" si="76"/>
        <v>0.30681855704143973</v>
      </c>
      <c r="W815" t="str">
        <f t="shared" si="77"/>
        <v>Jul</v>
      </c>
    </row>
    <row r="816" spans="1:23" x14ac:dyDescent="0.25">
      <c r="A816" t="s">
        <v>1208</v>
      </c>
      <c r="B816" t="s">
        <v>545</v>
      </c>
      <c r="C816" s="2">
        <v>45930.269444444442</v>
      </c>
      <c r="D816" t="s">
        <v>67</v>
      </c>
      <c r="E816" t="s">
        <v>68</v>
      </c>
      <c r="F816" t="s">
        <v>37</v>
      </c>
      <c r="G816" t="s">
        <v>38</v>
      </c>
      <c r="H816">
        <v>3</v>
      </c>
      <c r="I816" s="3">
        <v>1299</v>
      </c>
      <c r="J816" s="4">
        <v>0</v>
      </c>
      <c r="K816" s="3">
        <v>99</v>
      </c>
      <c r="L816" t="s">
        <v>39</v>
      </c>
      <c r="M816" t="s">
        <v>39</v>
      </c>
      <c r="N816" t="s">
        <v>40</v>
      </c>
      <c r="O816" t="s">
        <v>51</v>
      </c>
      <c r="P816" t="s">
        <v>80</v>
      </c>
      <c r="Q816">
        <v>4</v>
      </c>
      <c r="R816" s="3">
        <f t="shared" si="72"/>
        <v>3897</v>
      </c>
      <c r="S816" s="3">
        <f t="shared" si="73"/>
        <v>0</v>
      </c>
      <c r="T816" s="3">
        <f t="shared" si="74"/>
        <v>3996</v>
      </c>
      <c r="U816" s="3">
        <f t="shared" si="75"/>
        <v>1268.1000000000004</v>
      </c>
      <c r="V816" s="4">
        <f t="shared" si="76"/>
        <v>0.31734234234234243</v>
      </c>
      <c r="W816" t="str">
        <f t="shared" si="77"/>
        <v>Sep</v>
      </c>
    </row>
    <row r="817" spans="1:23" x14ac:dyDescent="0.25">
      <c r="A817" t="s">
        <v>1209</v>
      </c>
      <c r="B817" t="s">
        <v>502</v>
      </c>
      <c r="C817" s="2">
        <v>45851.290972222218</v>
      </c>
      <c r="D817" t="s">
        <v>35</v>
      </c>
      <c r="E817" t="s">
        <v>36</v>
      </c>
      <c r="F817" t="s">
        <v>37</v>
      </c>
      <c r="G817" t="s">
        <v>38</v>
      </c>
      <c r="H817">
        <v>1</v>
      </c>
      <c r="I817" s="3">
        <v>599</v>
      </c>
      <c r="J817" s="4">
        <v>0.05</v>
      </c>
      <c r="K817" s="3">
        <v>49</v>
      </c>
      <c r="L817" t="s">
        <v>125</v>
      </c>
      <c r="M817" t="s">
        <v>126</v>
      </c>
      <c r="N817" t="s">
        <v>31</v>
      </c>
      <c r="O817" t="s">
        <v>93</v>
      </c>
      <c r="P817" t="s">
        <v>33</v>
      </c>
      <c r="Q817">
        <v>4</v>
      </c>
      <c r="R817" s="3">
        <f t="shared" si="72"/>
        <v>599</v>
      </c>
      <c r="S817" s="3">
        <f t="shared" si="73"/>
        <v>29.950000000000003</v>
      </c>
      <c r="T817" s="3">
        <f t="shared" si="74"/>
        <v>618.04999999999995</v>
      </c>
      <c r="U817" s="3">
        <f t="shared" si="75"/>
        <v>198.75</v>
      </c>
      <c r="V817" s="4">
        <f t="shared" si="76"/>
        <v>0.32157592427797105</v>
      </c>
      <c r="W817" t="str">
        <f t="shared" si="77"/>
        <v>Jul</v>
      </c>
    </row>
    <row r="818" spans="1:23" x14ac:dyDescent="0.25">
      <c r="A818" t="s">
        <v>1210</v>
      </c>
      <c r="B818" t="s">
        <v>510</v>
      </c>
      <c r="C818" s="2">
        <v>45756.904166666667</v>
      </c>
      <c r="D818" t="s">
        <v>35</v>
      </c>
      <c r="E818" t="s">
        <v>36</v>
      </c>
      <c r="F818" t="s">
        <v>37</v>
      </c>
      <c r="G818" t="s">
        <v>38</v>
      </c>
      <c r="H818">
        <v>1</v>
      </c>
      <c r="I818" s="3">
        <v>599</v>
      </c>
      <c r="J818" s="4">
        <v>0</v>
      </c>
      <c r="K818" s="3">
        <v>0</v>
      </c>
      <c r="L818" t="s">
        <v>39</v>
      </c>
      <c r="M818" t="s">
        <v>39</v>
      </c>
      <c r="N818" t="s">
        <v>50</v>
      </c>
      <c r="O818" t="s">
        <v>93</v>
      </c>
      <c r="P818" t="s">
        <v>33</v>
      </c>
      <c r="Q818">
        <v>4</v>
      </c>
      <c r="R818" s="3">
        <f t="shared" si="72"/>
        <v>599</v>
      </c>
      <c r="S818" s="3">
        <f t="shared" si="73"/>
        <v>0</v>
      </c>
      <c r="T818" s="3">
        <f t="shared" si="74"/>
        <v>599</v>
      </c>
      <c r="U818" s="3">
        <f t="shared" si="75"/>
        <v>179.70000000000005</v>
      </c>
      <c r="V818" s="4">
        <f t="shared" si="76"/>
        <v>0.3000000000000001</v>
      </c>
      <c r="W818" t="str">
        <f t="shared" si="77"/>
        <v>Apr</v>
      </c>
    </row>
    <row r="819" spans="1:23" x14ac:dyDescent="0.25">
      <c r="A819" t="s">
        <v>1211</v>
      </c>
      <c r="B819" t="s">
        <v>448</v>
      </c>
      <c r="C819" s="2">
        <v>45823.736111111109</v>
      </c>
      <c r="D819" t="s">
        <v>62</v>
      </c>
      <c r="E819" t="s">
        <v>63</v>
      </c>
      <c r="F819" t="s">
        <v>46</v>
      </c>
      <c r="G819" t="s">
        <v>64</v>
      </c>
      <c r="H819">
        <v>3</v>
      </c>
      <c r="I819" s="3">
        <v>699</v>
      </c>
      <c r="J819" s="4">
        <v>0.15</v>
      </c>
      <c r="K819" s="3">
        <v>49</v>
      </c>
      <c r="L819" t="s">
        <v>29</v>
      </c>
      <c r="M819" t="s">
        <v>30</v>
      </c>
      <c r="N819" t="s">
        <v>40</v>
      </c>
      <c r="O819" t="s">
        <v>59</v>
      </c>
      <c r="P819" t="s">
        <v>33</v>
      </c>
      <c r="Q819">
        <v>1</v>
      </c>
      <c r="R819" s="3">
        <f t="shared" si="72"/>
        <v>2097</v>
      </c>
      <c r="S819" s="3">
        <f t="shared" si="73"/>
        <v>314.55</v>
      </c>
      <c r="T819" s="3">
        <f t="shared" si="74"/>
        <v>1831.45</v>
      </c>
      <c r="U819" s="3">
        <f t="shared" si="75"/>
        <v>363.55000000000018</v>
      </c>
      <c r="V819" s="4">
        <f t="shared" si="76"/>
        <v>0.19850391766086989</v>
      </c>
      <c r="W819" t="str">
        <f t="shared" si="77"/>
        <v>Jun</v>
      </c>
    </row>
    <row r="820" spans="1:23" x14ac:dyDescent="0.25">
      <c r="A820" t="s">
        <v>1212</v>
      </c>
      <c r="B820" t="s">
        <v>779</v>
      </c>
      <c r="C820" s="2">
        <v>45823.208333333343</v>
      </c>
      <c r="D820" t="s">
        <v>67</v>
      </c>
      <c r="E820" t="s">
        <v>68</v>
      </c>
      <c r="F820" t="s">
        <v>37</v>
      </c>
      <c r="G820" t="s">
        <v>38</v>
      </c>
      <c r="H820">
        <v>1</v>
      </c>
      <c r="I820" s="3">
        <v>1299</v>
      </c>
      <c r="J820" s="4">
        <v>0.2</v>
      </c>
      <c r="K820" s="3">
        <v>59</v>
      </c>
      <c r="L820" t="s">
        <v>113</v>
      </c>
      <c r="M820" t="s">
        <v>114</v>
      </c>
      <c r="N820" t="s">
        <v>40</v>
      </c>
      <c r="O820" t="s">
        <v>41</v>
      </c>
      <c r="P820" t="s">
        <v>52</v>
      </c>
      <c r="Q820">
        <v>4</v>
      </c>
      <c r="R820" s="3">
        <f t="shared" si="72"/>
        <v>1299</v>
      </c>
      <c r="S820" s="3">
        <f t="shared" si="73"/>
        <v>259.8</v>
      </c>
      <c r="T820" s="3">
        <f t="shared" si="74"/>
        <v>1098.2</v>
      </c>
      <c r="U820" s="3">
        <f t="shared" si="75"/>
        <v>188.90000000000009</v>
      </c>
      <c r="V820" s="4">
        <f t="shared" si="76"/>
        <v>0.17200874157712628</v>
      </c>
      <c r="W820" t="str">
        <f t="shared" si="77"/>
        <v>Jun</v>
      </c>
    </row>
    <row r="821" spans="1:23" x14ac:dyDescent="0.25">
      <c r="A821" t="s">
        <v>1213</v>
      </c>
      <c r="B821" t="s">
        <v>940</v>
      </c>
      <c r="C821" s="2">
        <v>45800.86041666667</v>
      </c>
      <c r="D821" t="s">
        <v>67</v>
      </c>
      <c r="E821" t="s">
        <v>68</v>
      </c>
      <c r="F821" t="s">
        <v>37</v>
      </c>
      <c r="G821" t="s">
        <v>38</v>
      </c>
      <c r="H821">
        <v>2</v>
      </c>
      <c r="I821" s="3">
        <v>1299</v>
      </c>
      <c r="J821" s="4">
        <v>0</v>
      </c>
      <c r="K821" s="3">
        <v>0</v>
      </c>
      <c r="L821" t="s">
        <v>29</v>
      </c>
      <c r="M821" t="s">
        <v>30</v>
      </c>
      <c r="N821" t="s">
        <v>40</v>
      </c>
      <c r="O821" t="s">
        <v>51</v>
      </c>
      <c r="P821" t="s">
        <v>33</v>
      </c>
      <c r="R821" s="3">
        <f t="shared" si="72"/>
        <v>2598</v>
      </c>
      <c r="S821" s="3">
        <f t="shared" si="73"/>
        <v>0</v>
      </c>
      <c r="T821" s="3">
        <f t="shared" si="74"/>
        <v>2598</v>
      </c>
      <c r="U821" s="3">
        <f t="shared" si="75"/>
        <v>779.40000000000009</v>
      </c>
      <c r="V821" s="4">
        <f t="shared" si="76"/>
        <v>0.30000000000000004</v>
      </c>
      <c r="W821" t="str">
        <f t="shared" si="77"/>
        <v>May</v>
      </c>
    </row>
    <row r="822" spans="1:23" x14ac:dyDescent="0.25">
      <c r="A822" t="s">
        <v>1214</v>
      </c>
      <c r="B822" t="s">
        <v>1092</v>
      </c>
      <c r="C822" s="2">
        <v>45710.94027777778</v>
      </c>
      <c r="D822" t="s">
        <v>44</v>
      </c>
      <c r="E822" t="s">
        <v>45</v>
      </c>
      <c r="F822" t="s">
        <v>46</v>
      </c>
      <c r="G822" t="s">
        <v>47</v>
      </c>
      <c r="H822">
        <v>5</v>
      </c>
      <c r="I822" s="3">
        <v>1199</v>
      </c>
      <c r="J822" s="4">
        <v>0</v>
      </c>
      <c r="K822" s="3">
        <v>59</v>
      </c>
      <c r="L822" t="s">
        <v>1215</v>
      </c>
      <c r="M822" t="s">
        <v>120</v>
      </c>
      <c r="N822" t="s">
        <v>102</v>
      </c>
      <c r="O822" t="s">
        <v>51</v>
      </c>
      <c r="P822" t="s">
        <v>85</v>
      </c>
      <c r="R822" s="3">
        <f t="shared" si="72"/>
        <v>5995</v>
      </c>
      <c r="S822" s="3">
        <f t="shared" si="73"/>
        <v>0</v>
      </c>
      <c r="T822" s="3">
        <f t="shared" si="74"/>
        <v>6054</v>
      </c>
      <c r="U822" s="3">
        <f t="shared" si="75"/>
        <v>1857.5</v>
      </c>
      <c r="V822" s="4">
        <f t="shared" si="76"/>
        <v>0.30682193591014206</v>
      </c>
      <c r="W822" t="str">
        <f t="shared" si="77"/>
        <v>Feb</v>
      </c>
    </row>
    <row r="823" spans="1:23" x14ac:dyDescent="0.25">
      <c r="A823" t="s">
        <v>1216</v>
      </c>
      <c r="B823" t="s">
        <v>884</v>
      </c>
      <c r="C823" s="2">
        <v>46013.181250000001</v>
      </c>
      <c r="D823" t="s">
        <v>77</v>
      </c>
      <c r="E823" t="s">
        <v>78</v>
      </c>
      <c r="F823" t="s">
        <v>79</v>
      </c>
      <c r="G823" t="s">
        <v>28</v>
      </c>
      <c r="H823">
        <v>2</v>
      </c>
      <c r="I823" s="3">
        <v>6499</v>
      </c>
      <c r="J823" s="4">
        <v>0.2</v>
      </c>
      <c r="K823" s="3">
        <v>59</v>
      </c>
      <c r="L823" t="s">
        <v>57</v>
      </c>
      <c r="M823" t="s">
        <v>58</v>
      </c>
      <c r="N823" t="s">
        <v>31</v>
      </c>
      <c r="O823" t="s">
        <v>51</v>
      </c>
      <c r="P823" t="s">
        <v>33</v>
      </c>
      <c r="Q823">
        <v>1</v>
      </c>
      <c r="R823" s="3">
        <f t="shared" si="72"/>
        <v>12998</v>
      </c>
      <c r="S823" s="3">
        <f t="shared" si="73"/>
        <v>2599.6000000000004</v>
      </c>
      <c r="T823" s="3">
        <f t="shared" si="74"/>
        <v>10457.4</v>
      </c>
      <c r="U823" s="3">
        <f t="shared" si="75"/>
        <v>1358.8000000000011</v>
      </c>
      <c r="V823" s="4">
        <f t="shared" si="76"/>
        <v>0.12993669554573806</v>
      </c>
      <c r="W823" t="str">
        <f t="shared" si="77"/>
        <v>Dec</v>
      </c>
    </row>
    <row r="824" spans="1:23" x14ac:dyDescent="0.25">
      <c r="A824" t="s">
        <v>1217</v>
      </c>
      <c r="B824" t="s">
        <v>779</v>
      </c>
      <c r="C824" s="2">
        <v>45919.865972222222</v>
      </c>
      <c r="D824" t="s">
        <v>44</v>
      </c>
      <c r="E824" t="s">
        <v>45</v>
      </c>
      <c r="F824" t="s">
        <v>46</v>
      </c>
      <c r="G824" t="s">
        <v>47</v>
      </c>
      <c r="H824">
        <v>1</v>
      </c>
      <c r="I824" s="3">
        <v>1199</v>
      </c>
      <c r="J824" s="4">
        <v>0.15</v>
      </c>
      <c r="K824" s="3">
        <v>99</v>
      </c>
      <c r="L824" t="s">
        <v>125</v>
      </c>
      <c r="M824" t="s">
        <v>126</v>
      </c>
      <c r="N824" t="s">
        <v>50</v>
      </c>
      <c r="O824" t="s">
        <v>93</v>
      </c>
      <c r="P824" t="s">
        <v>33</v>
      </c>
      <c r="Q824">
        <v>5</v>
      </c>
      <c r="R824" s="3">
        <f t="shared" si="72"/>
        <v>1199</v>
      </c>
      <c r="S824" s="3">
        <f t="shared" si="73"/>
        <v>179.85</v>
      </c>
      <c r="T824" s="3">
        <f t="shared" si="74"/>
        <v>1118.1500000000001</v>
      </c>
      <c r="U824" s="3">
        <f t="shared" si="75"/>
        <v>278.85000000000014</v>
      </c>
      <c r="V824" s="4">
        <f t="shared" si="76"/>
        <v>0.24938514510575516</v>
      </c>
      <c r="W824" t="str">
        <f t="shared" si="77"/>
        <v>Sep</v>
      </c>
    </row>
    <row r="825" spans="1:23" x14ac:dyDescent="0.25">
      <c r="A825" t="s">
        <v>1218</v>
      </c>
      <c r="B825" t="s">
        <v>267</v>
      </c>
      <c r="C825" s="2">
        <v>45877.318749999999</v>
      </c>
      <c r="D825" t="s">
        <v>55</v>
      </c>
      <c r="E825" t="s">
        <v>56</v>
      </c>
      <c r="F825" t="s">
        <v>37</v>
      </c>
      <c r="G825" t="s">
        <v>38</v>
      </c>
      <c r="H825">
        <v>1</v>
      </c>
      <c r="I825" s="3">
        <v>2499</v>
      </c>
      <c r="J825" s="4">
        <v>0</v>
      </c>
      <c r="K825" s="3">
        <v>49</v>
      </c>
      <c r="L825" t="s">
        <v>48</v>
      </c>
      <c r="M825" t="s">
        <v>49</v>
      </c>
      <c r="N825" t="s">
        <v>40</v>
      </c>
      <c r="O825" t="s">
        <v>51</v>
      </c>
      <c r="P825" t="s">
        <v>33</v>
      </c>
      <c r="Q825">
        <v>2</v>
      </c>
      <c r="R825" s="3">
        <f t="shared" si="72"/>
        <v>2499</v>
      </c>
      <c r="S825" s="3">
        <f t="shared" si="73"/>
        <v>0</v>
      </c>
      <c r="T825" s="3">
        <f t="shared" si="74"/>
        <v>2548</v>
      </c>
      <c r="U825" s="3">
        <f t="shared" si="75"/>
        <v>798.7</v>
      </c>
      <c r="V825" s="4">
        <f t="shared" si="76"/>
        <v>0.31346153846153846</v>
      </c>
      <c r="W825" t="str">
        <f t="shared" si="77"/>
        <v>Aug</v>
      </c>
    </row>
    <row r="826" spans="1:23" x14ac:dyDescent="0.25">
      <c r="A826" t="s">
        <v>1219</v>
      </c>
      <c r="B826" t="s">
        <v>1081</v>
      </c>
      <c r="C826" s="2">
        <v>45677.332638888889</v>
      </c>
      <c r="D826" t="s">
        <v>105</v>
      </c>
      <c r="E826" t="s">
        <v>106</v>
      </c>
      <c r="F826" t="s">
        <v>37</v>
      </c>
      <c r="G826" t="s">
        <v>107</v>
      </c>
      <c r="H826">
        <v>1</v>
      </c>
      <c r="I826" s="3">
        <v>1799</v>
      </c>
      <c r="J826" s="4">
        <v>0.15</v>
      </c>
      <c r="K826" s="3">
        <v>79</v>
      </c>
      <c r="L826" t="s">
        <v>57</v>
      </c>
      <c r="M826" t="s">
        <v>58</v>
      </c>
      <c r="N826" t="s">
        <v>50</v>
      </c>
      <c r="O826" t="s">
        <v>51</v>
      </c>
      <c r="P826" t="s">
        <v>80</v>
      </c>
      <c r="Q826">
        <v>3</v>
      </c>
      <c r="R826" s="3">
        <f t="shared" si="72"/>
        <v>1799</v>
      </c>
      <c r="S826" s="3">
        <f t="shared" si="73"/>
        <v>269.84999999999997</v>
      </c>
      <c r="T826" s="3">
        <f t="shared" si="74"/>
        <v>1608.15</v>
      </c>
      <c r="U826" s="3">
        <f t="shared" si="75"/>
        <v>348.85000000000014</v>
      </c>
      <c r="V826" s="4">
        <f t="shared" si="76"/>
        <v>0.21692628175232417</v>
      </c>
      <c r="W826" t="str">
        <f t="shared" si="77"/>
        <v>Jan</v>
      </c>
    </row>
    <row r="827" spans="1:23" x14ac:dyDescent="0.25">
      <c r="A827" t="s">
        <v>1220</v>
      </c>
      <c r="B827" t="s">
        <v>483</v>
      </c>
      <c r="C827" s="2">
        <v>45870.869444444441</v>
      </c>
      <c r="D827" t="s">
        <v>25</v>
      </c>
      <c r="E827" t="s">
        <v>26</v>
      </c>
      <c r="F827" t="s">
        <v>27</v>
      </c>
      <c r="G827" t="s">
        <v>28</v>
      </c>
      <c r="H827">
        <v>2</v>
      </c>
      <c r="I827" s="3">
        <v>249</v>
      </c>
      <c r="J827" s="4">
        <v>0</v>
      </c>
      <c r="K827" s="3">
        <v>49</v>
      </c>
      <c r="L827" t="s">
        <v>39</v>
      </c>
      <c r="M827" t="s">
        <v>39</v>
      </c>
      <c r="N827" t="s">
        <v>71</v>
      </c>
      <c r="O827" t="s">
        <v>41</v>
      </c>
      <c r="P827" t="s">
        <v>33</v>
      </c>
      <c r="Q827">
        <v>2</v>
      </c>
      <c r="R827" s="3">
        <f t="shared" si="72"/>
        <v>498</v>
      </c>
      <c r="S827" s="3">
        <f t="shared" si="73"/>
        <v>0</v>
      </c>
      <c r="T827" s="3">
        <f t="shared" si="74"/>
        <v>547</v>
      </c>
      <c r="U827" s="3">
        <f t="shared" si="75"/>
        <v>198.40000000000003</v>
      </c>
      <c r="V827" s="4">
        <f t="shared" si="76"/>
        <v>0.36270566727605125</v>
      </c>
      <c r="W827" t="str">
        <f t="shared" si="77"/>
        <v>Aug</v>
      </c>
    </row>
    <row r="828" spans="1:23" x14ac:dyDescent="0.25">
      <c r="A828" t="s">
        <v>1221</v>
      </c>
      <c r="B828" t="s">
        <v>450</v>
      </c>
      <c r="C828" s="2">
        <v>45998.32708333333</v>
      </c>
      <c r="D828" t="s">
        <v>62</v>
      </c>
      <c r="E828" t="s">
        <v>63</v>
      </c>
      <c r="F828" t="s">
        <v>46</v>
      </c>
      <c r="G828" t="s">
        <v>64</v>
      </c>
      <c r="H828">
        <v>4</v>
      </c>
      <c r="I828" s="3">
        <v>699</v>
      </c>
      <c r="J828" s="4">
        <v>0.2</v>
      </c>
      <c r="K828" s="3">
        <v>49</v>
      </c>
      <c r="L828" t="s">
        <v>39</v>
      </c>
      <c r="M828" t="s">
        <v>39</v>
      </c>
      <c r="N828" t="s">
        <v>102</v>
      </c>
      <c r="O828" t="s">
        <v>51</v>
      </c>
      <c r="P828" t="s">
        <v>80</v>
      </c>
      <c r="Q828">
        <v>2</v>
      </c>
      <c r="R828" s="3">
        <f t="shared" si="72"/>
        <v>2796</v>
      </c>
      <c r="S828" s="3">
        <f t="shared" si="73"/>
        <v>559.20000000000005</v>
      </c>
      <c r="T828" s="3">
        <f t="shared" si="74"/>
        <v>2285.8000000000002</v>
      </c>
      <c r="U828" s="3">
        <f t="shared" si="75"/>
        <v>328.60000000000036</v>
      </c>
      <c r="V828" s="4">
        <f t="shared" si="76"/>
        <v>0.14375710910840858</v>
      </c>
      <c r="W828" t="str">
        <f t="shared" si="77"/>
        <v>Dec</v>
      </c>
    </row>
    <row r="829" spans="1:23" x14ac:dyDescent="0.25">
      <c r="A829" t="s">
        <v>1222</v>
      </c>
      <c r="B829" t="s">
        <v>470</v>
      </c>
      <c r="C829" s="2">
        <v>45909.091666666667</v>
      </c>
      <c r="D829" t="s">
        <v>90</v>
      </c>
      <c r="E829" t="s">
        <v>91</v>
      </c>
      <c r="F829" t="s">
        <v>37</v>
      </c>
      <c r="G829" t="s">
        <v>92</v>
      </c>
      <c r="H829">
        <v>1</v>
      </c>
      <c r="I829" s="3">
        <v>3499</v>
      </c>
      <c r="J829" s="4">
        <v>0.2</v>
      </c>
      <c r="K829" s="3">
        <v>49</v>
      </c>
      <c r="L829" t="s">
        <v>39</v>
      </c>
      <c r="M829" t="s">
        <v>39</v>
      </c>
      <c r="N829" t="s">
        <v>50</v>
      </c>
      <c r="O829" t="s">
        <v>93</v>
      </c>
      <c r="P829" t="s">
        <v>33</v>
      </c>
      <c r="Q829">
        <v>2</v>
      </c>
      <c r="R829" s="3">
        <f t="shared" si="72"/>
        <v>3499</v>
      </c>
      <c r="S829" s="3">
        <f t="shared" si="73"/>
        <v>699.80000000000007</v>
      </c>
      <c r="T829" s="3">
        <f t="shared" si="74"/>
        <v>2848.2</v>
      </c>
      <c r="U829" s="3">
        <f t="shared" si="75"/>
        <v>398.90000000000009</v>
      </c>
      <c r="V829" s="4">
        <f t="shared" si="76"/>
        <v>0.14005336703883159</v>
      </c>
      <c r="W829" t="str">
        <f t="shared" si="77"/>
        <v>Sep</v>
      </c>
    </row>
    <row r="830" spans="1:23" x14ac:dyDescent="0.25">
      <c r="A830" t="s">
        <v>1223</v>
      </c>
      <c r="B830" t="s">
        <v>116</v>
      </c>
      <c r="C830" s="2">
        <v>45762.313888888893</v>
      </c>
      <c r="D830" t="s">
        <v>44</v>
      </c>
      <c r="E830" t="s">
        <v>45</v>
      </c>
      <c r="F830" t="s">
        <v>46</v>
      </c>
      <c r="G830" t="s">
        <v>47</v>
      </c>
      <c r="H830">
        <v>3</v>
      </c>
      <c r="I830" s="3">
        <v>1199</v>
      </c>
      <c r="J830" s="4">
        <v>0.1</v>
      </c>
      <c r="K830" s="3">
        <v>79</v>
      </c>
      <c r="L830" t="s">
        <v>83</v>
      </c>
      <c r="M830" t="s">
        <v>84</v>
      </c>
      <c r="N830" t="s">
        <v>50</v>
      </c>
      <c r="O830" t="s">
        <v>458</v>
      </c>
      <c r="P830" t="s">
        <v>33</v>
      </c>
      <c r="Q830">
        <v>2</v>
      </c>
      <c r="R830" s="3">
        <f t="shared" si="72"/>
        <v>3597</v>
      </c>
      <c r="S830" s="3">
        <f t="shared" si="73"/>
        <v>359.70000000000005</v>
      </c>
      <c r="T830" s="3">
        <f t="shared" si="74"/>
        <v>3316.3</v>
      </c>
      <c r="U830" s="3">
        <f t="shared" si="75"/>
        <v>798.40000000000055</v>
      </c>
      <c r="V830" s="4">
        <f t="shared" si="76"/>
        <v>0.24075023369417739</v>
      </c>
      <c r="W830" t="str">
        <f t="shared" si="77"/>
        <v>Apr</v>
      </c>
    </row>
    <row r="831" spans="1:23" x14ac:dyDescent="0.25">
      <c r="A831" t="s">
        <v>1224</v>
      </c>
      <c r="B831" t="s">
        <v>315</v>
      </c>
      <c r="C831" s="2">
        <v>45813.4</v>
      </c>
      <c r="D831" t="s">
        <v>96</v>
      </c>
      <c r="E831" t="s">
        <v>97</v>
      </c>
      <c r="F831" t="s">
        <v>98</v>
      </c>
      <c r="G831" t="s">
        <v>99</v>
      </c>
      <c r="H831">
        <v>2</v>
      </c>
      <c r="I831" s="3">
        <v>1499</v>
      </c>
      <c r="J831" s="4">
        <v>0.2</v>
      </c>
      <c r="K831" s="3">
        <v>49</v>
      </c>
      <c r="L831" t="s">
        <v>100</v>
      </c>
      <c r="M831" t="s">
        <v>101</v>
      </c>
      <c r="N831" t="s">
        <v>40</v>
      </c>
      <c r="O831" t="s">
        <v>93</v>
      </c>
      <c r="P831" t="s">
        <v>52</v>
      </c>
      <c r="Q831">
        <v>3</v>
      </c>
      <c r="R831" s="3">
        <f t="shared" si="72"/>
        <v>2998</v>
      </c>
      <c r="S831" s="3">
        <f t="shared" si="73"/>
        <v>599.6</v>
      </c>
      <c r="T831" s="3">
        <f t="shared" si="74"/>
        <v>2447.4</v>
      </c>
      <c r="U831" s="3">
        <f t="shared" si="75"/>
        <v>348.80000000000018</v>
      </c>
      <c r="V831" s="4">
        <f t="shared" si="76"/>
        <v>0.14251859115796361</v>
      </c>
      <c r="W831" t="str">
        <f t="shared" si="77"/>
        <v>Jun</v>
      </c>
    </row>
    <row r="832" spans="1:23" x14ac:dyDescent="0.25">
      <c r="A832" t="s">
        <v>1225</v>
      </c>
      <c r="B832" t="s">
        <v>43</v>
      </c>
      <c r="C832" s="2">
        <v>45883.563888888893</v>
      </c>
      <c r="D832" t="s">
        <v>96</v>
      </c>
      <c r="E832" t="s">
        <v>97</v>
      </c>
      <c r="F832" t="s">
        <v>98</v>
      </c>
      <c r="G832" t="s">
        <v>99</v>
      </c>
      <c r="H832">
        <v>1</v>
      </c>
      <c r="I832" s="3">
        <v>1499</v>
      </c>
      <c r="J832" s="4">
        <v>0.2</v>
      </c>
      <c r="K832" s="3">
        <v>79</v>
      </c>
      <c r="L832" t="s">
        <v>57</v>
      </c>
      <c r="M832" t="s">
        <v>58</v>
      </c>
      <c r="N832" t="s">
        <v>40</v>
      </c>
      <c r="O832" t="s">
        <v>93</v>
      </c>
      <c r="P832" t="s">
        <v>85</v>
      </c>
      <c r="R832" s="3">
        <f t="shared" si="72"/>
        <v>1499</v>
      </c>
      <c r="S832" s="3">
        <f t="shared" si="73"/>
        <v>299.8</v>
      </c>
      <c r="T832" s="3">
        <f t="shared" si="74"/>
        <v>1278.2</v>
      </c>
      <c r="U832" s="3">
        <f t="shared" si="75"/>
        <v>228.90000000000009</v>
      </c>
      <c r="V832" s="4">
        <f t="shared" si="76"/>
        <v>0.17907995618838998</v>
      </c>
      <c r="W832" t="str">
        <f t="shared" si="77"/>
        <v>Aug</v>
      </c>
    </row>
    <row r="833" spans="1:23" x14ac:dyDescent="0.25">
      <c r="A833" t="s">
        <v>1226</v>
      </c>
      <c r="B833" t="s">
        <v>360</v>
      </c>
      <c r="C833" s="2">
        <v>45811.81527777778</v>
      </c>
      <c r="D833" t="s">
        <v>96</v>
      </c>
      <c r="E833" t="s">
        <v>97</v>
      </c>
      <c r="F833" t="s">
        <v>98</v>
      </c>
      <c r="G833" t="s">
        <v>99</v>
      </c>
      <c r="H833">
        <v>3</v>
      </c>
      <c r="I833" s="3">
        <v>1499</v>
      </c>
      <c r="J833" s="4">
        <v>0.15</v>
      </c>
      <c r="K833" s="3">
        <v>49</v>
      </c>
      <c r="L833" t="s">
        <v>57</v>
      </c>
      <c r="M833" t="s">
        <v>58</v>
      </c>
      <c r="N833" t="s">
        <v>40</v>
      </c>
      <c r="O833" t="s">
        <v>59</v>
      </c>
      <c r="P833" t="s">
        <v>33</v>
      </c>
      <c r="Q833">
        <v>3</v>
      </c>
      <c r="R833" s="3">
        <f t="shared" si="72"/>
        <v>4497</v>
      </c>
      <c r="S833" s="3">
        <f t="shared" si="73"/>
        <v>674.55</v>
      </c>
      <c r="T833" s="3">
        <f t="shared" si="74"/>
        <v>3871.45</v>
      </c>
      <c r="U833" s="3">
        <f t="shared" si="75"/>
        <v>723.55000000000018</v>
      </c>
      <c r="V833" s="4">
        <f t="shared" si="76"/>
        <v>0.18689379948081475</v>
      </c>
      <c r="W833" t="str">
        <f t="shared" si="77"/>
        <v>Jun</v>
      </c>
    </row>
    <row r="834" spans="1:23" x14ac:dyDescent="0.25">
      <c r="A834" t="s">
        <v>1227</v>
      </c>
      <c r="B834" t="s">
        <v>1228</v>
      </c>
      <c r="C834" s="2">
        <v>45968.62777777778</v>
      </c>
      <c r="D834" t="s">
        <v>90</v>
      </c>
      <c r="E834" t="s">
        <v>91</v>
      </c>
      <c r="F834" t="s">
        <v>37</v>
      </c>
      <c r="G834" t="s">
        <v>92</v>
      </c>
      <c r="H834">
        <v>1</v>
      </c>
      <c r="I834" s="3">
        <v>3499</v>
      </c>
      <c r="J834" s="4">
        <v>0</v>
      </c>
      <c r="K834" s="3">
        <v>79</v>
      </c>
      <c r="L834" t="s">
        <v>48</v>
      </c>
      <c r="M834" t="s">
        <v>49</v>
      </c>
      <c r="N834" t="s">
        <v>50</v>
      </c>
      <c r="O834" t="s">
        <v>41</v>
      </c>
      <c r="P834" t="s">
        <v>33</v>
      </c>
      <c r="Q834">
        <v>1</v>
      </c>
      <c r="R834" s="3">
        <f t="shared" ref="R834:R897" si="78">IFERROR(H834*I834,"")</f>
        <v>3499</v>
      </c>
      <c r="S834" s="3">
        <f t="shared" ref="S834:S897" si="79">IFERROR(R834*J834,"")</f>
        <v>0</v>
      </c>
      <c r="T834" s="3">
        <f t="shared" ref="T834:T897" si="80">IFERROR(R834-S834+K834,"")</f>
        <v>3578</v>
      </c>
      <c r="U834" s="3">
        <f t="shared" ref="U834:U897" si="81">IFERROR(T834-(R834*70%),"")</f>
        <v>1128.7000000000003</v>
      </c>
      <c r="V834" s="4">
        <f t="shared" ref="V834:V897" si="82">IFERROR(U834/T834,"")</f>
        <v>0.31545556176634998</v>
      </c>
      <c r="W834" t="str">
        <f t="shared" ref="W834:W897" si="83">IFERROR(TEXT(C834,"mmm"),"")</f>
        <v>Nov</v>
      </c>
    </row>
    <row r="835" spans="1:23" x14ac:dyDescent="0.25">
      <c r="A835" t="s">
        <v>1229</v>
      </c>
      <c r="B835" t="s">
        <v>271</v>
      </c>
      <c r="C835" s="2">
        <v>45849.642361111109</v>
      </c>
      <c r="D835" t="s">
        <v>35</v>
      </c>
      <c r="E835" t="s">
        <v>36</v>
      </c>
      <c r="F835" t="s">
        <v>37</v>
      </c>
      <c r="G835" t="s">
        <v>38</v>
      </c>
      <c r="H835">
        <v>2</v>
      </c>
      <c r="I835" s="3">
        <v>599</v>
      </c>
      <c r="J835" s="4">
        <v>0.1</v>
      </c>
      <c r="K835" s="3">
        <v>59</v>
      </c>
      <c r="L835" t="s">
        <v>83</v>
      </c>
      <c r="M835" t="s">
        <v>84</v>
      </c>
      <c r="N835" t="s">
        <v>40</v>
      </c>
      <c r="O835" t="s">
        <v>51</v>
      </c>
      <c r="P835" t="s">
        <v>52</v>
      </c>
      <c r="R835" s="3">
        <f t="shared" si="78"/>
        <v>1198</v>
      </c>
      <c r="S835" s="3">
        <f t="shared" si="79"/>
        <v>119.80000000000001</v>
      </c>
      <c r="T835" s="3">
        <f t="shared" si="80"/>
        <v>1137.2</v>
      </c>
      <c r="U835" s="3">
        <f t="shared" si="81"/>
        <v>298.60000000000014</v>
      </c>
      <c r="V835" s="4">
        <f t="shared" si="82"/>
        <v>0.26257474498768918</v>
      </c>
      <c r="W835" t="str">
        <f t="shared" si="83"/>
        <v>Jul</v>
      </c>
    </row>
    <row r="836" spans="1:23" x14ac:dyDescent="0.25">
      <c r="A836" t="s">
        <v>1230</v>
      </c>
      <c r="B836" t="s">
        <v>800</v>
      </c>
      <c r="C836" s="2">
        <v>45677.14166666667</v>
      </c>
      <c r="D836" t="s">
        <v>44</v>
      </c>
      <c r="E836" t="s">
        <v>45</v>
      </c>
      <c r="F836" t="s">
        <v>46</v>
      </c>
      <c r="G836" t="s">
        <v>47</v>
      </c>
      <c r="H836">
        <v>1</v>
      </c>
      <c r="I836" s="3">
        <v>1199</v>
      </c>
      <c r="J836" s="4">
        <v>0</v>
      </c>
      <c r="K836" s="3">
        <v>49</v>
      </c>
      <c r="L836" t="s">
        <v>29</v>
      </c>
      <c r="M836" t="s">
        <v>30</v>
      </c>
      <c r="N836" t="s">
        <v>71</v>
      </c>
      <c r="O836" t="s">
        <v>51</v>
      </c>
      <c r="P836" t="s">
        <v>85</v>
      </c>
      <c r="Q836">
        <v>5</v>
      </c>
      <c r="R836" s="3">
        <f t="shared" si="78"/>
        <v>1199</v>
      </c>
      <c r="S836" s="3">
        <f t="shared" si="79"/>
        <v>0</v>
      </c>
      <c r="T836" s="3">
        <f t="shared" si="80"/>
        <v>1248</v>
      </c>
      <c r="U836" s="3">
        <f t="shared" si="81"/>
        <v>408.70000000000005</v>
      </c>
      <c r="V836" s="4">
        <f t="shared" si="82"/>
        <v>0.32748397435897442</v>
      </c>
      <c r="W836" t="str">
        <f t="shared" si="83"/>
        <v>Jan</v>
      </c>
    </row>
    <row r="837" spans="1:23" x14ac:dyDescent="0.25">
      <c r="A837" t="s">
        <v>1231</v>
      </c>
      <c r="B837" t="s">
        <v>1232</v>
      </c>
      <c r="C837" s="2">
        <v>45846.918749999997</v>
      </c>
      <c r="D837" t="s">
        <v>77</v>
      </c>
      <c r="E837" t="s">
        <v>78</v>
      </c>
      <c r="F837" t="s">
        <v>79</v>
      </c>
      <c r="G837" t="s">
        <v>28</v>
      </c>
      <c r="H837">
        <v>2</v>
      </c>
      <c r="I837" s="3">
        <v>6499</v>
      </c>
      <c r="J837" s="4">
        <v>0.1</v>
      </c>
      <c r="K837" s="3">
        <v>79</v>
      </c>
      <c r="L837" t="s">
        <v>119</v>
      </c>
      <c r="M837" t="s">
        <v>120</v>
      </c>
      <c r="N837" t="s">
        <v>50</v>
      </c>
      <c r="O837" t="s">
        <v>59</v>
      </c>
      <c r="P837" t="s">
        <v>80</v>
      </c>
      <c r="Q837">
        <v>1</v>
      </c>
      <c r="R837" s="3">
        <f t="shared" si="78"/>
        <v>12998</v>
      </c>
      <c r="S837" s="3">
        <f t="shared" si="79"/>
        <v>1299.8000000000002</v>
      </c>
      <c r="T837" s="3">
        <f t="shared" si="80"/>
        <v>11777.2</v>
      </c>
      <c r="U837" s="3">
        <f t="shared" si="81"/>
        <v>2678.6000000000022</v>
      </c>
      <c r="V837" s="4">
        <f t="shared" si="82"/>
        <v>0.22743945929422971</v>
      </c>
      <c r="W837" t="str">
        <f t="shared" si="83"/>
        <v>Jul</v>
      </c>
    </row>
    <row r="838" spans="1:23" x14ac:dyDescent="0.25">
      <c r="A838" t="s">
        <v>1233</v>
      </c>
      <c r="B838" t="s">
        <v>1234</v>
      </c>
      <c r="C838" s="2">
        <v>45988.177777777782</v>
      </c>
      <c r="D838" t="s">
        <v>169</v>
      </c>
      <c r="E838" t="s">
        <v>170</v>
      </c>
      <c r="F838" t="s">
        <v>98</v>
      </c>
      <c r="G838" t="s">
        <v>171</v>
      </c>
      <c r="H838">
        <v>2</v>
      </c>
      <c r="I838" s="3">
        <v>799</v>
      </c>
      <c r="J838" s="4">
        <v>0.1</v>
      </c>
      <c r="K838" s="3">
        <v>49</v>
      </c>
      <c r="L838" t="s">
        <v>39</v>
      </c>
      <c r="M838" t="s">
        <v>39</v>
      </c>
      <c r="N838" t="s">
        <v>50</v>
      </c>
      <c r="O838" t="s">
        <v>32</v>
      </c>
      <c r="P838" t="s">
        <v>85</v>
      </c>
      <c r="Q838">
        <v>5</v>
      </c>
      <c r="R838" s="3">
        <f t="shared" si="78"/>
        <v>1598</v>
      </c>
      <c r="S838" s="3">
        <f t="shared" si="79"/>
        <v>159.80000000000001</v>
      </c>
      <c r="T838" s="3">
        <f t="shared" si="80"/>
        <v>1487.2</v>
      </c>
      <c r="U838" s="3">
        <f t="shared" si="81"/>
        <v>368.60000000000014</v>
      </c>
      <c r="V838" s="4">
        <f t="shared" si="82"/>
        <v>0.24784830554061332</v>
      </c>
      <c r="W838" t="str">
        <f t="shared" si="83"/>
        <v>Nov</v>
      </c>
    </row>
    <row r="839" spans="1:23" x14ac:dyDescent="0.25">
      <c r="A839" t="s">
        <v>1235</v>
      </c>
      <c r="B839" t="s">
        <v>618</v>
      </c>
      <c r="C839" s="2">
        <v>45705.864583333343</v>
      </c>
      <c r="D839" t="s">
        <v>25</v>
      </c>
      <c r="E839" t="s">
        <v>26</v>
      </c>
      <c r="F839" t="s">
        <v>27</v>
      </c>
      <c r="G839" t="s">
        <v>28</v>
      </c>
      <c r="H839">
        <v>1</v>
      </c>
      <c r="I839" s="3">
        <v>249</v>
      </c>
      <c r="J839" s="4">
        <v>0.1</v>
      </c>
      <c r="K839" s="3">
        <v>99</v>
      </c>
      <c r="L839" t="s">
        <v>100</v>
      </c>
      <c r="M839" t="s">
        <v>101</v>
      </c>
      <c r="N839" t="s">
        <v>102</v>
      </c>
      <c r="O839" t="s">
        <v>41</v>
      </c>
      <c r="P839" t="s">
        <v>52</v>
      </c>
      <c r="Q839">
        <v>4</v>
      </c>
      <c r="R839" s="3">
        <f t="shared" si="78"/>
        <v>249</v>
      </c>
      <c r="S839" s="3">
        <f t="shared" si="79"/>
        <v>24.900000000000002</v>
      </c>
      <c r="T839" s="3">
        <f t="shared" si="80"/>
        <v>323.10000000000002</v>
      </c>
      <c r="U839" s="3">
        <f t="shared" si="81"/>
        <v>148.80000000000004</v>
      </c>
      <c r="V839" s="4">
        <f t="shared" si="82"/>
        <v>0.46053853296193137</v>
      </c>
      <c r="W839" t="str">
        <f t="shared" si="83"/>
        <v>Feb</v>
      </c>
    </row>
    <row r="840" spans="1:23" x14ac:dyDescent="0.25">
      <c r="A840" t="s">
        <v>1236</v>
      </c>
      <c r="B840" t="s">
        <v>906</v>
      </c>
      <c r="C840" s="2">
        <v>45812.69027777778</v>
      </c>
      <c r="D840" t="s">
        <v>105</v>
      </c>
      <c r="E840" t="s">
        <v>106</v>
      </c>
      <c r="F840" t="s">
        <v>37</v>
      </c>
      <c r="G840" t="s">
        <v>107</v>
      </c>
      <c r="H840">
        <v>1</v>
      </c>
      <c r="I840" s="3">
        <v>1799</v>
      </c>
      <c r="J840" s="4">
        <v>0.1</v>
      </c>
      <c r="K840" s="3">
        <v>99</v>
      </c>
      <c r="L840" t="s">
        <v>558</v>
      </c>
      <c r="M840" t="s">
        <v>58</v>
      </c>
      <c r="N840" t="s">
        <v>40</v>
      </c>
      <c r="O840" t="s">
        <v>93</v>
      </c>
      <c r="P840" t="s">
        <v>80</v>
      </c>
      <c r="Q840">
        <v>1</v>
      </c>
      <c r="R840" s="3">
        <f t="shared" si="78"/>
        <v>1799</v>
      </c>
      <c r="S840" s="3">
        <f t="shared" si="79"/>
        <v>179.9</v>
      </c>
      <c r="T840" s="3">
        <f t="shared" si="80"/>
        <v>1718.1</v>
      </c>
      <c r="U840" s="3">
        <f t="shared" si="81"/>
        <v>458.79999999999995</v>
      </c>
      <c r="V840" s="4">
        <f t="shared" si="82"/>
        <v>0.26703917117746345</v>
      </c>
      <c r="W840" t="str">
        <f t="shared" si="83"/>
        <v>Jun</v>
      </c>
    </row>
    <row r="841" spans="1:23" x14ac:dyDescent="0.25">
      <c r="A841" t="s">
        <v>1237</v>
      </c>
      <c r="B841" t="s">
        <v>906</v>
      </c>
      <c r="C841" s="2">
        <v>45834.178472222222</v>
      </c>
      <c r="D841" t="s">
        <v>25</v>
      </c>
      <c r="E841" t="s">
        <v>26</v>
      </c>
      <c r="F841" t="s">
        <v>27</v>
      </c>
      <c r="G841" t="s">
        <v>28</v>
      </c>
      <c r="H841">
        <v>3</v>
      </c>
      <c r="I841" s="3">
        <v>249</v>
      </c>
      <c r="J841" s="4">
        <v>0</v>
      </c>
      <c r="K841" s="3">
        <v>79</v>
      </c>
      <c r="L841" t="s">
        <v>125</v>
      </c>
      <c r="M841" t="s">
        <v>126</v>
      </c>
      <c r="N841" t="s">
        <v>31</v>
      </c>
      <c r="O841" t="s">
        <v>41</v>
      </c>
      <c r="P841" t="s">
        <v>80</v>
      </c>
      <c r="R841" s="3">
        <f t="shared" si="78"/>
        <v>747</v>
      </c>
      <c r="S841" s="3">
        <f t="shared" si="79"/>
        <v>0</v>
      </c>
      <c r="T841" s="3">
        <f t="shared" si="80"/>
        <v>826</v>
      </c>
      <c r="U841" s="3">
        <f t="shared" si="81"/>
        <v>303.10000000000002</v>
      </c>
      <c r="V841" s="4">
        <f t="shared" si="82"/>
        <v>0.36694915254237293</v>
      </c>
      <c r="W841" t="str">
        <f t="shared" si="83"/>
        <v>Jun</v>
      </c>
    </row>
    <row r="842" spans="1:23" x14ac:dyDescent="0.25">
      <c r="A842" t="s">
        <v>1238</v>
      </c>
      <c r="B842" t="s">
        <v>1031</v>
      </c>
      <c r="C842" s="2">
        <v>46014.564583333333</v>
      </c>
      <c r="D842" t="s">
        <v>90</v>
      </c>
      <c r="E842" t="s">
        <v>91</v>
      </c>
      <c r="F842" t="s">
        <v>37</v>
      </c>
      <c r="G842" t="s">
        <v>92</v>
      </c>
      <c r="H842">
        <v>1</v>
      </c>
      <c r="I842" s="3">
        <v>3499</v>
      </c>
      <c r="J842" s="4">
        <v>0.2</v>
      </c>
      <c r="K842" s="3">
        <v>59</v>
      </c>
      <c r="L842" t="s">
        <v>39</v>
      </c>
      <c r="M842" t="s">
        <v>39</v>
      </c>
      <c r="N842" t="s">
        <v>50</v>
      </c>
      <c r="O842" t="s">
        <v>41</v>
      </c>
      <c r="P842" t="s">
        <v>52</v>
      </c>
      <c r="Q842">
        <v>3</v>
      </c>
      <c r="R842" s="3">
        <f t="shared" si="78"/>
        <v>3499</v>
      </c>
      <c r="S842" s="3">
        <f t="shared" si="79"/>
        <v>699.80000000000007</v>
      </c>
      <c r="T842" s="3">
        <f t="shared" si="80"/>
        <v>2858.2</v>
      </c>
      <c r="U842" s="3">
        <f t="shared" si="81"/>
        <v>408.90000000000009</v>
      </c>
      <c r="V842" s="4">
        <f t="shared" si="82"/>
        <v>0.14306206703519703</v>
      </c>
      <c r="W842" t="str">
        <f t="shared" si="83"/>
        <v>Dec</v>
      </c>
    </row>
    <row r="843" spans="1:23" x14ac:dyDescent="0.25">
      <c r="A843" t="s">
        <v>1239</v>
      </c>
      <c r="B843" t="s">
        <v>436</v>
      </c>
      <c r="C843" s="2">
        <v>45751.671527777777</v>
      </c>
      <c r="D843" t="s">
        <v>105</v>
      </c>
      <c r="E843" t="s">
        <v>106</v>
      </c>
      <c r="F843" t="s">
        <v>37</v>
      </c>
      <c r="G843" t="s">
        <v>107</v>
      </c>
      <c r="H843">
        <v>1</v>
      </c>
      <c r="I843" s="3">
        <v>1799</v>
      </c>
      <c r="J843" s="4">
        <v>0.15</v>
      </c>
      <c r="K843" s="3">
        <v>49</v>
      </c>
      <c r="L843" t="s">
        <v>100</v>
      </c>
      <c r="M843" t="s">
        <v>101</v>
      </c>
      <c r="N843" t="s">
        <v>50</v>
      </c>
      <c r="O843" t="s">
        <v>93</v>
      </c>
      <c r="P843" t="s">
        <v>52</v>
      </c>
      <c r="R843" s="3">
        <f t="shared" si="78"/>
        <v>1799</v>
      </c>
      <c r="S843" s="3">
        <f t="shared" si="79"/>
        <v>269.84999999999997</v>
      </c>
      <c r="T843" s="3">
        <f t="shared" si="80"/>
        <v>1578.15</v>
      </c>
      <c r="U843" s="3">
        <f t="shared" si="81"/>
        <v>318.85000000000014</v>
      </c>
      <c r="V843" s="4">
        <f t="shared" si="82"/>
        <v>0.20204036371701051</v>
      </c>
      <c r="W843" t="str">
        <f t="shared" si="83"/>
        <v>Apr</v>
      </c>
    </row>
    <row r="844" spans="1:23" x14ac:dyDescent="0.25">
      <c r="A844" t="s">
        <v>1240</v>
      </c>
      <c r="B844" t="s">
        <v>376</v>
      </c>
      <c r="C844" s="2">
        <v>45867.611111111109</v>
      </c>
      <c r="D844" t="s">
        <v>105</v>
      </c>
      <c r="E844" t="s">
        <v>106</v>
      </c>
      <c r="F844" t="s">
        <v>37</v>
      </c>
      <c r="G844" t="s">
        <v>107</v>
      </c>
      <c r="H844">
        <v>1</v>
      </c>
      <c r="I844" s="3">
        <v>1799</v>
      </c>
      <c r="J844" s="4">
        <v>0</v>
      </c>
      <c r="K844" s="3">
        <v>49</v>
      </c>
      <c r="L844" t="s">
        <v>113</v>
      </c>
      <c r="M844" t="s">
        <v>114</v>
      </c>
      <c r="N844" t="s">
        <v>71</v>
      </c>
      <c r="O844" t="s">
        <v>93</v>
      </c>
      <c r="P844" t="s">
        <v>85</v>
      </c>
      <c r="Q844">
        <v>4</v>
      </c>
      <c r="R844" s="3">
        <f t="shared" si="78"/>
        <v>1799</v>
      </c>
      <c r="S844" s="3">
        <f t="shared" si="79"/>
        <v>0</v>
      </c>
      <c r="T844" s="3">
        <f t="shared" si="80"/>
        <v>1848</v>
      </c>
      <c r="U844" s="3">
        <f t="shared" si="81"/>
        <v>588.70000000000005</v>
      </c>
      <c r="V844" s="4">
        <f t="shared" si="82"/>
        <v>0.3185606060606061</v>
      </c>
      <c r="W844" t="str">
        <f t="shared" si="83"/>
        <v>Jul</v>
      </c>
    </row>
    <row r="845" spans="1:23" x14ac:dyDescent="0.25">
      <c r="A845" t="s">
        <v>1241</v>
      </c>
      <c r="B845" t="s">
        <v>146</v>
      </c>
      <c r="C845" s="2">
        <v>45673.760416666657</v>
      </c>
      <c r="D845" t="s">
        <v>55</v>
      </c>
      <c r="E845" t="s">
        <v>56</v>
      </c>
      <c r="F845" t="s">
        <v>37</v>
      </c>
      <c r="G845" t="s">
        <v>38</v>
      </c>
      <c r="H845">
        <v>1</v>
      </c>
      <c r="I845" s="3">
        <v>2499</v>
      </c>
      <c r="J845" s="4">
        <v>0.1</v>
      </c>
      <c r="K845" s="3">
        <v>0</v>
      </c>
      <c r="L845" t="s">
        <v>48</v>
      </c>
      <c r="M845" t="s">
        <v>49</v>
      </c>
      <c r="N845" t="s">
        <v>31</v>
      </c>
      <c r="O845" t="s">
        <v>51</v>
      </c>
      <c r="P845" t="s">
        <v>52</v>
      </c>
      <c r="R845" s="3">
        <f t="shared" si="78"/>
        <v>2499</v>
      </c>
      <c r="S845" s="3">
        <f t="shared" si="79"/>
        <v>249.9</v>
      </c>
      <c r="T845" s="3">
        <f t="shared" si="80"/>
        <v>2249.1</v>
      </c>
      <c r="U845" s="3">
        <f t="shared" si="81"/>
        <v>499.79999999999995</v>
      </c>
      <c r="V845" s="4">
        <f t="shared" si="82"/>
        <v>0.22222222222222221</v>
      </c>
      <c r="W845" t="str">
        <f t="shared" si="83"/>
        <v>Jan</v>
      </c>
    </row>
    <row r="846" spans="1:23" x14ac:dyDescent="0.25">
      <c r="A846" t="s">
        <v>1242</v>
      </c>
      <c r="B846" t="s">
        <v>576</v>
      </c>
      <c r="C846" s="2">
        <v>45679.134027777778</v>
      </c>
      <c r="D846" t="s">
        <v>35</v>
      </c>
      <c r="E846" t="s">
        <v>36</v>
      </c>
      <c r="F846" t="s">
        <v>37</v>
      </c>
      <c r="G846" t="s">
        <v>38</v>
      </c>
      <c r="H846">
        <v>3</v>
      </c>
      <c r="I846" s="3">
        <v>599</v>
      </c>
      <c r="J846" s="4">
        <v>0</v>
      </c>
      <c r="K846" s="3">
        <v>79</v>
      </c>
      <c r="L846" t="s">
        <v>125</v>
      </c>
      <c r="M846" t="s">
        <v>126</v>
      </c>
      <c r="N846" t="s">
        <v>71</v>
      </c>
      <c r="O846" t="s">
        <v>59</v>
      </c>
      <c r="P846" t="s">
        <v>85</v>
      </c>
      <c r="Q846">
        <v>4</v>
      </c>
      <c r="R846" s="3">
        <f t="shared" si="78"/>
        <v>1797</v>
      </c>
      <c r="S846" s="3">
        <f t="shared" si="79"/>
        <v>0</v>
      </c>
      <c r="T846" s="3">
        <f t="shared" si="80"/>
        <v>1876</v>
      </c>
      <c r="U846" s="3">
        <f t="shared" si="81"/>
        <v>618.10000000000014</v>
      </c>
      <c r="V846" s="4">
        <f t="shared" si="82"/>
        <v>0.32947761194029856</v>
      </c>
      <c r="W846" t="str">
        <f t="shared" si="83"/>
        <v>Jan</v>
      </c>
    </row>
    <row r="847" spans="1:23" x14ac:dyDescent="0.25">
      <c r="A847" t="s">
        <v>1243</v>
      </c>
      <c r="B847" t="s">
        <v>737</v>
      </c>
      <c r="C847" s="2">
        <v>45847.913888888892</v>
      </c>
      <c r="D847" t="s">
        <v>169</v>
      </c>
      <c r="E847" t="s">
        <v>170</v>
      </c>
      <c r="F847" t="s">
        <v>98</v>
      </c>
      <c r="G847" t="s">
        <v>171</v>
      </c>
      <c r="H847">
        <v>1</v>
      </c>
      <c r="I847" s="3">
        <v>799</v>
      </c>
      <c r="J847" s="4">
        <v>0.05</v>
      </c>
      <c r="K847" s="3">
        <v>49</v>
      </c>
      <c r="L847" t="s">
        <v>125</v>
      </c>
      <c r="M847" t="s">
        <v>126</v>
      </c>
      <c r="N847" t="s">
        <v>40</v>
      </c>
      <c r="O847" t="s">
        <v>59</v>
      </c>
      <c r="P847" t="s">
        <v>33</v>
      </c>
      <c r="Q847">
        <v>5</v>
      </c>
      <c r="R847" s="3">
        <f t="shared" si="78"/>
        <v>799</v>
      </c>
      <c r="S847" s="3">
        <f t="shared" si="79"/>
        <v>39.950000000000003</v>
      </c>
      <c r="T847" s="3">
        <f t="shared" si="80"/>
        <v>808.05</v>
      </c>
      <c r="U847" s="3">
        <f t="shared" si="81"/>
        <v>248.75</v>
      </c>
      <c r="V847" s="4">
        <f t="shared" si="82"/>
        <v>0.3078398613947157</v>
      </c>
      <c r="W847" t="str">
        <f t="shared" si="83"/>
        <v>Jul</v>
      </c>
    </row>
    <row r="848" spans="1:23" x14ac:dyDescent="0.25">
      <c r="A848" t="s">
        <v>1244</v>
      </c>
      <c r="B848" t="s">
        <v>311</v>
      </c>
      <c r="C848" s="2">
        <v>45709.020138888889</v>
      </c>
      <c r="D848" t="s">
        <v>35</v>
      </c>
      <c r="E848" t="s">
        <v>36</v>
      </c>
      <c r="F848" t="s">
        <v>37</v>
      </c>
      <c r="G848" t="s">
        <v>38</v>
      </c>
      <c r="H848">
        <v>3</v>
      </c>
      <c r="I848" s="3">
        <v>599</v>
      </c>
      <c r="J848" s="4">
        <v>0.1</v>
      </c>
      <c r="K848" s="3">
        <v>49</v>
      </c>
      <c r="L848" t="s">
        <v>74</v>
      </c>
      <c r="M848" t="s">
        <v>49</v>
      </c>
      <c r="N848" t="s">
        <v>102</v>
      </c>
      <c r="O848" t="s">
        <v>93</v>
      </c>
      <c r="P848" t="s">
        <v>80</v>
      </c>
      <c r="R848" s="3">
        <f t="shared" si="78"/>
        <v>1797</v>
      </c>
      <c r="S848" s="3">
        <f t="shared" si="79"/>
        <v>179.70000000000002</v>
      </c>
      <c r="T848" s="3">
        <f t="shared" si="80"/>
        <v>1666.3</v>
      </c>
      <c r="U848" s="3">
        <f t="shared" si="81"/>
        <v>408.40000000000009</v>
      </c>
      <c r="V848" s="4">
        <f t="shared" si="82"/>
        <v>0.24509392066254582</v>
      </c>
      <c r="W848" t="str">
        <f t="shared" si="83"/>
        <v>Feb</v>
      </c>
    </row>
    <row r="849" spans="1:23" x14ac:dyDescent="0.25">
      <c r="A849" t="s">
        <v>1245</v>
      </c>
      <c r="B849" t="s">
        <v>372</v>
      </c>
      <c r="C849" s="2">
        <v>45785.477777777778</v>
      </c>
      <c r="D849" t="s">
        <v>62</v>
      </c>
      <c r="E849" t="s">
        <v>63</v>
      </c>
      <c r="F849" t="s">
        <v>46</v>
      </c>
      <c r="G849" t="s">
        <v>64</v>
      </c>
      <c r="H849">
        <v>4</v>
      </c>
      <c r="I849" s="3">
        <v>699</v>
      </c>
      <c r="J849" s="4">
        <v>0.2</v>
      </c>
      <c r="K849" s="3">
        <v>79</v>
      </c>
      <c r="L849" t="s">
        <v>48</v>
      </c>
      <c r="M849" t="s">
        <v>49</v>
      </c>
      <c r="N849" t="s">
        <v>40</v>
      </c>
      <c r="O849" t="s">
        <v>41</v>
      </c>
      <c r="P849" t="s">
        <v>85</v>
      </c>
      <c r="Q849">
        <v>1</v>
      </c>
      <c r="R849" s="3">
        <f t="shared" si="78"/>
        <v>2796</v>
      </c>
      <c r="S849" s="3">
        <f t="shared" si="79"/>
        <v>559.20000000000005</v>
      </c>
      <c r="T849" s="3">
        <f t="shared" si="80"/>
        <v>2315.8000000000002</v>
      </c>
      <c r="U849" s="3">
        <f t="shared" si="81"/>
        <v>358.60000000000036</v>
      </c>
      <c r="V849" s="4">
        <f t="shared" si="82"/>
        <v>0.15484929613956314</v>
      </c>
      <c r="W849" t="str">
        <f t="shared" si="83"/>
        <v>May</v>
      </c>
    </row>
    <row r="850" spans="1:23" x14ac:dyDescent="0.25">
      <c r="A850" t="s">
        <v>1246</v>
      </c>
      <c r="B850" t="s">
        <v>457</v>
      </c>
      <c r="C850" s="2">
        <v>45842.07708333333</v>
      </c>
      <c r="D850" t="s">
        <v>25</v>
      </c>
      <c r="E850" t="s">
        <v>26</v>
      </c>
      <c r="F850" t="s">
        <v>27</v>
      </c>
      <c r="G850" t="s">
        <v>28</v>
      </c>
      <c r="H850">
        <v>1</v>
      </c>
      <c r="I850" s="3">
        <v>249</v>
      </c>
      <c r="J850" s="4">
        <v>0.05</v>
      </c>
      <c r="K850" s="3">
        <v>79</v>
      </c>
      <c r="L850" t="s">
        <v>74</v>
      </c>
      <c r="M850" t="s">
        <v>49</v>
      </c>
      <c r="N850" t="s">
        <v>102</v>
      </c>
      <c r="O850" t="s">
        <v>59</v>
      </c>
      <c r="P850" t="s">
        <v>80</v>
      </c>
      <c r="Q850">
        <v>4</v>
      </c>
      <c r="R850" s="3">
        <f t="shared" si="78"/>
        <v>249</v>
      </c>
      <c r="S850" s="3">
        <f t="shared" si="79"/>
        <v>12.450000000000001</v>
      </c>
      <c r="T850" s="3">
        <f t="shared" si="80"/>
        <v>315.55</v>
      </c>
      <c r="U850" s="3">
        <f t="shared" si="81"/>
        <v>141.25000000000003</v>
      </c>
      <c r="V850" s="4">
        <f t="shared" si="82"/>
        <v>0.44763112026620194</v>
      </c>
      <c r="W850" t="str">
        <f t="shared" si="83"/>
        <v>Jul</v>
      </c>
    </row>
    <row r="851" spans="1:23" x14ac:dyDescent="0.25">
      <c r="A851" t="s">
        <v>1247</v>
      </c>
      <c r="B851" t="s">
        <v>495</v>
      </c>
      <c r="C851" s="2">
        <v>45836.582638888889</v>
      </c>
      <c r="D851" t="s">
        <v>77</v>
      </c>
      <c r="E851" t="s">
        <v>78</v>
      </c>
      <c r="F851" t="s">
        <v>79</v>
      </c>
      <c r="G851" t="s">
        <v>28</v>
      </c>
      <c r="H851">
        <v>3</v>
      </c>
      <c r="I851" s="3">
        <v>6499</v>
      </c>
      <c r="J851" s="4">
        <v>0.2</v>
      </c>
      <c r="K851" s="3">
        <v>0</v>
      </c>
      <c r="L851" t="s">
        <v>1060</v>
      </c>
      <c r="M851" t="s">
        <v>126</v>
      </c>
      <c r="N851" t="s">
        <v>71</v>
      </c>
      <c r="O851" t="s">
        <v>32</v>
      </c>
      <c r="P851" t="s">
        <v>52</v>
      </c>
      <c r="Q851">
        <v>2</v>
      </c>
      <c r="R851" s="3">
        <f t="shared" si="78"/>
        <v>19497</v>
      </c>
      <c r="S851" s="3">
        <f t="shared" si="79"/>
        <v>3899.4</v>
      </c>
      <c r="T851" s="3">
        <f t="shared" si="80"/>
        <v>15597.6</v>
      </c>
      <c r="U851" s="3">
        <f t="shared" si="81"/>
        <v>1949.7000000000007</v>
      </c>
      <c r="V851" s="4">
        <f t="shared" si="82"/>
        <v>0.12500000000000006</v>
      </c>
      <c r="W851" t="str">
        <f t="shared" si="83"/>
        <v>Jun</v>
      </c>
    </row>
    <row r="852" spans="1:23" x14ac:dyDescent="0.25">
      <c r="A852" t="s">
        <v>1248</v>
      </c>
      <c r="B852" t="s">
        <v>1249</v>
      </c>
      <c r="C852" s="2">
        <v>45950.938888888893</v>
      </c>
      <c r="D852" t="s">
        <v>77</v>
      </c>
      <c r="E852" t="s">
        <v>78</v>
      </c>
      <c r="F852" t="s">
        <v>79</v>
      </c>
      <c r="G852" t="s">
        <v>28</v>
      </c>
      <c r="H852">
        <v>3</v>
      </c>
      <c r="I852" s="3">
        <v>6499</v>
      </c>
      <c r="J852" s="4">
        <v>0</v>
      </c>
      <c r="K852" s="3">
        <v>79</v>
      </c>
      <c r="L852" t="s">
        <v>100</v>
      </c>
      <c r="M852" t="s">
        <v>101</v>
      </c>
      <c r="N852" t="s">
        <v>71</v>
      </c>
      <c r="O852" t="s">
        <v>32</v>
      </c>
      <c r="P852" t="s">
        <v>33</v>
      </c>
      <c r="R852" s="3">
        <f t="shared" si="78"/>
        <v>19497</v>
      </c>
      <c r="S852" s="3">
        <f t="shared" si="79"/>
        <v>0</v>
      </c>
      <c r="T852" s="3">
        <f t="shared" si="80"/>
        <v>19576</v>
      </c>
      <c r="U852" s="3">
        <f t="shared" si="81"/>
        <v>5928.1</v>
      </c>
      <c r="V852" s="4">
        <f t="shared" si="82"/>
        <v>0.30282488761749082</v>
      </c>
      <c r="W852" t="str">
        <f t="shared" si="83"/>
        <v>Oct</v>
      </c>
    </row>
    <row r="853" spans="1:23" x14ac:dyDescent="0.25">
      <c r="A853" t="s">
        <v>1250</v>
      </c>
      <c r="B853" t="s">
        <v>319</v>
      </c>
      <c r="C853" s="2">
        <v>45717.654166666667</v>
      </c>
      <c r="D853" t="s">
        <v>90</v>
      </c>
      <c r="E853" t="s">
        <v>91</v>
      </c>
      <c r="F853" t="s">
        <v>37</v>
      </c>
      <c r="G853" t="s">
        <v>92</v>
      </c>
      <c r="H853">
        <v>3</v>
      </c>
      <c r="I853" s="3">
        <v>3499</v>
      </c>
      <c r="J853" s="4">
        <v>0</v>
      </c>
      <c r="K853" s="3">
        <v>49</v>
      </c>
      <c r="L853" t="s">
        <v>100</v>
      </c>
      <c r="M853" t="s">
        <v>101</v>
      </c>
      <c r="N853" t="s">
        <v>430</v>
      </c>
      <c r="O853" t="s">
        <v>489</v>
      </c>
      <c r="P853" t="s">
        <v>85</v>
      </c>
      <c r="Q853">
        <v>1</v>
      </c>
      <c r="R853" s="3">
        <f t="shared" si="78"/>
        <v>10497</v>
      </c>
      <c r="S853" s="3">
        <f t="shared" si="79"/>
        <v>0</v>
      </c>
      <c r="T853" s="3">
        <f t="shared" si="80"/>
        <v>10546</v>
      </c>
      <c r="U853" s="3">
        <f t="shared" si="81"/>
        <v>3198.1000000000004</v>
      </c>
      <c r="V853" s="4">
        <f t="shared" si="82"/>
        <v>0.30325241797838048</v>
      </c>
      <c r="W853" t="str">
        <f t="shared" si="83"/>
        <v>Mar</v>
      </c>
    </row>
    <row r="854" spans="1:23" x14ac:dyDescent="0.25">
      <c r="A854" t="s">
        <v>1251</v>
      </c>
      <c r="B854" t="s">
        <v>186</v>
      </c>
      <c r="C854" s="2">
        <v>45825.53402777778</v>
      </c>
      <c r="D854" t="s">
        <v>96</v>
      </c>
      <c r="E854" t="s">
        <v>97</v>
      </c>
      <c r="F854" t="s">
        <v>98</v>
      </c>
      <c r="G854" t="s">
        <v>99</v>
      </c>
      <c r="H854">
        <v>1</v>
      </c>
      <c r="I854" s="3">
        <v>1499</v>
      </c>
      <c r="J854" s="4">
        <v>0</v>
      </c>
      <c r="K854" s="3">
        <v>59</v>
      </c>
      <c r="L854" t="s">
        <v>39</v>
      </c>
      <c r="M854" t="s">
        <v>39</v>
      </c>
      <c r="N854" t="s">
        <v>31</v>
      </c>
      <c r="O854" t="s">
        <v>41</v>
      </c>
      <c r="P854" t="s">
        <v>33</v>
      </c>
      <c r="Q854">
        <v>5</v>
      </c>
      <c r="R854" s="3">
        <f t="shared" si="78"/>
        <v>1499</v>
      </c>
      <c r="S854" s="3">
        <f t="shared" si="79"/>
        <v>0</v>
      </c>
      <c r="T854" s="3">
        <f t="shared" si="80"/>
        <v>1558</v>
      </c>
      <c r="U854" s="3">
        <f t="shared" si="81"/>
        <v>508.70000000000005</v>
      </c>
      <c r="V854" s="4">
        <f t="shared" si="82"/>
        <v>0.32650834403080875</v>
      </c>
      <c r="W854" t="str">
        <f t="shared" si="83"/>
        <v>Jun</v>
      </c>
    </row>
    <row r="855" spans="1:23" x14ac:dyDescent="0.25">
      <c r="A855" t="s">
        <v>1252</v>
      </c>
      <c r="B855" t="s">
        <v>715</v>
      </c>
      <c r="C855" s="2">
        <v>46012.454861111109</v>
      </c>
      <c r="D855" t="s">
        <v>25</v>
      </c>
      <c r="E855" t="s">
        <v>26</v>
      </c>
      <c r="F855" t="s">
        <v>27</v>
      </c>
      <c r="G855" t="s">
        <v>28</v>
      </c>
      <c r="H855">
        <v>1</v>
      </c>
      <c r="I855" s="3">
        <v>249</v>
      </c>
      <c r="J855" s="4">
        <v>0.15</v>
      </c>
      <c r="K855" s="3">
        <v>99</v>
      </c>
      <c r="L855" t="s">
        <v>119</v>
      </c>
      <c r="M855" t="s">
        <v>120</v>
      </c>
      <c r="N855" t="s">
        <v>71</v>
      </c>
      <c r="O855" t="s">
        <v>59</v>
      </c>
      <c r="P855" t="s">
        <v>33</v>
      </c>
      <c r="R855" s="3">
        <f t="shared" si="78"/>
        <v>249</v>
      </c>
      <c r="S855" s="3">
        <f t="shared" si="79"/>
        <v>37.35</v>
      </c>
      <c r="T855" s="3">
        <f t="shared" si="80"/>
        <v>310.64999999999998</v>
      </c>
      <c r="U855" s="3">
        <f t="shared" si="81"/>
        <v>136.35</v>
      </c>
      <c r="V855" s="4">
        <f t="shared" si="82"/>
        <v>0.43891839690970547</v>
      </c>
      <c r="W855" t="str">
        <f t="shared" si="83"/>
        <v>Dec</v>
      </c>
    </row>
    <row r="856" spans="1:23" x14ac:dyDescent="0.25">
      <c r="A856" t="s">
        <v>1253</v>
      </c>
      <c r="B856" t="s">
        <v>162</v>
      </c>
      <c r="C856" s="2">
        <v>45945.57708333333</v>
      </c>
      <c r="D856" t="s">
        <v>77</v>
      </c>
      <c r="E856" t="s">
        <v>78</v>
      </c>
      <c r="F856" t="s">
        <v>79</v>
      </c>
      <c r="G856" t="s">
        <v>28</v>
      </c>
      <c r="H856">
        <v>2</v>
      </c>
      <c r="I856" s="3">
        <v>6499</v>
      </c>
      <c r="J856" s="4">
        <v>0</v>
      </c>
      <c r="K856" s="3">
        <v>59</v>
      </c>
      <c r="L856" t="s">
        <v>57</v>
      </c>
      <c r="M856" t="s">
        <v>58</v>
      </c>
      <c r="N856" t="s">
        <v>71</v>
      </c>
      <c r="O856" t="s">
        <v>93</v>
      </c>
      <c r="P856" t="s">
        <v>33</v>
      </c>
      <c r="Q856">
        <v>1</v>
      </c>
      <c r="R856" s="3">
        <f t="shared" si="78"/>
        <v>12998</v>
      </c>
      <c r="S856" s="3">
        <f t="shared" si="79"/>
        <v>0</v>
      </c>
      <c r="T856" s="3">
        <f t="shared" si="80"/>
        <v>13057</v>
      </c>
      <c r="U856" s="3">
        <f t="shared" si="81"/>
        <v>3958.4000000000015</v>
      </c>
      <c r="V856" s="4">
        <f t="shared" si="82"/>
        <v>0.30316305430037538</v>
      </c>
      <c r="W856" t="str">
        <f t="shared" si="83"/>
        <v>Oct</v>
      </c>
    </row>
    <row r="857" spans="1:23" x14ac:dyDescent="0.25">
      <c r="A857" t="s">
        <v>1254</v>
      </c>
      <c r="B857" t="s">
        <v>304</v>
      </c>
      <c r="C857" s="2">
        <v>45754.963194444441</v>
      </c>
      <c r="D857" t="s">
        <v>55</v>
      </c>
      <c r="E857" t="s">
        <v>56</v>
      </c>
      <c r="F857" t="s">
        <v>37</v>
      </c>
      <c r="G857" t="s">
        <v>38</v>
      </c>
      <c r="H857">
        <v>2</v>
      </c>
      <c r="I857" s="3">
        <v>2499</v>
      </c>
      <c r="J857" s="4">
        <v>0.05</v>
      </c>
      <c r="K857" s="3">
        <v>49</v>
      </c>
      <c r="L857" t="s">
        <v>1255</v>
      </c>
      <c r="M857" t="s">
        <v>49</v>
      </c>
      <c r="N857" t="s">
        <v>40</v>
      </c>
      <c r="O857" t="s">
        <v>32</v>
      </c>
      <c r="P857" t="s">
        <v>85</v>
      </c>
      <c r="R857" s="3">
        <f t="shared" si="78"/>
        <v>4998</v>
      </c>
      <c r="S857" s="3">
        <f t="shared" si="79"/>
        <v>249.9</v>
      </c>
      <c r="T857" s="3">
        <f t="shared" si="80"/>
        <v>4797.1000000000004</v>
      </c>
      <c r="U857" s="3">
        <f t="shared" si="81"/>
        <v>1298.5000000000005</v>
      </c>
      <c r="V857" s="4">
        <f t="shared" si="82"/>
        <v>0.27068437180796739</v>
      </c>
      <c r="W857" t="str">
        <f t="shared" si="83"/>
        <v>Apr</v>
      </c>
    </row>
    <row r="858" spans="1:23" x14ac:dyDescent="0.25">
      <c r="A858" t="s">
        <v>1256</v>
      </c>
      <c r="B858" t="s">
        <v>166</v>
      </c>
      <c r="C858" s="2">
        <v>45932.287499999999</v>
      </c>
      <c r="D858" t="s">
        <v>35</v>
      </c>
      <c r="E858" t="s">
        <v>36</v>
      </c>
      <c r="F858" t="s">
        <v>37</v>
      </c>
      <c r="G858" t="s">
        <v>38</v>
      </c>
      <c r="H858">
        <v>1</v>
      </c>
      <c r="I858" s="3">
        <v>599</v>
      </c>
      <c r="J858" s="4">
        <v>0.1</v>
      </c>
      <c r="K858" s="3">
        <v>59</v>
      </c>
      <c r="L858" t="s">
        <v>48</v>
      </c>
      <c r="M858" t="s">
        <v>49</v>
      </c>
      <c r="N858" t="s">
        <v>50</v>
      </c>
      <c r="O858" t="s">
        <v>32</v>
      </c>
      <c r="P858" t="s">
        <v>52</v>
      </c>
      <c r="R858" s="3">
        <f t="shared" si="78"/>
        <v>599</v>
      </c>
      <c r="S858" s="3">
        <f t="shared" si="79"/>
        <v>59.900000000000006</v>
      </c>
      <c r="T858" s="3">
        <f t="shared" si="80"/>
        <v>598.1</v>
      </c>
      <c r="U858" s="3">
        <f t="shared" si="81"/>
        <v>178.80000000000007</v>
      </c>
      <c r="V858" s="4">
        <f t="shared" si="82"/>
        <v>0.29894666443738516</v>
      </c>
      <c r="W858" t="str">
        <f t="shared" si="83"/>
        <v>Oct</v>
      </c>
    </row>
    <row r="859" spans="1:23" x14ac:dyDescent="0.25">
      <c r="A859" t="s">
        <v>1257</v>
      </c>
      <c r="B859" t="s">
        <v>591</v>
      </c>
      <c r="C859" s="2">
        <v>45860.023611111108</v>
      </c>
      <c r="D859" t="s">
        <v>44</v>
      </c>
      <c r="E859" t="s">
        <v>45</v>
      </c>
      <c r="F859" t="s">
        <v>46</v>
      </c>
      <c r="G859" t="s">
        <v>47</v>
      </c>
      <c r="H859">
        <v>1</v>
      </c>
      <c r="I859" s="3">
        <v>1199</v>
      </c>
      <c r="J859" s="4">
        <v>0.05</v>
      </c>
      <c r="K859" s="3">
        <v>49</v>
      </c>
      <c r="L859" t="s">
        <v>125</v>
      </c>
      <c r="M859" t="s">
        <v>126</v>
      </c>
      <c r="N859" t="s">
        <v>50</v>
      </c>
      <c r="O859" t="s">
        <v>59</v>
      </c>
      <c r="P859" t="s">
        <v>52</v>
      </c>
      <c r="R859" s="3">
        <f t="shared" si="78"/>
        <v>1199</v>
      </c>
      <c r="S859" s="3">
        <f t="shared" si="79"/>
        <v>59.95</v>
      </c>
      <c r="T859" s="3">
        <f t="shared" si="80"/>
        <v>1188.05</v>
      </c>
      <c r="U859" s="3">
        <f t="shared" si="81"/>
        <v>348.75</v>
      </c>
      <c r="V859" s="4">
        <f t="shared" si="82"/>
        <v>0.29354825133622325</v>
      </c>
      <c r="W859" t="str">
        <f t="shared" si="83"/>
        <v>Jul</v>
      </c>
    </row>
    <row r="860" spans="1:23" x14ac:dyDescent="0.25">
      <c r="A860" t="s">
        <v>1258</v>
      </c>
      <c r="B860" t="s">
        <v>385</v>
      </c>
      <c r="C860" s="2">
        <v>45732.987500000003</v>
      </c>
      <c r="D860" t="s">
        <v>90</v>
      </c>
      <c r="E860" t="s">
        <v>91</v>
      </c>
      <c r="F860" t="s">
        <v>37</v>
      </c>
      <c r="G860" t="s">
        <v>92</v>
      </c>
      <c r="H860">
        <v>2</v>
      </c>
      <c r="I860" s="3">
        <v>3499</v>
      </c>
      <c r="J860" s="4">
        <v>0</v>
      </c>
      <c r="K860" s="3">
        <v>99</v>
      </c>
      <c r="L860" t="s">
        <v>100</v>
      </c>
      <c r="M860" t="s">
        <v>101</v>
      </c>
      <c r="N860" t="s">
        <v>71</v>
      </c>
      <c r="O860" t="s">
        <v>32</v>
      </c>
      <c r="P860" t="s">
        <v>80</v>
      </c>
      <c r="R860" s="3">
        <f t="shared" si="78"/>
        <v>6998</v>
      </c>
      <c r="S860" s="3">
        <f t="shared" si="79"/>
        <v>0</v>
      </c>
      <c r="T860" s="3">
        <f t="shared" si="80"/>
        <v>7097</v>
      </c>
      <c r="U860" s="3">
        <f t="shared" si="81"/>
        <v>2198.4000000000005</v>
      </c>
      <c r="V860" s="4">
        <f t="shared" si="82"/>
        <v>0.30976468930534035</v>
      </c>
      <c r="W860" t="str">
        <f t="shared" si="83"/>
        <v>Mar</v>
      </c>
    </row>
    <row r="861" spans="1:23" x14ac:dyDescent="0.25">
      <c r="A861" t="s">
        <v>1259</v>
      </c>
      <c r="B861" t="s">
        <v>252</v>
      </c>
      <c r="C861" s="2">
        <v>46019.770833333343</v>
      </c>
      <c r="D861" t="s">
        <v>55</v>
      </c>
      <c r="E861" t="s">
        <v>56</v>
      </c>
      <c r="F861" t="s">
        <v>37</v>
      </c>
      <c r="G861" t="s">
        <v>38</v>
      </c>
      <c r="H861">
        <v>5</v>
      </c>
      <c r="I861" s="3">
        <v>2499</v>
      </c>
      <c r="J861" s="4">
        <v>0</v>
      </c>
      <c r="K861" s="3">
        <v>79</v>
      </c>
      <c r="L861" t="s">
        <v>48</v>
      </c>
      <c r="M861" t="s">
        <v>49</v>
      </c>
      <c r="N861" t="s">
        <v>40</v>
      </c>
      <c r="O861" t="s">
        <v>93</v>
      </c>
      <c r="P861" t="s">
        <v>80</v>
      </c>
      <c r="R861" s="3">
        <f t="shared" si="78"/>
        <v>12495</v>
      </c>
      <c r="S861" s="3">
        <f t="shared" si="79"/>
        <v>0</v>
      </c>
      <c r="T861" s="3">
        <f t="shared" si="80"/>
        <v>12574</v>
      </c>
      <c r="U861" s="3">
        <f t="shared" si="81"/>
        <v>3827.5</v>
      </c>
      <c r="V861" s="4">
        <f t="shared" si="82"/>
        <v>0.30439796405280739</v>
      </c>
      <c r="W861" t="str">
        <f t="shared" si="83"/>
        <v>Dec</v>
      </c>
    </row>
    <row r="862" spans="1:23" x14ac:dyDescent="0.25">
      <c r="A862" t="s">
        <v>1260</v>
      </c>
      <c r="B862" t="s">
        <v>479</v>
      </c>
      <c r="C862" s="2">
        <v>45765.999305555553</v>
      </c>
      <c r="D862" t="s">
        <v>169</v>
      </c>
      <c r="E862" t="s">
        <v>170</v>
      </c>
      <c r="F862" t="s">
        <v>98</v>
      </c>
      <c r="G862" t="s">
        <v>171</v>
      </c>
      <c r="H862">
        <v>3</v>
      </c>
      <c r="I862" s="3">
        <v>799</v>
      </c>
      <c r="J862" s="4">
        <v>0.2</v>
      </c>
      <c r="K862" s="3">
        <v>0</v>
      </c>
      <c r="L862" t="s">
        <v>100</v>
      </c>
      <c r="M862" t="s">
        <v>101</v>
      </c>
      <c r="N862" t="s">
        <v>40</v>
      </c>
      <c r="O862" t="s">
        <v>59</v>
      </c>
      <c r="P862" t="s">
        <v>33</v>
      </c>
      <c r="Q862">
        <v>3</v>
      </c>
      <c r="R862" s="3">
        <f t="shared" si="78"/>
        <v>2397</v>
      </c>
      <c r="S862" s="3">
        <f t="shared" si="79"/>
        <v>479.40000000000003</v>
      </c>
      <c r="T862" s="3">
        <f t="shared" si="80"/>
        <v>1917.6</v>
      </c>
      <c r="U862" s="3">
        <f t="shared" si="81"/>
        <v>239.70000000000005</v>
      </c>
      <c r="V862" s="4">
        <f t="shared" si="82"/>
        <v>0.12500000000000003</v>
      </c>
      <c r="W862" t="str">
        <f t="shared" si="83"/>
        <v>Apr</v>
      </c>
    </row>
    <row r="863" spans="1:23" x14ac:dyDescent="0.25">
      <c r="A863" t="s">
        <v>1261</v>
      </c>
      <c r="B863" t="s">
        <v>144</v>
      </c>
      <c r="C863" s="2">
        <v>45938.51458333333</v>
      </c>
      <c r="D863" t="s">
        <v>25</v>
      </c>
      <c r="E863" t="s">
        <v>26</v>
      </c>
      <c r="F863" t="s">
        <v>27</v>
      </c>
      <c r="G863" t="s">
        <v>28</v>
      </c>
      <c r="H863">
        <v>5</v>
      </c>
      <c r="I863" s="3">
        <v>249</v>
      </c>
      <c r="J863" s="4">
        <v>0.2</v>
      </c>
      <c r="K863" s="3">
        <v>79</v>
      </c>
      <c r="L863" t="s">
        <v>100</v>
      </c>
      <c r="M863" t="s">
        <v>101</v>
      </c>
      <c r="N863" t="s">
        <v>40</v>
      </c>
      <c r="O863" t="s">
        <v>59</v>
      </c>
      <c r="P863" t="s">
        <v>52</v>
      </c>
      <c r="Q863">
        <v>1</v>
      </c>
      <c r="R863" s="3">
        <f t="shared" si="78"/>
        <v>1245</v>
      </c>
      <c r="S863" s="3">
        <f t="shared" si="79"/>
        <v>249</v>
      </c>
      <c r="T863" s="3">
        <f t="shared" si="80"/>
        <v>1075</v>
      </c>
      <c r="U863" s="3">
        <f t="shared" si="81"/>
        <v>203.5</v>
      </c>
      <c r="V863" s="4">
        <f t="shared" si="82"/>
        <v>0.18930232558139534</v>
      </c>
      <c r="W863" t="str">
        <f t="shared" si="83"/>
        <v>Oct</v>
      </c>
    </row>
    <row r="864" spans="1:23" x14ac:dyDescent="0.25">
      <c r="A864" t="s">
        <v>1262</v>
      </c>
      <c r="B864" t="s">
        <v>697</v>
      </c>
      <c r="C864" s="2">
        <v>45757.95416666667</v>
      </c>
      <c r="D864" t="s">
        <v>62</v>
      </c>
      <c r="E864" t="s">
        <v>63</v>
      </c>
      <c r="F864" t="s">
        <v>46</v>
      </c>
      <c r="G864" t="s">
        <v>64</v>
      </c>
      <c r="H864">
        <v>1</v>
      </c>
      <c r="I864" s="3"/>
      <c r="J864" s="4">
        <v>0.1</v>
      </c>
      <c r="K864" s="3">
        <v>0</v>
      </c>
      <c r="L864" t="s">
        <v>48</v>
      </c>
      <c r="M864" t="s">
        <v>49</v>
      </c>
      <c r="N864" t="s">
        <v>71</v>
      </c>
      <c r="O864" t="s">
        <v>32</v>
      </c>
      <c r="P864" t="s">
        <v>85</v>
      </c>
      <c r="R864" s="3">
        <f t="shared" si="78"/>
        <v>0</v>
      </c>
      <c r="S864" s="3">
        <f t="shared" si="79"/>
        <v>0</v>
      </c>
      <c r="T864" s="3">
        <f t="shared" si="80"/>
        <v>0</v>
      </c>
      <c r="U864" s="3">
        <f t="shared" si="81"/>
        <v>0</v>
      </c>
      <c r="V864" s="4" t="str">
        <f t="shared" si="82"/>
        <v/>
      </c>
      <c r="W864" t="str">
        <f t="shared" si="83"/>
        <v>Apr</v>
      </c>
    </row>
    <row r="865" spans="1:23" x14ac:dyDescent="0.25">
      <c r="A865" t="s">
        <v>1263</v>
      </c>
      <c r="B865" t="s">
        <v>252</v>
      </c>
      <c r="C865" s="2">
        <v>45741.755555555559</v>
      </c>
      <c r="D865" t="s">
        <v>35</v>
      </c>
      <c r="E865" t="s">
        <v>36</v>
      </c>
      <c r="F865" t="s">
        <v>37</v>
      </c>
      <c r="G865" t="s">
        <v>38</v>
      </c>
      <c r="H865">
        <v>2</v>
      </c>
      <c r="I865" s="3">
        <v>599</v>
      </c>
      <c r="J865" s="4">
        <v>0.2</v>
      </c>
      <c r="K865" s="3">
        <v>79</v>
      </c>
      <c r="L865" t="s">
        <v>48</v>
      </c>
      <c r="M865" t="s">
        <v>49</v>
      </c>
      <c r="N865" t="s">
        <v>50</v>
      </c>
      <c r="O865" t="s">
        <v>41</v>
      </c>
      <c r="P865" t="s">
        <v>52</v>
      </c>
      <c r="Q865">
        <v>2</v>
      </c>
      <c r="R865" s="3">
        <f t="shared" si="78"/>
        <v>1198</v>
      </c>
      <c r="S865" s="3">
        <f t="shared" si="79"/>
        <v>239.60000000000002</v>
      </c>
      <c r="T865" s="3">
        <f t="shared" si="80"/>
        <v>1037.4000000000001</v>
      </c>
      <c r="U865" s="3">
        <f t="shared" si="81"/>
        <v>198.80000000000018</v>
      </c>
      <c r="V865" s="4">
        <f t="shared" si="82"/>
        <v>0.19163292847503391</v>
      </c>
      <c r="W865" t="str">
        <f t="shared" si="83"/>
        <v>Mar</v>
      </c>
    </row>
    <row r="866" spans="1:23" x14ac:dyDescent="0.25">
      <c r="A866" t="s">
        <v>1264</v>
      </c>
      <c r="B866" t="s">
        <v>347</v>
      </c>
      <c r="C866" s="2">
        <v>45662.490277777782</v>
      </c>
      <c r="D866" t="s">
        <v>77</v>
      </c>
      <c r="E866" t="s">
        <v>78</v>
      </c>
      <c r="F866" t="s">
        <v>79</v>
      </c>
      <c r="G866" t="s">
        <v>28</v>
      </c>
      <c r="H866">
        <v>2</v>
      </c>
      <c r="I866" s="3">
        <v>6499</v>
      </c>
      <c r="J866" s="4">
        <v>0</v>
      </c>
      <c r="K866" s="3">
        <v>49</v>
      </c>
      <c r="L866" t="s">
        <v>113</v>
      </c>
      <c r="M866" t="s">
        <v>114</v>
      </c>
      <c r="N866" t="s">
        <v>40</v>
      </c>
      <c r="O866" t="s">
        <v>41</v>
      </c>
      <c r="P866" t="s">
        <v>85</v>
      </c>
      <c r="Q866">
        <v>1</v>
      </c>
      <c r="R866" s="3">
        <f t="shared" si="78"/>
        <v>12998</v>
      </c>
      <c r="S866" s="3">
        <f t="shared" si="79"/>
        <v>0</v>
      </c>
      <c r="T866" s="3">
        <f t="shared" si="80"/>
        <v>13047</v>
      </c>
      <c r="U866" s="3">
        <f t="shared" si="81"/>
        <v>3948.4000000000015</v>
      </c>
      <c r="V866" s="4">
        <f t="shared" si="82"/>
        <v>0.30262895684831775</v>
      </c>
      <c r="W866" t="str">
        <f t="shared" si="83"/>
        <v>Jan</v>
      </c>
    </row>
    <row r="867" spans="1:23" x14ac:dyDescent="0.25">
      <c r="A867" t="s">
        <v>1265</v>
      </c>
      <c r="B867" t="s">
        <v>265</v>
      </c>
      <c r="C867" s="2">
        <v>45749.046527777777</v>
      </c>
      <c r="D867" t="s">
        <v>55</v>
      </c>
      <c r="E867" t="s">
        <v>56</v>
      </c>
      <c r="F867" t="s">
        <v>37</v>
      </c>
      <c r="G867" t="s">
        <v>38</v>
      </c>
      <c r="I867" s="3">
        <v>2499</v>
      </c>
      <c r="J867" s="4">
        <v>0.2</v>
      </c>
      <c r="K867" s="3">
        <v>59</v>
      </c>
      <c r="L867" t="s">
        <v>934</v>
      </c>
      <c r="M867" t="s">
        <v>49</v>
      </c>
      <c r="N867" t="s">
        <v>50</v>
      </c>
      <c r="O867" t="s">
        <v>59</v>
      </c>
      <c r="P867" t="s">
        <v>85</v>
      </c>
      <c r="Q867">
        <v>2</v>
      </c>
      <c r="R867" s="3">
        <f t="shared" si="78"/>
        <v>0</v>
      </c>
      <c r="S867" s="3">
        <f t="shared" si="79"/>
        <v>0</v>
      </c>
      <c r="T867" s="3">
        <f t="shared" si="80"/>
        <v>59</v>
      </c>
      <c r="U867" s="3">
        <f t="shared" si="81"/>
        <v>59</v>
      </c>
      <c r="V867" s="4">
        <f t="shared" si="82"/>
        <v>1</v>
      </c>
      <c r="W867" t="str">
        <f t="shared" si="83"/>
        <v>Apr</v>
      </c>
    </row>
    <row r="868" spans="1:23" x14ac:dyDescent="0.25">
      <c r="A868" t="s">
        <v>1266</v>
      </c>
      <c r="B868" t="s">
        <v>323</v>
      </c>
      <c r="C868" s="2">
        <v>45908.405555555553</v>
      </c>
      <c r="D868" t="s">
        <v>35</v>
      </c>
      <c r="E868" t="s">
        <v>36</v>
      </c>
      <c r="F868" t="s">
        <v>37</v>
      </c>
      <c r="G868" t="s">
        <v>38</v>
      </c>
      <c r="H868">
        <v>1</v>
      </c>
      <c r="I868" s="3">
        <v>599</v>
      </c>
      <c r="J868" s="4">
        <v>0</v>
      </c>
      <c r="K868" s="3">
        <v>79</v>
      </c>
      <c r="L868" t="s">
        <v>29</v>
      </c>
      <c r="M868" t="s">
        <v>30</v>
      </c>
      <c r="N868" t="s">
        <v>40</v>
      </c>
      <c r="O868" t="s">
        <v>59</v>
      </c>
      <c r="P868" t="s">
        <v>85</v>
      </c>
      <c r="Q868">
        <v>3</v>
      </c>
      <c r="R868" s="3">
        <f t="shared" si="78"/>
        <v>599</v>
      </c>
      <c r="S868" s="3">
        <f t="shared" si="79"/>
        <v>0</v>
      </c>
      <c r="T868" s="3">
        <f t="shared" si="80"/>
        <v>678</v>
      </c>
      <c r="U868" s="3">
        <f t="shared" si="81"/>
        <v>258.70000000000005</v>
      </c>
      <c r="V868" s="4">
        <f t="shared" si="82"/>
        <v>0.38156342182890862</v>
      </c>
      <c r="W868" t="str">
        <f t="shared" si="83"/>
        <v>Sep</v>
      </c>
    </row>
    <row r="869" spans="1:23" x14ac:dyDescent="0.25">
      <c r="A869" t="s">
        <v>1267</v>
      </c>
      <c r="B869" t="s">
        <v>642</v>
      </c>
      <c r="C869" s="2">
        <v>45719.128472222219</v>
      </c>
      <c r="D869" t="s">
        <v>25</v>
      </c>
      <c r="E869" t="s">
        <v>26</v>
      </c>
      <c r="F869" t="s">
        <v>27</v>
      </c>
      <c r="G869" t="s">
        <v>28</v>
      </c>
      <c r="H869">
        <v>1</v>
      </c>
      <c r="I869" s="3">
        <v>249</v>
      </c>
      <c r="J869" s="4">
        <v>0.1</v>
      </c>
      <c r="K869" s="3">
        <v>99</v>
      </c>
      <c r="L869" t="s">
        <v>119</v>
      </c>
      <c r="M869" t="s">
        <v>120</v>
      </c>
      <c r="N869" t="s">
        <v>31</v>
      </c>
      <c r="O869" t="s">
        <v>32</v>
      </c>
      <c r="P869" t="s">
        <v>33</v>
      </c>
      <c r="Q869">
        <v>5</v>
      </c>
      <c r="R869" s="3">
        <f t="shared" si="78"/>
        <v>249</v>
      </c>
      <c r="S869" s="3">
        <f t="shared" si="79"/>
        <v>24.900000000000002</v>
      </c>
      <c r="T869" s="3">
        <f t="shared" si="80"/>
        <v>323.10000000000002</v>
      </c>
      <c r="U869" s="3">
        <f t="shared" si="81"/>
        <v>148.80000000000004</v>
      </c>
      <c r="V869" s="4">
        <f t="shared" si="82"/>
        <v>0.46053853296193137</v>
      </c>
      <c r="W869" t="str">
        <f t="shared" si="83"/>
        <v>Mar</v>
      </c>
    </row>
    <row r="870" spans="1:23" x14ac:dyDescent="0.25">
      <c r="A870" t="s">
        <v>1268</v>
      </c>
      <c r="B870" t="s">
        <v>95</v>
      </c>
      <c r="C870" s="2">
        <v>45706.757638888892</v>
      </c>
      <c r="D870" t="s">
        <v>44</v>
      </c>
      <c r="E870" t="s">
        <v>45</v>
      </c>
      <c r="F870" t="s">
        <v>46</v>
      </c>
      <c r="G870" t="s">
        <v>47</v>
      </c>
      <c r="H870">
        <v>1</v>
      </c>
      <c r="I870" s="3">
        <v>1199</v>
      </c>
      <c r="J870" s="4">
        <v>0.1</v>
      </c>
      <c r="K870" s="3">
        <v>79</v>
      </c>
      <c r="L870" t="s">
        <v>119</v>
      </c>
      <c r="M870" t="s">
        <v>120</v>
      </c>
      <c r="N870" t="s">
        <v>102</v>
      </c>
      <c r="O870" t="s">
        <v>41</v>
      </c>
      <c r="P870" t="s">
        <v>52</v>
      </c>
      <c r="Q870">
        <v>1</v>
      </c>
      <c r="R870" s="3">
        <f t="shared" si="78"/>
        <v>1199</v>
      </c>
      <c r="S870" s="3">
        <f t="shared" si="79"/>
        <v>119.9</v>
      </c>
      <c r="T870" s="3">
        <f t="shared" si="80"/>
        <v>1158.0999999999999</v>
      </c>
      <c r="U870" s="3">
        <f t="shared" si="81"/>
        <v>318.79999999999995</v>
      </c>
      <c r="V870" s="4">
        <f t="shared" si="82"/>
        <v>0.27527847336154043</v>
      </c>
      <c r="W870" t="str">
        <f t="shared" si="83"/>
        <v>Feb</v>
      </c>
    </row>
    <row r="871" spans="1:23" x14ac:dyDescent="0.25">
      <c r="A871" t="s">
        <v>1269</v>
      </c>
      <c r="B871" t="s">
        <v>309</v>
      </c>
      <c r="C871" s="2">
        <v>45933.225694444453</v>
      </c>
      <c r="D871" t="s">
        <v>169</v>
      </c>
      <c r="E871" t="s">
        <v>170</v>
      </c>
      <c r="F871" t="s">
        <v>98</v>
      </c>
      <c r="G871" t="s">
        <v>171</v>
      </c>
      <c r="H871">
        <v>2</v>
      </c>
      <c r="I871" s="3">
        <v>799</v>
      </c>
      <c r="J871" s="4">
        <v>0</v>
      </c>
      <c r="K871" s="3">
        <v>79</v>
      </c>
      <c r="L871" t="s">
        <v>29</v>
      </c>
      <c r="M871" t="s">
        <v>30</v>
      </c>
      <c r="N871" t="s">
        <v>102</v>
      </c>
      <c r="O871" t="s">
        <v>32</v>
      </c>
      <c r="P871" t="s">
        <v>80</v>
      </c>
      <c r="Q871">
        <v>4</v>
      </c>
      <c r="R871" s="3">
        <f t="shared" si="78"/>
        <v>1598</v>
      </c>
      <c r="S871" s="3">
        <f t="shared" si="79"/>
        <v>0</v>
      </c>
      <c r="T871" s="3">
        <f t="shared" si="80"/>
        <v>1677</v>
      </c>
      <c r="U871" s="3">
        <f t="shared" si="81"/>
        <v>558.40000000000009</v>
      </c>
      <c r="V871" s="4">
        <f t="shared" si="82"/>
        <v>0.33297555158020281</v>
      </c>
      <c r="W871" t="str">
        <f t="shared" si="83"/>
        <v>Oct</v>
      </c>
    </row>
    <row r="872" spans="1:23" x14ac:dyDescent="0.25">
      <c r="A872" t="s">
        <v>1270</v>
      </c>
      <c r="B872" t="s">
        <v>411</v>
      </c>
      <c r="C872" s="2">
        <v>45933.952777777777</v>
      </c>
      <c r="D872" t="s">
        <v>55</v>
      </c>
      <c r="E872" t="s">
        <v>56</v>
      </c>
      <c r="F872" t="s">
        <v>37</v>
      </c>
      <c r="G872" t="s">
        <v>38</v>
      </c>
      <c r="H872">
        <v>3</v>
      </c>
      <c r="I872" s="3">
        <v>2499</v>
      </c>
      <c r="J872" s="4">
        <v>0</v>
      </c>
      <c r="K872" s="3">
        <v>49</v>
      </c>
      <c r="L872" t="s">
        <v>83</v>
      </c>
      <c r="M872" t="s">
        <v>84</v>
      </c>
      <c r="N872" t="s">
        <v>50</v>
      </c>
      <c r="O872" t="s">
        <v>32</v>
      </c>
      <c r="P872" t="s">
        <v>80</v>
      </c>
      <c r="R872" s="3">
        <f t="shared" si="78"/>
        <v>7497</v>
      </c>
      <c r="S872" s="3">
        <f t="shared" si="79"/>
        <v>0</v>
      </c>
      <c r="T872" s="3">
        <f t="shared" si="80"/>
        <v>7546</v>
      </c>
      <c r="U872" s="3">
        <f t="shared" si="81"/>
        <v>2298.1000000000004</v>
      </c>
      <c r="V872" s="4">
        <f t="shared" si="82"/>
        <v>0.30454545454545462</v>
      </c>
      <c r="W872" t="str">
        <f t="shared" si="83"/>
        <v>Oct</v>
      </c>
    </row>
    <row r="873" spans="1:23" x14ac:dyDescent="0.25">
      <c r="A873" t="s">
        <v>1271</v>
      </c>
      <c r="B873" t="s">
        <v>354</v>
      </c>
      <c r="C873" s="2">
        <v>45818.126388888893</v>
      </c>
      <c r="D873" t="s">
        <v>105</v>
      </c>
      <c r="E873" t="s">
        <v>106</v>
      </c>
      <c r="F873" t="s">
        <v>37</v>
      </c>
      <c r="G873" t="s">
        <v>107</v>
      </c>
      <c r="H873">
        <v>2</v>
      </c>
      <c r="I873" s="3">
        <v>1799</v>
      </c>
      <c r="J873" s="4">
        <v>0.15</v>
      </c>
      <c r="K873" s="3">
        <v>49</v>
      </c>
      <c r="L873" t="s">
        <v>39</v>
      </c>
      <c r="M873" t="s">
        <v>39</v>
      </c>
      <c r="N873" t="s">
        <v>31</v>
      </c>
      <c r="O873" t="s">
        <v>32</v>
      </c>
      <c r="P873" t="s">
        <v>33</v>
      </c>
      <c r="Q873">
        <v>3</v>
      </c>
      <c r="R873" s="3">
        <f t="shared" si="78"/>
        <v>3598</v>
      </c>
      <c r="S873" s="3">
        <f t="shared" si="79"/>
        <v>539.69999999999993</v>
      </c>
      <c r="T873" s="3">
        <f t="shared" si="80"/>
        <v>3107.3</v>
      </c>
      <c r="U873" s="3">
        <f t="shared" si="81"/>
        <v>588.70000000000027</v>
      </c>
      <c r="V873" s="4">
        <f t="shared" si="82"/>
        <v>0.18945708492903815</v>
      </c>
      <c r="W873" t="str">
        <f t="shared" si="83"/>
        <v>Jun</v>
      </c>
    </row>
    <row r="874" spans="1:23" x14ac:dyDescent="0.25">
      <c r="A874" t="s">
        <v>1272</v>
      </c>
      <c r="B874" t="s">
        <v>1273</v>
      </c>
      <c r="C874" s="2">
        <v>45917.390972222223</v>
      </c>
      <c r="D874" t="s">
        <v>35</v>
      </c>
      <c r="E874" t="s">
        <v>36</v>
      </c>
      <c r="F874" t="s">
        <v>37</v>
      </c>
      <c r="G874" t="s">
        <v>38</v>
      </c>
      <c r="H874">
        <v>5</v>
      </c>
      <c r="I874" s="3">
        <v>599</v>
      </c>
      <c r="J874" s="4">
        <v>0</v>
      </c>
      <c r="K874" s="3">
        <v>79</v>
      </c>
      <c r="L874" t="s">
        <v>29</v>
      </c>
      <c r="M874" t="s">
        <v>30</v>
      </c>
      <c r="N874" t="s">
        <v>50</v>
      </c>
      <c r="O874" t="s">
        <v>51</v>
      </c>
      <c r="P874" t="s">
        <v>85</v>
      </c>
      <c r="Q874">
        <v>1</v>
      </c>
      <c r="R874" s="3">
        <f t="shared" si="78"/>
        <v>2995</v>
      </c>
      <c r="S874" s="3">
        <f t="shared" si="79"/>
        <v>0</v>
      </c>
      <c r="T874" s="3">
        <f t="shared" si="80"/>
        <v>3074</v>
      </c>
      <c r="U874" s="3">
        <f t="shared" si="81"/>
        <v>977.5</v>
      </c>
      <c r="V874" s="4">
        <f t="shared" si="82"/>
        <v>0.31798959011060507</v>
      </c>
      <c r="W874" t="str">
        <f t="shared" si="83"/>
        <v>Sep</v>
      </c>
    </row>
    <row r="875" spans="1:23" x14ac:dyDescent="0.25">
      <c r="A875" t="s">
        <v>1274</v>
      </c>
      <c r="B875" t="s">
        <v>623</v>
      </c>
      <c r="C875" s="2">
        <v>45885.191666666673</v>
      </c>
      <c r="D875" t="s">
        <v>62</v>
      </c>
      <c r="E875" t="s">
        <v>63</v>
      </c>
      <c r="F875" t="s">
        <v>46</v>
      </c>
      <c r="G875" t="s">
        <v>64</v>
      </c>
      <c r="H875">
        <v>2</v>
      </c>
      <c r="I875" s="3">
        <v>699</v>
      </c>
      <c r="J875" s="4">
        <v>0.2</v>
      </c>
      <c r="K875" s="3">
        <v>59</v>
      </c>
      <c r="L875" t="s">
        <v>48</v>
      </c>
      <c r="M875" t="s">
        <v>49</v>
      </c>
      <c r="N875" t="s">
        <v>71</v>
      </c>
      <c r="O875" t="s">
        <v>32</v>
      </c>
      <c r="P875" t="s">
        <v>52</v>
      </c>
      <c r="Q875">
        <v>5</v>
      </c>
      <c r="R875" s="3">
        <f t="shared" si="78"/>
        <v>1398</v>
      </c>
      <c r="S875" s="3">
        <f t="shared" si="79"/>
        <v>279.60000000000002</v>
      </c>
      <c r="T875" s="3">
        <f t="shared" si="80"/>
        <v>1177.4000000000001</v>
      </c>
      <c r="U875" s="3">
        <f t="shared" si="81"/>
        <v>198.80000000000018</v>
      </c>
      <c r="V875" s="4">
        <f t="shared" si="82"/>
        <v>0.16884661117717017</v>
      </c>
      <c r="W875" t="str">
        <f t="shared" si="83"/>
        <v>Aug</v>
      </c>
    </row>
    <row r="876" spans="1:23" x14ac:dyDescent="0.25">
      <c r="A876" t="s">
        <v>1275</v>
      </c>
      <c r="B876" t="s">
        <v>634</v>
      </c>
      <c r="C876" s="2">
        <v>45997.052083333343</v>
      </c>
      <c r="D876" t="s">
        <v>62</v>
      </c>
      <c r="E876" t="s">
        <v>63</v>
      </c>
      <c r="F876" t="s">
        <v>46</v>
      </c>
      <c r="G876" t="s">
        <v>64</v>
      </c>
      <c r="H876">
        <v>2</v>
      </c>
      <c r="I876" s="3">
        <v>699</v>
      </c>
      <c r="J876" s="4">
        <v>0</v>
      </c>
      <c r="K876" s="3">
        <v>49</v>
      </c>
      <c r="L876" t="s">
        <v>113</v>
      </c>
      <c r="M876" t="s">
        <v>114</v>
      </c>
      <c r="N876" t="s">
        <v>50</v>
      </c>
      <c r="O876" t="s">
        <v>41</v>
      </c>
      <c r="P876" t="s">
        <v>33</v>
      </c>
      <c r="Q876">
        <v>5</v>
      </c>
      <c r="R876" s="3">
        <f t="shared" si="78"/>
        <v>1398</v>
      </c>
      <c r="S876" s="3">
        <f t="shared" si="79"/>
        <v>0</v>
      </c>
      <c r="T876" s="3">
        <f t="shared" si="80"/>
        <v>1447</v>
      </c>
      <c r="U876" s="3">
        <f t="shared" si="81"/>
        <v>468.40000000000009</v>
      </c>
      <c r="V876" s="4">
        <f t="shared" si="82"/>
        <v>0.32370421561852114</v>
      </c>
      <c r="W876" t="str">
        <f t="shared" si="83"/>
        <v>Dec</v>
      </c>
    </row>
    <row r="877" spans="1:23" x14ac:dyDescent="0.25">
      <c r="A877" t="s">
        <v>1276</v>
      </c>
      <c r="B877" t="s">
        <v>247</v>
      </c>
      <c r="C877" s="2">
        <v>45800.198611111111</v>
      </c>
      <c r="D877" t="s">
        <v>62</v>
      </c>
      <c r="E877" t="s">
        <v>63</v>
      </c>
      <c r="F877" t="s">
        <v>46</v>
      </c>
      <c r="G877" t="s">
        <v>64</v>
      </c>
      <c r="H877">
        <v>2</v>
      </c>
      <c r="I877" s="3">
        <v>699</v>
      </c>
      <c r="J877" s="4">
        <v>0.1</v>
      </c>
      <c r="K877" s="3">
        <v>0</v>
      </c>
      <c r="L877" t="s">
        <v>113</v>
      </c>
      <c r="M877" t="s">
        <v>114</v>
      </c>
      <c r="N877" t="s">
        <v>71</v>
      </c>
      <c r="O877" t="s">
        <v>51</v>
      </c>
      <c r="P877" t="s">
        <v>85</v>
      </c>
      <c r="Q877">
        <v>4</v>
      </c>
      <c r="R877" s="3">
        <f t="shared" si="78"/>
        <v>1398</v>
      </c>
      <c r="S877" s="3">
        <f t="shared" si="79"/>
        <v>139.80000000000001</v>
      </c>
      <c r="T877" s="3">
        <f t="shared" si="80"/>
        <v>1258.2</v>
      </c>
      <c r="U877" s="3">
        <f t="shared" si="81"/>
        <v>279.60000000000014</v>
      </c>
      <c r="V877" s="4">
        <f t="shared" si="82"/>
        <v>0.22222222222222232</v>
      </c>
      <c r="W877" t="str">
        <f t="shared" si="83"/>
        <v>May</v>
      </c>
    </row>
    <row r="878" spans="1:23" x14ac:dyDescent="0.25">
      <c r="A878" t="s">
        <v>1277</v>
      </c>
      <c r="B878" t="s">
        <v>54</v>
      </c>
      <c r="C878" s="2">
        <v>45700.363194444442</v>
      </c>
      <c r="D878" t="s">
        <v>25</v>
      </c>
      <c r="E878" t="s">
        <v>26</v>
      </c>
      <c r="F878" t="s">
        <v>27</v>
      </c>
      <c r="G878" t="s">
        <v>28</v>
      </c>
      <c r="H878">
        <v>1</v>
      </c>
      <c r="I878" s="3">
        <v>249</v>
      </c>
      <c r="J878" s="4">
        <v>0.2</v>
      </c>
      <c r="K878" s="3">
        <v>49</v>
      </c>
      <c r="L878" t="s">
        <v>100</v>
      </c>
      <c r="M878" t="s">
        <v>101</v>
      </c>
      <c r="N878" t="s">
        <v>50</v>
      </c>
      <c r="O878" t="s">
        <v>93</v>
      </c>
      <c r="P878" t="s">
        <v>52</v>
      </c>
      <c r="R878" s="3">
        <f t="shared" si="78"/>
        <v>249</v>
      </c>
      <c r="S878" s="3">
        <f t="shared" si="79"/>
        <v>49.800000000000004</v>
      </c>
      <c r="T878" s="3">
        <f t="shared" si="80"/>
        <v>248.2</v>
      </c>
      <c r="U878" s="3">
        <f t="shared" si="81"/>
        <v>73.900000000000006</v>
      </c>
      <c r="V878" s="4">
        <f t="shared" si="82"/>
        <v>0.2977437550362611</v>
      </c>
      <c r="W878" t="str">
        <f t="shared" si="83"/>
        <v>Feb</v>
      </c>
    </row>
    <row r="879" spans="1:23" x14ac:dyDescent="0.25">
      <c r="A879" t="s">
        <v>1278</v>
      </c>
      <c r="B879" t="s">
        <v>164</v>
      </c>
      <c r="C879" s="2">
        <v>46014.841666666667</v>
      </c>
      <c r="D879" t="s">
        <v>77</v>
      </c>
      <c r="E879" t="s">
        <v>78</v>
      </c>
      <c r="F879" t="s">
        <v>79</v>
      </c>
      <c r="G879" t="s">
        <v>28</v>
      </c>
      <c r="H879">
        <v>5</v>
      </c>
      <c r="I879" s="3">
        <v>6499</v>
      </c>
      <c r="J879" s="4">
        <v>0.05</v>
      </c>
      <c r="K879" s="3">
        <v>99</v>
      </c>
      <c r="L879" t="s">
        <v>48</v>
      </c>
      <c r="M879" t="s">
        <v>49</v>
      </c>
      <c r="N879" t="s">
        <v>102</v>
      </c>
      <c r="O879" t="s">
        <v>41</v>
      </c>
      <c r="P879" t="s">
        <v>80</v>
      </c>
      <c r="Q879">
        <v>4</v>
      </c>
      <c r="R879" s="3">
        <f t="shared" si="78"/>
        <v>32495</v>
      </c>
      <c r="S879" s="3">
        <f t="shared" si="79"/>
        <v>1624.75</v>
      </c>
      <c r="T879" s="3">
        <f t="shared" si="80"/>
        <v>30969.25</v>
      </c>
      <c r="U879" s="3">
        <f t="shared" si="81"/>
        <v>8222.75</v>
      </c>
      <c r="V879" s="4">
        <f t="shared" si="82"/>
        <v>0.26551337213526321</v>
      </c>
      <c r="W879" t="str">
        <f t="shared" si="83"/>
        <v>Dec</v>
      </c>
    </row>
    <row r="880" spans="1:23" x14ac:dyDescent="0.25">
      <c r="A880" t="s">
        <v>1279</v>
      </c>
      <c r="B880" t="s">
        <v>1008</v>
      </c>
      <c r="C880" s="2">
        <v>45880.500694444447</v>
      </c>
      <c r="D880" t="s">
        <v>105</v>
      </c>
      <c r="E880" t="s">
        <v>106</v>
      </c>
      <c r="F880" t="s">
        <v>37</v>
      </c>
      <c r="G880" t="s">
        <v>107</v>
      </c>
      <c r="H880">
        <v>5</v>
      </c>
      <c r="I880" s="3">
        <v>1799</v>
      </c>
      <c r="J880" s="4">
        <v>0</v>
      </c>
      <c r="K880" s="3">
        <v>0</v>
      </c>
      <c r="L880" t="s">
        <v>74</v>
      </c>
      <c r="M880" t="s">
        <v>49</v>
      </c>
      <c r="N880" t="s">
        <v>31</v>
      </c>
      <c r="O880" t="s">
        <v>32</v>
      </c>
      <c r="P880" t="s">
        <v>85</v>
      </c>
      <c r="Q880">
        <v>1</v>
      </c>
      <c r="R880" s="3">
        <f t="shared" si="78"/>
        <v>8995</v>
      </c>
      <c r="S880" s="3">
        <f t="shared" si="79"/>
        <v>0</v>
      </c>
      <c r="T880" s="3">
        <f t="shared" si="80"/>
        <v>8995</v>
      </c>
      <c r="U880" s="3">
        <f t="shared" si="81"/>
        <v>2698.5</v>
      </c>
      <c r="V880" s="4">
        <f t="shared" si="82"/>
        <v>0.3</v>
      </c>
      <c r="W880" t="str">
        <f t="shared" si="83"/>
        <v>Aug</v>
      </c>
    </row>
    <row r="881" spans="1:23" x14ac:dyDescent="0.25">
      <c r="A881" t="s">
        <v>1280</v>
      </c>
      <c r="B881" t="s">
        <v>358</v>
      </c>
      <c r="C881" s="2">
        <v>45826.836805555547</v>
      </c>
      <c r="D881" t="s">
        <v>25</v>
      </c>
      <c r="E881" t="s">
        <v>26</v>
      </c>
      <c r="F881" t="s">
        <v>27</v>
      </c>
      <c r="G881" t="s">
        <v>28</v>
      </c>
      <c r="H881">
        <v>1</v>
      </c>
      <c r="I881" s="3">
        <v>249</v>
      </c>
      <c r="J881" s="4">
        <v>0.05</v>
      </c>
      <c r="K881" s="3">
        <v>59</v>
      </c>
      <c r="L881" t="s">
        <v>83</v>
      </c>
      <c r="M881" t="s">
        <v>84</v>
      </c>
      <c r="N881" t="s">
        <v>50</v>
      </c>
      <c r="O881" t="s">
        <v>51</v>
      </c>
      <c r="P881" t="s">
        <v>33</v>
      </c>
      <c r="Q881">
        <v>1</v>
      </c>
      <c r="R881" s="3">
        <f t="shared" si="78"/>
        <v>249</v>
      </c>
      <c r="S881" s="3">
        <f t="shared" si="79"/>
        <v>12.450000000000001</v>
      </c>
      <c r="T881" s="3">
        <f t="shared" si="80"/>
        <v>295.55</v>
      </c>
      <c r="U881" s="3">
        <f t="shared" si="81"/>
        <v>121.25000000000003</v>
      </c>
      <c r="V881" s="4">
        <f t="shared" si="82"/>
        <v>0.41025207240737616</v>
      </c>
      <c r="W881" t="str">
        <f t="shared" si="83"/>
        <v>Jun</v>
      </c>
    </row>
    <row r="882" spans="1:23" x14ac:dyDescent="0.25">
      <c r="A882" t="s">
        <v>1281</v>
      </c>
      <c r="B882" t="s">
        <v>220</v>
      </c>
      <c r="C882" s="2">
        <v>45771.504166666673</v>
      </c>
      <c r="D882" t="s">
        <v>55</v>
      </c>
      <c r="E882" t="s">
        <v>56</v>
      </c>
      <c r="F882" t="s">
        <v>37</v>
      </c>
      <c r="G882" t="s">
        <v>38</v>
      </c>
      <c r="H882">
        <v>5</v>
      </c>
      <c r="I882" s="3">
        <v>2499</v>
      </c>
      <c r="J882" s="4">
        <v>0</v>
      </c>
      <c r="K882" s="3">
        <v>99</v>
      </c>
      <c r="L882" t="s">
        <v>57</v>
      </c>
      <c r="M882" t="s">
        <v>58</v>
      </c>
      <c r="N882" t="s">
        <v>102</v>
      </c>
      <c r="O882" t="s">
        <v>59</v>
      </c>
      <c r="P882" t="s">
        <v>33</v>
      </c>
      <c r="Q882">
        <v>1</v>
      </c>
      <c r="R882" s="3">
        <f t="shared" si="78"/>
        <v>12495</v>
      </c>
      <c r="S882" s="3">
        <f t="shared" si="79"/>
        <v>0</v>
      </c>
      <c r="T882" s="3">
        <f t="shared" si="80"/>
        <v>12594</v>
      </c>
      <c r="U882" s="3">
        <f t="shared" si="81"/>
        <v>3847.5</v>
      </c>
      <c r="V882" s="4">
        <f t="shared" si="82"/>
        <v>0.30550262029537878</v>
      </c>
      <c r="W882" t="str">
        <f t="shared" si="83"/>
        <v>Apr</v>
      </c>
    </row>
    <row r="883" spans="1:23" x14ac:dyDescent="0.25">
      <c r="A883" t="s">
        <v>1282</v>
      </c>
      <c r="B883" t="s">
        <v>901</v>
      </c>
      <c r="C883" s="2">
        <v>45802.720138888893</v>
      </c>
      <c r="D883" t="s">
        <v>62</v>
      </c>
      <c r="E883" t="s">
        <v>63</v>
      </c>
      <c r="F883" t="s">
        <v>46</v>
      </c>
      <c r="G883" t="s">
        <v>64</v>
      </c>
      <c r="H883">
        <v>2</v>
      </c>
      <c r="I883" s="3">
        <v>699</v>
      </c>
      <c r="J883" s="4">
        <v>0</v>
      </c>
      <c r="K883" s="3">
        <v>0</v>
      </c>
      <c r="L883" t="s">
        <v>74</v>
      </c>
      <c r="M883" t="s">
        <v>49</v>
      </c>
      <c r="N883" t="s">
        <v>71</v>
      </c>
      <c r="O883" t="s">
        <v>59</v>
      </c>
      <c r="P883" t="s">
        <v>85</v>
      </c>
      <c r="Q883">
        <v>2</v>
      </c>
      <c r="R883" s="3">
        <f t="shared" si="78"/>
        <v>1398</v>
      </c>
      <c r="S883" s="3">
        <f t="shared" si="79"/>
        <v>0</v>
      </c>
      <c r="T883" s="3">
        <f t="shared" si="80"/>
        <v>1398</v>
      </c>
      <c r="U883" s="3">
        <f t="shared" si="81"/>
        <v>419.40000000000009</v>
      </c>
      <c r="V883" s="4">
        <f t="shared" si="82"/>
        <v>0.30000000000000004</v>
      </c>
      <c r="W883" t="str">
        <f t="shared" si="83"/>
        <v>May</v>
      </c>
    </row>
    <row r="884" spans="1:23" x14ac:dyDescent="0.25">
      <c r="A884" t="s">
        <v>1283</v>
      </c>
      <c r="B884" t="s">
        <v>695</v>
      </c>
      <c r="C884" s="2">
        <v>45864.650694444441</v>
      </c>
      <c r="D884" t="s">
        <v>169</v>
      </c>
      <c r="E884" t="s">
        <v>170</v>
      </c>
      <c r="F884" t="s">
        <v>98</v>
      </c>
      <c r="G884" t="s">
        <v>171</v>
      </c>
      <c r="H884">
        <v>2</v>
      </c>
      <c r="I884" s="3">
        <v>799</v>
      </c>
      <c r="J884" s="4">
        <v>0.05</v>
      </c>
      <c r="K884" s="3">
        <v>0</v>
      </c>
      <c r="L884" t="s">
        <v>83</v>
      </c>
      <c r="M884" t="s">
        <v>84</v>
      </c>
      <c r="N884" t="s">
        <v>50</v>
      </c>
      <c r="O884" t="s">
        <v>41</v>
      </c>
      <c r="P884" t="s">
        <v>33</v>
      </c>
      <c r="Q884">
        <v>2</v>
      </c>
      <c r="R884" s="3">
        <f t="shared" si="78"/>
        <v>1598</v>
      </c>
      <c r="S884" s="3">
        <f t="shared" si="79"/>
        <v>79.900000000000006</v>
      </c>
      <c r="T884" s="3">
        <f t="shared" si="80"/>
        <v>1518.1</v>
      </c>
      <c r="U884" s="3">
        <f t="shared" si="81"/>
        <v>399.5</v>
      </c>
      <c r="V884" s="4">
        <f t="shared" si="82"/>
        <v>0.26315789473684215</v>
      </c>
      <c r="W884" t="str">
        <f t="shared" si="83"/>
        <v>Jul</v>
      </c>
    </row>
    <row r="885" spans="1:23" x14ac:dyDescent="0.25">
      <c r="A885" t="s">
        <v>1284</v>
      </c>
      <c r="B885" t="s">
        <v>508</v>
      </c>
      <c r="C885" s="2">
        <v>45685.986111111109</v>
      </c>
      <c r="D885" t="s">
        <v>96</v>
      </c>
      <c r="E885" t="s">
        <v>97</v>
      </c>
      <c r="F885" t="s">
        <v>98</v>
      </c>
      <c r="G885" t="s">
        <v>99</v>
      </c>
      <c r="H885">
        <v>2</v>
      </c>
      <c r="I885" s="3"/>
      <c r="J885" s="4">
        <v>0.2</v>
      </c>
      <c r="K885" s="3">
        <v>49</v>
      </c>
      <c r="L885" t="s">
        <v>125</v>
      </c>
      <c r="M885" t="s">
        <v>126</v>
      </c>
      <c r="N885" t="s">
        <v>40</v>
      </c>
      <c r="O885" t="s">
        <v>41</v>
      </c>
      <c r="P885" t="s">
        <v>33</v>
      </c>
      <c r="Q885">
        <v>4</v>
      </c>
      <c r="R885" s="3">
        <f t="shared" si="78"/>
        <v>0</v>
      </c>
      <c r="S885" s="3">
        <f t="shared" si="79"/>
        <v>0</v>
      </c>
      <c r="T885" s="3">
        <f t="shared" si="80"/>
        <v>49</v>
      </c>
      <c r="U885" s="3">
        <f t="shared" si="81"/>
        <v>49</v>
      </c>
      <c r="V885" s="4">
        <f t="shared" si="82"/>
        <v>1</v>
      </c>
      <c r="W885" t="str">
        <f t="shared" si="83"/>
        <v>Jan</v>
      </c>
    </row>
    <row r="886" spans="1:23" x14ac:dyDescent="0.25">
      <c r="A886" t="s">
        <v>1285</v>
      </c>
      <c r="B886" t="s">
        <v>1249</v>
      </c>
      <c r="C886" s="2">
        <v>45799.564583333333</v>
      </c>
      <c r="D886" t="s">
        <v>169</v>
      </c>
      <c r="E886" t="s">
        <v>170</v>
      </c>
      <c r="F886" t="s">
        <v>98</v>
      </c>
      <c r="G886" t="s">
        <v>171</v>
      </c>
      <c r="H886">
        <v>2</v>
      </c>
      <c r="I886" s="3">
        <v>799</v>
      </c>
      <c r="J886" s="4">
        <v>0</v>
      </c>
      <c r="K886" s="3">
        <v>59</v>
      </c>
      <c r="L886" t="s">
        <v>119</v>
      </c>
      <c r="M886" t="s">
        <v>120</v>
      </c>
      <c r="N886" t="s">
        <v>71</v>
      </c>
      <c r="O886" t="s">
        <v>59</v>
      </c>
      <c r="P886" t="s">
        <v>80</v>
      </c>
      <c r="R886" s="3">
        <f t="shared" si="78"/>
        <v>1598</v>
      </c>
      <c r="S886" s="3">
        <f t="shared" si="79"/>
        <v>0</v>
      </c>
      <c r="T886" s="3">
        <f t="shared" si="80"/>
        <v>1657</v>
      </c>
      <c r="U886" s="3">
        <f t="shared" si="81"/>
        <v>538.40000000000009</v>
      </c>
      <c r="V886" s="4">
        <f t="shared" si="82"/>
        <v>0.3249245624622813</v>
      </c>
      <c r="W886" t="str">
        <f t="shared" si="83"/>
        <v>May</v>
      </c>
    </row>
    <row r="887" spans="1:23" x14ac:dyDescent="0.25">
      <c r="A887" t="s">
        <v>1286</v>
      </c>
      <c r="B887" t="s">
        <v>1117</v>
      </c>
      <c r="C887" s="2">
        <v>45697.96875</v>
      </c>
      <c r="D887" t="s">
        <v>169</v>
      </c>
      <c r="E887" t="s">
        <v>170</v>
      </c>
      <c r="F887" t="s">
        <v>98</v>
      </c>
      <c r="G887" t="s">
        <v>171</v>
      </c>
      <c r="H887">
        <v>2</v>
      </c>
      <c r="I887" s="3">
        <v>799</v>
      </c>
      <c r="J887" s="4">
        <v>0</v>
      </c>
      <c r="K887" s="3">
        <v>99</v>
      </c>
      <c r="L887" t="s">
        <v>29</v>
      </c>
      <c r="M887" t="s">
        <v>30</v>
      </c>
      <c r="N887" t="s">
        <v>31</v>
      </c>
      <c r="O887" t="s">
        <v>51</v>
      </c>
      <c r="P887" t="s">
        <v>33</v>
      </c>
      <c r="Q887">
        <v>5</v>
      </c>
      <c r="R887" s="3">
        <f t="shared" si="78"/>
        <v>1598</v>
      </c>
      <c r="S887" s="3">
        <f t="shared" si="79"/>
        <v>0</v>
      </c>
      <c r="T887" s="3">
        <f t="shared" si="80"/>
        <v>1697</v>
      </c>
      <c r="U887" s="3">
        <f t="shared" si="81"/>
        <v>578.40000000000009</v>
      </c>
      <c r="V887" s="4">
        <f t="shared" si="82"/>
        <v>0.34083677077195057</v>
      </c>
      <c r="W887" t="str">
        <f t="shared" si="83"/>
        <v>Feb</v>
      </c>
    </row>
    <row r="888" spans="1:23" x14ac:dyDescent="0.25">
      <c r="A888" t="s">
        <v>1287</v>
      </c>
      <c r="B888" t="s">
        <v>607</v>
      </c>
      <c r="C888" s="2">
        <v>45875.897222222222</v>
      </c>
      <c r="D888" t="s">
        <v>90</v>
      </c>
      <c r="E888" t="s">
        <v>91</v>
      </c>
      <c r="F888" t="s">
        <v>37</v>
      </c>
      <c r="G888" t="s">
        <v>92</v>
      </c>
      <c r="H888">
        <v>4</v>
      </c>
      <c r="I888" s="3">
        <v>3499</v>
      </c>
      <c r="J888" s="4">
        <v>0</v>
      </c>
      <c r="K888" s="3">
        <v>79</v>
      </c>
      <c r="L888" t="s">
        <v>39</v>
      </c>
      <c r="M888" t="s">
        <v>39</v>
      </c>
      <c r="N888" t="s">
        <v>102</v>
      </c>
      <c r="O888" t="s">
        <v>32</v>
      </c>
      <c r="P888" t="s">
        <v>80</v>
      </c>
      <c r="R888" s="3">
        <f t="shared" si="78"/>
        <v>13996</v>
      </c>
      <c r="S888" s="3">
        <f t="shared" si="79"/>
        <v>0</v>
      </c>
      <c r="T888" s="3">
        <f t="shared" si="80"/>
        <v>14075</v>
      </c>
      <c r="U888" s="3">
        <f t="shared" si="81"/>
        <v>4277.8000000000011</v>
      </c>
      <c r="V888" s="4">
        <f t="shared" si="82"/>
        <v>0.30392895204262887</v>
      </c>
      <c r="W888" t="str">
        <f t="shared" si="83"/>
        <v>Aug</v>
      </c>
    </row>
    <row r="889" spans="1:23" x14ac:dyDescent="0.25">
      <c r="A889" t="s">
        <v>1288</v>
      </c>
      <c r="B889" t="s">
        <v>759</v>
      </c>
      <c r="C889" s="2">
        <v>45755.958333333343</v>
      </c>
      <c r="D889" t="s">
        <v>55</v>
      </c>
      <c r="E889" t="s">
        <v>56</v>
      </c>
      <c r="F889" t="s">
        <v>37</v>
      </c>
      <c r="G889" t="s">
        <v>38</v>
      </c>
      <c r="H889">
        <v>1</v>
      </c>
      <c r="I889" s="3">
        <v>2499</v>
      </c>
      <c r="J889" s="4">
        <v>0.1</v>
      </c>
      <c r="K889" s="3">
        <v>99</v>
      </c>
      <c r="L889" t="s">
        <v>57</v>
      </c>
      <c r="M889" t="s">
        <v>58</v>
      </c>
      <c r="N889" t="s">
        <v>50</v>
      </c>
      <c r="O889" t="s">
        <v>32</v>
      </c>
      <c r="P889" t="s">
        <v>80</v>
      </c>
      <c r="R889" s="3">
        <f t="shared" si="78"/>
        <v>2499</v>
      </c>
      <c r="S889" s="3">
        <f t="shared" si="79"/>
        <v>249.9</v>
      </c>
      <c r="T889" s="3">
        <f t="shared" si="80"/>
        <v>2348.1</v>
      </c>
      <c r="U889" s="3">
        <f t="shared" si="81"/>
        <v>598.79999999999995</v>
      </c>
      <c r="V889" s="4">
        <f t="shared" si="82"/>
        <v>0.25501469273029259</v>
      </c>
      <c r="W889" t="str">
        <f t="shared" si="83"/>
        <v>Apr</v>
      </c>
    </row>
    <row r="890" spans="1:23" x14ac:dyDescent="0.25">
      <c r="A890" t="s">
        <v>1289</v>
      </c>
      <c r="B890" t="s">
        <v>130</v>
      </c>
      <c r="C890" s="2">
        <v>45744.915972222218</v>
      </c>
      <c r="D890" t="s">
        <v>44</v>
      </c>
      <c r="E890" t="s">
        <v>45</v>
      </c>
      <c r="F890" t="s">
        <v>46</v>
      </c>
      <c r="G890" t="s">
        <v>47</v>
      </c>
      <c r="H890">
        <v>2</v>
      </c>
      <c r="I890" s="3">
        <v>1199</v>
      </c>
      <c r="J890" s="4">
        <v>0</v>
      </c>
      <c r="K890" s="3">
        <v>49</v>
      </c>
      <c r="L890" t="s">
        <v>39</v>
      </c>
      <c r="M890" t="s">
        <v>39</v>
      </c>
      <c r="N890" t="s">
        <v>71</v>
      </c>
      <c r="O890" t="s">
        <v>41</v>
      </c>
      <c r="P890" t="s">
        <v>85</v>
      </c>
      <c r="Q890">
        <v>5</v>
      </c>
      <c r="R890" s="3">
        <f t="shared" si="78"/>
        <v>2398</v>
      </c>
      <c r="S890" s="3">
        <f t="shared" si="79"/>
        <v>0</v>
      </c>
      <c r="T890" s="3">
        <f t="shared" si="80"/>
        <v>2447</v>
      </c>
      <c r="U890" s="3">
        <f t="shared" si="81"/>
        <v>768.40000000000009</v>
      </c>
      <c r="V890" s="4">
        <f t="shared" si="82"/>
        <v>0.31401716387413164</v>
      </c>
      <c r="W890" t="str">
        <f t="shared" si="83"/>
        <v>Mar</v>
      </c>
    </row>
    <row r="891" spans="1:23" x14ac:dyDescent="0.25">
      <c r="A891" t="s">
        <v>1290</v>
      </c>
      <c r="B891" t="s">
        <v>919</v>
      </c>
      <c r="C891" s="2">
        <v>45852.224305555559</v>
      </c>
      <c r="D891" t="s">
        <v>169</v>
      </c>
      <c r="E891" t="s">
        <v>170</v>
      </c>
      <c r="F891" t="s">
        <v>98</v>
      </c>
      <c r="G891" t="s">
        <v>171</v>
      </c>
      <c r="H891">
        <v>1</v>
      </c>
      <c r="I891" s="3">
        <v>799</v>
      </c>
      <c r="J891" s="4">
        <v>0.05</v>
      </c>
      <c r="K891" s="3">
        <v>49</v>
      </c>
      <c r="L891" t="s">
        <v>39</v>
      </c>
      <c r="M891" t="s">
        <v>39</v>
      </c>
      <c r="N891" t="s">
        <v>31</v>
      </c>
      <c r="O891" t="s">
        <v>51</v>
      </c>
      <c r="P891" t="s">
        <v>33</v>
      </c>
      <c r="Q891">
        <v>3</v>
      </c>
      <c r="R891" s="3">
        <f t="shared" si="78"/>
        <v>799</v>
      </c>
      <c r="S891" s="3">
        <f t="shared" si="79"/>
        <v>39.950000000000003</v>
      </c>
      <c r="T891" s="3">
        <f t="shared" si="80"/>
        <v>808.05</v>
      </c>
      <c r="U891" s="3">
        <f t="shared" si="81"/>
        <v>248.75</v>
      </c>
      <c r="V891" s="4">
        <f t="shared" si="82"/>
        <v>0.3078398613947157</v>
      </c>
      <c r="W891" t="str">
        <f t="shared" si="83"/>
        <v>Jul</v>
      </c>
    </row>
    <row r="892" spans="1:23" x14ac:dyDescent="0.25">
      <c r="A892" t="s">
        <v>1291</v>
      </c>
      <c r="B892" t="s">
        <v>220</v>
      </c>
      <c r="C892" s="2">
        <v>45659.986111111109</v>
      </c>
      <c r="D892" t="s">
        <v>90</v>
      </c>
      <c r="E892" t="s">
        <v>91</v>
      </c>
      <c r="F892" t="s">
        <v>37</v>
      </c>
      <c r="G892" t="s">
        <v>92</v>
      </c>
      <c r="H892">
        <v>1</v>
      </c>
      <c r="I892" s="3">
        <v>3499</v>
      </c>
      <c r="J892" s="4">
        <v>0.1</v>
      </c>
      <c r="K892" s="3">
        <v>49</v>
      </c>
      <c r="L892" t="s">
        <v>48</v>
      </c>
      <c r="M892" t="s">
        <v>49</v>
      </c>
      <c r="N892" t="s">
        <v>102</v>
      </c>
      <c r="O892" t="s">
        <v>93</v>
      </c>
      <c r="P892" t="s">
        <v>85</v>
      </c>
      <c r="Q892">
        <v>4</v>
      </c>
      <c r="R892" s="3">
        <f t="shared" si="78"/>
        <v>3499</v>
      </c>
      <c r="S892" s="3">
        <f t="shared" si="79"/>
        <v>349.90000000000003</v>
      </c>
      <c r="T892" s="3">
        <f t="shared" si="80"/>
        <v>3198.1</v>
      </c>
      <c r="U892" s="3">
        <f t="shared" si="81"/>
        <v>748.80000000000018</v>
      </c>
      <c r="V892" s="4">
        <f t="shared" si="82"/>
        <v>0.23413902004315068</v>
      </c>
      <c r="W892" t="str">
        <f t="shared" si="83"/>
        <v>Jan</v>
      </c>
    </row>
    <row r="893" spans="1:23" x14ac:dyDescent="0.25">
      <c r="A893" t="s">
        <v>1292</v>
      </c>
      <c r="B893" t="s">
        <v>1110</v>
      </c>
      <c r="C893" s="2">
        <v>45661.811805555553</v>
      </c>
      <c r="D893" t="s">
        <v>44</v>
      </c>
      <c r="E893" t="s">
        <v>45</v>
      </c>
      <c r="F893" t="s">
        <v>46</v>
      </c>
      <c r="G893" t="s">
        <v>47</v>
      </c>
      <c r="H893">
        <v>1</v>
      </c>
      <c r="I893" s="3">
        <v>1199</v>
      </c>
      <c r="J893" s="4">
        <v>0.05</v>
      </c>
      <c r="K893" s="3">
        <v>59</v>
      </c>
      <c r="L893" t="s">
        <v>119</v>
      </c>
      <c r="M893" t="s">
        <v>120</v>
      </c>
      <c r="N893" t="s">
        <v>863</v>
      </c>
      <c r="O893" t="s">
        <v>51</v>
      </c>
      <c r="P893" t="s">
        <v>33</v>
      </c>
      <c r="R893" s="3">
        <f t="shared" si="78"/>
        <v>1199</v>
      </c>
      <c r="S893" s="3">
        <f t="shared" si="79"/>
        <v>59.95</v>
      </c>
      <c r="T893" s="3">
        <f t="shared" si="80"/>
        <v>1198.05</v>
      </c>
      <c r="U893" s="3">
        <f t="shared" si="81"/>
        <v>358.75</v>
      </c>
      <c r="V893" s="4">
        <f t="shared" si="82"/>
        <v>0.29944493134677186</v>
      </c>
      <c r="W893" t="str">
        <f t="shared" si="83"/>
        <v>Jan</v>
      </c>
    </row>
    <row r="894" spans="1:23" x14ac:dyDescent="0.25">
      <c r="A894" t="s">
        <v>1293</v>
      </c>
      <c r="B894" t="s">
        <v>372</v>
      </c>
      <c r="C894" s="2">
        <v>45709.563194444447</v>
      </c>
      <c r="D894" t="s">
        <v>105</v>
      </c>
      <c r="E894" t="s">
        <v>106</v>
      </c>
      <c r="F894" t="s">
        <v>37</v>
      </c>
      <c r="G894" t="s">
        <v>107</v>
      </c>
      <c r="H894">
        <v>1</v>
      </c>
      <c r="I894" s="3">
        <v>1799</v>
      </c>
      <c r="J894" s="4">
        <v>0</v>
      </c>
      <c r="K894" s="3">
        <v>99</v>
      </c>
      <c r="L894" t="s">
        <v>57</v>
      </c>
      <c r="M894" t="s">
        <v>58</v>
      </c>
      <c r="N894" t="s">
        <v>50</v>
      </c>
      <c r="O894" t="s">
        <v>59</v>
      </c>
      <c r="P894" t="s">
        <v>33</v>
      </c>
      <c r="Q894">
        <v>1</v>
      </c>
      <c r="R894" s="3">
        <f t="shared" si="78"/>
        <v>1799</v>
      </c>
      <c r="S894" s="3">
        <f t="shared" si="79"/>
        <v>0</v>
      </c>
      <c r="T894" s="3">
        <f t="shared" si="80"/>
        <v>1898</v>
      </c>
      <c r="U894" s="3">
        <f t="shared" si="81"/>
        <v>638.70000000000005</v>
      </c>
      <c r="V894" s="4">
        <f t="shared" si="82"/>
        <v>0.33651211801896735</v>
      </c>
      <c r="W894" t="str">
        <f t="shared" si="83"/>
        <v>Feb</v>
      </c>
    </row>
    <row r="895" spans="1:23" x14ac:dyDescent="0.25">
      <c r="A895" t="s">
        <v>1294</v>
      </c>
      <c r="B895" t="s">
        <v>634</v>
      </c>
      <c r="C895" s="2">
        <v>45994.343055555553</v>
      </c>
      <c r="D895" t="s">
        <v>90</v>
      </c>
      <c r="E895" t="s">
        <v>91</v>
      </c>
      <c r="F895" t="s">
        <v>37</v>
      </c>
      <c r="G895" t="s">
        <v>92</v>
      </c>
      <c r="H895">
        <v>1</v>
      </c>
      <c r="I895" s="3">
        <v>3499</v>
      </c>
      <c r="J895" s="4">
        <v>0.1</v>
      </c>
      <c r="K895" s="3">
        <v>59</v>
      </c>
      <c r="L895" t="s">
        <v>285</v>
      </c>
      <c r="M895" t="s">
        <v>39</v>
      </c>
      <c r="N895" t="s">
        <v>71</v>
      </c>
      <c r="O895" t="s">
        <v>59</v>
      </c>
      <c r="P895" t="s">
        <v>52</v>
      </c>
      <c r="Q895">
        <v>2</v>
      </c>
      <c r="R895" s="3">
        <f t="shared" si="78"/>
        <v>3499</v>
      </c>
      <c r="S895" s="3">
        <f t="shared" si="79"/>
        <v>349.90000000000003</v>
      </c>
      <c r="T895" s="3">
        <f t="shared" si="80"/>
        <v>3208.1</v>
      </c>
      <c r="U895" s="3">
        <f t="shared" si="81"/>
        <v>758.80000000000018</v>
      </c>
      <c r="V895" s="4">
        <f t="shared" si="82"/>
        <v>0.23652629282129617</v>
      </c>
      <c r="W895" t="str">
        <f t="shared" si="83"/>
        <v>Dec</v>
      </c>
    </row>
    <row r="896" spans="1:23" x14ac:dyDescent="0.25">
      <c r="A896" t="s">
        <v>1295</v>
      </c>
      <c r="B896" t="s">
        <v>66</v>
      </c>
      <c r="C896" s="2">
        <v>45882.911805555559</v>
      </c>
      <c r="D896" t="s">
        <v>62</v>
      </c>
      <c r="E896" t="s">
        <v>63</v>
      </c>
      <c r="F896" t="s">
        <v>46</v>
      </c>
      <c r="G896" t="s">
        <v>64</v>
      </c>
      <c r="H896">
        <v>1</v>
      </c>
      <c r="I896" s="3">
        <v>699</v>
      </c>
      <c r="J896" s="4">
        <v>0</v>
      </c>
      <c r="K896" s="3">
        <v>49</v>
      </c>
      <c r="L896" t="s">
        <v>48</v>
      </c>
      <c r="M896" t="s">
        <v>49</v>
      </c>
      <c r="N896" t="s">
        <v>40</v>
      </c>
      <c r="O896" t="s">
        <v>93</v>
      </c>
      <c r="P896" t="s">
        <v>52</v>
      </c>
      <c r="Q896">
        <v>3</v>
      </c>
      <c r="R896" s="3">
        <f t="shared" si="78"/>
        <v>699</v>
      </c>
      <c r="S896" s="3">
        <f t="shared" si="79"/>
        <v>0</v>
      </c>
      <c r="T896" s="3">
        <f t="shared" si="80"/>
        <v>748</v>
      </c>
      <c r="U896" s="3">
        <f t="shared" si="81"/>
        <v>258.70000000000005</v>
      </c>
      <c r="V896" s="4">
        <f t="shared" si="82"/>
        <v>0.34585561497326212</v>
      </c>
      <c r="W896" t="str">
        <f t="shared" si="83"/>
        <v>Aug</v>
      </c>
    </row>
    <row r="897" spans="1:23" x14ac:dyDescent="0.25">
      <c r="A897" t="s">
        <v>1296</v>
      </c>
      <c r="B897" t="s">
        <v>381</v>
      </c>
      <c r="C897" s="2">
        <v>45803.047222222223</v>
      </c>
      <c r="D897" t="s">
        <v>77</v>
      </c>
      <c r="E897" t="s">
        <v>78</v>
      </c>
      <c r="F897" t="s">
        <v>79</v>
      </c>
      <c r="G897" t="s">
        <v>28</v>
      </c>
      <c r="H897">
        <v>1</v>
      </c>
      <c r="I897" s="3">
        <v>6499</v>
      </c>
      <c r="J897" s="4">
        <v>0.1</v>
      </c>
      <c r="K897" s="3">
        <v>59</v>
      </c>
      <c r="L897" t="s">
        <v>113</v>
      </c>
      <c r="M897" t="s">
        <v>114</v>
      </c>
      <c r="N897" t="s">
        <v>50</v>
      </c>
      <c r="O897" t="s">
        <v>41</v>
      </c>
      <c r="P897" t="s">
        <v>52</v>
      </c>
      <c r="Q897">
        <v>4</v>
      </c>
      <c r="R897" s="3">
        <f t="shared" si="78"/>
        <v>6499</v>
      </c>
      <c r="S897" s="3">
        <f t="shared" si="79"/>
        <v>649.90000000000009</v>
      </c>
      <c r="T897" s="3">
        <f t="shared" si="80"/>
        <v>5908.1</v>
      </c>
      <c r="U897" s="3">
        <f t="shared" si="81"/>
        <v>1358.8000000000011</v>
      </c>
      <c r="V897" s="4">
        <f t="shared" si="82"/>
        <v>0.22998933667338078</v>
      </c>
      <c r="W897" t="str">
        <f t="shared" si="83"/>
        <v>May</v>
      </c>
    </row>
    <row r="898" spans="1:23" x14ac:dyDescent="0.25">
      <c r="A898" t="s">
        <v>1297</v>
      </c>
      <c r="B898" t="s">
        <v>1084</v>
      </c>
      <c r="C898" s="2">
        <v>45908.729861111111</v>
      </c>
      <c r="D898" t="s">
        <v>25</v>
      </c>
      <c r="E898" t="s">
        <v>26</v>
      </c>
      <c r="F898" t="s">
        <v>27</v>
      </c>
      <c r="G898" t="s">
        <v>28</v>
      </c>
      <c r="H898">
        <v>1</v>
      </c>
      <c r="I898" s="3">
        <v>249</v>
      </c>
      <c r="J898" s="4">
        <v>0.2</v>
      </c>
      <c r="K898" s="3">
        <v>49</v>
      </c>
      <c r="L898" t="s">
        <v>48</v>
      </c>
      <c r="M898" t="s">
        <v>49</v>
      </c>
      <c r="N898" t="s">
        <v>40</v>
      </c>
      <c r="O898" t="s">
        <v>32</v>
      </c>
      <c r="P898" t="s">
        <v>80</v>
      </c>
      <c r="R898" s="3">
        <f t="shared" ref="R898:R961" si="84">IFERROR(H898*I898,"")</f>
        <v>249</v>
      </c>
      <c r="S898" s="3">
        <f t="shared" ref="S898:S961" si="85">IFERROR(R898*J898,"")</f>
        <v>49.800000000000004</v>
      </c>
      <c r="T898" s="3">
        <f t="shared" ref="T898:T961" si="86">IFERROR(R898-S898+K898,"")</f>
        <v>248.2</v>
      </c>
      <c r="U898" s="3">
        <f t="shared" ref="U898:U961" si="87">IFERROR(T898-(R898*70%),"")</f>
        <v>73.900000000000006</v>
      </c>
      <c r="V898" s="4">
        <f t="shared" ref="V898:V961" si="88">IFERROR(U898/T898,"")</f>
        <v>0.2977437550362611</v>
      </c>
      <c r="W898" t="str">
        <f t="shared" ref="W898:W961" si="89">IFERROR(TEXT(C898,"mmm"),"")</f>
        <v>Sep</v>
      </c>
    </row>
    <row r="899" spans="1:23" x14ac:dyDescent="0.25">
      <c r="A899" t="s">
        <v>1298</v>
      </c>
      <c r="B899" t="s">
        <v>779</v>
      </c>
      <c r="C899" s="2">
        <v>45713.005555555559</v>
      </c>
      <c r="D899" t="s">
        <v>77</v>
      </c>
      <c r="E899" t="s">
        <v>78</v>
      </c>
      <c r="F899" t="s">
        <v>79</v>
      </c>
      <c r="G899" t="s">
        <v>28</v>
      </c>
      <c r="H899">
        <v>1</v>
      </c>
      <c r="I899" s="3">
        <v>6499</v>
      </c>
      <c r="J899" s="4">
        <v>0.05</v>
      </c>
      <c r="K899" s="3">
        <v>99</v>
      </c>
      <c r="L899" t="s">
        <v>57</v>
      </c>
      <c r="M899" t="s">
        <v>58</v>
      </c>
      <c r="N899" t="s">
        <v>50</v>
      </c>
      <c r="O899" t="s">
        <v>93</v>
      </c>
      <c r="P899" t="s">
        <v>33</v>
      </c>
      <c r="R899" s="3">
        <f t="shared" si="84"/>
        <v>6499</v>
      </c>
      <c r="S899" s="3">
        <f t="shared" si="85"/>
        <v>324.95000000000005</v>
      </c>
      <c r="T899" s="3">
        <f t="shared" si="86"/>
        <v>6273.05</v>
      </c>
      <c r="U899" s="3">
        <f t="shared" si="87"/>
        <v>1723.7500000000009</v>
      </c>
      <c r="V899" s="4">
        <f t="shared" si="88"/>
        <v>0.2747865870668974</v>
      </c>
      <c r="W899" t="str">
        <f t="shared" si="89"/>
        <v>Feb</v>
      </c>
    </row>
    <row r="900" spans="1:23" x14ac:dyDescent="0.25">
      <c r="A900" t="s">
        <v>1299</v>
      </c>
      <c r="B900" t="s">
        <v>527</v>
      </c>
      <c r="C900" s="2">
        <v>45662.5625</v>
      </c>
      <c r="D900" t="s">
        <v>169</v>
      </c>
      <c r="E900" t="s">
        <v>170</v>
      </c>
      <c r="F900" t="s">
        <v>98</v>
      </c>
      <c r="G900" t="s">
        <v>171</v>
      </c>
      <c r="H900">
        <v>5</v>
      </c>
      <c r="I900" s="3">
        <v>799</v>
      </c>
      <c r="J900" s="4">
        <v>0.05</v>
      </c>
      <c r="K900" s="3">
        <v>79</v>
      </c>
      <c r="L900" t="s">
        <v>57</v>
      </c>
      <c r="M900" t="s">
        <v>58</v>
      </c>
      <c r="N900" t="s">
        <v>40</v>
      </c>
      <c r="O900" t="s">
        <v>41</v>
      </c>
      <c r="P900" t="s">
        <v>33</v>
      </c>
      <c r="Q900">
        <v>5</v>
      </c>
      <c r="R900" s="3">
        <f t="shared" si="84"/>
        <v>3995</v>
      </c>
      <c r="S900" s="3">
        <f t="shared" si="85"/>
        <v>199.75</v>
      </c>
      <c r="T900" s="3">
        <f t="shared" si="86"/>
        <v>3874.25</v>
      </c>
      <c r="U900" s="3">
        <f t="shared" si="87"/>
        <v>1077.75</v>
      </c>
      <c r="V900" s="4">
        <f t="shared" si="88"/>
        <v>0.27818287410466541</v>
      </c>
      <c r="W900" t="str">
        <f t="shared" si="89"/>
        <v>Jan</v>
      </c>
    </row>
    <row r="901" spans="1:23" x14ac:dyDescent="0.25">
      <c r="A901" t="s">
        <v>1300</v>
      </c>
      <c r="B901" t="s">
        <v>232</v>
      </c>
      <c r="C901" s="2">
        <v>45801.163194444453</v>
      </c>
      <c r="D901" t="s">
        <v>105</v>
      </c>
      <c r="E901" t="s">
        <v>106</v>
      </c>
      <c r="F901" t="s">
        <v>37</v>
      </c>
      <c r="G901" t="s">
        <v>107</v>
      </c>
      <c r="H901">
        <v>1</v>
      </c>
      <c r="I901" s="3">
        <v>1799</v>
      </c>
      <c r="J901" s="4">
        <v>0.2</v>
      </c>
      <c r="K901" s="3">
        <v>49</v>
      </c>
      <c r="L901" t="s">
        <v>83</v>
      </c>
      <c r="M901" t="s">
        <v>84</v>
      </c>
      <c r="N901" t="s">
        <v>50</v>
      </c>
      <c r="O901" t="s">
        <v>59</v>
      </c>
      <c r="P901" t="s">
        <v>33</v>
      </c>
      <c r="R901" s="3">
        <f t="shared" si="84"/>
        <v>1799</v>
      </c>
      <c r="S901" s="3">
        <f t="shared" si="85"/>
        <v>359.8</v>
      </c>
      <c r="T901" s="3">
        <f t="shared" si="86"/>
        <v>1488.2</v>
      </c>
      <c r="U901" s="3">
        <f t="shared" si="87"/>
        <v>228.90000000000009</v>
      </c>
      <c r="V901" s="4">
        <f t="shared" si="88"/>
        <v>0.15380997177798689</v>
      </c>
      <c r="W901" t="str">
        <f t="shared" si="89"/>
        <v>May</v>
      </c>
    </row>
    <row r="902" spans="1:23" x14ac:dyDescent="0.25">
      <c r="A902" t="s">
        <v>1301</v>
      </c>
      <c r="B902" t="s">
        <v>207</v>
      </c>
      <c r="C902" s="2">
        <v>45754.777777777781</v>
      </c>
      <c r="D902" t="s">
        <v>55</v>
      </c>
      <c r="E902" t="s">
        <v>56</v>
      </c>
      <c r="F902" t="s">
        <v>37</v>
      </c>
      <c r="G902" t="s">
        <v>38</v>
      </c>
      <c r="H902">
        <v>2</v>
      </c>
      <c r="I902" s="3">
        <v>2499</v>
      </c>
      <c r="J902" s="4">
        <v>0</v>
      </c>
      <c r="K902" s="3">
        <v>49</v>
      </c>
      <c r="L902" t="s">
        <v>83</v>
      </c>
      <c r="M902" t="s">
        <v>84</v>
      </c>
      <c r="N902" t="s">
        <v>50</v>
      </c>
      <c r="O902" t="s">
        <v>59</v>
      </c>
      <c r="P902" t="s">
        <v>80</v>
      </c>
      <c r="Q902">
        <v>1</v>
      </c>
      <c r="R902" s="3">
        <f t="shared" si="84"/>
        <v>4998</v>
      </c>
      <c r="S902" s="3">
        <f t="shared" si="85"/>
        <v>0</v>
      </c>
      <c r="T902" s="3">
        <f t="shared" si="86"/>
        <v>5047</v>
      </c>
      <c r="U902" s="3">
        <f t="shared" si="87"/>
        <v>1548.4</v>
      </c>
      <c r="V902" s="4">
        <f t="shared" si="88"/>
        <v>0.30679611650485439</v>
      </c>
      <c r="W902" t="str">
        <f t="shared" si="89"/>
        <v>Apr</v>
      </c>
    </row>
    <row r="903" spans="1:23" x14ac:dyDescent="0.25">
      <c r="A903" t="s">
        <v>1302</v>
      </c>
      <c r="B903" t="s">
        <v>70</v>
      </c>
      <c r="C903" s="2">
        <v>45876.027083333327</v>
      </c>
      <c r="D903" t="s">
        <v>110</v>
      </c>
      <c r="E903" t="s">
        <v>111</v>
      </c>
      <c r="F903" t="s">
        <v>98</v>
      </c>
      <c r="G903" t="s">
        <v>112</v>
      </c>
      <c r="H903">
        <v>4</v>
      </c>
      <c r="I903" s="3">
        <v>2999</v>
      </c>
      <c r="J903" s="4">
        <v>0</v>
      </c>
      <c r="K903" s="3">
        <v>0</v>
      </c>
      <c r="L903" t="s">
        <v>113</v>
      </c>
      <c r="M903" t="s">
        <v>114</v>
      </c>
      <c r="N903" t="s">
        <v>40</v>
      </c>
      <c r="O903" t="s">
        <v>32</v>
      </c>
      <c r="P903" t="s">
        <v>33</v>
      </c>
      <c r="Q903">
        <v>3</v>
      </c>
      <c r="R903" s="3">
        <f t="shared" si="84"/>
        <v>11996</v>
      </c>
      <c r="S903" s="3">
        <f t="shared" si="85"/>
        <v>0</v>
      </c>
      <c r="T903" s="3">
        <f t="shared" si="86"/>
        <v>11996</v>
      </c>
      <c r="U903" s="3">
        <f t="shared" si="87"/>
        <v>3598.8000000000011</v>
      </c>
      <c r="V903" s="4">
        <f t="shared" si="88"/>
        <v>0.3000000000000001</v>
      </c>
      <c r="W903" t="str">
        <f t="shared" si="89"/>
        <v>Aug</v>
      </c>
    </row>
    <row r="904" spans="1:23" x14ac:dyDescent="0.25">
      <c r="A904" t="s">
        <v>1303</v>
      </c>
      <c r="B904" t="s">
        <v>857</v>
      </c>
      <c r="C904" s="2">
        <v>45876.627083333333</v>
      </c>
      <c r="D904" t="s">
        <v>77</v>
      </c>
      <c r="E904" t="s">
        <v>78</v>
      </c>
      <c r="F904" t="s">
        <v>79</v>
      </c>
      <c r="G904" t="s">
        <v>28</v>
      </c>
      <c r="H904">
        <v>1</v>
      </c>
      <c r="I904" s="3">
        <v>6499</v>
      </c>
      <c r="J904" s="4">
        <v>0.1</v>
      </c>
      <c r="K904" s="3">
        <v>0</v>
      </c>
      <c r="L904" t="s">
        <v>113</v>
      </c>
      <c r="M904" t="s">
        <v>114</v>
      </c>
      <c r="N904" t="s">
        <v>31</v>
      </c>
      <c r="O904" t="s">
        <v>51</v>
      </c>
      <c r="P904" t="s">
        <v>85</v>
      </c>
      <c r="Q904">
        <v>3</v>
      </c>
      <c r="R904" s="3">
        <f t="shared" si="84"/>
        <v>6499</v>
      </c>
      <c r="S904" s="3">
        <f t="shared" si="85"/>
        <v>649.90000000000009</v>
      </c>
      <c r="T904" s="3">
        <f t="shared" si="86"/>
        <v>5849.1</v>
      </c>
      <c r="U904" s="3">
        <f t="shared" si="87"/>
        <v>1299.8000000000011</v>
      </c>
      <c r="V904" s="4">
        <f t="shared" si="88"/>
        <v>0.2222222222222224</v>
      </c>
      <c r="W904" t="str">
        <f t="shared" si="89"/>
        <v>Aug</v>
      </c>
    </row>
    <row r="905" spans="1:23" x14ac:dyDescent="0.25">
      <c r="A905" t="s">
        <v>1304</v>
      </c>
      <c r="B905" t="s">
        <v>1273</v>
      </c>
      <c r="C905" s="2">
        <v>45784.456250000003</v>
      </c>
      <c r="D905" t="s">
        <v>110</v>
      </c>
      <c r="E905" t="s">
        <v>111</v>
      </c>
      <c r="F905" t="s">
        <v>98</v>
      </c>
      <c r="G905" t="s">
        <v>112</v>
      </c>
      <c r="H905">
        <v>2</v>
      </c>
      <c r="I905" s="3">
        <v>2999</v>
      </c>
      <c r="J905" s="4">
        <v>0</v>
      </c>
      <c r="K905" s="3">
        <v>0</v>
      </c>
      <c r="L905" t="s">
        <v>74</v>
      </c>
      <c r="M905" t="s">
        <v>49</v>
      </c>
      <c r="N905" t="s">
        <v>31</v>
      </c>
      <c r="O905" t="s">
        <v>51</v>
      </c>
      <c r="P905" t="s">
        <v>33</v>
      </c>
      <c r="Q905">
        <v>2</v>
      </c>
      <c r="R905" s="3">
        <f t="shared" si="84"/>
        <v>5998</v>
      </c>
      <c r="S905" s="3">
        <f t="shared" si="85"/>
        <v>0</v>
      </c>
      <c r="T905" s="3">
        <f t="shared" si="86"/>
        <v>5998</v>
      </c>
      <c r="U905" s="3">
        <f t="shared" si="87"/>
        <v>1799.4000000000005</v>
      </c>
      <c r="V905" s="4">
        <f t="shared" si="88"/>
        <v>0.3000000000000001</v>
      </c>
      <c r="W905" t="str">
        <f t="shared" si="89"/>
        <v>May</v>
      </c>
    </row>
    <row r="906" spans="1:23" x14ac:dyDescent="0.25">
      <c r="A906" t="s">
        <v>1305</v>
      </c>
      <c r="B906" t="s">
        <v>166</v>
      </c>
      <c r="C906" s="2">
        <v>45968.143750000003</v>
      </c>
      <c r="D906" t="s">
        <v>110</v>
      </c>
      <c r="E906" t="s">
        <v>111</v>
      </c>
      <c r="F906" t="s">
        <v>98</v>
      </c>
      <c r="G906" t="s">
        <v>112</v>
      </c>
      <c r="H906">
        <v>1</v>
      </c>
      <c r="I906" s="3">
        <v>2999</v>
      </c>
      <c r="J906" s="4">
        <v>0.05</v>
      </c>
      <c r="K906" s="3">
        <v>79</v>
      </c>
      <c r="L906" t="s">
        <v>119</v>
      </c>
      <c r="M906" t="s">
        <v>120</v>
      </c>
      <c r="N906" t="s">
        <v>71</v>
      </c>
      <c r="O906" t="s">
        <v>51</v>
      </c>
      <c r="P906" t="s">
        <v>33</v>
      </c>
      <c r="Q906">
        <v>1</v>
      </c>
      <c r="R906" s="3">
        <f t="shared" si="84"/>
        <v>2999</v>
      </c>
      <c r="S906" s="3">
        <f t="shared" si="85"/>
        <v>149.95000000000002</v>
      </c>
      <c r="T906" s="3">
        <f t="shared" si="86"/>
        <v>2928.05</v>
      </c>
      <c r="U906" s="3">
        <f t="shared" si="87"/>
        <v>828.75000000000045</v>
      </c>
      <c r="V906" s="4">
        <f t="shared" si="88"/>
        <v>0.28303819948429854</v>
      </c>
      <c r="W906" t="str">
        <f t="shared" si="89"/>
        <v>Nov</v>
      </c>
    </row>
    <row r="907" spans="1:23" x14ac:dyDescent="0.25">
      <c r="A907" t="s">
        <v>1306</v>
      </c>
      <c r="B907" t="s">
        <v>521</v>
      </c>
      <c r="C907" s="2">
        <v>45724.432638888888</v>
      </c>
      <c r="D907" t="s">
        <v>55</v>
      </c>
      <c r="E907" t="s">
        <v>56</v>
      </c>
      <c r="F907" t="s">
        <v>37</v>
      </c>
      <c r="G907" t="s">
        <v>38</v>
      </c>
      <c r="H907">
        <v>2</v>
      </c>
      <c r="I907" s="3">
        <v>2499</v>
      </c>
      <c r="J907" s="4">
        <v>0.05</v>
      </c>
      <c r="K907" s="3">
        <v>99</v>
      </c>
      <c r="L907" t="s">
        <v>39</v>
      </c>
      <c r="M907" t="s">
        <v>39</v>
      </c>
      <c r="N907" t="s">
        <v>102</v>
      </c>
      <c r="O907" t="s">
        <v>51</v>
      </c>
      <c r="P907" t="s">
        <v>80</v>
      </c>
      <c r="Q907">
        <v>2</v>
      </c>
      <c r="R907" s="3">
        <f t="shared" si="84"/>
        <v>4998</v>
      </c>
      <c r="S907" s="3">
        <f t="shared" si="85"/>
        <v>249.9</v>
      </c>
      <c r="T907" s="3">
        <f t="shared" si="86"/>
        <v>4847.1000000000004</v>
      </c>
      <c r="U907" s="3">
        <f t="shared" si="87"/>
        <v>1348.5000000000005</v>
      </c>
      <c r="V907" s="4">
        <f t="shared" si="88"/>
        <v>0.27820758804233464</v>
      </c>
      <c r="W907" t="str">
        <f t="shared" si="89"/>
        <v>Mar</v>
      </c>
    </row>
    <row r="908" spans="1:23" x14ac:dyDescent="0.25">
      <c r="A908" t="s">
        <v>1307</v>
      </c>
      <c r="B908" t="s">
        <v>207</v>
      </c>
      <c r="C908" s="2">
        <v>45854.12222222222</v>
      </c>
      <c r="D908" t="s">
        <v>25</v>
      </c>
      <c r="E908" t="s">
        <v>26</v>
      </c>
      <c r="F908" t="s">
        <v>27</v>
      </c>
      <c r="G908" t="s">
        <v>28</v>
      </c>
      <c r="H908">
        <v>1</v>
      </c>
      <c r="I908" s="3">
        <v>249</v>
      </c>
      <c r="J908" s="4">
        <v>0</v>
      </c>
      <c r="K908" s="3">
        <v>99</v>
      </c>
      <c r="L908" t="s">
        <v>48</v>
      </c>
      <c r="M908" t="s">
        <v>49</v>
      </c>
      <c r="N908" t="s">
        <v>31</v>
      </c>
      <c r="O908" t="s">
        <v>32</v>
      </c>
      <c r="P908" t="s">
        <v>33</v>
      </c>
      <c r="R908" s="3">
        <f t="shared" si="84"/>
        <v>249</v>
      </c>
      <c r="S908" s="3">
        <f t="shared" si="85"/>
        <v>0</v>
      </c>
      <c r="T908" s="3">
        <f t="shared" si="86"/>
        <v>348</v>
      </c>
      <c r="U908" s="3">
        <f t="shared" si="87"/>
        <v>173.70000000000002</v>
      </c>
      <c r="V908" s="4">
        <f t="shared" si="88"/>
        <v>0.49913793103448278</v>
      </c>
      <c r="W908" t="str">
        <f t="shared" si="89"/>
        <v>Jul</v>
      </c>
    </row>
    <row r="909" spans="1:23" x14ac:dyDescent="0.25">
      <c r="A909" t="s">
        <v>1308</v>
      </c>
      <c r="B909" t="s">
        <v>417</v>
      </c>
      <c r="C909" s="2">
        <v>45708.106944444437</v>
      </c>
      <c r="D909" t="s">
        <v>67</v>
      </c>
      <c r="E909" t="s">
        <v>68</v>
      </c>
      <c r="F909" t="s">
        <v>37</v>
      </c>
      <c r="G909" t="s">
        <v>38</v>
      </c>
      <c r="H909">
        <v>2</v>
      </c>
      <c r="I909" s="3">
        <v>1299</v>
      </c>
      <c r="J909" s="4">
        <v>0.05</v>
      </c>
      <c r="K909" s="3">
        <v>59</v>
      </c>
      <c r="L909" t="s">
        <v>113</v>
      </c>
      <c r="M909" t="s">
        <v>114</v>
      </c>
      <c r="N909" t="s">
        <v>50</v>
      </c>
      <c r="O909" t="s">
        <v>32</v>
      </c>
      <c r="P909" t="s">
        <v>85</v>
      </c>
      <c r="R909" s="3">
        <f t="shared" si="84"/>
        <v>2598</v>
      </c>
      <c r="S909" s="3">
        <f t="shared" si="85"/>
        <v>129.9</v>
      </c>
      <c r="T909" s="3">
        <f t="shared" si="86"/>
        <v>2527.1</v>
      </c>
      <c r="U909" s="3">
        <f t="shared" si="87"/>
        <v>708.5</v>
      </c>
      <c r="V909" s="4">
        <f t="shared" si="88"/>
        <v>0.28036088797435799</v>
      </c>
      <c r="W909" t="str">
        <f t="shared" si="89"/>
        <v>Feb</v>
      </c>
    </row>
    <row r="910" spans="1:23" x14ac:dyDescent="0.25">
      <c r="A910" t="s">
        <v>1309</v>
      </c>
      <c r="B910" t="s">
        <v>842</v>
      </c>
      <c r="C910" s="2">
        <v>45872.739583333343</v>
      </c>
      <c r="D910" t="s">
        <v>105</v>
      </c>
      <c r="E910" t="s">
        <v>106</v>
      </c>
      <c r="F910" t="s">
        <v>37</v>
      </c>
      <c r="G910" t="s">
        <v>107</v>
      </c>
      <c r="H910">
        <v>1</v>
      </c>
      <c r="I910" s="3">
        <v>1799</v>
      </c>
      <c r="J910" s="4">
        <v>0.15</v>
      </c>
      <c r="K910" s="3">
        <v>59</v>
      </c>
      <c r="L910" t="s">
        <v>39</v>
      </c>
      <c r="M910" t="s">
        <v>39</v>
      </c>
      <c r="N910" t="s">
        <v>40</v>
      </c>
      <c r="O910" t="s">
        <v>93</v>
      </c>
      <c r="P910" t="s">
        <v>33</v>
      </c>
      <c r="Q910">
        <v>4</v>
      </c>
      <c r="R910" s="3">
        <f t="shared" si="84"/>
        <v>1799</v>
      </c>
      <c r="S910" s="3">
        <f t="shared" si="85"/>
        <v>269.84999999999997</v>
      </c>
      <c r="T910" s="3">
        <f t="shared" si="86"/>
        <v>1588.15</v>
      </c>
      <c r="U910" s="3">
        <f t="shared" si="87"/>
        <v>328.85000000000014</v>
      </c>
      <c r="V910" s="4">
        <f t="shared" si="88"/>
        <v>0.20706482385165137</v>
      </c>
      <c r="W910" t="str">
        <f t="shared" si="89"/>
        <v>Aug</v>
      </c>
    </row>
    <row r="911" spans="1:23" x14ac:dyDescent="0.25">
      <c r="A911" t="s">
        <v>1310</v>
      </c>
      <c r="B911" t="s">
        <v>403</v>
      </c>
      <c r="C911" s="2">
        <v>45915.006944444453</v>
      </c>
      <c r="D911" t="s">
        <v>55</v>
      </c>
      <c r="E911" t="s">
        <v>56</v>
      </c>
      <c r="F911" t="s">
        <v>37</v>
      </c>
      <c r="G911" t="s">
        <v>38</v>
      </c>
      <c r="H911">
        <v>1</v>
      </c>
      <c r="I911" s="3">
        <v>2499</v>
      </c>
      <c r="J911" s="4">
        <v>0.05</v>
      </c>
      <c r="K911" s="3">
        <v>49</v>
      </c>
      <c r="L911" t="s">
        <v>119</v>
      </c>
      <c r="M911" t="s">
        <v>120</v>
      </c>
      <c r="N911" t="s">
        <v>31</v>
      </c>
      <c r="O911" t="s">
        <v>32</v>
      </c>
      <c r="P911" t="s">
        <v>85</v>
      </c>
      <c r="Q911">
        <v>1</v>
      </c>
      <c r="R911" s="3">
        <f t="shared" si="84"/>
        <v>2499</v>
      </c>
      <c r="S911" s="3">
        <f t="shared" si="85"/>
        <v>124.95</v>
      </c>
      <c r="T911" s="3">
        <f t="shared" si="86"/>
        <v>2423.0500000000002</v>
      </c>
      <c r="U911" s="3">
        <f t="shared" si="87"/>
        <v>673.75000000000023</v>
      </c>
      <c r="V911" s="4">
        <f t="shared" si="88"/>
        <v>0.27805864509605671</v>
      </c>
      <c r="W911" t="str">
        <f t="shared" si="89"/>
        <v>Sep</v>
      </c>
    </row>
    <row r="912" spans="1:23" x14ac:dyDescent="0.25">
      <c r="A912" t="s">
        <v>1311</v>
      </c>
      <c r="B912" t="s">
        <v>660</v>
      </c>
      <c r="C912" s="2">
        <v>45861.654861111107</v>
      </c>
      <c r="D912" t="s">
        <v>77</v>
      </c>
      <c r="E912" t="s">
        <v>78</v>
      </c>
      <c r="F912" t="s">
        <v>79</v>
      </c>
      <c r="G912" t="s">
        <v>28</v>
      </c>
      <c r="H912">
        <v>2</v>
      </c>
      <c r="I912" s="3">
        <v>6499</v>
      </c>
      <c r="J912" s="4">
        <v>0.15</v>
      </c>
      <c r="K912" s="3">
        <v>0</v>
      </c>
      <c r="L912" t="s">
        <v>113</v>
      </c>
      <c r="M912" t="s">
        <v>114</v>
      </c>
      <c r="N912" t="s">
        <v>40</v>
      </c>
      <c r="O912" t="s">
        <v>32</v>
      </c>
      <c r="P912" t="s">
        <v>85</v>
      </c>
      <c r="Q912">
        <v>4</v>
      </c>
      <c r="R912" s="3">
        <f t="shared" si="84"/>
        <v>12998</v>
      </c>
      <c r="S912" s="3">
        <f t="shared" si="85"/>
        <v>1949.6999999999998</v>
      </c>
      <c r="T912" s="3">
        <f t="shared" si="86"/>
        <v>11048.3</v>
      </c>
      <c r="U912" s="3">
        <f t="shared" si="87"/>
        <v>1949.7000000000007</v>
      </c>
      <c r="V912" s="4">
        <f t="shared" si="88"/>
        <v>0.17647058823529418</v>
      </c>
      <c r="W912" t="str">
        <f t="shared" si="89"/>
        <v>Jul</v>
      </c>
    </row>
    <row r="913" spans="1:23" x14ac:dyDescent="0.25">
      <c r="A913" t="s">
        <v>1312</v>
      </c>
      <c r="B913" t="s">
        <v>940</v>
      </c>
      <c r="C913" s="2">
        <v>45797.257638888892</v>
      </c>
      <c r="D913" t="s">
        <v>62</v>
      </c>
      <c r="E913" t="s">
        <v>63</v>
      </c>
      <c r="F913" t="s">
        <v>46</v>
      </c>
      <c r="G913" t="s">
        <v>64</v>
      </c>
      <c r="H913">
        <v>1</v>
      </c>
      <c r="I913" s="3">
        <v>699</v>
      </c>
      <c r="J913" s="4">
        <v>0</v>
      </c>
      <c r="K913" s="3">
        <v>99</v>
      </c>
      <c r="L913" t="s">
        <v>57</v>
      </c>
      <c r="M913" t="s">
        <v>58</v>
      </c>
      <c r="N913" t="s">
        <v>102</v>
      </c>
      <c r="O913" t="s">
        <v>93</v>
      </c>
      <c r="P913" t="s">
        <v>33</v>
      </c>
      <c r="R913" s="3">
        <f t="shared" si="84"/>
        <v>699</v>
      </c>
      <c r="S913" s="3">
        <f t="shared" si="85"/>
        <v>0</v>
      </c>
      <c r="T913" s="3">
        <f t="shared" si="86"/>
        <v>798</v>
      </c>
      <c r="U913" s="3">
        <f t="shared" si="87"/>
        <v>308.70000000000005</v>
      </c>
      <c r="V913" s="4">
        <f t="shared" si="88"/>
        <v>0.38684210526315793</v>
      </c>
      <c r="W913" t="str">
        <f t="shared" si="89"/>
        <v>May</v>
      </c>
    </row>
    <row r="914" spans="1:23" x14ac:dyDescent="0.25">
      <c r="A914" t="s">
        <v>1313</v>
      </c>
      <c r="B914" t="s">
        <v>640</v>
      </c>
      <c r="C914" s="2">
        <v>45926.34652777778</v>
      </c>
      <c r="D914" t="s">
        <v>62</v>
      </c>
      <c r="E914" t="s">
        <v>63</v>
      </c>
      <c r="F914" t="s">
        <v>46</v>
      </c>
      <c r="G914" t="s">
        <v>64</v>
      </c>
      <c r="H914">
        <v>2</v>
      </c>
      <c r="I914" s="3">
        <v>699</v>
      </c>
      <c r="J914" s="4">
        <v>0.05</v>
      </c>
      <c r="K914" s="3">
        <v>59</v>
      </c>
      <c r="L914" t="s">
        <v>119</v>
      </c>
      <c r="M914" t="s">
        <v>120</v>
      </c>
      <c r="N914" t="s">
        <v>31</v>
      </c>
      <c r="O914" t="s">
        <v>41</v>
      </c>
      <c r="P914" t="s">
        <v>33</v>
      </c>
      <c r="Q914">
        <v>2</v>
      </c>
      <c r="R914" s="3">
        <f t="shared" si="84"/>
        <v>1398</v>
      </c>
      <c r="S914" s="3">
        <f t="shared" si="85"/>
        <v>69.900000000000006</v>
      </c>
      <c r="T914" s="3">
        <f t="shared" si="86"/>
        <v>1387.1</v>
      </c>
      <c r="U914" s="3">
        <f t="shared" si="87"/>
        <v>408.5</v>
      </c>
      <c r="V914" s="4">
        <f t="shared" si="88"/>
        <v>0.29449931511787186</v>
      </c>
      <c r="W914" t="str">
        <f t="shared" si="89"/>
        <v>Sep</v>
      </c>
    </row>
    <row r="915" spans="1:23" x14ac:dyDescent="0.25">
      <c r="A915" t="s">
        <v>1314</v>
      </c>
      <c r="B915" t="s">
        <v>1059</v>
      </c>
      <c r="C915" s="2">
        <v>45678.839583333327</v>
      </c>
      <c r="D915" t="s">
        <v>35</v>
      </c>
      <c r="E915" t="s">
        <v>36</v>
      </c>
      <c r="F915" t="s">
        <v>37</v>
      </c>
      <c r="G915" t="s">
        <v>38</v>
      </c>
      <c r="H915">
        <v>1</v>
      </c>
      <c r="I915" s="3">
        <v>599</v>
      </c>
      <c r="J915" s="4">
        <v>0</v>
      </c>
      <c r="K915" s="3">
        <v>59</v>
      </c>
      <c r="L915" t="s">
        <v>83</v>
      </c>
      <c r="M915" t="s">
        <v>84</v>
      </c>
      <c r="N915" t="s">
        <v>50</v>
      </c>
      <c r="O915" t="s">
        <v>41</v>
      </c>
      <c r="P915" t="s">
        <v>33</v>
      </c>
      <c r="Q915">
        <v>5</v>
      </c>
      <c r="R915" s="3">
        <f t="shared" si="84"/>
        <v>599</v>
      </c>
      <c r="S915" s="3">
        <f t="shared" si="85"/>
        <v>0</v>
      </c>
      <c r="T915" s="3">
        <f t="shared" si="86"/>
        <v>658</v>
      </c>
      <c r="U915" s="3">
        <f t="shared" si="87"/>
        <v>238.70000000000005</v>
      </c>
      <c r="V915" s="4">
        <f t="shared" si="88"/>
        <v>0.36276595744680856</v>
      </c>
      <c r="W915" t="str">
        <f t="shared" si="89"/>
        <v>Jan</v>
      </c>
    </row>
    <row r="916" spans="1:23" x14ac:dyDescent="0.25">
      <c r="A916" t="s">
        <v>1315</v>
      </c>
      <c r="B916" t="s">
        <v>76</v>
      </c>
      <c r="C916" s="2">
        <v>45981.807638888888</v>
      </c>
      <c r="D916" t="s">
        <v>55</v>
      </c>
      <c r="E916" t="s">
        <v>56</v>
      </c>
      <c r="F916" t="s">
        <v>37</v>
      </c>
      <c r="G916" t="s">
        <v>38</v>
      </c>
      <c r="H916">
        <v>2</v>
      </c>
      <c r="I916" s="3">
        <v>2499</v>
      </c>
      <c r="J916" s="4">
        <v>0</v>
      </c>
      <c r="K916" s="3">
        <v>99</v>
      </c>
      <c r="L916" t="s">
        <v>39</v>
      </c>
      <c r="M916" t="s">
        <v>39</v>
      </c>
      <c r="N916" t="s">
        <v>50</v>
      </c>
      <c r="O916" t="s">
        <v>59</v>
      </c>
      <c r="P916" t="s">
        <v>33</v>
      </c>
      <c r="Q916">
        <v>5</v>
      </c>
      <c r="R916" s="3">
        <f t="shared" si="84"/>
        <v>4998</v>
      </c>
      <c r="S916" s="3">
        <f t="shared" si="85"/>
        <v>0</v>
      </c>
      <c r="T916" s="3">
        <f t="shared" si="86"/>
        <v>5097</v>
      </c>
      <c r="U916" s="3">
        <f t="shared" si="87"/>
        <v>1598.4</v>
      </c>
      <c r="V916" s="4">
        <f t="shared" si="88"/>
        <v>0.31359623307828138</v>
      </c>
      <c r="W916" t="str">
        <f t="shared" si="89"/>
        <v>Nov</v>
      </c>
    </row>
    <row r="917" spans="1:23" x14ac:dyDescent="0.25">
      <c r="A917" t="s">
        <v>1316</v>
      </c>
      <c r="B917" t="s">
        <v>181</v>
      </c>
      <c r="C917" s="2">
        <v>45978.036111111112</v>
      </c>
      <c r="D917" t="s">
        <v>110</v>
      </c>
      <c r="E917" t="s">
        <v>111</v>
      </c>
      <c r="F917" t="s">
        <v>98</v>
      </c>
      <c r="G917" t="s">
        <v>112</v>
      </c>
      <c r="H917">
        <v>5</v>
      </c>
      <c r="I917" s="3">
        <v>2999</v>
      </c>
      <c r="J917" s="4">
        <v>0</v>
      </c>
      <c r="K917" s="3">
        <v>59</v>
      </c>
      <c r="L917" t="s">
        <v>74</v>
      </c>
      <c r="M917" t="s">
        <v>49</v>
      </c>
      <c r="N917" t="s">
        <v>71</v>
      </c>
      <c r="O917" t="s">
        <v>93</v>
      </c>
      <c r="P917" t="s">
        <v>33</v>
      </c>
      <c r="Q917">
        <v>5</v>
      </c>
      <c r="R917" s="3">
        <f t="shared" si="84"/>
        <v>14995</v>
      </c>
      <c r="S917" s="3">
        <f t="shared" si="85"/>
        <v>0</v>
      </c>
      <c r="T917" s="3">
        <f t="shared" si="86"/>
        <v>15054</v>
      </c>
      <c r="U917" s="3">
        <f t="shared" si="87"/>
        <v>4557.5</v>
      </c>
      <c r="V917" s="4">
        <f t="shared" si="88"/>
        <v>0.3027434568885346</v>
      </c>
      <c r="W917" t="str">
        <f t="shared" si="89"/>
        <v>Nov</v>
      </c>
    </row>
    <row r="918" spans="1:23" x14ac:dyDescent="0.25">
      <c r="A918" t="s">
        <v>1317</v>
      </c>
      <c r="B918" t="s">
        <v>640</v>
      </c>
      <c r="C918" s="2">
        <v>46010.52847222222</v>
      </c>
      <c r="D918" t="s">
        <v>25</v>
      </c>
      <c r="E918" t="s">
        <v>26</v>
      </c>
      <c r="F918" t="s">
        <v>27</v>
      </c>
      <c r="G918" t="s">
        <v>28</v>
      </c>
      <c r="H918">
        <v>1</v>
      </c>
      <c r="I918" s="3">
        <v>249</v>
      </c>
      <c r="J918" s="4">
        <v>0.2</v>
      </c>
      <c r="K918" s="3">
        <v>99</v>
      </c>
      <c r="L918" t="s">
        <v>125</v>
      </c>
      <c r="M918" t="s">
        <v>126</v>
      </c>
      <c r="N918" t="s">
        <v>50</v>
      </c>
      <c r="O918" t="s">
        <v>59</v>
      </c>
      <c r="P918" t="s">
        <v>33</v>
      </c>
      <c r="Q918">
        <v>2</v>
      </c>
      <c r="R918" s="3">
        <f t="shared" si="84"/>
        <v>249</v>
      </c>
      <c r="S918" s="3">
        <f t="shared" si="85"/>
        <v>49.800000000000004</v>
      </c>
      <c r="T918" s="3">
        <f t="shared" si="86"/>
        <v>298.2</v>
      </c>
      <c r="U918" s="3">
        <f t="shared" si="87"/>
        <v>123.9</v>
      </c>
      <c r="V918" s="4">
        <f t="shared" si="88"/>
        <v>0.41549295774647893</v>
      </c>
      <c r="W918" t="str">
        <f t="shared" si="89"/>
        <v>Dec</v>
      </c>
    </row>
    <row r="919" spans="1:23" x14ac:dyDescent="0.25">
      <c r="A919" t="s">
        <v>1318</v>
      </c>
      <c r="B919" t="s">
        <v>218</v>
      </c>
      <c r="C919" s="2">
        <v>45980.506249999999</v>
      </c>
      <c r="D919" t="s">
        <v>169</v>
      </c>
      <c r="E919" t="s">
        <v>170</v>
      </c>
      <c r="F919" t="s">
        <v>98</v>
      </c>
      <c r="G919" t="s">
        <v>171</v>
      </c>
      <c r="H919">
        <v>1</v>
      </c>
      <c r="I919" s="3">
        <v>799</v>
      </c>
      <c r="J919" s="4">
        <v>0</v>
      </c>
      <c r="K919" s="3">
        <v>79</v>
      </c>
      <c r="L919" t="s">
        <v>48</v>
      </c>
      <c r="M919" t="s">
        <v>49</v>
      </c>
      <c r="N919" t="s">
        <v>50</v>
      </c>
      <c r="O919" t="s">
        <v>59</v>
      </c>
      <c r="P919" t="s">
        <v>52</v>
      </c>
      <c r="Q919">
        <v>1</v>
      </c>
      <c r="R919" s="3">
        <f t="shared" si="84"/>
        <v>799</v>
      </c>
      <c r="S919" s="3">
        <f t="shared" si="85"/>
        <v>0</v>
      </c>
      <c r="T919" s="3">
        <f t="shared" si="86"/>
        <v>878</v>
      </c>
      <c r="U919" s="3">
        <f t="shared" si="87"/>
        <v>318.70000000000005</v>
      </c>
      <c r="V919" s="4">
        <f t="shared" si="88"/>
        <v>0.3629840546697039</v>
      </c>
      <c r="W919" t="str">
        <f t="shared" si="89"/>
        <v>Nov</v>
      </c>
    </row>
    <row r="920" spans="1:23" x14ac:dyDescent="0.25">
      <c r="A920" t="s">
        <v>1319</v>
      </c>
      <c r="B920" t="s">
        <v>338</v>
      </c>
      <c r="C920" s="2">
        <v>45748.275000000001</v>
      </c>
      <c r="D920" t="s">
        <v>90</v>
      </c>
      <c r="E920" t="s">
        <v>91</v>
      </c>
      <c r="F920" t="s">
        <v>37</v>
      </c>
      <c r="G920" t="s">
        <v>92</v>
      </c>
      <c r="H920">
        <v>2</v>
      </c>
      <c r="I920" s="3">
        <v>3499</v>
      </c>
      <c r="J920" s="4">
        <v>0.2</v>
      </c>
      <c r="K920" s="3">
        <v>49</v>
      </c>
      <c r="L920" t="s">
        <v>100</v>
      </c>
      <c r="M920" t="s">
        <v>101</v>
      </c>
      <c r="N920" t="s">
        <v>31</v>
      </c>
      <c r="O920" t="s">
        <v>51</v>
      </c>
      <c r="P920" t="s">
        <v>52</v>
      </c>
      <c r="Q920">
        <v>2</v>
      </c>
      <c r="R920" s="3">
        <f t="shared" si="84"/>
        <v>6998</v>
      </c>
      <c r="S920" s="3">
        <f t="shared" si="85"/>
        <v>1399.6000000000001</v>
      </c>
      <c r="T920" s="3">
        <f t="shared" si="86"/>
        <v>5647.4</v>
      </c>
      <c r="U920" s="3">
        <f t="shared" si="87"/>
        <v>748.80000000000018</v>
      </c>
      <c r="V920" s="4">
        <f t="shared" si="88"/>
        <v>0.13259198923398383</v>
      </c>
      <c r="W920" t="str">
        <f t="shared" si="89"/>
        <v>Apr</v>
      </c>
    </row>
    <row r="921" spans="1:23" x14ac:dyDescent="0.25">
      <c r="A921" t="s">
        <v>1320</v>
      </c>
      <c r="B921" t="s">
        <v>1321</v>
      </c>
      <c r="C921" s="2">
        <v>45754.089583333327</v>
      </c>
      <c r="D921" t="s">
        <v>105</v>
      </c>
      <c r="E921" t="s">
        <v>106</v>
      </c>
      <c r="F921" t="s">
        <v>37</v>
      </c>
      <c r="G921" t="s">
        <v>107</v>
      </c>
      <c r="H921">
        <v>2</v>
      </c>
      <c r="I921" s="3">
        <v>1799</v>
      </c>
      <c r="J921" s="4">
        <v>0.1</v>
      </c>
      <c r="K921" s="3">
        <v>49</v>
      </c>
      <c r="L921" t="s">
        <v>57</v>
      </c>
      <c r="M921" t="s">
        <v>58</v>
      </c>
      <c r="N921" t="s">
        <v>40</v>
      </c>
      <c r="O921" t="s">
        <v>93</v>
      </c>
      <c r="P921" t="s">
        <v>33</v>
      </c>
      <c r="R921" s="3">
        <f t="shared" si="84"/>
        <v>3598</v>
      </c>
      <c r="S921" s="3">
        <f t="shared" si="85"/>
        <v>359.8</v>
      </c>
      <c r="T921" s="3">
        <f t="shared" si="86"/>
        <v>3287.2</v>
      </c>
      <c r="U921" s="3">
        <f t="shared" si="87"/>
        <v>768.59999999999991</v>
      </c>
      <c r="V921" s="4">
        <f t="shared" si="88"/>
        <v>0.23381601362862009</v>
      </c>
      <c r="W921" t="str">
        <f t="shared" si="89"/>
        <v>Apr</v>
      </c>
    </row>
    <row r="922" spans="1:23" x14ac:dyDescent="0.25">
      <c r="A922" t="s">
        <v>1322</v>
      </c>
      <c r="B922" t="s">
        <v>1062</v>
      </c>
      <c r="C922" s="2">
        <v>45664.79583333333</v>
      </c>
      <c r="D922" t="s">
        <v>62</v>
      </c>
      <c r="E922" t="s">
        <v>63</v>
      </c>
      <c r="F922" t="s">
        <v>46</v>
      </c>
      <c r="G922" t="s">
        <v>64</v>
      </c>
      <c r="H922">
        <v>2</v>
      </c>
      <c r="I922" s="3">
        <v>699</v>
      </c>
      <c r="J922" s="4">
        <v>0.1</v>
      </c>
      <c r="K922" s="3">
        <v>0</v>
      </c>
      <c r="L922" t="s">
        <v>100</v>
      </c>
      <c r="M922" t="s">
        <v>101</v>
      </c>
      <c r="N922" t="s">
        <v>31</v>
      </c>
      <c r="O922" t="s">
        <v>93</v>
      </c>
      <c r="P922" t="s">
        <v>52</v>
      </c>
      <c r="Q922">
        <v>2</v>
      </c>
      <c r="R922" s="3">
        <f t="shared" si="84"/>
        <v>1398</v>
      </c>
      <c r="S922" s="3">
        <f t="shared" si="85"/>
        <v>139.80000000000001</v>
      </c>
      <c r="T922" s="3">
        <f t="shared" si="86"/>
        <v>1258.2</v>
      </c>
      <c r="U922" s="3">
        <f t="shared" si="87"/>
        <v>279.60000000000014</v>
      </c>
      <c r="V922" s="4">
        <f t="shared" si="88"/>
        <v>0.22222222222222232</v>
      </c>
      <c r="W922" t="str">
        <f t="shared" si="89"/>
        <v>Jan</v>
      </c>
    </row>
    <row r="923" spans="1:23" x14ac:dyDescent="0.25">
      <c r="A923" t="s">
        <v>1323</v>
      </c>
      <c r="B923" t="s">
        <v>1324</v>
      </c>
      <c r="C923" s="2">
        <v>45979.791666666657</v>
      </c>
      <c r="D923" t="s">
        <v>67</v>
      </c>
      <c r="E923" t="s">
        <v>68</v>
      </c>
      <c r="F923" t="s">
        <v>37</v>
      </c>
      <c r="G923" t="s">
        <v>38</v>
      </c>
      <c r="H923">
        <v>1</v>
      </c>
      <c r="I923" s="3">
        <v>1299</v>
      </c>
      <c r="J923" s="4">
        <v>0</v>
      </c>
      <c r="K923" s="3">
        <v>99</v>
      </c>
      <c r="L923" t="s">
        <v>29</v>
      </c>
      <c r="M923" t="s">
        <v>30</v>
      </c>
      <c r="N923" t="s">
        <v>31</v>
      </c>
      <c r="O923" t="s">
        <v>41</v>
      </c>
      <c r="P923" t="s">
        <v>33</v>
      </c>
      <c r="Q923">
        <v>2</v>
      </c>
      <c r="R923" s="3">
        <f t="shared" si="84"/>
        <v>1299</v>
      </c>
      <c r="S923" s="3">
        <f t="shared" si="85"/>
        <v>0</v>
      </c>
      <c r="T923" s="3">
        <f t="shared" si="86"/>
        <v>1398</v>
      </c>
      <c r="U923" s="3">
        <f t="shared" si="87"/>
        <v>488.70000000000005</v>
      </c>
      <c r="V923" s="4">
        <f t="shared" si="88"/>
        <v>0.34957081545064383</v>
      </c>
      <c r="W923" t="str">
        <f t="shared" si="89"/>
        <v>Nov</v>
      </c>
    </row>
    <row r="924" spans="1:23" x14ac:dyDescent="0.25">
      <c r="A924" t="s">
        <v>1325</v>
      </c>
      <c r="B924" t="s">
        <v>1326</v>
      </c>
      <c r="C924" s="2">
        <v>45741.38958333333</v>
      </c>
      <c r="D924" t="s">
        <v>90</v>
      </c>
      <c r="E924" t="s">
        <v>91</v>
      </c>
      <c r="F924" t="s">
        <v>37</v>
      </c>
      <c r="G924" t="s">
        <v>92</v>
      </c>
      <c r="H924">
        <v>3</v>
      </c>
      <c r="I924" s="3">
        <v>3499</v>
      </c>
      <c r="J924" s="4">
        <v>0</v>
      </c>
      <c r="K924" s="3">
        <v>49</v>
      </c>
      <c r="L924" t="s">
        <v>125</v>
      </c>
      <c r="M924" t="s">
        <v>126</v>
      </c>
      <c r="N924" t="s">
        <v>102</v>
      </c>
      <c r="O924" t="s">
        <v>51</v>
      </c>
      <c r="P924" t="s">
        <v>52</v>
      </c>
      <c r="R924" s="3">
        <f t="shared" si="84"/>
        <v>10497</v>
      </c>
      <c r="S924" s="3">
        <f t="shared" si="85"/>
        <v>0</v>
      </c>
      <c r="T924" s="3">
        <f t="shared" si="86"/>
        <v>10546</v>
      </c>
      <c r="U924" s="3">
        <f t="shared" si="87"/>
        <v>3198.1000000000004</v>
      </c>
      <c r="V924" s="4">
        <f t="shared" si="88"/>
        <v>0.30325241797838048</v>
      </c>
      <c r="W924" t="str">
        <f t="shared" si="89"/>
        <v>Mar</v>
      </c>
    </row>
    <row r="925" spans="1:23" x14ac:dyDescent="0.25">
      <c r="A925" t="s">
        <v>1327</v>
      </c>
      <c r="B925" t="s">
        <v>914</v>
      </c>
      <c r="C925" s="2">
        <v>45680.148611111108</v>
      </c>
      <c r="D925" t="s">
        <v>62</v>
      </c>
      <c r="E925" t="s">
        <v>63</v>
      </c>
      <c r="F925" t="s">
        <v>46</v>
      </c>
      <c r="G925" t="s">
        <v>64</v>
      </c>
      <c r="H925">
        <v>1</v>
      </c>
      <c r="I925" s="3"/>
      <c r="J925" s="4">
        <v>0</v>
      </c>
      <c r="K925" s="3">
        <v>99</v>
      </c>
      <c r="L925" t="s">
        <v>29</v>
      </c>
      <c r="M925" t="s">
        <v>30</v>
      </c>
      <c r="N925" t="s">
        <v>50</v>
      </c>
      <c r="O925" t="s">
        <v>93</v>
      </c>
      <c r="P925" t="s">
        <v>33</v>
      </c>
      <c r="Q925">
        <v>2</v>
      </c>
      <c r="R925" s="3">
        <f t="shared" si="84"/>
        <v>0</v>
      </c>
      <c r="S925" s="3">
        <f t="shared" si="85"/>
        <v>0</v>
      </c>
      <c r="T925" s="3">
        <f t="shared" si="86"/>
        <v>99</v>
      </c>
      <c r="U925" s="3">
        <f t="shared" si="87"/>
        <v>99</v>
      </c>
      <c r="V925" s="4">
        <f t="shared" si="88"/>
        <v>1</v>
      </c>
      <c r="W925" t="str">
        <f t="shared" si="89"/>
        <v>Jan</v>
      </c>
    </row>
    <row r="926" spans="1:23" x14ac:dyDescent="0.25">
      <c r="A926" t="s">
        <v>1328</v>
      </c>
      <c r="B926" t="s">
        <v>152</v>
      </c>
      <c r="C926" s="2">
        <v>45733.486805555563</v>
      </c>
      <c r="D926" t="s">
        <v>35</v>
      </c>
      <c r="E926" t="s">
        <v>36</v>
      </c>
      <c r="F926" t="s">
        <v>37</v>
      </c>
      <c r="G926" t="s">
        <v>38</v>
      </c>
      <c r="H926">
        <v>1</v>
      </c>
      <c r="I926" s="3">
        <v>599</v>
      </c>
      <c r="J926" s="4">
        <v>0</v>
      </c>
      <c r="K926" s="3">
        <v>79</v>
      </c>
      <c r="L926" t="s">
        <v>113</v>
      </c>
      <c r="M926" t="s">
        <v>114</v>
      </c>
      <c r="N926" t="s">
        <v>40</v>
      </c>
      <c r="O926" t="s">
        <v>41</v>
      </c>
      <c r="P926" t="s">
        <v>33</v>
      </c>
      <c r="Q926">
        <v>1</v>
      </c>
      <c r="R926" s="3">
        <f t="shared" si="84"/>
        <v>599</v>
      </c>
      <c r="S926" s="3">
        <f t="shared" si="85"/>
        <v>0</v>
      </c>
      <c r="T926" s="3">
        <f t="shared" si="86"/>
        <v>678</v>
      </c>
      <c r="U926" s="3">
        <f t="shared" si="87"/>
        <v>258.70000000000005</v>
      </c>
      <c r="V926" s="4">
        <f t="shared" si="88"/>
        <v>0.38156342182890862</v>
      </c>
      <c r="W926" t="str">
        <f t="shared" si="89"/>
        <v>Mar</v>
      </c>
    </row>
    <row r="927" spans="1:23" x14ac:dyDescent="0.25">
      <c r="A927" t="s">
        <v>1329</v>
      </c>
      <c r="B927" t="s">
        <v>737</v>
      </c>
      <c r="C927" s="2">
        <v>45802.461111111108</v>
      </c>
      <c r="D927" t="s">
        <v>67</v>
      </c>
      <c r="E927" t="s">
        <v>68</v>
      </c>
      <c r="F927" t="s">
        <v>37</v>
      </c>
      <c r="G927" t="s">
        <v>38</v>
      </c>
      <c r="H927">
        <v>4</v>
      </c>
      <c r="I927" s="3">
        <v>1299</v>
      </c>
      <c r="J927" s="4">
        <v>0.05</v>
      </c>
      <c r="K927" s="3">
        <v>0</v>
      </c>
      <c r="L927" t="s">
        <v>29</v>
      </c>
      <c r="M927" t="s">
        <v>30</v>
      </c>
      <c r="N927" t="s">
        <v>31</v>
      </c>
      <c r="O927" t="s">
        <v>489</v>
      </c>
      <c r="P927" t="s">
        <v>85</v>
      </c>
      <c r="Q927">
        <v>5</v>
      </c>
      <c r="R927" s="3">
        <f t="shared" si="84"/>
        <v>5196</v>
      </c>
      <c r="S927" s="3">
        <f t="shared" si="85"/>
        <v>259.8</v>
      </c>
      <c r="T927" s="3">
        <f t="shared" si="86"/>
        <v>4936.2</v>
      </c>
      <c r="U927" s="3">
        <f t="shared" si="87"/>
        <v>1299</v>
      </c>
      <c r="V927" s="4">
        <f t="shared" si="88"/>
        <v>0.26315789473684209</v>
      </c>
      <c r="W927" t="str">
        <f t="shared" si="89"/>
        <v>May</v>
      </c>
    </row>
    <row r="928" spans="1:23" x14ac:dyDescent="0.25">
      <c r="A928" t="s">
        <v>1330</v>
      </c>
      <c r="B928" t="s">
        <v>296</v>
      </c>
      <c r="C928" s="2">
        <v>45829.799305555563</v>
      </c>
      <c r="D928" t="s">
        <v>105</v>
      </c>
      <c r="E928" t="s">
        <v>106</v>
      </c>
      <c r="F928" t="s">
        <v>37</v>
      </c>
      <c r="G928" t="s">
        <v>107</v>
      </c>
      <c r="H928">
        <v>1</v>
      </c>
      <c r="I928" s="3">
        <v>1799</v>
      </c>
      <c r="J928" s="4">
        <v>0.1</v>
      </c>
      <c r="K928" s="3">
        <v>49</v>
      </c>
      <c r="L928" t="s">
        <v>100</v>
      </c>
      <c r="M928" t="s">
        <v>101</v>
      </c>
      <c r="N928" t="s">
        <v>102</v>
      </c>
      <c r="O928" t="s">
        <v>51</v>
      </c>
      <c r="P928" t="s">
        <v>80</v>
      </c>
      <c r="Q928">
        <v>3</v>
      </c>
      <c r="R928" s="3">
        <f t="shared" si="84"/>
        <v>1799</v>
      </c>
      <c r="S928" s="3">
        <f t="shared" si="85"/>
        <v>179.9</v>
      </c>
      <c r="T928" s="3">
        <f t="shared" si="86"/>
        <v>1668.1</v>
      </c>
      <c r="U928" s="3">
        <f t="shared" si="87"/>
        <v>408.79999999999995</v>
      </c>
      <c r="V928" s="4">
        <f t="shared" si="88"/>
        <v>0.24506924045321021</v>
      </c>
      <c r="W928" t="str">
        <f t="shared" si="89"/>
        <v>Jun</v>
      </c>
    </row>
    <row r="929" spans="1:23" x14ac:dyDescent="0.25">
      <c r="A929" t="s">
        <v>1331</v>
      </c>
      <c r="B929" t="s">
        <v>945</v>
      </c>
      <c r="C929" s="2">
        <v>45996.499305555553</v>
      </c>
      <c r="D929" t="s">
        <v>55</v>
      </c>
      <c r="E929" t="s">
        <v>56</v>
      </c>
      <c r="F929" t="s">
        <v>37</v>
      </c>
      <c r="G929" t="s">
        <v>38</v>
      </c>
      <c r="H929">
        <v>4</v>
      </c>
      <c r="I929" s="3">
        <v>2499</v>
      </c>
      <c r="J929" s="4">
        <v>0.2</v>
      </c>
      <c r="K929" s="3">
        <v>0</v>
      </c>
      <c r="L929" t="s">
        <v>48</v>
      </c>
      <c r="M929" t="s">
        <v>49</v>
      </c>
      <c r="N929" t="s">
        <v>50</v>
      </c>
      <c r="O929" t="s">
        <v>41</v>
      </c>
      <c r="P929" t="s">
        <v>33</v>
      </c>
      <c r="Q929">
        <v>3</v>
      </c>
      <c r="R929" s="3">
        <f t="shared" si="84"/>
        <v>9996</v>
      </c>
      <c r="S929" s="3">
        <f t="shared" si="85"/>
        <v>1999.2</v>
      </c>
      <c r="T929" s="3">
        <f t="shared" si="86"/>
        <v>7996.8</v>
      </c>
      <c r="U929" s="3">
        <f t="shared" si="87"/>
        <v>999.60000000000036</v>
      </c>
      <c r="V929" s="4">
        <f t="shared" si="88"/>
        <v>0.12500000000000006</v>
      </c>
      <c r="W929" t="str">
        <f t="shared" si="89"/>
        <v>Dec</v>
      </c>
    </row>
    <row r="930" spans="1:23" x14ac:dyDescent="0.25">
      <c r="A930" t="s">
        <v>1332</v>
      </c>
      <c r="B930" t="s">
        <v>358</v>
      </c>
      <c r="C930" s="2">
        <v>45902.088194444441</v>
      </c>
      <c r="D930" t="s">
        <v>105</v>
      </c>
      <c r="E930" t="s">
        <v>106</v>
      </c>
      <c r="F930" t="s">
        <v>37</v>
      </c>
      <c r="G930" t="s">
        <v>107</v>
      </c>
      <c r="H930">
        <v>1</v>
      </c>
      <c r="I930" s="3">
        <v>1799</v>
      </c>
      <c r="J930" s="4">
        <v>0.1</v>
      </c>
      <c r="K930" s="3">
        <v>59</v>
      </c>
      <c r="L930" t="s">
        <v>57</v>
      </c>
      <c r="M930" t="s">
        <v>58</v>
      </c>
      <c r="N930" t="s">
        <v>31</v>
      </c>
      <c r="O930" t="s">
        <v>51</v>
      </c>
      <c r="P930" t="s">
        <v>85</v>
      </c>
      <c r="Q930">
        <v>2</v>
      </c>
      <c r="R930" s="3">
        <f t="shared" si="84"/>
        <v>1799</v>
      </c>
      <c r="S930" s="3">
        <f t="shared" si="85"/>
        <v>179.9</v>
      </c>
      <c r="T930" s="3">
        <f t="shared" si="86"/>
        <v>1678.1</v>
      </c>
      <c r="U930" s="3">
        <f t="shared" si="87"/>
        <v>418.79999999999995</v>
      </c>
      <c r="V930" s="4">
        <f t="shared" si="88"/>
        <v>0.24956796376854776</v>
      </c>
      <c r="W930" t="str">
        <f t="shared" si="89"/>
        <v>Sep</v>
      </c>
    </row>
    <row r="931" spans="1:23" x14ac:dyDescent="0.25">
      <c r="A931" t="s">
        <v>1333</v>
      </c>
      <c r="B931" t="s">
        <v>1161</v>
      </c>
      <c r="C931" s="2">
        <v>45911.5625</v>
      </c>
      <c r="D931" t="s">
        <v>105</v>
      </c>
      <c r="E931" t="s">
        <v>106</v>
      </c>
      <c r="F931" t="s">
        <v>37</v>
      </c>
      <c r="G931" t="s">
        <v>107</v>
      </c>
      <c r="H931">
        <v>1</v>
      </c>
      <c r="I931" s="3">
        <v>1799</v>
      </c>
      <c r="J931" s="4">
        <v>0.1</v>
      </c>
      <c r="K931" s="3">
        <v>99</v>
      </c>
      <c r="L931" t="s">
        <v>57</v>
      </c>
      <c r="M931" t="s">
        <v>58</v>
      </c>
      <c r="N931" t="s">
        <v>50</v>
      </c>
      <c r="O931" t="s">
        <v>41</v>
      </c>
      <c r="P931" t="s">
        <v>80</v>
      </c>
      <c r="Q931">
        <v>4</v>
      </c>
      <c r="R931" s="3">
        <f t="shared" si="84"/>
        <v>1799</v>
      </c>
      <c r="S931" s="3">
        <f t="shared" si="85"/>
        <v>179.9</v>
      </c>
      <c r="T931" s="3">
        <f t="shared" si="86"/>
        <v>1718.1</v>
      </c>
      <c r="U931" s="3">
        <f t="shared" si="87"/>
        <v>458.79999999999995</v>
      </c>
      <c r="V931" s="4">
        <f t="shared" si="88"/>
        <v>0.26703917117746345</v>
      </c>
      <c r="W931" t="str">
        <f t="shared" si="89"/>
        <v>Sep</v>
      </c>
    </row>
    <row r="932" spans="1:23" x14ac:dyDescent="0.25">
      <c r="A932" t="s">
        <v>1334</v>
      </c>
      <c r="B932" t="s">
        <v>527</v>
      </c>
      <c r="C932" s="2">
        <v>45931.648611111108</v>
      </c>
      <c r="D932" t="s">
        <v>96</v>
      </c>
      <c r="E932" t="s">
        <v>97</v>
      </c>
      <c r="F932" t="s">
        <v>98</v>
      </c>
      <c r="G932" t="s">
        <v>99</v>
      </c>
      <c r="H932">
        <v>2</v>
      </c>
      <c r="I932" s="3">
        <v>1499</v>
      </c>
      <c r="J932" s="4">
        <v>0</v>
      </c>
      <c r="K932" s="3">
        <v>79</v>
      </c>
      <c r="L932" t="s">
        <v>83</v>
      </c>
      <c r="M932" t="s">
        <v>84</v>
      </c>
      <c r="N932" t="s">
        <v>102</v>
      </c>
      <c r="O932" t="s">
        <v>59</v>
      </c>
      <c r="P932" t="s">
        <v>85</v>
      </c>
      <c r="Q932">
        <v>5</v>
      </c>
      <c r="R932" s="3">
        <f t="shared" si="84"/>
        <v>2998</v>
      </c>
      <c r="S932" s="3">
        <f t="shared" si="85"/>
        <v>0</v>
      </c>
      <c r="T932" s="3">
        <f t="shared" si="86"/>
        <v>3077</v>
      </c>
      <c r="U932" s="3">
        <f t="shared" si="87"/>
        <v>978.40000000000009</v>
      </c>
      <c r="V932" s="4">
        <f t="shared" si="88"/>
        <v>0.31797205069873258</v>
      </c>
      <c r="W932" t="str">
        <f t="shared" si="89"/>
        <v>Oct</v>
      </c>
    </row>
    <row r="933" spans="1:23" x14ac:dyDescent="0.25">
      <c r="A933" t="s">
        <v>1335</v>
      </c>
      <c r="C933" s="2">
        <v>45778.458333333343</v>
      </c>
      <c r="D933" t="s">
        <v>44</v>
      </c>
      <c r="E933" t="s">
        <v>45</v>
      </c>
      <c r="F933" t="s">
        <v>46</v>
      </c>
      <c r="G933" t="s">
        <v>47</v>
      </c>
      <c r="H933">
        <v>2</v>
      </c>
      <c r="I933" s="3">
        <v>1199</v>
      </c>
      <c r="J933" s="4">
        <v>0</v>
      </c>
      <c r="K933" s="3">
        <v>59</v>
      </c>
      <c r="L933" t="s">
        <v>113</v>
      </c>
      <c r="M933" t="s">
        <v>114</v>
      </c>
      <c r="N933" t="s">
        <v>40</v>
      </c>
      <c r="O933" t="s">
        <v>41</v>
      </c>
      <c r="P933" t="s">
        <v>33</v>
      </c>
      <c r="Q933">
        <v>1</v>
      </c>
      <c r="R933" s="3">
        <f t="shared" si="84"/>
        <v>2398</v>
      </c>
      <c r="S933" s="3">
        <f t="shared" si="85"/>
        <v>0</v>
      </c>
      <c r="T933" s="3">
        <f t="shared" si="86"/>
        <v>2457</v>
      </c>
      <c r="U933" s="3">
        <f t="shared" si="87"/>
        <v>778.40000000000009</v>
      </c>
      <c r="V933" s="4">
        <f t="shared" si="88"/>
        <v>0.31680911680911683</v>
      </c>
      <c r="W933" t="str">
        <f t="shared" si="89"/>
        <v>May</v>
      </c>
    </row>
    <row r="934" spans="1:23" x14ac:dyDescent="0.25">
      <c r="A934" t="s">
        <v>1336</v>
      </c>
      <c r="B934" t="s">
        <v>571</v>
      </c>
      <c r="C934" s="2">
        <v>45729.395138888889</v>
      </c>
      <c r="D934" t="s">
        <v>35</v>
      </c>
      <c r="E934" t="s">
        <v>36</v>
      </c>
      <c r="F934" t="s">
        <v>37</v>
      </c>
      <c r="G934" t="s">
        <v>38</v>
      </c>
      <c r="H934">
        <v>1</v>
      </c>
      <c r="I934" s="3">
        <v>599</v>
      </c>
      <c r="J934" s="4">
        <v>0.15</v>
      </c>
      <c r="K934" s="3">
        <v>79</v>
      </c>
      <c r="L934" t="s">
        <v>74</v>
      </c>
      <c r="M934" t="s">
        <v>49</v>
      </c>
      <c r="N934" t="s">
        <v>50</v>
      </c>
      <c r="O934" t="s">
        <v>41</v>
      </c>
      <c r="P934" t="s">
        <v>33</v>
      </c>
      <c r="Q934">
        <v>1</v>
      </c>
      <c r="R934" s="3">
        <f t="shared" si="84"/>
        <v>599</v>
      </c>
      <c r="S934" s="3">
        <f t="shared" si="85"/>
        <v>89.85</v>
      </c>
      <c r="T934" s="3">
        <f t="shared" si="86"/>
        <v>588.15</v>
      </c>
      <c r="U934" s="3">
        <f t="shared" si="87"/>
        <v>168.85000000000002</v>
      </c>
      <c r="V934" s="4">
        <f t="shared" si="88"/>
        <v>0.2870866275609964</v>
      </c>
      <c r="W934" t="str">
        <f t="shared" si="89"/>
        <v>Mar</v>
      </c>
    </row>
    <row r="935" spans="1:23" x14ac:dyDescent="0.25">
      <c r="A935" t="s">
        <v>1337</v>
      </c>
      <c r="B935" t="s">
        <v>1338</v>
      </c>
      <c r="C935" s="2">
        <v>46014.92291666667</v>
      </c>
      <c r="D935" t="s">
        <v>77</v>
      </c>
      <c r="E935" t="s">
        <v>78</v>
      </c>
      <c r="F935" t="s">
        <v>79</v>
      </c>
      <c r="G935" t="s">
        <v>28</v>
      </c>
      <c r="H935">
        <v>1</v>
      </c>
      <c r="I935" s="3">
        <v>6499</v>
      </c>
      <c r="J935" s="4">
        <v>0.2</v>
      </c>
      <c r="K935" s="3">
        <v>0</v>
      </c>
      <c r="L935" t="s">
        <v>100</v>
      </c>
      <c r="M935" t="s">
        <v>101</v>
      </c>
      <c r="N935" t="s">
        <v>71</v>
      </c>
      <c r="O935" t="s">
        <v>93</v>
      </c>
      <c r="P935" t="s">
        <v>52</v>
      </c>
      <c r="R935" s="3">
        <f t="shared" si="84"/>
        <v>6499</v>
      </c>
      <c r="S935" s="3">
        <f t="shared" si="85"/>
        <v>1299.8000000000002</v>
      </c>
      <c r="T935" s="3">
        <f t="shared" si="86"/>
        <v>5199.2</v>
      </c>
      <c r="U935" s="3">
        <f t="shared" si="87"/>
        <v>649.90000000000055</v>
      </c>
      <c r="V935" s="4">
        <f t="shared" si="88"/>
        <v>0.12500000000000011</v>
      </c>
      <c r="W935" t="str">
        <f t="shared" si="89"/>
        <v>Dec</v>
      </c>
    </row>
    <row r="936" spans="1:23" x14ac:dyDescent="0.25">
      <c r="A936" t="s">
        <v>1339</v>
      </c>
      <c r="B936" t="s">
        <v>376</v>
      </c>
      <c r="C936" s="2">
        <v>45962.209027777782</v>
      </c>
      <c r="D936" t="s">
        <v>55</v>
      </c>
      <c r="E936" t="s">
        <v>56</v>
      </c>
      <c r="F936" t="s">
        <v>37</v>
      </c>
      <c r="G936" t="s">
        <v>38</v>
      </c>
      <c r="H936">
        <v>1</v>
      </c>
      <c r="I936" s="3">
        <v>2499</v>
      </c>
      <c r="J936" s="4">
        <v>0.05</v>
      </c>
      <c r="K936" s="3">
        <v>49</v>
      </c>
      <c r="L936" t="s">
        <v>125</v>
      </c>
      <c r="M936" t="s">
        <v>126</v>
      </c>
      <c r="N936" t="s">
        <v>50</v>
      </c>
      <c r="O936" t="s">
        <v>93</v>
      </c>
      <c r="P936" t="s">
        <v>33</v>
      </c>
      <c r="Q936">
        <v>1</v>
      </c>
      <c r="R936" s="3">
        <f t="shared" si="84"/>
        <v>2499</v>
      </c>
      <c r="S936" s="3">
        <f t="shared" si="85"/>
        <v>124.95</v>
      </c>
      <c r="T936" s="3">
        <f t="shared" si="86"/>
        <v>2423.0500000000002</v>
      </c>
      <c r="U936" s="3">
        <f t="shared" si="87"/>
        <v>673.75000000000023</v>
      </c>
      <c r="V936" s="4">
        <f t="shared" si="88"/>
        <v>0.27805864509605671</v>
      </c>
      <c r="W936" t="str">
        <f t="shared" si="89"/>
        <v>Nov</v>
      </c>
    </row>
    <row r="937" spans="1:23" x14ac:dyDescent="0.25">
      <c r="A937" t="s">
        <v>1340</v>
      </c>
      <c r="B937" t="s">
        <v>634</v>
      </c>
      <c r="C937" s="2">
        <v>45751.657638888893</v>
      </c>
      <c r="D937" t="s">
        <v>44</v>
      </c>
      <c r="E937" t="s">
        <v>45</v>
      </c>
      <c r="F937" t="s">
        <v>46</v>
      </c>
      <c r="G937" t="s">
        <v>47</v>
      </c>
      <c r="H937">
        <v>1</v>
      </c>
      <c r="I937" s="3">
        <v>1199</v>
      </c>
      <c r="J937" s="4">
        <v>0.2</v>
      </c>
      <c r="K937" s="3">
        <v>99</v>
      </c>
      <c r="L937" t="s">
        <v>57</v>
      </c>
      <c r="M937" t="s">
        <v>58</v>
      </c>
      <c r="N937" t="s">
        <v>40</v>
      </c>
      <c r="O937" t="s">
        <v>59</v>
      </c>
      <c r="P937" t="s">
        <v>33</v>
      </c>
      <c r="R937" s="3">
        <f t="shared" si="84"/>
        <v>1199</v>
      </c>
      <c r="S937" s="3">
        <f t="shared" si="85"/>
        <v>239.8</v>
      </c>
      <c r="T937" s="3">
        <f t="shared" si="86"/>
        <v>1058.2</v>
      </c>
      <c r="U937" s="3">
        <f t="shared" si="87"/>
        <v>218.90000000000009</v>
      </c>
      <c r="V937" s="4">
        <f t="shared" si="88"/>
        <v>0.20686070686070693</v>
      </c>
      <c r="W937" t="str">
        <f t="shared" si="89"/>
        <v>Apr</v>
      </c>
    </row>
    <row r="938" spans="1:23" x14ac:dyDescent="0.25">
      <c r="A938" t="s">
        <v>1341</v>
      </c>
      <c r="B938" t="s">
        <v>381</v>
      </c>
      <c r="C938" s="2">
        <v>46013.012499999997</v>
      </c>
      <c r="D938" t="s">
        <v>169</v>
      </c>
      <c r="E938" t="s">
        <v>170</v>
      </c>
      <c r="F938" t="s">
        <v>98</v>
      </c>
      <c r="G938" t="s">
        <v>171</v>
      </c>
      <c r="H938">
        <v>3</v>
      </c>
      <c r="I938" s="3">
        <v>799</v>
      </c>
      <c r="J938" s="4">
        <v>0</v>
      </c>
      <c r="K938" s="3">
        <v>0</v>
      </c>
      <c r="L938" t="s">
        <v>119</v>
      </c>
      <c r="M938" t="s">
        <v>120</v>
      </c>
      <c r="N938" t="s">
        <v>102</v>
      </c>
      <c r="O938" t="s">
        <v>41</v>
      </c>
      <c r="P938" t="s">
        <v>33</v>
      </c>
      <c r="Q938">
        <v>5</v>
      </c>
      <c r="R938" s="3">
        <f t="shared" si="84"/>
        <v>2397</v>
      </c>
      <c r="S938" s="3">
        <f t="shared" si="85"/>
        <v>0</v>
      </c>
      <c r="T938" s="3">
        <f t="shared" si="86"/>
        <v>2397</v>
      </c>
      <c r="U938" s="3">
        <f t="shared" si="87"/>
        <v>719.10000000000014</v>
      </c>
      <c r="V938" s="4">
        <f t="shared" si="88"/>
        <v>0.30000000000000004</v>
      </c>
      <c r="W938" t="str">
        <f t="shared" si="89"/>
        <v>Dec</v>
      </c>
    </row>
    <row r="939" spans="1:23" x14ac:dyDescent="0.25">
      <c r="A939" t="s">
        <v>1342</v>
      </c>
      <c r="B939" t="s">
        <v>334</v>
      </c>
      <c r="C939" s="2">
        <v>45874.913888888892</v>
      </c>
      <c r="D939" t="s">
        <v>105</v>
      </c>
      <c r="E939" t="s">
        <v>106</v>
      </c>
      <c r="F939" t="s">
        <v>37</v>
      </c>
      <c r="G939" t="s">
        <v>107</v>
      </c>
      <c r="H939">
        <v>1</v>
      </c>
      <c r="I939" s="3">
        <v>1799</v>
      </c>
      <c r="J939" s="4">
        <v>0.15</v>
      </c>
      <c r="K939" s="3">
        <v>59</v>
      </c>
      <c r="L939" t="s">
        <v>39</v>
      </c>
      <c r="M939" t="s">
        <v>39</v>
      </c>
      <c r="N939" t="s">
        <v>102</v>
      </c>
      <c r="O939" t="s">
        <v>51</v>
      </c>
      <c r="P939" t="s">
        <v>52</v>
      </c>
      <c r="R939" s="3">
        <f t="shared" si="84"/>
        <v>1799</v>
      </c>
      <c r="S939" s="3">
        <f t="shared" si="85"/>
        <v>269.84999999999997</v>
      </c>
      <c r="T939" s="3">
        <f t="shared" si="86"/>
        <v>1588.15</v>
      </c>
      <c r="U939" s="3">
        <f t="shared" si="87"/>
        <v>328.85000000000014</v>
      </c>
      <c r="V939" s="4">
        <f t="shared" si="88"/>
        <v>0.20706482385165137</v>
      </c>
      <c r="W939" t="str">
        <f t="shared" si="89"/>
        <v>Aug</v>
      </c>
    </row>
    <row r="940" spans="1:23" x14ac:dyDescent="0.25">
      <c r="A940" t="s">
        <v>1343</v>
      </c>
      <c r="B940" t="s">
        <v>228</v>
      </c>
      <c r="C940" s="2">
        <v>45797.106249999997</v>
      </c>
      <c r="D940" t="s">
        <v>67</v>
      </c>
      <c r="E940" t="s">
        <v>68</v>
      </c>
      <c r="F940" t="s">
        <v>37</v>
      </c>
      <c r="G940" t="s">
        <v>38</v>
      </c>
      <c r="H940">
        <v>4</v>
      </c>
      <c r="I940" s="3">
        <v>1299</v>
      </c>
      <c r="J940" s="4">
        <v>0</v>
      </c>
      <c r="K940" s="3">
        <v>49</v>
      </c>
      <c r="L940" t="s">
        <v>57</v>
      </c>
      <c r="M940" t="s">
        <v>58</v>
      </c>
      <c r="N940" t="s">
        <v>102</v>
      </c>
      <c r="O940" t="s">
        <v>93</v>
      </c>
      <c r="P940" t="s">
        <v>52</v>
      </c>
      <c r="Q940">
        <v>2</v>
      </c>
      <c r="R940" s="3">
        <f t="shared" si="84"/>
        <v>5196</v>
      </c>
      <c r="S940" s="3">
        <f t="shared" si="85"/>
        <v>0</v>
      </c>
      <c r="T940" s="3">
        <f t="shared" si="86"/>
        <v>5245</v>
      </c>
      <c r="U940" s="3">
        <f t="shared" si="87"/>
        <v>1607.8000000000002</v>
      </c>
      <c r="V940" s="4">
        <f t="shared" si="88"/>
        <v>0.30653956148713063</v>
      </c>
      <c r="W940" t="str">
        <f t="shared" si="89"/>
        <v>May</v>
      </c>
    </row>
    <row r="941" spans="1:23" x14ac:dyDescent="0.25">
      <c r="A941" t="s">
        <v>1344</v>
      </c>
      <c r="B941" t="s">
        <v>1345</v>
      </c>
      <c r="C941" s="2">
        <v>45944.828472222223</v>
      </c>
      <c r="D941" t="s">
        <v>96</v>
      </c>
      <c r="E941" t="s">
        <v>97</v>
      </c>
      <c r="F941" t="s">
        <v>98</v>
      </c>
      <c r="G941" t="s">
        <v>99</v>
      </c>
      <c r="H941">
        <v>3</v>
      </c>
      <c r="I941" s="3">
        <v>1499</v>
      </c>
      <c r="J941" s="4">
        <v>0.2</v>
      </c>
      <c r="K941" s="3">
        <v>79</v>
      </c>
      <c r="L941" t="s">
        <v>100</v>
      </c>
      <c r="M941" t="s">
        <v>101</v>
      </c>
      <c r="N941" t="s">
        <v>71</v>
      </c>
      <c r="O941" t="s">
        <v>59</v>
      </c>
      <c r="P941" t="s">
        <v>33</v>
      </c>
      <c r="R941" s="3">
        <f t="shared" si="84"/>
        <v>4497</v>
      </c>
      <c r="S941" s="3">
        <f t="shared" si="85"/>
        <v>899.40000000000009</v>
      </c>
      <c r="T941" s="3">
        <f t="shared" si="86"/>
        <v>3676.6</v>
      </c>
      <c r="U941" s="3">
        <f t="shared" si="87"/>
        <v>528.70000000000027</v>
      </c>
      <c r="V941" s="4">
        <f t="shared" si="88"/>
        <v>0.1438013381928957</v>
      </c>
      <c r="W941" t="str">
        <f t="shared" si="89"/>
        <v>Oct</v>
      </c>
    </row>
    <row r="942" spans="1:23" x14ac:dyDescent="0.25">
      <c r="A942" t="s">
        <v>1346</v>
      </c>
      <c r="B942" t="s">
        <v>574</v>
      </c>
      <c r="C942" s="2">
        <v>45848.852083333331</v>
      </c>
      <c r="D942" t="s">
        <v>96</v>
      </c>
      <c r="E942" t="s">
        <v>97</v>
      </c>
      <c r="F942" t="s">
        <v>98</v>
      </c>
      <c r="G942" t="s">
        <v>99</v>
      </c>
      <c r="H942">
        <v>1</v>
      </c>
      <c r="I942" s="3">
        <v>1499</v>
      </c>
      <c r="J942" s="4">
        <v>0.05</v>
      </c>
      <c r="K942" s="3">
        <v>0</v>
      </c>
      <c r="L942" t="s">
        <v>100</v>
      </c>
      <c r="M942" t="s">
        <v>101</v>
      </c>
      <c r="N942" t="s">
        <v>31</v>
      </c>
      <c r="O942" t="s">
        <v>51</v>
      </c>
      <c r="P942" t="s">
        <v>33</v>
      </c>
      <c r="Q942">
        <v>5</v>
      </c>
      <c r="R942" s="3">
        <f t="shared" si="84"/>
        <v>1499</v>
      </c>
      <c r="S942" s="3">
        <f t="shared" si="85"/>
        <v>74.95</v>
      </c>
      <c r="T942" s="3">
        <f t="shared" si="86"/>
        <v>1424.05</v>
      </c>
      <c r="U942" s="3">
        <f t="shared" si="87"/>
        <v>374.75</v>
      </c>
      <c r="V942" s="4">
        <f t="shared" si="88"/>
        <v>0.26315789473684209</v>
      </c>
      <c r="W942" t="str">
        <f t="shared" si="89"/>
        <v>Jul</v>
      </c>
    </row>
    <row r="943" spans="1:23" x14ac:dyDescent="0.25">
      <c r="A943" t="s">
        <v>1347</v>
      </c>
      <c r="C943" s="2">
        <v>45741.712500000001</v>
      </c>
      <c r="D943" t="s">
        <v>169</v>
      </c>
      <c r="E943" t="s">
        <v>170</v>
      </c>
      <c r="F943" t="s">
        <v>98</v>
      </c>
      <c r="G943" t="s">
        <v>171</v>
      </c>
      <c r="H943">
        <v>1</v>
      </c>
      <c r="I943" s="3">
        <v>799</v>
      </c>
      <c r="J943" s="4">
        <v>0</v>
      </c>
      <c r="K943" s="3">
        <v>99</v>
      </c>
      <c r="L943" t="s">
        <v>39</v>
      </c>
      <c r="M943" t="s">
        <v>39</v>
      </c>
      <c r="N943" t="s">
        <v>71</v>
      </c>
      <c r="O943" t="s">
        <v>41</v>
      </c>
      <c r="P943" t="s">
        <v>33</v>
      </c>
      <c r="Q943">
        <v>5</v>
      </c>
      <c r="R943" s="3">
        <f t="shared" si="84"/>
        <v>799</v>
      </c>
      <c r="S943" s="3">
        <f t="shared" si="85"/>
        <v>0</v>
      </c>
      <c r="T943" s="3">
        <f t="shared" si="86"/>
        <v>898</v>
      </c>
      <c r="U943" s="3">
        <f t="shared" si="87"/>
        <v>338.70000000000005</v>
      </c>
      <c r="V943" s="4">
        <f t="shared" si="88"/>
        <v>0.37717149220489982</v>
      </c>
      <c r="W943" t="str">
        <f t="shared" si="89"/>
        <v>Mar</v>
      </c>
    </row>
    <row r="944" spans="1:23" x14ac:dyDescent="0.25">
      <c r="A944" t="s">
        <v>1348</v>
      </c>
      <c r="B944" t="s">
        <v>61</v>
      </c>
      <c r="C944" s="2">
        <v>45701.775000000001</v>
      </c>
      <c r="D944" t="s">
        <v>67</v>
      </c>
      <c r="E944" t="s">
        <v>68</v>
      </c>
      <c r="F944" t="s">
        <v>37</v>
      </c>
      <c r="G944" t="s">
        <v>38</v>
      </c>
      <c r="H944">
        <v>1</v>
      </c>
      <c r="I944" s="3">
        <v>1299</v>
      </c>
      <c r="J944" s="4">
        <v>0.15</v>
      </c>
      <c r="K944" s="3">
        <v>79</v>
      </c>
      <c r="L944" t="s">
        <v>39</v>
      </c>
      <c r="M944" t="s">
        <v>39</v>
      </c>
      <c r="N944" t="s">
        <v>31</v>
      </c>
      <c r="O944" t="s">
        <v>51</v>
      </c>
      <c r="P944" t="s">
        <v>33</v>
      </c>
      <c r="Q944">
        <v>1</v>
      </c>
      <c r="R944" s="3">
        <f t="shared" si="84"/>
        <v>1299</v>
      </c>
      <c r="S944" s="3">
        <f t="shared" si="85"/>
        <v>194.85</v>
      </c>
      <c r="T944" s="3">
        <f t="shared" si="86"/>
        <v>1183.1500000000001</v>
      </c>
      <c r="U944" s="3">
        <f t="shared" si="87"/>
        <v>273.85000000000014</v>
      </c>
      <c r="V944" s="4">
        <f t="shared" si="88"/>
        <v>0.23145839496259993</v>
      </c>
      <c r="W944" t="str">
        <f t="shared" si="89"/>
        <v>Feb</v>
      </c>
    </row>
    <row r="945" spans="1:23" x14ac:dyDescent="0.25">
      <c r="A945" t="s">
        <v>1349</v>
      </c>
      <c r="B945" t="s">
        <v>814</v>
      </c>
      <c r="C945" s="2">
        <v>45802.522222222222</v>
      </c>
      <c r="D945" t="s">
        <v>110</v>
      </c>
      <c r="E945" t="s">
        <v>111</v>
      </c>
      <c r="F945" t="s">
        <v>98</v>
      </c>
      <c r="G945" t="s">
        <v>112</v>
      </c>
      <c r="H945">
        <v>5</v>
      </c>
      <c r="I945" s="3">
        <v>2999</v>
      </c>
      <c r="J945" s="4">
        <v>0.05</v>
      </c>
      <c r="K945" s="3">
        <v>79</v>
      </c>
      <c r="L945" t="s">
        <v>39</v>
      </c>
      <c r="M945" t="s">
        <v>39</v>
      </c>
      <c r="N945" t="s">
        <v>50</v>
      </c>
      <c r="O945" t="s">
        <v>93</v>
      </c>
      <c r="P945" t="s">
        <v>33</v>
      </c>
      <c r="Q945">
        <v>3</v>
      </c>
      <c r="R945" s="3">
        <f t="shared" si="84"/>
        <v>14995</v>
      </c>
      <c r="S945" s="3">
        <f t="shared" si="85"/>
        <v>749.75</v>
      </c>
      <c r="T945" s="3">
        <f t="shared" si="86"/>
        <v>14324.25</v>
      </c>
      <c r="U945" s="3">
        <f t="shared" si="87"/>
        <v>3827.75</v>
      </c>
      <c r="V945" s="4">
        <f t="shared" si="88"/>
        <v>0.26722166954639859</v>
      </c>
      <c r="W945" t="str">
        <f t="shared" si="89"/>
        <v>May</v>
      </c>
    </row>
    <row r="946" spans="1:23" x14ac:dyDescent="0.25">
      <c r="A946" t="s">
        <v>1350</v>
      </c>
      <c r="B946" t="s">
        <v>662</v>
      </c>
      <c r="C946" s="2">
        <v>45734.025694444441</v>
      </c>
      <c r="D946" t="s">
        <v>96</v>
      </c>
      <c r="E946" t="s">
        <v>97</v>
      </c>
      <c r="F946" t="s">
        <v>98</v>
      </c>
      <c r="G946" t="s">
        <v>99</v>
      </c>
      <c r="H946">
        <v>1</v>
      </c>
      <c r="I946" s="3">
        <v>1499</v>
      </c>
      <c r="J946" s="4">
        <v>0.1</v>
      </c>
      <c r="K946" s="3">
        <v>99</v>
      </c>
      <c r="L946" t="s">
        <v>83</v>
      </c>
      <c r="M946" t="s">
        <v>84</v>
      </c>
      <c r="N946" t="s">
        <v>71</v>
      </c>
      <c r="O946" t="s">
        <v>41</v>
      </c>
      <c r="P946" t="s">
        <v>52</v>
      </c>
      <c r="Q946">
        <v>2</v>
      </c>
      <c r="R946" s="3">
        <f t="shared" si="84"/>
        <v>1499</v>
      </c>
      <c r="S946" s="3">
        <f t="shared" si="85"/>
        <v>149.9</v>
      </c>
      <c r="T946" s="3">
        <f t="shared" si="86"/>
        <v>1448.1</v>
      </c>
      <c r="U946" s="3">
        <f t="shared" si="87"/>
        <v>398.79999999999995</v>
      </c>
      <c r="V946" s="4">
        <f t="shared" si="88"/>
        <v>0.2753953456253021</v>
      </c>
      <c r="W946" t="str">
        <f t="shared" si="89"/>
        <v>Mar</v>
      </c>
    </row>
    <row r="947" spans="1:23" x14ac:dyDescent="0.25">
      <c r="A947" t="s">
        <v>1351</v>
      </c>
      <c r="B947" t="s">
        <v>354</v>
      </c>
      <c r="C947" s="2">
        <v>45978.114583333343</v>
      </c>
      <c r="D947" t="s">
        <v>25</v>
      </c>
      <c r="E947" t="s">
        <v>26</v>
      </c>
      <c r="F947" t="s">
        <v>27</v>
      </c>
      <c r="G947" t="s">
        <v>28</v>
      </c>
      <c r="H947">
        <v>1</v>
      </c>
      <c r="I947" s="3">
        <v>249</v>
      </c>
      <c r="J947" s="4">
        <v>0</v>
      </c>
      <c r="K947" s="3">
        <v>49</v>
      </c>
      <c r="L947" t="s">
        <v>119</v>
      </c>
      <c r="M947" t="s">
        <v>120</v>
      </c>
      <c r="N947" t="s">
        <v>102</v>
      </c>
      <c r="O947" t="s">
        <v>32</v>
      </c>
      <c r="P947" t="s">
        <v>33</v>
      </c>
      <c r="R947" s="3">
        <f t="shared" si="84"/>
        <v>249</v>
      </c>
      <c r="S947" s="3">
        <f t="shared" si="85"/>
        <v>0</v>
      </c>
      <c r="T947" s="3">
        <f t="shared" si="86"/>
        <v>298</v>
      </c>
      <c r="U947" s="3">
        <f t="shared" si="87"/>
        <v>123.70000000000002</v>
      </c>
      <c r="V947" s="4">
        <f t="shared" si="88"/>
        <v>0.41510067114093968</v>
      </c>
      <c r="W947" t="str">
        <f t="shared" si="89"/>
        <v>Nov</v>
      </c>
    </row>
    <row r="948" spans="1:23" x14ac:dyDescent="0.25">
      <c r="A948" t="s">
        <v>1352</v>
      </c>
      <c r="B948" t="s">
        <v>737</v>
      </c>
      <c r="C948" s="2">
        <v>45832.618055555547</v>
      </c>
      <c r="D948" t="s">
        <v>44</v>
      </c>
      <c r="E948" t="s">
        <v>45</v>
      </c>
      <c r="F948" t="s">
        <v>46</v>
      </c>
      <c r="G948" t="s">
        <v>47</v>
      </c>
      <c r="H948">
        <v>4</v>
      </c>
      <c r="I948" s="3">
        <v>1199</v>
      </c>
      <c r="J948" s="4">
        <v>0.05</v>
      </c>
      <c r="K948" s="3">
        <v>59</v>
      </c>
      <c r="L948" t="s">
        <v>83</v>
      </c>
      <c r="M948" t="s">
        <v>84</v>
      </c>
      <c r="N948" t="s">
        <v>102</v>
      </c>
      <c r="O948" t="s">
        <v>59</v>
      </c>
      <c r="P948" t="s">
        <v>33</v>
      </c>
      <c r="Q948">
        <v>1</v>
      </c>
      <c r="R948" s="3">
        <f t="shared" si="84"/>
        <v>4796</v>
      </c>
      <c r="S948" s="3">
        <f t="shared" si="85"/>
        <v>239.8</v>
      </c>
      <c r="T948" s="3">
        <f t="shared" si="86"/>
        <v>4615.2</v>
      </c>
      <c r="U948" s="3">
        <f t="shared" si="87"/>
        <v>1258</v>
      </c>
      <c r="V948" s="4">
        <f t="shared" si="88"/>
        <v>0.27257756976945746</v>
      </c>
      <c r="W948" t="str">
        <f t="shared" si="89"/>
        <v>Jun</v>
      </c>
    </row>
    <row r="949" spans="1:23" x14ac:dyDescent="0.25">
      <c r="A949" t="s">
        <v>1353</v>
      </c>
      <c r="B949" t="s">
        <v>124</v>
      </c>
      <c r="C949" s="2">
        <v>45970.794444444437</v>
      </c>
      <c r="D949" t="s">
        <v>77</v>
      </c>
      <c r="E949" t="s">
        <v>78</v>
      </c>
      <c r="F949" t="s">
        <v>79</v>
      </c>
      <c r="G949" t="s">
        <v>28</v>
      </c>
      <c r="H949">
        <v>1</v>
      </c>
      <c r="I949" s="3">
        <v>6499</v>
      </c>
      <c r="J949" s="4">
        <v>0.15</v>
      </c>
      <c r="K949" s="3">
        <v>79</v>
      </c>
      <c r="L949" t="s">
        <v>57</v>
      </c>
      <c r="M949" t="s">
        <v>58</v>
      </c>
      <c r="N949" t="s">
        <v>31</v>
      </c>
      <c r="O949" t="s">
        <v>41</v>
      </c>
      <c r="P949" t="s">
        <v>33</v>
      </c>
      <c r="R949" s="3">
        <f t="shared" si="84"/>
        <v>6499</v>
      </c>
      <c r="S949" s="3">
        <f t="shared" si="85"/>
        <v>974.84999999999991</v>
      </c>
      <c r="T949" s="3">
        <f t="shared" si="86"/>
        <v>5603.15</v>
      </c>
      <c r="U949" s="3">
        <f t="shared" si="87"/>
        <v>1053.8500000000004</v>
      </c>
      <c r="V949" s="4">
        <f t="shared" si="88"/>
        <v>0.18808170404147675</v>
      </c>
      <c r="W949" t="str">
        <f t="shared" si="89"/>
        <v>Nov</v>
      </c>
    </row>
    <row r="950" spans="1:23" x14ac:dyDescent="0.25">
      <c r="A950" t="s">
        <v>1354</v>
      </c>
      <c r="B950" t="s">
        <v>591</v>
      </c>
      <c r="C950" s="2">
        <v>45702.629166666673</v>
      </c>
      <c r="D950" t="s">
        <v>110</v>
      </c>
      <c r="E950" t="s">
        <v>111</v>
      </c>
      <c r="F950" t="s">
        <v>98</v>
      </c>
      <c r="G950" t="s">
        <v>112</v>
      </c>
      <c r="H950">
        <v>3</v>
      </c>
      <c r="I950" s="3">
        <v>2999</v>
      </c>
      <c r="J950" s="4">
        <v>0.05</v>
      </c>
      <c r="K950" s="3">
        <v>49</v>
      </c>
      <c r="L950" t="s">
        <v>83</v>
      </c>
      <c r="M950" t="s">
        <v>84</v>
      </c>
      <c r="N950" t="s">
        <v>50</v>
      </c>
      <c r="O950" t="s">
        <v>93</v>
      </c>
      <c r="P950" t="s">
        <v>52</v>
      </c>
      <c r="Q950">
        <v>3</v>
      </c>
      <c r="R950" s="3">
        <f t="shared" si="84"/>
        <v>8997</v>
      </c>
      <c r="S950" s="3">
        <f t="shared" si="85"/>
        <v>449.85</v>
      </c>
      <c r="T950" s="3">
        <f t="shared" si="86"/>
        <v>8596.15</v>
      </c>
      <c r="U950" s="3">
        <f t="shared" si="87"/>
        <v>2298.25</v>
      </c>
      <c r="V950" s="4">
        <f t="shared" si="88"/>
        <v>0.26735806145774565</v>
      </c>
      <c r="W950" t="str">
        <f t="shared" si="89"/>
        <v>Feb</v>
      </c>
    </row>
    <row r="951" spans="1:23" x14ac:dyDescent="0.25">
      <c r="A951" t="s">
        <v>1355</v>
      </c>
      <c r="B951" t="s">
        <v>360</v>
      </c>
      <c r="C951" s="2">
        <v>45694.239583333343</v>
      </c>
      <c r="D951" t="s">
        <v>44</v>
      </c>
      <c r="E951" t="s">
        <v>45</v>
      </c>
      <c r="F951" t="s">
        <v>46</v>
      </c>
      <c r="G951" t="s">
        <v>47</v>
      </c>
      <c r="H951">
        <v>1</v>
      </c>
      <c r="I951" s="3">
        <v>1199</v>
      </c>
      <c r="J951" s="4">
        <v>0.05</v>
      </c>
      <c r="K951" s="3">
        <v>79</v>
      </c>
      <c r="L951" t="s">
        <v>74</v>
      </c>
      <c r="M951" t="s">
        <v>49</v>
      </c>
      <c r="N951" t="s">
        <v>40</v>
      </c>
      <c r="O951" t="s">
        <v>41</v>
      </c>
      <c r="P951" t="s">
        <v>52</v>
      </c>
      <c r="Q951">
        <v>1</v>
      </c>
      <c r="R951" s="3">
        <f t="shared" si="84"/>
        <v>1199</v>
      </c>
      <c r="S951" s="3">
        <f t="shared" si="85"/>
        <v>59.95</v>
      </c>
      <c r="T951" s="3">
        <f t="shared" si="86"/>
        <v>1218.05</v>
      </c>
      <c r="U951" s="3">
        <f t="shared" si="87"/>
        <v>378.75</v>
      </c>
      <c r="V951" s="4">
        <f t="shared" si="88"/>
        <v>0.31094782644390623</v>
      </c>
      <c r="W951" t="str">
        <f t="shared" si="89"/>
        <v>Feb</v>
      </c>
    </row>
    <row r="952" spans="1:23" x14ac:dyDescent="0.25">
      <c r="A952" t="s">
        <v>1356</v>
      </c>
      <c r="B952" t="s">
        <v>1357</v>
      </c>
      <c r="C952" s="2">
        <v>45804.518055555563</v>
      </c>
      <c r="D952" t="s">
        <v>44</v>
      </c>
      <c r="E952" t="s">
        <v>45</v>
      </c>
      <c r="F952" t="s">
        <v>46</v>
      </c>
      <c r="G952" t="s">
        <v>47</v>
      </c>
      <c r="H952">
        <v>1</v>
      </c>
      <c r="I952" s="3">
        <v>1199</v>
      </c>
      <c r="J952" s="4">
        <v>0.2</v>
      </c>
      <c r="K952" s="3">
        <v>49</v>
      </c>
      <c r="L952" t="s">
        <v>119</v>
      </c>
      <c r="M952" t="s">
        <v>120</v>
      </c>
      <c r="N952" t="s">
        <v>71</v>
      </c>
      <c r="O952" t="s">
        <v>32</v>
      </c>
      <c r="P952" t="s">
        <v>85</v>
      </c>
      <c r="R952" s="3">
        <f t="shared" si="84"/>
        <v>1199</v>
      </c>
      <c r="S952" s="3">
        <f t="shared" si="85"/>
        <v>239.8</v>
      </c>
      <c r="T952" s="3">
        <f t="shared" si="86"/>
        <v>1008.2</v>
      </c>
      <c r="U952" s="3">
        <f t="shared" si="87"/>
        <v>168.90000000000009</v>
      </c>
      <c r="V952" s="4">
        <f t="shared" si="88"/>
        <v>0.16752628446736767</v>
      </c>
      <c r="W952" t="str">
        <f t="shared" si="89"/>
        <v>May</v>
      </c>
    </row>
    <row r="953" spans="1:23" x14ac:dyDescent="0.25">
      <c r="A953" t="s">
        <v>1358</v>
      </c>
      <c r="B953" t="s">
        <v>1117</v>
      </c>
      <c r="C953" s="2">
        <v>46007.563888888893</v>
      </c>
      <c r="D953" t="s">
        <v>44</v>
      </c>
      <c r="E953" t="s">
        <v>45</v>
      </c>
      <c r="F953" t="s">
        <v>46</v>
      </c>
      <c r="G953" t="s">
        <v>47</v>
      </c>
      <c r="H953">
        <v>1</v>
      </c>
      <c r="I953" s="3">
        <v>1199</v>
      </c>
      <c r="J953" s="4">
        <v>0.05</v>
      </c>
      <c r="K953" s="3">
        <v>0</v>
      </c>
      <c r="L953" t="s">
        <v>74</v>
      </c>
      <c r="M953" t="s">
        <v>49</v>
      </c>
      <c r="N953" t="s">
        <v>50</v>
      </c>
      <c r="O953" t="s">
        <v>32</v>
      </c>
      <c r="P953" t="s">
        <v>52</v>
      </c>
      <c r="Q953">
        <v>1</v>
      </c>
      <c r="R953" s="3">
        <f t="shared" si="84"/>
        <v>1199</v>
      </c>
      <c r="S953" s="3">
        <f t="shared" si="85"/>
        <v>59.95</v>
      </c>
      <c r="T953" s="3">
        <f t="shared" si="86"/>
        <v>1139.05</v>
      </c>
      <c r="U953" s="3">
        <f t="shared" si="87"/>
        <v>299.75</v>
      </c>
      <c r="V953" s="4">
        <f t="shared" si="88"/>
        <v>0.26315789473684209</v>
      </c>
      <c r="W953" t="str">
        <f t="shared" si="89"/>
        <v>Dec</v>
      </c>
    </row>
    <row r="954" spans="1:23" x14ac:dyDescent="0.25">
      <c r="A954" t="s">
        <v>1359</v>
      </c>
      <c r="B954" t="s">
        <v>198</v>
      </c>
      <c r="C954" s="2">
        <v>45739.767361111109</v>
      </c>
      <c r="D954" t="s">
        <v>105</v>
      </c>
      <c r="E954" t="s">
        <v>106</v>
      </c>
      <c r="F954" t="s">
        <v>37</v>
      </c>
      <c r="G954" t="s">
        <v>107</v>
      </c>
      <c r="H954">
        <v>1</v>
      </c>
      <c r="I954" s="3">
        <v>1799</v>
      </c>
      <c r="J954" s="4">
        <v>0</v>
      </c>
      <c r="K954" s="3">
        <v>79</v>
      </c>
      <c r="L954" t="s">
        <v>29</v>
      </c>
      <c r="M954" t="s">
        <v>30</v>
      </c>
      <c r="N954" t="s">
        <v>31</v>
      </c>
      <c r="O954" t="s">
        <v>51</v>
      </c>
      <c r="P954" t="s">
        <v>33</v>
      </c>
      <c r="Q954">
        <v>4</v>
      </c>
      <c r="R954" s="3">
        <f t="shared" si="84"/>
        <v>1799</v>
      </c>
      <c r="S954" s="3">
        <f t="shared" si="85"/>
        <v>0</v>
      </c>
      <c r="T954" s="3">
        <f t="shared" si="86"/>
        <v>1878</v>
      </c>
      <c r="U954" s="3">
        <f t="shared" si="87"/>
        <v>618.70000000000005</v>
      </c>
      <c r="V954" s="4">
        <f t="shared" si="88"/>
        <v>0.32944621938232166</v>
      </c>
      <c r="W954" t="str">
        <f t="shared" si="89"/>
        <v>Mar</v>
      </c>
    </row>
    <row r="955" spans="1:23" x14ac:dyDescent="0.25">
      <c r="A955" t="s">
        <v>1360</v>
      </c>
      <c r="B955" t="s">
        <v>280</v>
      </c>
      <c r="C955" s="2">
        <v>45896.128472222219</v>
      </c>
      <c r="D955" t="s">
        <v>90</v>
      </c>
      <c r="E955" t="s">
        <v>91</v>
      </c>
      <c r="F955" t="s">
        <v>37</v>
      </c>
      <c r="G955" t="s">
        <v>92</v>
      </c>
      <c r="H955">
        <v>4</v>
      </c>
      <c r="I955" s="3">
        <v>3499</v>
      </c>
      <c r="J955" s="4">
        <v>0.2</v>
      </c>
      <c r="K955" s="3">
        <v>0</v>
      </c>
      <c r="L955" t="s">
        <v>83</v>
      </c>
      <c r="M955" t="s">
        <v>84</v>
      </c>
      <c r="N955" t="s">
        <v>40</v>
      </c>
      <c r="O955" t="s">
        <v>41</v>
      </c>
      <c r="P955" t="s">
        <v>33</v>
      </c>
      <c r="Q955">
        <v>4</v>
      </c>
      <c r="R955" s="3">
        <f t="shared" si="84"/>
        <v>13996</v>
      </c>
      <c r="S955" s="3">
        <f t="shared" si="85"/>
        <v>2799.2000000000003</v>
      </c>
      <c r="T955" s="3">
        <f t="shared" si="86"/>
        <v>11196.8</v>
      </c>
      <c r="U955" s="3">
        <f t="shared" si="87"/>
        <v>1399.6000000000004</v>
      </c>
      <c r="V955" s="4">
        <f t="shared" si="88"/>
        <v>0.12500000000000003</v>
      </c>
      <c r="W955" t="str">
        <f t="shared" si="89"/>
        <v>Aug</v>
      </c>
    </row>
    <row r="956" spans="1:23" x14ac:dyDescent="0.25">
      <c r="A956" t="s">
        <v>1361</v>
      </c>
      <c r="B956" t="s">
        <v>238</v>
      </c>
      <c r="C956" s="2">
        <v>45967.634027777778</v>
      </c>
      <c r="D956" t="s">
        <v>169</v>
      </c>
      <c r="E956" t="s">
        <v>170</v>
      </c>
      <c r="F956" t="s">
        <v>98</v>
      </c>
      <c r="G956" t="s">
        <v>171</v>
      </c>
      <c r="H956">
        <v>1</v>
      </c>
      <c r="I956" s="3">
        <v>799</v>
      </c>
      <c r="J956" s="4">
        <v>0.2</v>
      </c>
      <c r="K956" s="3">
        <v>79</v>
      </c>
      <c r="L956" t="s">
        <v>29</v>
      </c>
      <c r="M956" t="s">
        <v>30</v>
      </c>
      <c r="N956" t="s">
        <v>71</v>
      </c>
      <c r="O956" t="s">
        <v>59</v>
      </c>
      <c r="P956" t="s">
        <v>80</v>
      </c>
      <c r="Q956">
        <v>1</v>
      </c>
      <c r="R956" s="3">
        <f t="shared" si="84"/>
        <v>799</v>
      </c>
      <c r="S956" s="3">
        <f t="shared" si="85"/>
        <v>159.80000000000001</v>
      </c>
      <c r="T956" s="3">
        <f t="shared" si="86"/>
        <v>718.2</v>
      </c>
      <c r="U956" s="3">
        <f t="shared" si="87"/>
        <v>158.90000000000009</v>
      </c>
      <c r="V956" s="4">
        <f t="shared" si="88"/>
        <v>0.22124756335282664</v>
      </c>
      <c r="W956" t="str">
        <f t="shared" si="89"/>
        <v>Nov</v>
      </c>
    </row>
    <row r="957" spans="1:23" x14ac:dyDescent="0.25">
      <c r="A957" t="s">
        <v>1362</v>
      </c>
      <c r="B957" t="s">
        <v>70</v>
      </c>
      <c r="C957" s="2">
        <v>45732.842361111107</v>
      </c>
      <c r="D957" t="s">
        <v>62</v>
      </c>
      <c r="E957" t="s">
        <v>63</v>
      </c>
      <c r="F957" t="s">
        <v>46</v>
      </c>
      <c r="G957" t="s">
        <v>64</v>
      </c>
      <c r="H957">
        <v>4</v>
      </c>
      <c r="I957" s="3">
        <v>699</v>
      </c>
      <c r="J957" s="4">
        <v>0.15</v>
      </c>
      <c r="K957" s="3">
        <v>0</v>
      </c>
      <c r="L957" t="s">
        <v>100</v>
      </c>
      <c r="M957" t="s">
        <v>101</v>
      </c>
      <c r="N957" t="s">
        <v>31</v>
      </c>
      <c r="O957" t="s">
        <v>51</v>
      </c>
      <c r="P957" t="s">
        <v>33</v>
      </c>
      <c r="R957" s="3">
        <f t="shared" si="84"/>
        <v>2796</v>
      </c>
      <c r="S957" s="3">
        <f t="shared" si="85"/>
        <v>419.4</v>
      </c>
      <c r="T957" s="3">
        <f t="shared" si="86"/>
        <v>2376.6</v>
      </c>
      <c r="U957" s="3">
        <f t="shared" si="87"/>
        <v>419.40000000000009</v>
      </c>
      <c r="V957" s="4">
        <f t="shared" si="88"/>
        <v>0.17647058823529416</v>
      </c>
      <c r="W957" t="str">
        <f t="shared" si="89"/>
        <v>Mar</v>
      </c>
    </row>
    <row r="958" spans="1:23" x14ac:dyDescent="0.25">
      <c r="A958" t="s">
        <v>1363</v>
      </c>
      <c r="B958" t="s">
        <v>200</v>
      </c>
      <c r="C958" s="2">
        <v>45766.033333333333</v>
      </c>
      <c r="D958" t="s">
        <v>96</v>
      </c>
      <c r="E958" t="s">
        <v>97</v>
      </c>
      <c r="F958" t="s">
        <v>98</v>
      </c>
      <c r="G958" t="s">
        <v>99</v>
      </c>
      <c r="H958">
        <v>1</v>
      </c>
      <c r="I958" s="3">
        <v>1499</v>
      </c>
      <c r="J958" s="4">
        <v>0.1</v>
      </c>
      <c r="K958" s="3">
        <v>59</v>
      </c>
      <c r="L958" t="s">
        <v>119</v>
      </c>
      <c r="M958" t="s">
        <v>120</v>
      </c>
      <c r="N958" t="s">
        <v>50</v>
      </c>
      <c r="O958" t="s">
        <v>93</v>
      </c>
      <c r="P958" t="s">
        <v>80</v>
      </c>
      <c r="Q958">
        <v>2</v>
      </c>
      <c r="R958" s="3">
        <f t="shared" si="84"/>
        <v>1499</v>
      </c>
      <c r="S958" s="3">
        <f t="shared" si="85"/>
        <v>149.9</v>
      </c>
      <c r="T958" s="3">
        <f t="shared" si="86"/>
        <v>1408.1</v>
      </c>
      <c r="U958" s="3">
        <f t="shared" si="87"/>
        <v>358.79999999999995</v>
      </c>
      <c r="V958" s="4">
        <f t="shared" si="88"/>
        <v>0.25481144805056455</v>
      </c>
      <c r="W958" t="str">
        <f t="shared" si="89"/>
        <v>Apr</v>
      </c>
    </row>
    <row r="959" spans="1:23" x14ac:dyDescent="0.25">
      <c r="A959" t="s">
        <v>1364</v>
      </c>
      <c r="B959" t="s">
        <v>1365</v>
      </c>
      <c r="C959" s="2">
        <v>45810.936111111107</v>
      </c>
      <c r="D959" t="s">
        <v>55</v>
      </c>
      <c r="E959" t="s">
        <v>56</v>
      </c>
      <c r="F959" t="s">
        <v>37</v>
      </c>
      <c r="G959" t="s">
        <v>38</v>
      </c>
      <c r="H959">
        <v>1</v>
      </c>
      <c r="I959" s="3">
        <v>2499</v>
      </c>
      <c r="J959" s="4">
        <v>0.15</v>
      </c>
      <c r="K959" s="3">
        <v>49</v>
      </c>
      <c r="L959" t="s">
        <v>48</v>
      </c>
      <c r="M959" t="s">
        <v>49</v>
      </c>
      <c r="N959" t="s">
        <v>50</v>
      </c>
      <c r="O959" t="s">
        <v>93</v>
      </c>
      <c r="P959" t="s">
        <v>52</v>
      </c>
      <c r="Q959">
        <v>1</v>
      </c>
      <c r="R959" s="3">
        <f t="shared" si="84"/>
        <v>2499</v>
      </c>
      <c r="S959" s="3">
        <f t="shared" si="85"/>
        <v>374.84999999999997</v>
      </c>
      <c r="T959" s="3">
        <f t="shared" si="86"/>
        <v>2173.15</v>
      </c>
      <c r="U959" s="3">
        <f t="shared" si="87"/>
        <v>423.85000000000014</v>
      </c>
      <c r="V959" s="4">
        <f t="shared" si="88"/>
        <v>0.19503945885005641</v>
      </c>
      <c r="W959" t="str">
        <f t="shared" si="89"/>
        <v>Jun</v>
      </c>
    </row>
    <row r="960" spans="1:23" x14ac:dyDescent="0.25">
      <c r="A960" t="s">
        <v>1366</v>
      </c>
      <c r="B960" t="s">
        <v>186</v>
      </c>
      <c r="C960" s="2">
        <v>45810.216666666667</v>
      </c>
      <c r="D960" t="s">
        <v>96</v>
      </c>
      <c r="E960" t="s">
        <v>97</v>
      </c>
      <c r="F960" t="s">
        <v>98</v>
      </c>
      <c r="G960" t="s">
        <v>99</v>
      </c>
      <c r="H960">
        <v>4</v>
      </c>
      <c r="I960" s="3">
        <v>1499</v>
      </c>
      <c r="J960" s="4">
        <v>0.1</v>
      </c>
      <c r="K960" s="3">
        <v>79</v>
      </c>
      <c r="L960" t="s">
        <v>74</v>
      </c>
      <c r="M960" t="s">
        <v>49</v>
      </c>
      <c r="N960" t="s">
        <v>102</v>
      </c>
      <c r="O960" t="s">
        <v>41</v>
      </c>
      <c r="P960" t="s">
        <v>33</v>
      </c>
      <c r="R960" s="3">
        <f t="shared" si="84"/>
        <v>5996</v>
      </c>
      <c r="S960" s="3">
        <f t="shared" si="85"/>
        <v>599.6</v>
      </c>
      <c r="T960" s="3">
        <f t="shared" si="86"/>
        <v>5475.4</v>
      </c>
      <c r="U960" s="3">
        <f t="shared" si="87"/>
        <v>1278.1999999999998</v>
      </c>
      <c r="V960" s="4">
        <f t="shared" si="88"/>
        <v>0.23344413193556635</v>
      </c>
      <c r="W960" t="str">
        <f t="shared" si="89"/>
        <v>Jun</v>
      </c>
    </row>
    <row r="961" spans="1:23" x14ac:dyDescent="0.25">
      <c r="A961" t="s">
        <v>1367</v>
      </c>
      <c r="B961" t="s">
        <v>1120</v>
      </c>
      <c r="C961" s="2">
        <v>45950.536111111112</v>
      </c>
      <c r="D961" t="s">
        <v>96</v>
      </c>
      <c r="E961" t="s">
        <v>97</v>
      </c>
      <c r="F961" t="s">
        <v>98</v>
      </c>
      <c r="G961" t="s">
        <v>99</v>
      </c>
      <c r="H961">
        <v>4</v>
      </c>
      <c r="I961" s="3">
        <v>1499</v>
      </c>
      <c r="J961" s="4">
        <v>0.15</v>
      </c>
      <c r="K961" s="3">
        <v>99</v>
      </c>
      <c r="L961" t="s">
        <v>74</v>
      </c>
      <c r="M961" t="s">
        <v>49</v>
      </c>
      <c r="N961" t="s">
        <v>31</v>
      </c>
      <c r="O961" t="s">
        <v>32</v>
      </c>
      <c r="P961" t="s">
        <v>33</v>
      </c>
      <c r="Q961">
        <v>5</v>
      </c>
      <c r="R961" s="3">
        <f t="shared" si="84"/>
        <v>5996</v>
      </c>
      <c r="S961" s="3">
        <f t="shared" si="85"/>
        <v>899.4</v>
      </c>
      <c r="T961" s="3">
        <f t="shared" si="86"/>
        <v>5195.6000000000004</v>
      </c>
      <c r="U961" s="3">
        <f t="shared" si="87"/>
        <v>998.40000000000055</v>
      </c>
      <c r="V961" s="4">
        <f t="shared" si="88"/>
        <v>0.19216259912233438</v>
      </c>
      <c r="W961" t="str">
        <f t="shared" si="89"/>
        <v>Oct</v>
      </c>
    </row>
    <row r="962" spans="1:23" x14ac:dyDescent="0.25">
      <c r="A962" t="s">
        <v>1368</v>
      </c>
      <c r="B962" t="s">
        <v>425</v>
      </c>
      <c r="C962" s="2">
        <v>45820.006249999999</v>
      </c>
      <c r="D962" t="s">
        <v>105</v>
      </c>
      <c r="E962" t="s">
        <v>106</v>
      </c>
      <c r="F962" t="s">
        <v>37</v>
      </c>
      <c r="G962" t="s">
        <v>107</v>
      </c>
      <c r="H962">
        <v>2</v>
      </c>
      <c r="I962" s="3">
        <v>1799</v>
      </c>
      <c r="J962" s="4">
        <v>0</v>
      </c>
      <c r="K962" s="3">
        <v>79</v>
      </c>
      <c r="L962" t="s">
        <v>74</v>
      </c>
      <c r="M962" t="s">
        <v>49</v>
      </c>
      <c r="N962" t="s">
        <v>31</v>
      </c>
      <c r="O962" t="s">
        <v>59</v>
      </c>
      <c r="P962" t="s">
        <v>52</v>
      </c>
      <c r="Q962">
        <v>3</v>
      </c>
      <c r="R962" s="3">
        <f t="shared" ref="R962:R1025" si="90">IFERROR(H962*I962,"")</f>
        <v>3598</v>
      </c>
      <c r="S962" s="3">
        <f t="shared" ref="S962:S1025" si="91">IFERROR(R962*J962,"")</f>
        <v>0</v>
      </c>
      <c r="T962" s="3">
        <f t="shared" ref="T962:T1025" si="92">IFERROR(R962-S962+K962,"")</f>
        <v>3677</v>
      </c>
      <c r="U962" s="3">
        <f t="shared" ref="U962:U1025" si="93">IFERROR(T962-(R962*70%),"")</f>
        <v>1158.4000000000001</v>
      </c>
      <c r="V962" s="4">
        <f t="shared" ref="V962:V1025" si="94">IFERROR(U962/T962,"")</f>
        <v>0.31503943432145776</v>
      </c>
      <c r="W962" t="str">
        <f t="shared" ref="W962:W1025" si="95">IFERROR(TEXT(C962,"mmm"),"")</f>
        <v>Jun</v>
      </c>
    </row>
    <row r="963" spans="1:23" x14ac:dyDescent="0.25">
      <c r="A963" t="s">
        <v>1369</v>
      </c>
      <c r="B963" t="s">
        <v>1370</v>
      </c>
      <c r="C963" s="2">
        <v>45722.852777777778</v>
      </c>
      <c r="D963" t="s">
        <v>62</v>
      </c>
      <c r="E963" t="s">
        <v>63</v>
      </c>
      <c r="F963" t="s">
        <v>46</v>
      </c>
      <c r="G963" t="s">
        <v>64</v>
      </c>
      <c r="H963">
        <v>5</v>
      </c>
      <c r="I963" s="3">
        <v>699</v>
      </c>
      <c r="J963" s="4">
        <v>0.15</v>
      </c>
      <c r="K963" s="3">
        <v>0</v>
      </c>
      <c r="L963" t="s">
        <v>39</v>
      </c>
      <c r="M963" t="s">
        <v>39</v>
      </c>
      <c r="N963" t="s">
        <v>50</v>
      </c>
      <c r="O963" t="s">
        <v>41</v>
      </c>
      <c r="P963" t="s">
        <v>80</v>
      </c>
      <c r="Q963">
        <v>4</v>
      </c>
      <c r="R963" s="3">
        <f t="shared" si="90"/>
        <v>3495</v>
      </c>
      <c r="S963" s="3">
        <f t="shared" si="91"/>
        <v>524.25</v>
      </c>
      <c r="T963" s="3">
        <f t="shared" si="92"/>
        <v>2970.75</v>
      </c>
      <c r="U963" s="3">
        <f t="shared" si="93"/>
        <v>524.25</v>
      </c>
      <c r="V963" s="4">
        <f t="shared" si="94"/>
        <v>0.17647058823529413</v>
      </c>
      <c r="W963" t="str">
        <f t="shared" si="95"/>
        <v>Mar</v>
      </c>
    </row>
    <row r="964" spans="1:23" x14ac:dyDescent="0.25">
      <c r="A964" t="s">
        <v>1371</v>
      </c>
      <c r="B964" t="s">
        <v>243</v>
      </c>
      <c r="C964" s="2">
        <v>45965.509027777778</v>
      </c>
      <c r="D964" t="s">
        <v>77</v>
      </c>
      <c r="E964" t="s">
        <v>78</v>
      </c>
      <c r="F964" t="s">
        <v>79</v>
      </c>
      <c r="G964" t="s">
        <v>28</v>
      </c>
      <c r="H964">
        <v>3</v>
      </c>
      <c r="I964" s="3">
        <v>6499</v>
      </c>
      <c r="J964" s="4">
        <v>0</v>
      </c>
      <c r="K964" s="3">
        <v>49</v>
      </c>
      <c r="L964" t="s">
        <v>83</v>
      </c>
      <c r="M964" t="s">
        <v>84</v>
      </c>
      <c r="N964" t="s">
        <v>31</v>
      </c>
      <c r="O964" t="s">
        <v>51</v>
      </c>
      <c r="P964" t="s">
        <v>33</v>
      </c>
      <c r="R964" s="3">
        <f t="shared" si="90"/>
        <v>19497</v>
      </c>
      <c r="S964" s="3">
        <f t="shared" si="91"/>
        <v>0</v>
      </c>
      <c r="T964" s="3">
        <f t="shared" si="92"/>
        <v>19546</v>
      </c>
      <c r="U964" s="3">
        <f t="shared" si="93"/>
        <v>5898.1</v>
      </c>
      <c r="V964" s="4">
        <f t="shared" si="94"/>
        <v>0.30175483474879772</v>
      </c>
      <c r="W964" t="str">
        <f t="shared" si="95"/>
        <v>Nov</v>
      </c>
    </row>
    <row r="965" spans="1:23" x14ac:dyDescent="0.25">
      <c r="A965" t="s">
        <v>1372</v>
      </c>
      <c r="B965" t="s">
        <v>685</v>
      </c>
      <c r="C965" s="2">
        <v>45815.702777777777</v>
      </c>
      <c r="D965" t="s">
        <v>169</v>
      </c>
      <c r="E965" t="s">
        <v>170</v>
      </c>
      <c r="F965" t="s">
        <v>98</v>
      </c>
      <c r="G965" t="s">
        <v>171</v>
      </c>
      <c r="H965">
        <v>1</v>
      </c>
      <c r="I965" s="3">
        <v>799</v>
      </c>
      <c r="J965" s="4">
        <v>0.2</v>
      </c>
      <c r="K965" s="3">
        <v>79</v>
      </c>
      <c r="L965" t="s">
        <v>39</v>
      </c>
      <c r="M965" t="s">
        <v>39</v>
      </c>
      <c r="N965" t="s">
        <v>40</v>
      </c>
      <c r="O965" t="s">
        <v>59</v>
      </c>
      <c r="P965" t="s">
        <v>33</v>
      </c>
      <c r="Q965">
        <v>3</v>
      </c>
      <c r="R965" s="3">
        <f t="shared" si="90"/>
        <v>799</v>
      </c>
      <c r="S965" s="3">
        <f t="shared" si="91"/>
        <v>159.80000000000001</v>
      </c>
      <c r="T965" s="3">
        <f t="shared" si="92"/>
        <v>718.2</v>
      </c>
      <c r="U965" s="3">
        <f t="shared" si="93"/>
        <v>158.90000000000009</v>
      </c>
      <c r="V965" s="4">
        <f t="shared" si="94"/>
        <v>0.22124756335282664</v>
      </c>
      <c r="W965" t="str">
        <f t="shared" si="95"/>
        <v>Jun</v>
      </c>
    </row>
    <row r="966" spans="1:23" x14ac:dyDescent="0.25">
      <c r="A966" t="s">
        <v>1373</v>
      </c>
      <c r="B966" t="s">
        <v>267</v>
      </c>
      <c r="C966" s="2">
        <v>45829.165972222218</v>
      </c>
      <c r="D966" t="s">
        <v>169</v>
      </c>
      <c r="E966" t="s">
        <v>170</v>
      </c>
      <c r="F966" t="s">
        <v>98</v>
      </c>
      <c r="G966" t="s">
        <v>171</v>
      </c>
      <c r="H966">
        <v>1</v>
      </c>
      <c r="I966" s="3">
        <v>799</v>
      </c>
      <c r="J966" s="4">
        <v>0.1</v>
      </c>
      <c r="K966" s="3">
        <v>79</v>
      </c>
      <c r="L966" t="s">
        <v>83</v>
      </c>
      <c r="M966" t="s">
        <v>84</v>
      </c>
      <c r="N966" t="s">
        <v>50</v>
      </c>
      <c r="O966" t="s">
        <v>32</v>
      </c>
      <c r="P966" t="s">
        <v>33</v>
      </c>
      <c r="Q966">
        <v>5</v>
      </c>
      <c r="R966" s="3">
        <f t="shared" si="90"/>
        <v>799</v>
      </c>
      <c r="S966" s="3">
        <f t="shared" si="91"/>
        <v>79.900000000000006</v>
      </c>
      <c r="T966" s="3">
        <f t="shared" si="92"/>
        <v>798.1</v>
      </c>
      <c r="U966" s="3">
        <f t="shared" si="93"/>
        <v>238.80000000000007</v>
      </c>
      <c r="V966" s="4">
        <f t="shared" si="94"/>
        <v>0.29921062523493303</v>
      </c>
      <c r="W966" t="str">
        <f t="shared" si="95"/>
        <v>Jun</v>
      </c>
    </row>
    <row r="967" spans="1:23" x14ac:dyDescent="0.25">
      <c r="A967" t="s">
        <v>1374</v>
      </c>
      <c r="B967" t="s">
        <v>754</v>
      </c>
      <c r="C967" s="2">
        <v>45803.905555555553</v>
      </c>
      <c r="D967" t="s">
        <v>105</v>
      </c>
      <c r="E967" t="s">
        <v>106</v>
      </c>
      <c r="F967" t="s">
        <v>37</v>
      </c>
      <c r="G967" t="s">
        <v>107</v>
      </c>
      <c r="H967">
        <v>1</v>
      </c>
      <c r="I967" s="3">
        <v>1799</v>
      </c>
      <c r="J967" s="4">
        <v>0.1</v>
      </c>
      <c r="K967" s="3">
        <v>59</v>
      </c>
      <c r="L967" t="s">
        <v>83</v>
      </c>
      <c r="M967" t="s">
        <v>84</v>
      </c>
      <c r="N967" t="s">
        <v>31</v>
      </c>
      <c r="O967" t="s">
        <v>93</v>
      </c>
      <c r="P967" t="s">
        <v>80</v>
      </c>
      <c r="Q967">
        <v>1</v>
      </c>
      <c r="R967" s="3">
        <f t="shared" si="90"/>
        <v>1799</v>
      </c>
      <c r="S967" s="3">
        <f t="shared" si="91"/>
        <v>179.9</v>
      </c>
      <c r="T967" s="3">
        <f t="shared" si="92"/>
        <v>1678.1</v>
      </c>
      <c r="U967" s="3">
        <f t="shared" si="93"/>
        <v>418.79999999999995</v>
      </c>
      <c r="V967" s="4">
        <f t="shared" si="94"/>
        <v>0.24956796376854776</v>
      </c>
      <c r="W967" t="str">
        <f t="shared" si="95"/>
        <v>May</v>
      </c>
    </row>
    <row r="968" spans="1:23" x14ac:dyDescent="0.25">
      <c r="A968" t="s">
        <v>1375</v>
      </c>
      <c r="B968" t="s">
        <v>602</v>
      </c>
      <c r="C968" s="2">
        <v>45868.146527777782</v>
      </c>
      <c r="D968" t="s">
        <v>25</v>
      </c>
      <c r="E968" t="s">
        <v>26</v>
      </c>
      <c r="F968" t="s">
        <v>27</v>
      </c>
      <c r="G968" t="s">
        <v>28</v>
      </c>
      <c r="H968">
        <v>2</v>
      </c>
      <c r="I968" s="3">
        <v>249</v>
      </c>
      <c r="J968" s="4">
        <v>0.15</v>
      </c>
      <c r="K968" s="3">
        <v>99</v>
      </c>
      <c r="L968" t="s">
        <v>39</v>
      </c>
      <c r="M968" t="s">
        <v>39</v>
      </c>
      <c r="N968" t="s">
        <v>40</v>
      </c>
      <c r="O968" t="s">
        <v>32</v>
      </c>
      <c r="P968" t="s">
        <v>80</v>
      </c>
      <c r="Q968">
        <v>5</v>
      </c>
      <c r="R968" s="3">
        <f t="shared" si="90"/>
        <v>498</v>
      </c>
      <c r="S968" s="3">
        <f t="shared" si="91"/>
        <v>74.7</v>
      </c>
      <c r="T968" s="3">
        <f t="shared" si="92"/>
        <v>522.29999999999995</v>
      </c>
      <c r="U968" s="3">
        <f t="shared" si="93"/>
        <v>173.7</v>
      </c>
      <c r="V968" s="4">
        <f t="shared" si="94"/>
        <v>0.33256748994830559</v>
      </c>
      <c r="W968" t="str">
        <f t="shared" si="95"/>
        <v>Jul</v>
      </c>
    </row>
    <row r="969" spans="1:23" x14ac:dyDescent="0.25">
      <c r="A969" t="s">
        <v>1376</v>
      </c>
      <c r="B969" t="s">
        <v>238</v>
      </c>
      <c r="C969" s="2">
        <v>45766.325694444437</v>
      </c>
      <c r="D969" t="s">
        <v>35</v>
      </c>
      <c r="E969" t="s">
        <v>36</v>
      </c>
      <c r="F969" t="s">
        <v>37</v>
      </c>
      <c r="G969" t="s">
        <v>38</v>
      </c>
      <c r="H969">
        <v>3</v>
      </c>
      <c r="I969" s="3">
        <v>599</v>
      </c>
      <c r="J969" s="4">
        <v>0.15</v>
      </c>
      <c r="K969" s="3">
        <v>79</v>
      </c>
      <c r="L969" t="s">
        <v>48</v>
      </c>
      <c r="M969" t="s">
        <v>49</v>
      </c>
      <c r="N969" t="s">
        <v>50</v>
      </c>
      <c r="O969" t="s">
        <v>59</v>
      </c>
      <c r="P969" t="s">
        <v>52</v>
      </c>
      <c r="Q969">
        <v>1</v>
      </c>
      <c r="R969" s="3">
        <f t="shared" si="90"/>
        <v>1797</v>
      </c>
      <c r="S969" s="3">
        <f t="shared" si="91"/>
        <v>269.55</v>
      </c>
      <c r="T969" s="3">
        <f t="shared" si="92"/>
        <v>1606.45</v>
      </c>
      <c r="U969" s="3">
        <f t="shared" si="93"/>
        <v>348.55000000000018</v>
      </c>
      <c r="V969" s="4">
        <f t="shared" si="94"/>
        <v>0.21696909334246331</v>
      </c>
      <c r="W969" t="str">
        <f t="shared" si="95"/>
        <v>Apr</v>
      </c>
    </row>
    <row r="970" spans="1:23" x14ac:dyDescent="0.25">
      <c r="A970" t="s">
        <v>1377</v>
      </c>
      <c r="B970" t="s">
        <v>267</v>
      </c>
      <c r="C970" s="2">
        <v>45988.951388888891</v>
      </c>
      <c r="D970" t="s">
        <v>169</v>
      </c>
      <c r="E970" t="s">
        <v>170</v>
      </c>
      <c r="F970" t="s">
        <v>98</v>
      </c>
      <c r="G970" t="s">
        <v>171</v>
      </c>
      <c r="H970">
        <v>1</v>
      </c>
      <c r="I970" s="3">
        <v>799</v>
      </c>
      <c r="J970" s="4">
        <v>0.1</v>
      </c>
      <c r="K970" s="3">
        <v>0</v>
      </c>
      <c r="L970" t="s">
        <v>119</v>
      </c>
      <c r="M970" t="s">
        <v>120</v>
      </c>
      <c r="N970" t="s">
        <v>50</v>
      </c>
      <c r="O970" t="s">
        <v>32</v>
      </c>
      <c r="P970" t="s">
        <v>80</v>
      </c>
      <c r="Q970">
        <v>3</v>
      </c>
      <c r="R970" s="3">
        <f t="shared" si="90"/>
        <v>799</v>
      </c>
      <c r="S970" s="3">
        <f t="shared" si="91"/>
        <v>79.900000000000006</v>
      </c>
      <c r="T970" s="3">
        <f t="shared" si="92"/>
        <v>719.1</v>
      </c>
      <c r="U970" s="3">
        <f t="shared" si="93"/>
        <v>159.80000000000007</v>
      </c>
      <c r="V970" s="4">
        <f t="shared" si="94"/>
        <v>0.22222222222222232</v>
      </c>
      <c r="W970" t="str">
        <f t="shared" si="95"/>
        <v>Nov</v>
      </c>
    </row>
    <row r="971" spans="1:23" x14ac:dyDescent="0.25">
      <c r="A971" t="s">
        <v>1378</v>
      </c>
      <c r="B971" t="s">
        <v>805</v>
      </c>
      <c r="C971" s="2">
        <v>45870.885416666657</v>
      </c>
      <c r="D971" t="s">
        <v>110</v>
      </c>
      <c r="E971" t="s">
        <v>111</v>
      </c>
      <c r="F971" t="s">
        <v>98</v>
      </c>
      <c r="G971" t="s">
        <v>112</v>
      </c>
      <c r="H971">
        <v>1</v>
      </c>
      <c r="I971" s="3">
        <v>2999</v>
      </c>
      <c r="J971" s="4">
        <v>0.1</v>
      </c>
      <c r="K971" s="3">
        <v>0</v>
      </c>
      <c r="L971" t="s">
        <v>48</v>
      </c>
      <c r="M971" t="s">
        <v>49</v>
      </c>
      <c r="N971" t="s">
        <v>863</v>
      </c>
      <c r="O971" t="s">
        <v>41</v>
      </c>
      <c r="P971" t="s">
        <v>33</v>
      </c>
      <c r="R971" s="3">
        <f t="shared" si="90"/>
        <v>2999</v>
      </c>
      <c r="S971" s="3">
        <f t="shared" si="91"/>
        <v>299.90000000000003</v>
      </c>
      <c r="T971" s="3">
        <f t="shared" si="92"/>
        <v>2699.1</v>
      </c>
      <c r="U971" s="3">
        <f t="shared" si="93"/>
        <v>599.80000000000018</v>
      </c>
      <c r="V971" s="4">
        <f t="shared" si="94"/>
        <v>0.22222222222222229</v>
      </c>
      <c r="W971" t="str">
        <f t="shared" si="95"/>
        <v>Aug</v>
      </c>
    </row>
    <row r="972" spans="1:23" x14ac:dyDescent="0.25">
      <c r="A972" t="s">
        <v>1379</v>
      </c>
      <c r="B972" t="s">
        <v>216</v>
      </c>
      <c r="C972" s="2">
        <v>45965.431250000001</v>
      </c>
      <c r="D972" t="s">
        <v>169</v>
      </c>
      <c r="E972" t="s">
        <v>170</v>
      </c>
      <c r="F972" t="s">
        <v>98</v>
      </c>
      <c r="G972" t="s">
        <v>171</v>
      </c>
      <c r="H972">
        <v>3</v>
      </c>
      <c r="I972" s="3">
        <v>799</v>
      </c>
      <c r="J972" s="4">
        <v>0.15</v>
      </c>
      <c r="K972" s="3">
        <v>79</v>
      </c>
      <c r="L972" t="s">
        <v>83</v>
      </c>
      <c r="M972" t="s">
        <v>84</v>
      </c>
      <c r="N972" t="s">
        <v>102</v>
      </c>
      <c r="O972" t="s">
        <v>59</v>
      </c>
      <c r="P972" t="s">
        <v>33</v>
      </c>
      <c r="Q972">
        <v>2</v>
      </c>
      <c r="R972" s="3">
        <f t="shared" si="90"/>
        <v>2397</v>
      </c>
      <c r="S972" s="3">
        <f t="shared" si="91"/>
        <v>359.55</v>
      </c>
      <c r="T972" s="3">
        <f t="shared" si="92"/>
        <v>2116.4499999999998</v>
      </c>
      <c r="U972" s="3">
        <f t="shared" si="93"/>
        <v>438.54999999999995</v>
      </c>
      <c r="V972" s="4">
        <f t="shared" si="94"/>
        <v>0.20721018686952208</v>
      </c>
      <c r="W972" t="str">
        <f t="shared" si="95"/>
        <v>Nov</v>
      </c>
    </row>
    <row r="973" spans="1:23" x14ac:dyDescent="0.25">
      <c r="A973" t="s">
        <v>1380</v>
      </c>
      <c r="B973" t="s">
        <v>128</v>
      </c>
      <c r="C973" s="2">
        <v>45953.547222222223</v>
      </c>
      <c r="D973" t="s">
        <v>44</v>
      </c>
      <c r="E973" t="s">
        <v>45</v>
      </c>
      <c r="F973" t="s">
        <v>46</v>
      </c>
      <c r="G973" t="s">
        <v>47</v>
      </c>
      <c r="H973">
        <v>3</v>
      </c>
      <c r="I973" s="3">
        <v>1199</v>
      </c>
      <c r="J973" s="4">
        <v>0.1</v>
      </c>
      <c r="K973" s="3">
        <v>49</v>
      </c>
      <c r="L973" t="s">
        <v>57</v>
      </c>
      <c r="M973" t="s">
        <v>58</v>
      </c>
      <c r="N973" t="s">
        <v>71</v>
      </c>
      <c r="O973" t="s">
        <v>32</v>
      </c>
      <c r="P973" t="s">
        <v>80</v>
      </c>
      <c r="Q973">
        <v>2</v>
      </c>
      <c r="R973" s="3">
        <f t="shared" si="90"/>
        <v>3597</v>
      </c>
      <c r="S973" s="3">
        <f t="shared" si="91"/>
        <v>359.70000000000005</v>
      </c>
      <c r="T973" s="3">
        <f t="shared" si="92"/>
        <v>3286.3</v>
      </c>
      <c r="U973" s="3">
        <f t="shared" si="93"/>
        <v>768.40000000000055</v>
      </c>
      <c r="V973" s="4">
        <f t="shared" si="94"/>
        <v>0.23381918875330934</v>
      </c>
      <c r="W973" t="str">
        <f t="shared" si="95"/>
        <v>Oct</v>
      </c>
    </row>
    <row r="974" spans="1:23" x14ac:dyDescent="0.25">
      <c r="A974" t="s">
        <v>1381</v>
      </c>
      <c r="B974" t="s">
        <v>922</v>
      </c>
      <c r="C974" s="2">
        <v>45722.671527777777</v>
      </c>
      <c r="D974" t="s">
        <v>96</v>
      </c>
      <c r="E974" t="s">
        <v>97</v>
      </c>
      <c r="F974" t="s">
        <v>98</v>
      </c>
      <c r="G974" t="s">
        <v>99</v>
      </c>
      <c r="H974">
        <v>1</v>
      </c>
      <c r="I974" s="3">
        <v>1499</v>
      </c>
      <c r="J974" s="4">
        <v>0.15</v>
      </c>
      <c r="K974" s="3">
        <v>79</v>
      </c>
      <c r="L974" t="s">
        <v>113</v>
      </c>
      <c r="M974" t="s">
        <v>114</v>
      </c>
      <c r="N974" t="s">
        <v>102</v>
      </c>
      <c r="O974" t="s">
        <v>41</v>
      </c>
      <c r="P974" t="s">
        <v>80</v>
      </c>
      <c r="Q974">
        <v>3</v>
      </c>
      <c r="R974" s="3">
        <f t="shared" si="90"/>
        <v>1499</v>
      </c>
      <c r="S974" s="3">
        <f t="shared" si="91"/>
        <v>224.85</v>
      </c>
      <c r="T974" s="3">
        <f t="shared" si="92"/>
        <v>1353.15</v>
      </c>
      <c r="U974" s="3">
        <f t="shared" si="93"/>
        <v>303.85000000000014</v>
      </c>
      <c r="V974" s="4">
        <f t="shared" si="94"/>
        <v>0.22455012378524192</v>
      </c>
      <c r="W974" t="str">
        <f t="shared" si="95"/>
        <v>Mar</v>
      </c>
    </row>
    <row r="975" spans="1:23" x14ac:dyDescent="0.25">
      <c r="A975" t="s">
        <v>1382</v>
      </c>
      <c r="C975" s="2">
        <v>45881.027777777781</v>
      </c>
      <c r="D975" t="s">
        <v>67</v>
      </c>
      <c r="E975" t="s">
        <v>68</v>
      </c>
      <c r="F975" t="s">
        <v>37</v>
      </c>
      <c r="G975" t="s">
        <v>38</v>
      </c>
      <c r="H975">
        <v>1</v>
      </c>
      <c r="I975" s="3">
        <v>1299</v>
      </c>
      <c r="J975" s="4">
        <v>0</v>
      </c>
      <c r="K975" s="3">
        <v>0</v>
      </c>
      <c r="L975" t="s">
        <v>29</v>
      </c>
      <c r="M975" t="s">
        <v>30</v>
      </c>
      <c r="N975" t="s">
        <v>31</v>
      </c>
      <c r="O975" t="s">
        <v>32</v>
      </c>
      <c r="P975" t="s">
        <v>85</v>
      </c>
      <c r="Q975">
        <v>4</v>
      </c>
      <c r="R975" s="3">
        <f t="shared" si="90"/>
        <v>1299</v>
      </c>
      <c r="S975" s="3">
        <f t="shared" si="91"/>
        <v>0</v>
      </c>
      <c r="T975" s="3">
        <f t="shared" si="92"/>
        <v>1299</v>
      </c>
      <c r="U975" s="3">
        <f t="shared" si="93"/>
        <v>389.70000000000005</v>
      </c>
      <c r="V975" s="4">
        <f t="shared" si="94"/>
        <v>0.30000000000000004</v>
      </c>
      <c r="W975" t="str">
        <f t="shared" si="95"/>
        <v>Aug</v>
      </c>
    </row>
    <row r="976" spans="1:23" x14ac:dyDescent="0.25">
      <c r="A976" t="s">
        <v>1383</v>
      </c>
      <c r="B976" t="s">
        <v>325</v>
      </c>
      <c r="C976" s="2">
        <v>45982.867361111108</v>
      </c>
      <c r="D976" t="s">
        <v>35</v>
      </c>
      <c r="E976" t="s">
        <v>36</v>
      </c>
      <c r="F976" t="s">
        <v>37</v>
      </c>
      <c r="G976" t="s">
        <v>38</v>
      </c>
      <c r="H976">
        <v>5</v>
      </c>
      <c r="I976" s="3">
        <v>599</v>
      </c>
      <c r="J976" s="4">
        <v>0</v>
      </c>
      <c r="K976" s="3">
        <v>49</v>
      </c>
      <c r="L976" t="s">
        <v>780</v>
      </c>
      <c r="M976" t="s">
        <v>101</v>
      </c>
      <c r="N976" t="s">
        <v>71</v>
      </c>
      <c r="O976" t="s">
        <v>41</v>
      </c>
      <c r="P976" t="s">
        <v>33</v>
      </c>
      <c r="Q976">
        <v>5</v>
      </c>
      <c r="R976" s="3">
        <f t="shared" si="90"/>
        <v>2995</v>
      </c>
      <c r="S976" s="3">
        <f t="shared" si="91"/>
        <v>0</v>
      </c>
      <c r="T976" s="3">
        <f t="shared" si="92"/>
        <v>3044</v>
      </c>
      <c r="U976" s="3">
        <f t="shared" si="93"/>
        <v>947.5</v>
      </c>
      <c r="V976" s="4">
        <f t="shared" si="94"/>
        <v>0.31126806833114323</v>
      </c>
      <c r="W976" t="str">
        <f t="shared" si="95"/>
        <v>Nov</v>
      </c>
    </row>
    <row r="977" spans="1:23" x14ac:dyDescent="0.25">
      <c r="A977" t="s">
        <v>1384</v>
      </c>
      <c r="B977" t="s">
        <v>257</v>
      </c>
      <c r="C977" s="2">
        <v>45995.053472222222</v>
      </c>
      <c r="D977" t="s">
        <v>67</v>
      </c>
      <c r="E977" t="s">
        <v>68</v>
      </c>
      <c r="F977" t="s">
        <v>37</v>
      </c>
      <c r="G977" t="s">
        <v>38</v>
      </c>
      <c r="H977">
        <v>3</v>
      </c>
      <c r="I977" s="3">
        <v>1299</v>
      </c>
      <c r="J977" s="4">
        <v>0</v>
      </c>
      <c r="K977" s="3">
        <v>0</v>
      </c>
      <c r="L977" t="s">
        <v>57</v>
      </c>
      <c r="M977" t="s">
        <v>58</v>
      </c>
      <c r="N977" t="s">
        <v>31</v>
      </c>
      <c r="O977" t="s">
        <v>93</v>
      </c>
      <c r="P977" t="s">
        <v>33</v>
      </c>
      <c r="Q977">
        <v>4</v>
      </c>
      <c r="R977" s="3">
        <f t="shared" si="90"/>
        <v>3897</v>
      </c>
      <c r="S977" s="3">
        <f t="shared" si="91"/>
        <v>0</v>
      </c>
      <c r="T977" s="3">
        <f t="shared" si="92"/>
        <v>3897</v>
      </c>
      <c r="U977" s="3">
        <f t="shared" si="93"/>
        <v>1169.1000000000004</v>
      </c>
      <c r="V977" s="4">
        <f t="shared" si="94"/>
        <v>0.3000000000000001</v>
      </c>
      <c r="W977" t="str">
        <f t="shared" si="95"/>
        <v>Dec</v>
      </c>
    </row>
    <row r="978" spans="1:23" x14ac:dyDescent="0.25">
      <c r="A978" t="s">
        <v>1385</v>
      </c>
      <c r="B978" t="s">
        <v>261</v>
      </c>
      <c r="C978" s="2">
        <v>45802.372916666667</v>
      </c>
      <c r="D978" t="s">
        <v>44</v>
      </c>
      <c r="E978" t="s">
        <v>45</v>
      </c>
      <c r="F978" t="s">
        <v>46</v>
      </c>
      <c r="G978" t="s">
        <v>47</v>
      </c>
      <c r="H978">
        <v>1</v>
      </c>
      <c r="I978" s="3">
        <v>1199</v>
      </c>
      <c r="J978" s="4">
        <v>0</v>
      </c>
      <c r="K978" s="3">
        <v>0</v>
      </c>
      <c r="L978" t="s">
        <v>29</v>
      </c>
      <c r="M978" t="s">
        <v>30</v>
      </c>
      <c r="N978" t="s">
        <v>71</v>
      </c>
      <c r="O978" t="s">
        <v>41</v>
      </c>
      <c r="P978" t="s">
        <v>33</v>
      </c>
      <c r="Q978">
        <v>4</v>
      </c>
      <c r="R978" s="3">
        <f t="shared" si="90"/>
        <v>1199</v>
      </c>
      <c r="S978" s="3">
        <f t="shared" si="91"/>
        <v>0</v>
      </c>
      <c r="T978" s="3">
        <f t="shared" si="92"/>
        <v>1199</v>
      </c>
      <c r="U978" s="3">
        <f t="shared" si="93"/>
        <v>359.70000000000005</v>
      </c>
      <c r="V978" s="4">
        <f t="shared" si="94"/>
        <v>0.30000000000000004</v>
      </c>
      <c r="W978" t="str">
        <f t="shared" si="95"/>
        <v>May</v>
      </c>
    </row>
    <row r="979" spans="1:23" x14ac:dyDescent="0.25">
      <c r="A979" t="s">
        <v>1386</v>
      </c>
      <c r="B979" t="s">
        <v>508</v>
      </c>
      <c r="C979" s="2">
        <v>45869.104861111111</v>
      </c>
      <c r="D979" t="s">
        <v>55</v>
      </c>
      <c r="E979" t="s">
        <v>56</v>
      </c>
      <c r="F979" t="s">
        <v>37</v>
      </c>
      <c r="G979" t="s">
        <v>38</v>
      </c>
      <c r="H979">
        <v>3</v>
      </c>
      <c r="I979" s="3">
        <v>2499</v>
      </c>
      <c r="J979" s="4">
        <v>0</v>
      </c>
      <c r="K979" s="3">
        <v>49</v>
      </c>
      <c r="L979" t="s">
        <v>119</v>
      </c>
      <c r="M979" t="s">
        <v>120</v>
      </c>
      <c r="N979" t="s">
        <v>40</v>
      </c>
      <c r="O979" t="s">
        <v>51</v>
      </c>
      <c r="P979" t="s">
        <v>80</v>
      </c>
      <c r="R979" s="3">
        <f t="shared" si="90"/>
        <v>7497</v>
      </c>
      <c r="S979" s="3">
        <f t="shared" si="91"/>
        <v>0</v>
      </c>
      <c r="T979" s="3">
        <f t="shared" si="92"/>
        <v>7546</v>
      </c>
      <c r="U979" s="3">
        <f t="shared" si="93"/>
        <v>2298.1000000000004</v>
      </c>
      <c r="V979" s="4">
        <f t="shared" si="94"/>
        <v>0.30454545454545462</v>
      </c>
      <c r="W979" t="str">
        <f t="shared" si="95"/>
        <v>Jul</v>
      </c>
    </row>
    <row r="980" spans="1:23" x14ac:dyDescent="0.25">
      <c r="A980" t="s">
        <v>1387</v>
      </c>
      <c r="B980" t="s">
        <v>381</v>
      </c>
      <c r="C980" s="2">
        <v>45663.237500000003</v>
      </c>
      <c r="D980" t="s">
        <v>90</v>
      </c>
      <c r="E980" t="s">
        <v>91</v>
      </c>
      <c r="F980" t="s">
        <v>37</v>
      </c>
      <c r="G980" t="s">
        <v>92</v>
      </c>
      <c r="H980">
        <v>1</v>
      </c>
      <c r="I980" s="3">
        <v>3499</v>
      </c>
      <c r="J980" s="4">
        <v>0.2</v>
      </c>
      <c r="K980" s="3">
        <v>99</v>
      </c>
      <c r="L980" t="s">
        <v>100</v>
      </c>
      <c r="M980" t="s">
        <v>101</v>
      </c>
      <c r="N980" t="s">
        <v>31</v>
      </c>
      <c r="O980" t="s">
        <v>51</v>
      </c>
      <c r="P980" t="s">
        <v>85</v>
      </c>
      <c r="Q980">
        <v>3</v>
      </c>
      <c r="R980" s="3">
        <f t="shared" si="90"/>
        <v>3499</v>
      </c>
      <c r="S980" s="3">
        <f t="shared" si="91"/>
        <v>699.80000000000007</v>
      </c>
      <c r="T980" s="3">
        <f t="shared" si="92"/>
        <v>2898.2</v>
      </c>
      <c r="U980" s="3">
        <f t="shared" si="93"/>
        <v>448.90000000000009</v>
      </c>
      <c r="V980" s="4">
        <f t="shared" si="94"/>
        <v>0.15488924159823342</v>
      </c>
      <c r="W980" t="str">
        <f t="shared" si="95"/>
        <v>Jan</v>
      </c>
    </row>
    <row r="981" spans="1:23" x14ac:dyDescent="0.25">
      <c r="A981" t="s">
        <v>1388</v>
      </c>
      <c r="B981" t="s">
        <v>160</v>
      </c>
      <c r="C981" s="2">
        <v>45660.231249999997</v>
      </c>
      <c r="D981" t="s">
        <v>90</v>
      </c>
      <c r="E981" t="s">
        <v>91</v>
      </c>
      <c r="F981" t="s">
        <v>37</v>
      </c>
      <c r="G981" t="s">
        <v>92</v>
      </c>
      <c r="H981">
        <v>2</v>
      </c>
      <c r="I981" s="3">
        <v>3499</v>
      </c>
      <c r="J981" s="4">
        <v>0.05</v>
      </c>
      <c r="K981" s="3">
        <v>0</v>
      </c>
      <c r="L981" t="s">
        <v>125</v>
      </c>
      <c r="M981" t="s">
        <v>126</v>
      </c>
      <c r="N981" t="s">
        <v>102</v>
      </c>
      <c r="O981" t="s">
        <v>93</v>
      </c>
      <c r="P981" t="s">
        <v>80</v>
      </c>
      <c r="Q981">
        <v>5</v>
      </c>
      <c r="R981" s="3">
        <f t="shared" si="90"/>
        <v>6998</v>
      </c>
      <c r="S981" s="3">
        <f t="shared" si="91"/>
        <v>349.90000000000003</v>
      </c>
      <c r="T981" s="3">
        <f t="shared" si="92"/>
        <v>6648.1</v>
      </c>
      <c r="U981" s="3">
        <f t="shared" si="93"/>
        <v>1749.5000000000009</v>
      </c>
      <c r="V981" s="4">
        <f t="shared" si="94"/>
        <v>0.2631578947368422</v>
      </c>
      <c r="W981" t="str">
        <f t="shared" si="95"/>
        <v>Jan</v>
      </c>
    </row>
    <row r="982" spans="1:23" x14ac:dyDescent="0.25">
      <c r="A982" t="s">
        <v>1389</v>
      </c>
      <c r="B982" t="s">
        <v>202</v>
      </c>
      <c r="C982" s="2">
        <v>45736.288194444453</v>
      </c>
      <c r="D982" t="s">
        <v>35</v>
      </c>
      <c r="E982" t="s">
        <v>36</v>
      </c>
      <c r="F982" t="s">
        <v>37</v>
      </c>
      <c r="G982" t="s">
        <v>38</v>
      </c>
      <c r="H982">
        <v>2</v>
      </c>
      <c r="I982" s="3">
        <v>599</v>
      </c>
      <c r="J982" s="4">
        <v>0</v>
      </c>
      <c r="K982" s="3">
        <v>49</v>
      </c>
      <c r="L982" t="s">
        <v>83</v>
      </c>
      <c r="M982" t="s">
        <v>84</v>
      </c>
      <c r="N982" t="s">
        <v>71</v>
      </c>
      <c r="O982" t="s">
        <v>41</v>
      </c>
      <c r="P982" t="s">
        <v>33</v>
      </c>
      <c r="Q982">
        <v>2</v>
      </c>
      <c r="R982" s="3">
        <f t="shared" si="90"/>
        <v>1198</v>
      </c>
      <c r="S982" s="3">
        <f t="shared" si="91"/>
        <v>0</v>
      </c>
      <c r="T982" s="3">
        <f t="shared" si="92"/>
        <v>1247</v>
      </c>
      <c r="U982" s="3">
        <f t="shared" si="93"/>
        <v>408.40000000000009</v>
      </c>
      <c r="V982" s="4">
        <f t="shared" si="94"/>
        <v>0.32750601443464322</v>
      </c>
      <c r="W982" t="str">
        <f t="shared" si="95"/>
        <v>Mar</v>
      </c>
    </row>
    <row r="983" spans="1:23" x14ac:dyDescent="0.25">
      <c r="A983" t="s">
        <v>1390</v>
      </c>
      <c r="B983" t="s">
        <v>1391</v>
      </c>
      <c r="C983" s="2">
        <v>45904.253472222219</v>
      </c>
      <c r="D983" t="s">
        <v>55</v>
      </c>
      <c r="E983" t="s">
        <v>56</v>
      </c>
      <c r="F983" t="s">
        <v>37</v>
      </c>
      <c r="G983" t="s">
        <v>38</v>
      </c>
      <c r="H983">
        <v>1</v>
      </c>
      <c r="I983" s="3">
        <v>2499</v>
      </c>
      <c r="J983" s="4">
        <v>0.2</v>
      </c>
      <c r="K983" s="3">
        <v>99</v>
      </c>
      <c r="L983" t="s">
        <v>100</v>
      </c>
      <c r="M983" t="s">
        <v>101</v>
      </c>
      <c r="N983" t="s">
        <v>40</v>
      </c>
      <c r="O983" t="s">
        <v>59</v>
      </c>
      <c r="P983" t="s">
        <v>33</v>
      </c>
      <c r="Q983">
        <v>4</v>
      </c>
      <c r="R983" s="3">
        <f t="shared" si="90"/>
        <v>2499</v>
      </c>
      <c r="S983" s="3">
        <f t="shared" si="91"/>
        <v>499.8</v>
      </c>
      <c r="T983" s="3">
        <f t="shared" si="92"/>
        <v>2098.1999999999998</v>
      </c>
      <c r="U983" s="3">
        <f t="shared" si="93"/>
        <v>348.89999999999986</v>
      </c>
      <c r="V983" s="4">
        <f t="shared" si="94"/>
        <v>0.16628538747497851</v>
      </c>
      <c r="W983" t="str">
        <f t="shared" si="95"/>
        <v>Sep</v>
      </c>
    </row>
    <row r="984" spans="1:23" x14ac:dyDescent="0.25">
      <c r="A984" t="s">
        <v>1392</v>
      </c>
      <c r="B984" t="s">
        <v>852</v>
      </c>
      <c r="C984" s="2">
        <v>45786.216666666667</v>
      </c>
      <c r="D984" t="s">
        <v>62</v>
      </c>
      <c r="E984" t="s">
        <v>63</v>
      </c>
      <c r="F984" t="s">
        <v>46</v>
      </c>
      <c r="G984" t="s">
        <v>64</v>
      </c>
      <c r="H984">
        <v>4</v>
      </c>
      <c r="I984" s="3">
        <v>699</v>
      </c>
      <c r="J984" s="4">
        <v>0.2</v>
      </c>
      <c r="K984" s="3">
        <v>59</v>
      </c>
      <c r="L984" t="s">
        <v>57</v>
      </c>
      <c r="M984" t="s">
        <v>58</v>
      </c>
      <c r="N984" t="s">
        <v>31</v>
      </c>
      <c r="O984" t="s">
        <v>32</v>
      </c>
      <c r="P984" t="s">
        <v>80</v>
      </c>
      <c r="R984" s="3">
        <f t="shared" si="90"/>
        <v>2796</v>
      </c>
      <c r="S984" s="3">
        <f t="shared" si="91"/>
        <v>559.20000000000005</v>
      </c>
      <c r="T984" s="3">
        <f t="shared" si="92"/>
        <v>2295.8000000000002</v>
      </c>
      <c r="U984" s="3">
        <f t="shared" si="93"/>
        <v>338.60000000000036</v>
      </c>
      <c r="V984" s="4">
        <f t="shared" si="94"/>
        <v>0.14748671487063347</v>
      </c>
      <c r="W984" t="str">
        <f t="shared" si="95"/>
        <v>May</v>
      </c>
    </row>
    <row r="985" spans="1:23" x14ac:dyDescent="0.25">
      <c r="A985" t="s">
        <v>1393</v>
      </c>
      <c r="B985" t="s">
        <v>315</v>
      </c>
      <c r="C985" s="2">
        <v>45763.979861111111</v>
      </c>
      <c r="D985" t="s">
        <v>44</v>
      </c>
      <c r="E985" t="s">
        <v>45</v>
      </c>
      <c r="F985" t="s">
        <v>46</v>
      </c>
      <c r="G985" t="s">
        <v>47</v>
      </c>
      <c r="I985" s="3">
        <v>1199</v>
      </c>
      <c r="J985" s="4">
        <v>0.1</v>
      </c>
      <c r="K985" s="3">
        <v>79</v>
      </c>
      <c r="L985" t="s">
        <v>48</v>
      </c>
      <c r="M985" t="s">
        <v>49</v>
      </c>
      <c r="N985" t="s">
        <v>71</v>
      </c>
      <c r="O985" t="s">
        <v>32</v>
      </c>
      <c r="P985" t="s">
        <v>52</v>
      </c>
      <c r="Q985">
        <v>1</v>
      </c>
      <c r="R985" s="3">
        <f t="shared" si="90"/>
        <v>0</v>
      </c>
      <c r="S985" s="3">
        <f t="shared" si="91"/>
        <v>0</v>
      </c>
      <c r="T985" s="3">
        <f t="shared" si="92"/>
        <v>79</v>
      </c>
      <c r="U985" s="3">
        <f t="shared" si="93"/>
        <v>79</v>
      </c>
      <c r="V985" s="4">
        <f t="shared" si="94"/>
        <v>1</v>
      </c>
      <c r="W985" t="str">
        <f t="shared" si="95"/>
        <v>Apr</v>
      </c>
    </row>
    <row r="986" spans="1:23" x14ac:dyDescent="0.25">
      <c r="A986" t="s">
        <v>1394</v>
      </c>
      <c r="B986" t="s">
        <v>510</v>
      </c>
      <c r="C986" s="2">
        <v>45948.474305555559</v>
      </c>
      <c r="D986" t="s">
        <v>44</v>
      </c>
      <c r="E986" t="s">
        <v>45</v>
      </c>
      <c r="F986" t="s">
        <v>46</v>
      </c>
      <c r="G986" t="s">
        <v>47</v>
      </c>
      <c r="H986">
        <v>1</v>
      </c>
      <c r="I986" s="3">
        <v>1199</v>
      </c>
      <c r="J986" s="4">
        <v>0</v>
      </c>
      <c r="K986" s="3">
        <v>79</v>
      </c>
      <c r="L986" t="s">
        <v>57</v>
      </c>
      <c r="M986" t="s">
        <v>58</v>
      </c>
      <c r="N986" t="s">
        <v>31</v>
      </c>
      <c r="O986" t="s">
        <v>32</v>
      </c>
      <c r="P986" t="s">
        <v>80</v>
      </c>
      <c r="Q986">
        <v>3</v>
      </c>
      <c r="R986" s="3">
        <f t="shared" si="90"/>
        <v>1199</v>
      </c>
      <c r="S986" s="3">
        <f t="shared" si="91"/>
        <v>0</v>
      </c>
      <c r="T986" s="3">
        <f t="shared" si="92"/>
        <v>1278</v>
      </c>
      <c r="U986" s="3">
        <f t="shared" si="93"/>
        <v>438.70000000000005</v>
      </c>
      <c r="V986" s="4">
        <f t="shared" si="94"/>
        <v>0.34327073552425669</v>
      </c>
      <c r="W986" t="str">
        <f t="shared" si="95"/>
        <v>Oct</v>
      </c>
    </row>
    <row r="987" spans="1:23" x14ac:dyDescent="0.25">
      <c r="A987" t="s">
        <v>1395</v>
      </c>
      <c r="B987" t="s">
        <v>1396</v>
      </c>
      <c r="C987" s="2">
        <v>45988.681944444441</v>
      </c>
      <c r="D987" t="s">
        <v>44</v>
      </c>
      <c r="E987" t="s">
        <v>45</v>
      </c>
      <c r="F987" t="s">
        <v>46</v>
      </c>
      <c r="G987" t="s">
        <v>47</v>
      </c>
      <c r="H987">
        <v>1</v>
      </c>
      <c r="I987" s="3">
        <v>1199</v>
      </c>
      <c r="J987" s="4">
        <v>0</v>
      </c>
      <c r="K987" s="3">
        <v>0</v>
      </c>
      <c r="L987" t="s">
        <v>57</v>
      </c>
      <c r="M987" t="s">
        <v>58</v>
      </c>
      <c r="N987" t="s">
        <v>71</v>
      </c>
      <c r="O987" t="s">
        <v>59</v>
      </c>
      <c r="P987" t="s">
        <v>52</v>
      </c>
      <c r="R987" s="3">
        <f t="shared" si="90"/>
        <v>1199</v>
      </c>
      <c r="S987" s="3">
        <f t="shared" si="91"/>
        <v>0</v>
      </c>
      <c r="T987" s="3">
        <f t="shared" si="92"/>
        <v>1199</v>
      </c>
      <c r="U987" s="3">
        <f t="shared" si="93"/>
        <v>359.70000000000005</v>
      </c>
      <c r="V987" s="4">
        <f t="shared" si="94"/>
        <v>0.30000000000000004</v>
      </c>
      <c r="W987" t="str">
        <f t="shared" si="95"/>
        <v>Nov</v>
      </c>
    </row>
    <row r="988" spans="1:23" x14ac:dyDescent="0.25">
      <c r="A988" t="s">
        <v>1397</v>
      </c>
      <c r="B988" t="s">
        <v>587</v>
      </c>
      <c r="C988" s="2">
        <v>45768.890972222223</v>
      </c>
      <c r="D988" t="s">
        <v>105</v>
      </c>
      <c r="E988" t="s">
        <v>106</v>
      </c>
      <c r="F988" t="s">
        <v>37</v>
      </c>
      <c r="G988" t="s">
        <v>107</v>
      </c>
      <c r="H988">
        <v>1</v>
      </c>
      <c r="I988" s="3">
        <v>1799</v>
      </c>
      <c r="J988" s="4">
        <v>0</v>
      </c>
      <c r="K988" s="3">
        <v>59</v>
      </c>
      <c r="L988" t="s">
        <v>74</v>
      </c>
      <c r="M988" t="s">
        <v>49</v>
      </c>
      <c r="N988" t="s">
        <v>31</v>
      </c>
      <c r="O988" t="s">
        <v>51</v>
      </c>
      <c r="P988" t="s">
        <v>33</v>
      </c>
      <c r="R988" s="3">
        <f t="shared" si="90"/>
        <v>1799</v>
      </c>
      <c r="S988" s="3">
        <f t="shared" si="91"/>
        <v>0</v>
      </c>
      <c r="T988" s="3">
        <f t="shared" si="92"/>
        <v>1858</v>
      </c>
      <c r="U988" s="3">
        <f t="shared" si="93"/>
        <v>598.70000000000005</v>
      </c>
      <c r="V988" s="4">
        <f t="shared" si="94"/>
        <v>0.32222820236813782</v>
      </c>
      <c r="W988" t="str">
        <f t="shared" si="95"/>
        <v>Apr</v>
      </c>
    </row>
    <row r="989" spans="1:23" x14ac:dyDescent="0.25">
      <c r="A989" t="s">
        <v>1398</v>
      </c>
      <c r="B989" t="s">
        <v>495</v>
      </c>
      <c r="C989" s="2">
        <v>45948.456250000003</v>
      </c>
      <c r="D989" t="s">
        <v>35</v>
      </c>
      <c r="E989" t="s">
        <v>36</v>
      </c>
      <c r="F989" t="s">
        <v>37</v>
      </c>
      <c r="G989" t="s">
        <v>38</v>
      </c>
      <c r="H989">
        <v>1</v>
      </c>
      <c r="I989" s="3">
        <v>599</v>
      </c>
      <c r="J989" s="4">
        <v>0.15</v>
      </c>
      <c r="K989" s="3">
        <v>0</v>
      </c>
      <c r="L989" t="s">
        <v>74</v>
      </c>
      <c r="M989" t="s">
        <v>49</v>
      </c>
      <c r="N989" t="s">
        <v>71</v>
      </c>
      <c r="O989" t="s">
        <v>32</v>
      </c>
      <c r="P989" t="s">
        <v>33</v>
      </c>
      <c r="Q989">
        <v>2</v>
      </c>
      <c r="R989" s="3">
        <f t="shared" si="90"/>
        <v>599</v>
      </c>
      <c r="S989" s="3">
        <f t="shared" si="91"/>
        <v>89.85</v>
      </c>
      <c r="T989" s="3">
        <f t="shared" si="92"/>
        <v>509.15</v>
      </c>
      <c r="U989" s="3">
        <f t="shared" si="93"/>
        <v>89.850000000000023</v>
      </c>
      <c r="V989" s="4">
        <f t="shared" si="94"/>
        <v>0.17647058823529416</v>
      </c>
      <c r="W989" t="str">
        <f t="shared" si="95"/>
        <v>Oct</v>
      </c>
    </row>
    <row r="990" spans="1:23" x14ac:dyDescent="0.25">
      <c r="A990" t="s">
        <v>1399</v>
      </c>
      <c r="B990" t="s">
        <v>673</v>
      </c>
      <c r="C990" s="2">
        <v>45800.943055555559</v>
      </c>
      <c r="D990" t="s">
        <v>62</v>
      </c>
      <c r="E990" t="s">
        <v>63</v>
      </c>
      <c r="F990" t="s">
        <v>46</v>
      </c>
      <c r="G990" t="s">
        <v>64</v>
      </c>
      <c r="H990">
        <v>1</v>
      </c>
      <c r="I990" s="3">
        <v>699</v>
      </c>
      <c r="J990" s="4">
        <v>0</v>
      </c>
      <c r="K990" s="3">
        <v>99</v>
      </c>
      <c r="L990" t="s">
        <v>113</v>
      </c>
      <c r="M990" t="s">
        <v>114</v>
      </c>
      <c r="N990" t="s">
        <v>40</v>
      </c>
      <c r="O990" t="s">
        <v>51</v>
      </c>
      <c r="P990" t="s">
        <v>80</v>
      </c>
      <c r="R990" s="3">
        <f t="shared" si="90"/>
        <v>699</v>
      </c>
      <c r="S990" s="3">
        <f t="shared" si="91"/>
        <v>0</v>
      </c>
      <c r="T990" s="3">
        <f t="shared" si="92"/>
        <v>798</v>
      </c>
      <c r="U990" s="3">
        <f t="shared" si="93"/>
        <v>308.70000000000005</v>
      </c>
      <c r="V990" s="4">
        <f t="shared" si="94"/>
        <v>0.38684210526315793</v>
      </c>
      <c r="W990" t="str">
        <f t="shared" si="95"/>
        <v>May</v>
      </c>
    </row>
    <row r="991" spans="1:23" x14ac:dyDescent="0.25">
      <c r="A991" t="s">
        <v>1400</v>
      </c>
      <c r="B991" t="s">
        <v>690</v>
      </c>
      <c r="C991" s="2">
        <v>45910.626388888893</v>
      </c>
      <c r="D991" t="s">
        <v>169</v>
      </c>
      <c r="E991" t="s">
        <v>170</v>
      </c>
      <c r="F991" t="s">
        <v>98</v>
      </c>
      <c r="G991" t="s">
        <v>171</v>
      </c>
      <c r="H991">
        <v>1</v>
      </c>
      <c r="I991" s="3">
        <v>799</v>
      </c>
      <c r="J991" s="4">
        <v>0.1</v>
      </c>
      <c r="K991" s="3">
        <v>0</v>
      </c>
      <c r="L991" t="s">
        <v>113</v>
      </c>
      <c r="M991" t="s">
        <v>114</v>
      </c>
      <c r="N991" t="s">
        <v>40</v>
      </c>
      <c r="O991" t="s">
        <v>41</v>
      </c>
      <c r="P991" t="s">
        <v>33</v>
      </c>
      <c r="Q991">
        <v>5</v>
      </c>
      <c r="R991" s="3">
        <f t="shared" si="90"/>
        <v>799</v>
      </c>
      <c r="S991" s="3">
        <f t="shared" si="91"/>
        <v>79.900000000000006</v>
      </c>
      <c r="T991" s="3">
        <f t="shared" si="92"/>
        <v>719.1</v>
      </c>
      <c r="U991" s="3">
        <f t="shared" si="93"/>
        <v>159.80000000000007</v>
      </c>
      <c r="V991" s="4">
        <f t="shared" si="94"/>
        <v>0.22222222222222232</v>
      </c>
      <c r="W991" t="str">
        <f t="shared" si="95"/>
        <v>Sep</v>
      </c>
    </row>
    <row r="992" spans="1:23" x14ac:dyDescent="0.25">
      <c r="A992" t="s">
        <v>1401</v>
      </c>
      <c r="B992" t="s">
        <v>656</v>
      </c>
      <c r="C992" s="2">
        <v>45953.012499999997</v>
      </c>
      <c r="D992" t="s">
        <v>169</v>
      </c>
      <c r="E992" t="s">
        <v>170</v>
      </c>
      <c r="F992" t="s">
        <v>98</v>
      </c>
      <c r="G992" t="s">
        <v>171</v>
      </c>
      <c r="H992">
        <v>1</v>
      </c>
      <c r="I992" s="3">
        <v>799</v>
      </c>
      <c r="J992" s="4">
        <v>0.2</v>
      </c>
      <c r="K992" s="3">
        <v>99</v>
      </c>
      <c r="L992" t="s">
        <v>125</v>
      </c>
      <c r="M992" t="s">
        <v>126</v>
      </c>
      <c r="N992" t="s">
        <v>40</v>
      </c>
      <c r="O992" t="s">
        <v>51</v>
      </c>
      <c r="P992" t="s">
        <v>33</v>
      </c>
      <c r="Q992">
        <v>2</v>
      </c>
      <c r="R992" s="3">
        <f t="shared" si="90"/>
        <v>799</v>
      </c>
      <c r="S992" s="3">
        <f t="shared" si="91"/>
        <v>159.80000000000001</v>
      </c>
      <c r="T992" s="3">
        <f t="shared" si="92"/>
        <v>738.2</v>
      </c>
      <c r="U992" s="3">
        <f t="shared" si="93"/>
        <v>178.90000000000009</v>
      </c>
      <c r="V992" s="4">
        <f t="shared" si="94"/>
        <v>0.24234624762936885</v>
      </c>
      <c r="W992" t="str">
        <f t="shared" si="95"/>
        <v>Oct</v>
      </c>
    </row>
    <row r="993" spans="1:23" x14ac:dyDescent="0.25">
      <c r="A993" t="s">
        <v>1402</v>
      </c>
      <c r="B993" t="s">
        <v>245</v>
      </c>
      <c r="C993" s="2">
        <v>45928.056250000001</v>
      </c>
      <c r="D993" t="s">
        <v>96</v>
      </c>
      <c r="E993" t="s">
        <v>97</v>
      </c>
      <c r="F993" t="s">
        <v>98</v>
      </c>
      <c r="G993" t="s">
        <v>99</v>
      </c>
      <c r="H993">
        <v>3</v>
      </c>
      <c r="I993" s="3">
        <v>1499</v>
      </c>
      <c r="J993" s="4">
        <v>0</v>
      </c>
      <c r="K993" s="3">
        <v>0</v>
      </c>
      <c r="L993" t="s">
        <v>39</v>
      </c>
      <c r="M993" t="s">
        <v>39</v>
      </c>
      <c r="N993" t="s">
        <v>31</v>
      </c>
      <c r="O993" t="s">
        <v>59</v>
      </c>
      <c r="P993" t="s">
        <v>80</v>
      </c>
      <c r="R993" s="3">
        <f t="shared" si="90"/>
        <v>4497</v>
      </c>
      <c r="S993" s="3">
        <f t="shared" si="91"/>
        <v>0</v>
      </c>
      <c r="T993" s="3">
        <f t="shared" si="92"/>
        <v>4497</v>
      </c>
      <c r="U993" s="3">
        <f t="shared" si="93"/>
        <v>1349.1000000000004</v>
      </c>
      <c r="V993" s="4">
        <f t="shared" si="94"/>
        <v>0.3000000000000001</v>
      </c>
      <c r="W993" t="str">
        <f t="shared" si="95"/>
        <v>Sep</v>
      </c>
    </row>
    <row r="994" spans="1:23" x14ac:dyDescent="0.25">
      <c r="A994" t="s">
        <v>1403</v>
      </c>
      <c r="B994" t="s">
        <v>702</v>
      </c>
      <c r="C994" s="2">
        <v>45835.503472222219</v>
      </c>
      <c r="D994" t="s">
        <v>110</v>
      </c>
      <c r="E994" t="s">
        <v>111</v>
      </c>
      <c r="F994" t="s">
        <v>98</v>
      </c>
      <c r="G994" t="s">
        <v>112</v>
      </c>
      <c r="H994">
        <v>1</v>
      </c>
      <c r="I994" s="3">
        <v>2999</v>
      </c>
      <c r="J994" s="4">
        <v>0.05</v>
      </c>
      <c r="K994" s="3">
        <v>79</v>
      </c>
      <c r="L994" t="s">
        <v>48</v>
      </c>
      <c r="M994" t="s">
        <v>49</v>
      </c>
      <c r="N994" t="s">
        <v>40</v>
      </c>
      <c r="O994" t="s">
        <v>51</v>
      </c>
      <c r="P994" t="s">
        <v>85</v>
      </c>
      <c r="R994" s="3">
        <f t="shared" si="90"/>
        <v>2999</v>
      </c>
      <c r="S994" s="3">
        <f t="shared" si="91"/>
        <v>149.95000000000002</v>
      </c>
      <c r="T994" s="3">
        <f t="shared" si="92"/>
        <v>2928.05</v>
      </c>
      <c r="U994" s="3">
        <f t="shared" si="93"/>
        <v>828.75000000000045</v>
      </c>
      <c r="V994" s="4">
        <f t="shared" si="94"/>
        <v>0.28303819948429854</v>
      </c>
      <c r="W994" t="str">
        <f t="shared" si="95"/>
        <v>Jun</v>
      </c>
    </row>
    <row r="995" spans="1:23" x14ac:dyDescent="0.25">
      <c r="A995" t="s">
        <v>1404</v>
      </c>
      <c r="B995" t="s">
        <v>702</v>
      </c>
      <c r="C995" s="2">
        <v>45720.48541666667</v>
      </c>
      <c r="D995" t="s">
        <v>90</v>
      </c>
      <c r="E995" t="s">
        <v>91</v>
      </c>
      <c r="F995" t="s">
        <v>37</v>
      </c>
      <c r="G995" t="s">
        <v>92</v>
      </c>
      <c r="H995">
        <v>3</v>
      </c>
      <c r="I995" s="3">
        <v>3499</v>
      </c>
      <c r="J995" s="4">
        <v>0</v>
      </c>
      <c r="K995" s="3">
        <v>49</v>
      </c>
      <c r="L995" t="s">
        <v>119</v>
      </c>
      <c r="M995" t="s">
        <v>120</v>
      </c>
      <c r="N995" t="s">
        <v>31</v>
      </c>
      <c r="O995" t="s">
        <v>458</v>
      </c>
      <c r="P995" t="s">
        <v>33</v>
      </c>
      <c r="Q995">
        <v>1</v>
      </c>
      <c r="R995" s="3">
        <f t="shared" si="90"/>
        <v>10497</v>
      </c>
      <c r="S995" s="3">
        <f t="shared" si="91"/>
        <v>0</v>
      </c>
      <c r="T995" s="3">
        <f t="shared" si="92"/>
        <v>10546</v>
      </c>
      <c r="U995" s="3">
        <f t="shared" si="93"/>
        <v>3198.1000000000004</v>
      </c>
      <c r="V995" s="4">
        <f t="shared" si="94"/>
        <v>0.30325241797838048</v>
      </c>
      <c r="W995" t="str">
        <f t="shared" si="95"/>
        <v>Mar</v>
      </c>
    </row>
    <row r="996" spans="1:23" x14ac:dyDescent="0.25">
      <c r="A996" t="s">
        <v>1405</v>
      </c>
      <c r="B996" t="s">
        <v>1059</v>
      </c>
      <c r="C996" s="2">
        <v>45703.281944444447</v>
      </c>
      <c r="D996" t="s">
        <v>169</v>
      </c>
      <c r="E996" t="s">
        <v>170</v>
      </c>
      <c r="F996" t="s">
        <v>98</v>
      </c>
      <c r="G996" t="s">
        <v>171</v>
      </c>
      <c r="H996">
        <v>1</v>
      </c>
      <c r="I996" s="3">
        <v>799</v>
      </c>
      <c r="J996" s="4">
        <v>0.15</v>
      </c>
      <c r="K996" s="3">
        <v>0</v>
      </c>
      <c r="L996" t="s">
        <v>57</v>
      </c>
      <c r="M996" t="s">
        <v>58</v>
      </c>
      <c r="N996" t="s">
        <v>71</v>
      </c>
      <c r="O996" t="s">
        <v>93</v>
      </c>
      <c r="P996" t="s">
        <v>33</v>
      </c>
      <c r="Q996">
        <v>1</v>
      </c>
      <c r="R996" s="3">
        <f t="shared" si="90"/>
        <v>799</v>
      </c>
      <c r="S996" s="3">
        <f t="shared" si="91"/>
        <v>119.85</v>
      </c>
      <c r="T996" s="3">
        <f t="shared" si="92"/>
        <v>679.15</v>
      </c>
      <c r="U996" s="3">
        <f t="shared" si="93"/>
        <v>119.85000000000002</v>
      </c>
      <c r="V996" s="4">
        <f t="shared" si="94"/>
        <v>0.17647058823529416</v>
      </c>
      <c r="W996" t="str">
        <f t="shared" si="95"/>
        <v>Feb</v>
      </c>
    </row>
    <row r="997" spans="1:23" x14ac:dyDescent="0.25">
      <c r="A997" t="s">
        <v>1406</v>
      </c>
      <c r="B997" t="s">
        <v>345</v>
      </c>
      <c r="C997" s="2">
        <v>45826.943749999999</v>
      </c>
      <c r="D997" t="s">
        <v>35</v>
      </c>
      <c r="E997" t="s">
        <v>36</v>
      </c>
      <c r="F997" t="s">
        <v>37</v>
      </c>
      <c r="G997" t="s">
        <v>38</v>
      </c>
      <c r="H997">
        <v>1</v>
      </c>
      <c r="I997" s="3">
        <v>599</v>
      </c>
      <c r="J997" s="4">
        <v>0.05</v>
      </c>
      <c r="K997" s="3">
        <v>49</v>
      </c>
      <c r="L997" t="s">
        <v>48</v>
      </c>
      <c r="M997" t="s">
        <v>49</v>
      </c>
      <c r="N997" t="s">
        <v>102</v>
      </c>
      <c r="O997" t="s">
        <v>59</v>
      </c>
      <c r="P997" t="s">
        <v>52</v>
      </c>
      <c r="Q997">
        <v>1</v>
      </c>
      <c r="R997" s="3">
        <f t="shared" si="90"/>
        <v>599</v>
      </c>
      <c r="S997" s="3">
        <f t="shared" si="91"/>
        <v>29.950000000000003</v>
      </c>
      <c r="T997" s="3">
        <f t="shared" si="92"/>
        <v>618.04999999999995</v>
      </c>
      <c r="U997" s="3">
        <f t="shared" si="93"/>
        <v>198.75</v>
      </c>
      <c r="V997" s="4">
        <f t="shared" si="94"/>
        <v>0.32157592427797105</v>
      </c>
      <c r="W997" t="str">
        <f t="shared" si="95"/>
        <v>Jun</v>
      </c>
    </row>
    <row r="998" spans="1:23" x14ac:dyDescent="0.25">
      <c r="A998" t="s">
        <v>1407</v>
      </c>
      <c r="B998" t="s">
        <v>623</v>
      </c>
      <c r="C998" s="2">
        <v>45957.569444444453</v>
      </c>
      <c r="D998" t="s">
        <v>105</v>
      </c>
      <c r="E998" t="s">
        <v>106</v>
      </c>
      <c r="F998" t="s">
        <v>37</v>
      </c>
      <c r="G998" t="s">
        <v>107</v>
      </c>
      <c r="H998">
        <v>3</v>
      </c>
      <c r="I998" s="3">
        <v>1799</v>
      </c>
      <c r="J998" s="4">
        <v>0.2</v>
      </c>
      <c r="K998" s="3">
        <v>0</v>
      </c>
      <c r="L998" t="s">
        <v>74</v>
      </c>
      <c r="M998" t="s">
        <v>49</v>
      </c>
      <c r="N998" t="s">
        <v>102</v>
      </c>
      <c r="O998" t="s">
        <v>41</v>
      </c>
      <c r="P998" t="s">
        <v>52</v>
      </c>
      <c r="Q998">
        <v>5</v>
      </c>
      <c r="R998" s="3">
        <f t="shared" si="90"/>
        <v>5397</v>
      </c>
      <c r="S998" s="3">
        <f t="shared" si="91"/>
        <v>1079.4000000000001</v>
      </c>
      <c r="T998" s="3">
        <f t="shared" si="92"/>
        <v>4317.6000000000004</v>
      </c>
      <c r="U998" s="3">
        <f t="shared" si="93"/>
        <v>539.70000000000073</v>
      </c>
      <c r="V998" s="4">
        <f t="shared" si="94"/>
        <v>0.12500000000000017</v>
      </c>
      <c r="W998" t="str">
        <f t="shared" si="95"/>
        <v>Oct</v>
      </c>
    </row>
    <row r="999" spans="1:23" x14ac:dyDescent="0.25">
      <c r="A999" t="s">
        <v>1408</v>
      </c>
      <c r="B999" t="s">
        <v>591</v>
      </c>
      <c r="C999" s="2">
        <v>45822.979166666657</v>
      </c>
      <c r="D999" t="s">
        <v>90</v>
      </c>
      <c r="E999" t="s">
        <v>91</v>
      </c>
      <c r="F999" t="s">
        <v>37</v>
      </c>
      <c r="G999" t="s">
        <v>92</v>
      </c>
      <c r="H999">
        <v>5</v>
      </c>
      <c r="I999" s="3"/>
      <c r="J999" s="4">
        <v>0</v>
      </c>
      <c r="K999" s="3">
        <v>59</v>
      </c>
      <c r="L999" t="s">
        <v>119</v>
      </c>
      <c r="M999" t="s">
        <v>120</v>
      </c>
      <c r="N999" t="s">
        <v>31</v>
      </c>
      <c r="O999" t="s">
        <v>51</v>
      </c>
      <c r="P999" t="s">
        <v>33</v>
      </c>
      <c r="Q999">
        <v>5</v>
      </c>
      <c r="R999" s="3">
        <f t="shared" si="90"/>
        <v>0</v>
      </c>
      <c r="S999" s="3">
        <f t="shared" si="91"/>
        <v>0</v>
      </c>
      <c r="T999" s="3">
        <f t="shared" si="92"/>
        <v>59</v>
      </c>
      <c r="U999" s="3">
        <f t="shared" si="93"/>
        <v>59</v>
      </c>
      <c r="V999" s="4">
        <f t="shared" si="94"/>
        <v>1</v>
      </c>
      <c r="W999" t="str">
        <f t="shared" si="95"/>
        <v>Jun</v>
      </c>
    </row>
    <row r="1000" spans="1:23" x14ac:dyDescent="0.25">
      <c r="A1000" t="s">
        <v>1409</v>
      </c>
      <c r="B1000" t="s">
        <v>196</v>
      </c>
      <c r="C1000" s="2">
        <v>45696.627083333333</v>
      </c>
      <c r="D1000" t="s">
        <v>67</v>
      </c>
      <c r="E1000" t="s">
        <v>68</v>
      </c>
      <c r="F1000" t="s">
        <v>37</v>
      </c>
      <c r="G1000" t="s">
        <v>38</v>
      </c>
      <c r="H1000">
        <v>2</v>
      </c>
      <c r="I1000" s="3">
        <v>1299</v>
      </c>
      <c r="J1000" s="4">
        <v>0</v>
      </c>
      <c r="K1000" s="3">
        <v>49</v>
      </c>
      <c r="L1000" t="s">
        <v>113</v>
      </c>
      <c r="M1000" t="s">
        <v>114</v>
      </c>
      <c r="N1000" t="s">
        <v>272</v>
      </c>
      <c r="O1000" t="s">
        <v>41</v>
      </c>
      <c r="P1000" t="s">
        <v>33</v>
      </c>
      <c r="Q1000">
        <v>4</v>
      </c>
      <c r="R1000" s="3">
        <f t="shared" si="90"/>
        <v>2598</v>
      </c>
      <c r="S1000" s="3">
        <f t="shared" si="91"/>
        <v>0</v>
      </c>
      <c r="T1000" s="3">
        <f t="shared" si="92"/>
        <v>2647</v>
      </c>
      <c r="U1000" s="3">
        <f t="shared" si="93"/>
        <v>828.40000000000009</v>
      </c>
      <c r="V1000" s="4">
        <f t="shared" si="94"/>
        <v>0.31295806573479412</v>
      </c>
      <c r="W1000" t="str">
        <f t="shared" si="95"/>
        <v>Feb</v>
      </c>
    </row>
    <row r="1001" spans="1:23" x14ac:dyDescent="0.25">
      <c r="A1001" t="s">
        <v>1410</v>
      </c>
      <c r="B1001" t="s">
        <v>837</v>
      </c>
      <c r="C1001" s="2">
        <v>45960.688888888893</v>
      </c>
      <c r="D1001" t="s">
        <v>55</v>
      </c>
      <c r="E1001" t="s">
        <v>56</v>
      </c>
      <c r="F1001" t="s">
        <v>37</v>
      </c>
      <c r="G1001" t="s">
        <v>38</v>
      </c>
      <c r="H1001">
        <v>1</v>
      </c>
      <c r="I1001" s="3">
        <v>2499</v>
      </c>
      <c r="J1001" s="4">
        <v>0.05</v>
      </c>
      <c r="K1001" s="3">
        <v>79</v>
      </c>
      <c r="L1001" t="s">
        <v>74</v>
      </c>
      <c r="M1001" t="s">
        <v>49</v>
      </c>
      <c r="N1001" t="s">
        <v>102</v>
      </c>
      <c r="O1001" t="s">
        <v>93</v>
      </c>
      <c r="P1001" t="s">
        <v>33</v>
      </c>
      <c r="Q1001">
        <v>2</v>
      </c>
      <c r="R1001" s="3">
        <f t="shared" si="90"/>
        <v>2499</v>
      </c>
      <c r="S1001" s="3">
        <f t="shared" si="91"/>
        <v>124.95</v>
      </c>
      <c r="T1001" s="3">
        <f t="shared" si="92"/>
        <v>2453.0500000000002</v>
      </c>
      <c r="U1001" s="3">
        <f t="shared" si="93"/>
        <v>703.75000000000023</v>
      </c>
      <c r="V1001" s="4">
        <f t="shared" si="94"/>
        <v>0.28688775198222627</v>
      </c>
      <c r="W1001" t="str">
        <f t="shared" si="95"/>
        <v>Oct</v>
      </c>
    </row>
    <row r="1002" spans="1:23" x14ac:dyDescent="0.25">
      <c r="A1002" t="s">
        <v>1411</v>
      </c>
      <c r="B1002" t="s">
        <v>818</v>
      </c>
      <c r="C1002" s="2">
        <v>45889.813888888893</v>
      </c>
      <c r="D1002" t="s">
        <v>67</v>
      </c>
      <c r="E1002" t="s">
        <v>68</v>
      </c>
      <c r="F1002" t="s">
        <v>37</v>
      </c>
      <c r="G1002" t="s">
        <v>38</v>
      </c>
      <c r="H1002">
        <v>1</v>
      </c>
      <c r="I1002" s="3">
        <v>1299</v>
      </c>
      <c r="J1002" s="4">
        <v>0.1</v>
      </c>
      <c r="K1002" s="3">
        <v>49</v>
      </c>
      <c r="L1002" t="s">
        <v>74</v>
      </c>
      <c r="M1002" t="s">
        <v>49</v>
      </c>
      <c r="N1002" t="s">
        <v>71</v>
      </c>
      <c r="O1002" t="s">
        <v>59</v>
      </c>
      <c r="P1002" t="s">
        <v>33</v>
      </c>
      <c r="Q1002">
        <v>2</v>
      </c>
      <c r="R1002" s="3">
        <f t="shared" si="90"/>
        <v>1299</v>
      </c>
      <c r="S1002" s="3">
        <f t="shared" si="91"/>
        <v>129.9</v>
      </c>
      <c r="T1002" s="3">
        <f t="shared" si="92"/>
        <v>1218.0999999999999</v>
      </c>
      <c r="U1002" s="3">
        <f t="shared" si="93"/>
        <v>308.79999999999995</v>
      </c>
      <c r="V1002" s="4">
        <f t="shared" si="94"/>
        <v>0.25350956407519909</v>
      </c>
      <c r="W1002" t="str">
        <f t="shared" si="95"/>
        <v>Aug</v>
      </c>
    </row>
    <row r="1003" spans="1:23" x14ac:dyDescent="0.25">
      <c r="A1003" t="s">
        <v>1412</v>
      </c>
      <c r="B1003" t="s">
        <v>1062</v>
      </c>
      <c r="C1003" s="2">
        <v>45953.837500000001</v>
      </c>
      <c r="D1003" t="s">
        <v>25</v>
      </c>
      <c r="E1003" t="s">
        <v>26</v>
      </c>
      <c r="F1003" t="s">
        <v>27</v>
      </c>
      <c r="G1003" t="s">
        <v>28</v>
      </c>
      <c r="H1003">
        <v>4</v>
      </c>
      <c r="I1003" s="3">
        <v>249</v>
      </c>
      <c r="J1003" s="4">
        <v>0.1</v>
      </c>
      <c r="K1003" s="3">
        <v>0</v>
      </c>
      <c r="L1003" t="s">
        <v>48</v>
      </c>
      <c r="M1003" t="s">
        <v>49</v>
      </c>
      <c r="N1003" t="s">
        <v>50</v>
      </c>
      <c r="O1003" t="s">
        <v>93</v>
      </c>
      <c r="P1003" t="s">
        <v>33</v>
      </c>
      <c r="Q1003">
        <v>4</v>
      </c>
      <c r="R1003" s="3">
        <f t="shared" si="90"/>
        <v>996</v>
      </c>
      <c r="S1003" s="3">
        <f t="shared" si="91"/>
        <v>99.600000000000009</v>
      </c>
      <c r="T1003" s="3">
        <f t="shared" si="92"/>
        <v>896.4</v>
      </c>
      <c r="U1003" s="3">
        <f t="shared" si="93"/>
        <v>199.20000000000005</v>
      </c>
      <c r="V1003" s="4">
        <f t="shared" si="94"/>
        <v>0.22222222222222227</v>
      </c>
      <c r="W1003" t="str">
        <f t="shared" si="95"/>
        <v>Oct</v>
      </c>
    </row>
    <row r="1004" spans="1:23" x14ac:dyDescent="0.25">
      <c r="A1004" t="s">
        <v>1413</v>
      </c>
      <c r="B1004" t="s">
        <v>247</v>
      </c>
      <c r="C1004" s="2">
        <v>45996.686111111107</v>
      </c>
      <c r="D1004" t="s">
        <v>105</v>
      </c>
      <c r="E1004" t="s">
        <v>106</v>
      </c>
      <c r="F1004" t="s">
        <v>37</v>
      </c>
      <c r="G1004" t="s">
        <v>107</v>
      </c>
      <c r="H1004">
        <v>1</v>
      </c>
      <c r="I1004" s="3">
        <v>1799</v>
      </c>
      <c r="J1004" s="4">
        <v>0.05</v>
      </c>
      <c r="K1004" s="3">
        <v>0</v>
      </c>
      <c r="L1004" t="s">
        <v>48</v>
      </c>
      <c r="M1004" t="s">
        <v>49</v>
      </c>
      <c r="N1004" t="s">
        <v>31</v>
      </c>
      <c r="O1004" t="s">
        <v>51</v>
      </c>
      <c r="P1004" t="s">
        <v>33</v>
      </c>
      <c r="Q1004">
        <v>4</v>
      </c>
      <c r="R1004" s="3">
        <f t="shared" si="90"/>
        <v>1799</v>
      </c>
      <c r="S1004" s="3">
        <f t="shared" si="91"/>
        <v>89.95</v>
      </c>
      <c r="T1004" s="3">
        <f t="shared" si="92"/>
        <v>1709.05</v>
      </c>
      <c r="U1004" s="3">
        <f t="shared" si="93"/>
        <v>449.75</v>
      </c>
      <c r="V1004" s="4">
        <f t="shared" si="94"/>
        <v>0.26315789473684209</v>
      </c>
      <c r="W1004" t="str">
        <f t="shared" si="95"/>
        <v>Dec</v>
      </c>
    </row>
    <row r="1005" spans="1:23" x14ac:dyDescent="0.25">
      <c r="A1005" t="s">
        <v>1414</v>
      </c>
      <c r="B1005" t="s">
        <v>400</v>
      </c>
      <c r="C1005" s="2">
        <v>45878.681250000001</v>
      </c>
      <c r="D1005" t="s">
        <v>67</v>
      </c>
      <c r="E1005" t="s">
        <v>68</v>
      </c>
      <c r="F1005" t="s">
        <v>37</v>
      </c>
      <c r="G1005" t="s">
        <v>38</v>
      </c>
      <c r="H1005">
        <v>1</v>
      </c>
      <c r="I1005" s="3">
        <v>1299</v>
      </c>
      <c r="J1005" s="4">
        <v>0.1</v>
      </c>
      <c r="K1005" s="3">
        <v>59</v>
      </c>
      <c r="L1005" t="s">
        <v>100</v>
      </c>
      <c r="M1005" t="s">
        <v>101</v>
      </c>
      <c r="N1005" t="s">
        <v>31</v>
      </c>
      <c r="O1005" t="s">
        <v>93</v>
      </c>
      <c r="P1005" t="s">
        <v>33</v>
      </c>
      <c r="R1005" s="3">
        <f t="shared" si="90"/>
        <v>1299</v>
      </c>
      <c r="S1005" s="3">
        <f t="shared" si="91"/>
        <v>129.9</v>
      </c>
      <c r="T1005" s="3">
        <f t="shared" si="92"/>
        <v>1228.0999999999999</v>
      </c>
      <c r="U1005" s="3">
        <f t="shared" si="93"/>
        <v>318.79999999999995</v>
      </c>
      <c r="V1005" s="4">
        <f t="shared" si="94"/>
        <v>0.25958798143473655</v>
      </c>
      <c r="W1005" t="str">
        <f t="shared" si="95"/>
        <v>Aug</v>
      </c>
    </row>
    <row r="1006" spans="1:23" x14ac:dyDescent="0.25">
      <c r="A1006" t="s">
        <v>1415</v>
      </c>
      <c r="B1006" t="s">
        <v>1416</v>
      </c>
      <c r="C1006" s="2">
        <v>45754.507638888892</v>
      </c>
      <c r="D1006" t="s">
        <v>96</v>
      </c>
      <c r="E1006" t="s">
        <v>97</v>
      </c>
      <c r="F1006" t="s">
        <v>98</v>
      </c>
      <c r="G1006" t="s">
        <v>99</v>
      </c>
      <c r="H1006">
        <v>1</v>
      </c>
      <c r="I1006" s="3">
        <v>1499</v>
      </c>
      <c r="J1006" s="4">
        <v>0.05</v>
      </c>
      <c r="K1006" s="3">
        <v>99</v>
      </c>
      <c r="L1006" t="s">
        <v>57</v>
      </c>
      <c r="M1006" t="s">
        <v>58</v>
      </c>
      <c r="N1006" t="s">
        <v>102</v>
      </c>
      <c r="O1006" t="s">
        <v>59</v>
      </c>
      <c r="P1006" t="s">
        <v>85</v>
      </c>
      <c r="Q1006">
        <v>1</v>
      </c>
      <c r="R1006" s="3">
        <f t="shared" si="90"/>
        <v>1499</v>
      </c>
      <c r="S1006" s="3">
        <f t="shared" si="91"/>
        <v>74.95</v>
      </c>
      <c r="T1006" s="3">
        <f t="shared" si="92"/>
        <v>1523.05</v>
      </c>
      <c r="U1006" s="3">
        <f t="shared" si="93"/>
        <v>473.75</v>
      </c>
      <c r="V1006" s="4">
        <f t="shared" si="94"/>
        <v>0.3110534782180493</v>
      </c>
      <c r="W1006" t="str">
        <f t="shared" si="95"/>
        <v>Apr</v>
      </c>
    </row>
    <row r="1007" spans="1:23" x14ac:dyDescent="0.25">
      <c r="A1007" t="s">
        <v>1417</v>
      </c>
      <c r="B1007" t="s">
        <v>89</v>
      </c>
      <c r="C1007" s="2">
        <v>45714.296527777777</v>
      </c>
      <c r="D1007" t="s">
        <v>25</v>
      </c>
      <c r="E1007" t="s">
        <v>26</v>
      </c>
      <c r="F1007" t="s">
        <v>27</v>
      </c>
      <c r="G1007" t="s">
        <v>28</v>
      </c>
      <c r="H1007">
        <v>2</v>
      </c>
      <c r="I1007" s="3">
        <v>249</v>
      </c>
      <c r="J1007" s="4">
        <v>0</v>
      </c>
      <c r="K1007" s="3">
        <v>99</v>
      </c>
      <c r="L1007" t="s">
        <v>39</v>
      </c>
      <c r="M1007" t="s">
        <v>39</v>
      </c>
      <c r="N1007" t="s">
        <v>50</v>
      </c>
      <c r="O1007" t="s">
        <v>93</v>
      </c>
      <c r="P1007" t="s">
        <v>33</v>
      </c>
      <c r="Q1007">
        <v>5</v>
      </c>
      <c r="R1007" s="3">
        <f t="shared" si="90"/>
        <v>498</v>
      </c>
      <c r="S1007" s="3">
        <f t="shared" si="91"/>
        <v>0</v>
      </c>
      <c r="T1007" s="3">
        <f t="shared" si="92"/>
        <v>597</v>
      </c>
      <c r="U1007" s="3">
        <f t="shared" si="93"/>
        <v>248.40000000000003</v>
      </c>
      <c r="V1007" s="4">
        <f t="shared" si="94"/>
        <v>0.41608040201005031</v>
      </c>
      <c r="W1007" t="str">
        <f t="shared" si="95"/>
        <v>Feb</v>
      </c>
    </row>
    <row r="1008" spans="1:23" x14ac:dyDescent="0.25">
      <c r="A1008" t="s">
        <v>1418</v>
      </c>
      <c r="B1008" t="s">
        <v>602</v>
      </c>
      <c r="C1008" s="2">
        <v>45975.947916666657</v>
      </c>
      <c r="D1008" t="s">
        <v>55</v>
      </c>
      <c r="E1008" t="s">
        <v>56</v>
      </c>
      <c r="F1008" t="s">
        <v>37</v>
      </c>
      <c r="G1008" t="s">
        <v>38</v>
      </c>
      <c r="H1008">
        <v>1</v>
      </c>
      <c r="I1008" s="3">
        <v>2499</v>
      </c>
      <c r="J1008" s="4">
        <v>0.1</v>
      </c>
      <c r="K1008" s="3">
        <v>79</v>
      </c>
      <c r="L1008" t="s">
        <v>48</v>
      </c>
      <c r="M1008" t="s">
        <v>49</v>
      </c>
      <c r="N1008" t="s">
        <v>50</v>
      </c>
      <c r="O1008" t="s">
        <v>51</v>
      </c>
      <c r="P1008" t="s">
        <v>52</v>
      </c>
      <c r="Q1008">
        <v>4</v>
      </c>
      <c r="R1008" s="3">
        <f t="shared" si="90"/>
        <v>2499</v>
      </c>
      <c r="S1008" s="3">
        <f t="shared" si="91"/>
        <v>249.9</v>
      </c>
      <c r="T1008" s="3">
        <f t="shared" si="92"/>
        <v>2328.1</v>
      </c>
      <c r="U1008" s="3">
        <f t="shared" si="93"/>
        <v>578.79999999999995</v>
      </c>
      <c r="V1008" s="4">
        <f t="shared" si="94"/>
        <v>0.24861475022550578</v>
      </c>
      <c r="W1008" t="str">
        <f t="shared" si="95"/>
        <v>Nov</v>
      </c>
    </row>
    <row r="1009" spans="1:23" x14ac:dyDescent="0.25">
      <c r="A1009" t="s">
        <v>1419</v>
      </c>
      <c r="B1009" t="s">
        <v>945</v>
      </c>
      <c r="C1009" s="2">
        <v>45835.845833333333</v>
      </c>
      <c r="D1009" t="s">
        <v>67</v>
      </c>
      <c r="E1009" t="s">
        <v>68</v>
      </c>
      <c r="F1009" t="s">
        <v>37</v>
      </c>
      <c r="G1009" t="s">
        <v>38</v>
      </c>
      <c r="H1009">
        <v>3</v>
      </c>
      <c r="I1009" s="3">
        <v>1299</v>
      </c>
      <c r="J1009" s="4"/>
      <c r="K1009" s="3">
        <v>59</v>
      </c>
      <c r="L1009" t="s">
        <v>100</v>
      </c>
      <c r="M1009" t="s">
        <v>101</v>
      </c>
      <c r="N1009" t="s">
        <v>31</v>
      </c>
      <c r="O1009" t="s">
        <v>41</v>
      </c>
      <c r="P1009" t="s">
        <v>80</v>
      </c>
      <c r="Q1009">
        <v>5</v>
      </c>
      <c r="R1009" s="3">
        <f t="shared" si="90"/>
        <v>3897</v>
      </c>
      <c r="S1009" s="3">
        <f t="shared" si="91"/>
        <v>0</v>
      </c>
      <c r="T1009" s="3">
        <f t="shared" si="92"/>
        <v>3956</v>
      </c>
      <c r="U1009" s="3">
        <f t="shared" si="93"/>
        <v>1228.1000000000004</v>
      </c>
      <c r="V1009" s="4">
        <f t="shared" si="94"/>
        <v>0.31043983822042476</v>
      </c>
      <c r="W1009" t="str">
        <f t="shared" si="95"/>
        <v>Jun</v>
      </c>
    </row>
    <row r="1010" spans="1:23" x14ac:dyDescent="0.25">
      <c r="A1010" t="s">
        <v>1420</v>
      </c>
      <c r="B1010" t="s">
        <v>510</v>
      </c>
      <c r="C1010" s="2">
        <v>45814.927083333343</v>
      </c>
      <c r="D1010" t="s">
        <v>77</v>
      </c>
      <c r="E1010" t="s">
        <v>78</v>
      </c>
      <c r="F1010" t="s">
        <v>79</v>
      </c>
      <c r="G1010" t="s">
        <v>28</v>
      </c>
      <c r="H1010">
        <v>2</v>
      </c>
      <c r="I1010" s="3">
        <v>6499</v>
      </c>
      <c r="J1010" s="4">
        <v>0.05</v>
      </c>
      <c r="K1010" s="3">
        <v>0</v>
      </c>
      <c r="L1010" t="s">
        <v>125</v>
      </c>
      <c r="M1010" t="s">
        <v>126</v>
      </c>
      <c r="N1010" t="s">
        <v>50</v>
      </c>
      <c r="O1010" t="s">
        <v>51</v>
      </c>
      <c r="P1010" t="s">
        <v>33</v>
      </c>
      <c r="Q1010">
        <v>4</v>
      </c>
      <c r="R1010" s="3">
        <f t="shared" si="90"/>
        <v>12998</v>
      </c>
      <c r="S1010" s="3">
        <f t="shared" si="91"/>
        <v>649.90000000000009</v>
      </c>
      <c r="T1010" s="3">
        <f t="shared" si="92"/>
        <v>12348.1</v>
      </c>
      <c r="U1010" s="3">
        <f t="shared" si="93"/>
        <v>3249.5000000000018</v>
      </c>
      <c r="V1010" s="4">
        <f t="shared" si="94"/>
        <v>0.26315789473684226</v>
      </c>
      <c r="W1010" t="str">
        <f t="shared" si="95"/>
        <v>Jun</v>
      </c>
    </row>
    <row r="1011" spans="1:23" x14ac:dyDescent="0.25">
      <c r="A1011" t="s">
        <v>1421</v>
      </c>
      <c r="B1011" t="s">
        <v>901</v>
      </c>
      <c r="C1011" s="2">
        <v>45877.417361111111</v>
      </c>
      <c r="D1011" t="s">
        <v>105</v>
      </c>
      <c r="E1011" t="s">
        <v>106</v>
      </c>
      <c r="F1011" t="s">
        <v>37</v>
      </c>
      <c r="G1011" t="s">
        <v>107</v>
      </c>
      <c r="H1011">
        <v>2</v>
      </c>
      <c r="I1011" s="3">
        <v>1799</v>
      </c>
      <c r="J1011" s="4">
        <v>0.05</v>
      </c>
      <c r="K1011" s="3">
        <v>0</v>
      </c>
      <c r="L1011" t="s">
        <v>39</v>
      </c>
      <c r="M1011" t="s">
        <v>39</v>
      </c>
      <c r="N1011" t="s">
        <v>31</v>
      </c>
      <c r="O1011" t="s">
        <v>32</v>
      </c>
      <c r="P1011" t="s">
        <v>33</v>
      </c>
      <c r="Q1011">
        <v>3</v>
      </c>
      <c r="R1011" s="3">
        <f t="shared" si="90"/>
        <v>3598</v>
      </c>
      <c r="S1011" s="3">
        <f t="shared" si="91"/>
        <v>179.9</v>
      </c>
      <c r="T1011" s="3">
        <f t="shared" si="92"/>
        <v>3418.1</v>
      </c>
      <c r="U1011" s="3">
        <f t="shared" si="93"/>
        <v>899.5</v>
      </c>
      <c r="V1011" s="4">
        <f t="shared" si="94"/>
        <v>0.26315789473684209</v>
      </c>
      <c r="W1011" t="str">
        <f t="shared" si="95"/>
        <v>Aug</v>
      </c>
    </row>
    <row r="1012" spans="1:23" x14ac:dyDescent="0.25">
      <c r="A1012" t="s">
        <v>1422</v>
      </c>
      <c r="B1012" t="s">
        <v>403</v>
      </c>
      <c r="C1012" s="2">
        <v>45784.629861111112</v>
      </c>
      <c r="D1012" t="s">
        <v>90</v>
      </c>
      <c r="E1012" t="s">
        <v>91</v>
      </c>
      <c r="F1012" t="s">
        <v>37</v>
      </c>
      <c r="G1012" t="s">
        <v>92</v>
      </c>
      <c r="H1012">
        <v>1</v>
      </c>
      <c r="I1012" s="3">
        <v>3499</v>
      </c>
      <c r="J1012" s="4">
        <v>0</v>
      </c>
      <c r="K1012" s="3">
        <v>99</v>
      </c>
      <c r="L1012" t="s">
        <v>125</v>
      </c>
      <c r="M1012" t="s">
        <v>126</v>
      </c>
      <c r="N1012" t="s">
        <v>50</v>
      </c>
      <c r="O1012" t="s">
        <v>32</v>
      </c>
      <c r="P1012" t="s">
        <v>33</v>
      </c>
      <c r="Q1012">
        <v>5</v>
      </c>
      <c r="R1012" s="3">
        <f t="shared" si="90"/>
        <v>3499</v>
      </c>
      <c r="S1012" s="3">
        <f t="shared" si="91"/>
        <v>0</v>
      </c>
      <c r="T1012" s="3">
        <f t="shared" si="92"/>
        <v>3598</v>
      </c>
      <c r="U1012" s="3">
        <f t="shared" si="93"/>
        <v>1148.7000000000003</v>
      </c>
      <c r="V1012" s="4">
        <f t="shared" si="94"/>
        <v>0.31926070038910515</v>
      </c>
      <c r="W1012" t="str">
        <f t="shared" si="95"/>
        <v>May</v>
      </c>
    </row>
    <row r="1013" spans="1:23" x14ac:dyDescent="0.25">
      <c r="A1013" t="s">
        <v>1423</v>
      </c>
      <c r="B1013" t="s">
        <v>707</v>
      </c>
      <c r="C1013" s="2">
        <v>45709.410416666673</v>
      </c>
      <c r="D1013" t="s">
        <v>105</v>
      </c>
      <c r="E1013" t="s">
        <v>106</v>
      </c>
      <c r="F1013" t="s">
        <v>37</v>
      </c>
      <c r="G1013" t="s">
        <v>107</v>
      </c>
      <c r="H1013">
        <v>3</v>
      </c>
      <c r="I1013" s="3">
        <v>1799</v>
      </c>
      <c r="J1013" s="4">
        <v>0.05</v>
      </c>
      <c r="K1013" s="3">
        <v>79</v>
      </c>
      <c r="L1013" t="s">
        <v>100</v>
      </c>
      <c r="M1013" t="s">
        <v>101</v>
      </c>
      <c r="N1013" t="s">
        <v>71</v>
      </c>
      <c r="O1013" t="s">
        <v>32</v>
      </c>
      <c r="P1013" t="s">
        <v>80</v>
      </c>
      <c r="Q1013">
        <v>3</v>
      </c>
      <c r="R1013" s="3">
        <f t="shared" si="90"/>
        <v>5397</v>
      </c>
      <c r="S1013" s="3">
        <f t="shared" si="91"/>
        <v>269.85000000000002</v>
      </c>
      <c r="T1013" s="3">
        <f t="shared" si="92"/>
        <v>5206.1499999999996</v>
      </c>
      <c r="U1013" s="3">
        <f t="shared" si="93"/>
        <v>1428.25</v>
      </c>
      <c r="V1013" s="4">
        <f t="shared" si="94"/>
        <v>0.27433900291001989</v>
      </c>
      <c r="W1013" t="str">
        <f t="shared" si="95"/>
        <v>Feb</v>
      </c>
    </row>
    <row r="1014" spans="1:23" x14ac:dyDescent="0.25">
      <c r="A1014" t="s">
        <v>1424</v>
      </c>
      <c r="B1014" t="s">
        <v>550</v>
      </c>
      <c r="C1014" s="2">
        <v>45892.036111111112</v>
      </c>
      <c r="D1014" t="s">
        <v>25</v>
      </c>
      <c r="E1014" t="s">
        <v>26</v>
      </c>
      <c r="F1014" t="s">
        <v>27</v>
      </c>
      <c r="G1014" t="s">
        <v>28</v>
      </c>
      <c r="H1014">
        <v>1</v>
      </c>
      <c r="I1014" s="3">
        <v>249</v>
      </c>
      <c r="J1014" s="4">
        <v>0.05</v>
      </c>
      <c r="K1014" s="3">
        <v>59</v>
      </c>
      <c r="L1014" t="s">
        <v>119</v>
      </c>
      <c r="M1014" t="s">
        <v>120</v>
      </c>
      <c r="N1014" t="s">
        <v>102</v>
      </c>
      <c r="O1014" t="s">
        <v>59</v>
      </c>
      <c r="P1014" t="s">
        <v>33</v>
      </c>
      <c r="Q1014">
        <v>1</v>
      </c>
      <c r="R1014" s="3">
        <f t="shared" si="90"/>
        <v>249</v>
      </c>
      <c r="S1014" s="3">
        <f t="shared" si="91"/>
        <v>12.450000000000001</v>
      </c>
      <c r="T1014" s="3">
        <f t="shared" si="92"/>
        <v>295.55</v>
      </c>
      <c r="U1014" s="3">
        <f t="shared" si="93"/>
        <v>121.25000000000003</v>
      </c>
      <c r="V1014" s="4">
        <f t="shared" si="94"/>
        <v>0.41025207240737616</v>
      </c>
      <c r="W1014" t="str">
        <f t="shared" si="95"/>
        <v>Aug</v>
      </c>
    </row>
    <row r="1015" spans="1:23" x14ac:dyDescent="0.25">
      <c r="A1015" t="s">
        <v>1425</v>
      </c>
      <c r="B1015" t="s">
        <v>814</v>
      </c>
      <c r="C1015" s="2">
        <v>45668.18472222222</v>
      </c>
      <c r="D1015" t="s">
        <v>110</v>
      </c>
      <c r="E1015" t="s">
        <v>111</v>
      </c>
      <c r="F1015" t="s">
        <v>98</v>
      </c>
      <c r="G1015" t="s">
        <v>112</v>
      </c>
      <c r="H1015">
        <v>2</v>
      </c>
      <c r="I1015" s="3">
        <v>2999</v>
      </c>
      <c r="J1015" s="4">
        <v>0.2</v>
      </c>
      <c r="K1015" s="3">
        <v>49</v>
      </c>
      <c r="L1015" t="s">
        <v>83</v>
      </c>
      <c r="M1015" t="s">
        <v>84</v>
      </c>
      <c r="N1015" t="s">
        <v>40</v>
      </c>
      <c r="O1015" t="s">
        <v>93</v>
      </c>
      <c r="P1015" t="s">
        <v>33</v>
      </c>
      <c r="Q1015">
        <v>2</v>
      </c>
      <c r="R1015" s="3">
        <f t="shared" si="90"/>
        <v>5998</v>
      </c>
      <c r="S1015" s="3">
        <f t="shared" si="91"/>
        <v>1199.6000000000001</v>
      </c>
      <c r="T1015" s="3">
        <f t="shared" si="92"/>
        <v>4847.3999999999996</v>
      </c>
      <c r="U1015" s="3">
        <f t="shared" si="93"/>
        <v>648.80000000000018</v>
      </c>
      <c r="V1015" s="4">
        <f t="shared" si="94"/>
        <v>0.13384494780707187</v>
      </c>
      <c r="W1015" t="str">
        <f t="shared" si="95"/>
        <v>Jan</v>
      </c>
    </row>
    <row r="1016" spans="1:23" x14ac:dyDescent="0.25">
      <c r="A1016" t="s">
        <v>1426</v>
      </c>
      <c r="B1016" t="s">
        <v>274</v>
      </c>
      <c r="C1016" s="2">
        <v>45703.290277777778</v>
      </c>
      <c r="D1016" t="s">
        <v>44</v>
      </c>
      <c r="E1016" t="s">
        <v>45</v>
      </c>
      <c r="F1016" t="s">
        <v>46</v>
      </c>
      <c r="G1016" t="s">
        <v>47</v>
      </c>
      <c r="H1016">
        <v>1</v>
      </c>
      <c r="I1016" s="3">
        <v>1199</v>
      </c>
      <c r="J1016" s="4"/>
      <c r="K1016" s="3">
        <v>0</v>
      </c>
      <c r="L1016" t="s">
        <v>57</v>
      </c>
      <c r="M1016" t="s">
        <v>58</v>
      </c>
      <c r="N1016" t="s">
        <v>102</v>
      </c>
      <c r="O1016" t="s">
        <v>59</v>
      </c>
      <c r="P1016" t="s">
        <v>52</v>
      </c>
      <c r="Q1016">
        <v>5</v>
      </c>
      <c r="R1016" s="3">
        <f t="shared" si="90"/>
        <v>1199</v>
      </c>
      <c r="S1016" s="3">
        <f t="shared" si="91"/>
        <v>0</v>
      </c>
      <c r="T1016" s="3">
        <f t="shared" si="92"/>
        <v>1199</v>
      </c>
      <c r="U1016" s="3">
        <f t="shared" si="93"/>
        <v>359.70000000000005</v>
      </c>
      <c r="V1016" s="4">
        <f t="shared" si="94"/>
        <v>0.30000000000000004</v>
      </c>
      <c r="W1016" t="str">
        <f t="shared" si="95"/>
        <v>Feb</v>
      </c>
    </row>
    <row r="1017" spans="1:23" x14ac:dyDescent="0.25">
      <c r="A1017" t="s">
        <v>1427</v>
      </c>
      <c r="B1017" t="s">
        <v>342</v>
      </c>
      <c r="C1017" s="2">
        <v>45836.434027777781</v>
      </c>
      <c r="D1017" t="s">
        <v>105</v>
      </c>
      <c r="E1017" t="s">
        <v>106</v>
      </c>
      <c r="F1017" t="s">
        <v>37</v>
      </c>
      <c r="G1017" t="s">
        <v>107</v>
      </c>
      <c r="H1017">
        <v>4</v>
      </c>
      <c r="I1017" s="3">
        <v>1799</v>
      </c>
      <c r="J1017" s="4">
        <v>0.1</v>
      </c>
      <c r="K1017" s="3">
        <v>59</v>
      </c>
      <c r="L1017" t="s">
        <v>48</v>
      </c>
      <c r="M1017" t="s">
        <v>49</v>
      </c>
      <c r="N1017" t="s">
        <v>50</v>
      </c>
      <c r="O1017" t="s">
        <v>93</v>
      </c>
      <c r="P1017" t="s">
        <v>85</v>
      </c>
      <c r="Q1017">
        <v>5</v>
      </c>
      <c r="R1017" s="3">
        <f t="shared" si="90"/>
        <v>7196</v>
      </c>
      <c r="S1017" s="3">
        <f t="shared" si="91"/>
        <v>719.6</v>
      </c>
      <c r="T1017" s="3">
        <f t="shared" si="92"/>
        <v>6535.4</v>
      </c>
      <c r="U1017" s="3">
        <f t="shared" si="93"/>
        <v>1498.1999999999998</v>
      </c>
      <c r="V1017" s="4">
        <f t="shared" si="94"/>
        <v>0.2292438106313309</v>
      </c>
      <c r="W1017" t="str">
        <f t="shared" si="95"/>
        <v>Jun</v>
      </c>
    </row>
    <row r="1018" spans="1:23" x14ac:dyDescent="0.25">
      <c r="A1018" t="s">
        <v>1428</v>
      </c>
      <c r="B1018" t="s">
        <v>240</v>
      </c>
      <c r="C1018" s="2">
        <v>45720.576388888891</v>
      </c>
      <c r="D1018" t="s">
        <v>62</v>
      </c>
      <c r="E1018" t="s">
        <v>63</v>
      </c>
      <c r="F1018" t="s">
        <v>46</v>
      </c>
      <c r="G1018" t="s">
        <v>64</v>
      </c>
      <c r="H1018">
        <v>3</v>
      </c>
      <c r="I1018" s="3">
        <v>699</v>
      </c>
      <c r="J1018" s="4">
        <v>0.15</v>
      </c>
      <c r="K1018" s="3">
        <v>59</v>
      </c>
      <c r="L1018" t="s">
        <v>74</v>
      </c>
      <c r="M1018" t="s">
        <v>49</v>
      </c>
      <c r="N1018" t="s">
        <v>863</v>
      </c>
      <c r="O1018" t="s">
        <v>93</v>
      </c>
      <c r="P1018" t="s">
        <v>52</v>
      </c>
      <c r="Q1018">
        <v>4</v>
      </c>
      <c r="R1018" s="3">
        <f t="shared" si="90"/>
        <v>2097</v>
      </c>
      <c r="S1018" s="3">
        <f t="shared" si="91"/>
        <v>314.55</v>
      </c>
      <c r="T1018" s="3">
        <f t="shared" si="92"/>
        <v>1841.45</v>
      </c>
      <c r="U1018" s="3">
        <f t="shared" si="93"/>
        <v>373.55000000000018</v>
      </c>
      <c r="V1018" s="4">
        <f t="shared" si="94"/>
        <v>0.20285644464959687</v>
      </c>
      <c r="W1018" t="str">
        <f t="shared" si="95"/>
        <v>Mar</v>
      </c>
    </row>
    <row r="1019" spans="1:23" x14ac:dyDescent="0.25">
      <c r="A1019" t="s">
        <v>1429</v>
      </c>
      <c r="B1019" t="s">
        <v>857</v>
      </c>
      <c r="C1019" s="2">
        <v>45734.679166666669</v>
      </c>
      <c r="D1019" t="s">
        <v>25</v>
      </c>
      <c r="E1019" t="s">
        <v>26</v>
      </c>
      <c r="F1019" t="s">
        <v>27</v>
      </c>
      <c r="G1019" t="s">
        <v>28</v>
      </c>
      <c r="H1019">
        <v>2</v>
      </c>
      <c r="I1019" s="3">
        <v>249</v>
      </c>
      <c r="J1019" s="4">
        <v>0.15</v>
      </c>
      <c r="K1019" s="3">
        <v>49</v>
      </c>
      <c r="L1019" t="s">
        <v>100</v>
      </c>
      <c r="M1019" t="s">
        <v>101</v>
      </c>
      <c r="N1019" t="s">
        <v>40</v>
      </c>
      <c r="O1019" t="s">
        <v>51</v>
      </c>
      <c r="P1019" t="s">
        <v>85</v>
      </c>
      <c r="Q1019">
        <v>1</v>
      </c>
      <c r="R1019" s="3">
        <f t="shared" si="90"/>
        <v>498</v>
      </c>
      <c r="S1019" s="3">
        <f t="shared" si="91"/>
        <v>74.7</v>
      </c>
      <c r="T1019" s="3">
        <f t="shared" si="92"/>
        <v>472.3</v>
      </c>
      <c r="U1019" s="3">
        <f t="shared" si="93"/>
        <v>123.70000000000005</v>
      </c>
      <c r="V1019" s="4">
        <f t="shared" si="94"/>
        <v>0.26190980309125567</v>
      </c>
      <c r="W1019" t="str">
        <f t="shared" si="95"/>
        <v>Mar</v>
      </c>
    </row>
    <row r="1020" spans="1:23" x14ac:dyDescent="0.25">
      <c r="A1020" t="s">
        <v>1430</v>
      </c>
      <c r="B1020" t="s">
        <v>104</v>
      </c>
      <c r="C1020" s="2">
        <v>45769.411111111112</v>
      </c>
      <c r="D1020" t="s">
        <v>110</v>
      </c>
      <c r="E1020" t="s">
        <v>111</v>
      </c>
      <c r="F1020" t="s">
        <v>98</v>
      </c>
      <c r="G1020" t="s">
        <v>112</v>
      </c>
      <c r="H1020">
        <v>2</v>
      </c>
      <c r="I1020" s="3">
        <v>2999</v>
      </c>
      <c r="J1020" s="4">
        <v>0</v>
      </c>
      <c r="K1020" s="3">
        <v>0</v>
      </c>
      <c r="L1020" t="s">
        <v>39</v>
      </c>
      <c r="M1020" t="s">
        <v>39</v>
      </c>
      <c r="N1020" t="s">
        <v>71</v>
      </c>
      <c r="O1020" t="s">
        <v>93</v>
      </c>
      <c r="P1020" t="s">
        <v>85</v>
      </c>
      <c r="Q1020">
        <v>4</v>
      </c>
      <c r="R1020" s="3">
        <f t="shared" si="90"/>
        <v>5998</v>
      </c>
      <c r="S1020" s="3">
        <f t="shared" si="91"/>
        <v>0</v>
      </c>
      <c r="T1020" s="3">
        <f t="shared" si="92"/>
        <v>5998</v>
      </c>
      <c r="U1020" s="3">
        <f t="shared" si="93"/>
        <v>1799.4000000000005</v>
      </c>
      <c r="V1020" s="4">
        <f t="shared" si="94"/>
        <v>0.3000000000000001</v>
      </c>
      <c r="W1020" t="str">
        <f t="shared" si="95"/>
        <v>Apr</v>
      </c>
    </row>
    <row r="1021" spans="1:23" x14ac:dyDescent="0.25">
      <c r="A1021" t="s">
        <v>1431</v>
      </c>
      <c r="B1021" t="s">
        <v>43</v>
      </c>
      <c r="C1021" s="2">
        <v>45728.49722222222</v>
      </c>
      <c r="D1021" t="s">
        <v>169</v>
      </c>
      <c r="E1021" t="s">
        <v>170</v>
      </c>
      <c r="F1021" t="s">
        <v>98</v>
      </c>
      <c r="G1021" t="s">
        <v>171</v>
      </c>
      <c r="H1021">
        <v>1</v>
      </c>
      <c r="I1021" s="3">
        <v>799</v>
      </c>
      <c r="J1021" s="4"/>
      <c r="K1021" s="3">
        <v>99</v>
      </c>
      <c r="L1021" t="s">
        <v>39</v>
      </c>
      <c r="M1021" t="s">
        <v>39</v>
      </c>
      <c r="N1021" t="s">
        <v>31</v>
      </c>
      <c r="O1021" t="s">
        <v>51</v>
      </c>
      <c r="P1021" t="s">
        <v>33</v>
      </c>
      <c r="Q1021">
        <v>2</v>
      </c>
      <c r="R1021" s="3">
        <f t="shared" si="90"/>
        <v>799</v>
      </c>
      <c r="S1021" s="3">
        <f t="shared" si="91"/>
        <v>0</v>
      </c>
      <c r="T1021" s="3">
        <f t="shared" si="92"/>
        <v>898</v>
      </c>
      <c r="U1021" s="3">
        <f t="shared" si="93"/>
        <v>338.70000000000005</v>
      </c>
      <c r="V1021" s="4">
        <f t="shared" si="94"/>
        <v>0.37717149220489982</v>
      </c>
      <c r="W1021" t="str">
        <f t="shared" si="95"/>
        <v>Mar</v>
      </c>
    </row>
    <row r="1022" spans="1:23" x14ac:dyDescent="0.25">
      <c r="A1022" t="s">
        <v>1432</v>
      </c>
      <c r="B1022" t="s">
        <v>534</v>
      </c>
      <c r="C1022" s="2">
        <v>45699.384722222218</v>
      </c>
      <c r="D1022" t="s">
        <v>77</v>
      </c>
      <c r="E1022" t="s">
        <v>78</v>
      </c>
      <c r="F1022" t="s">
        <v>79</v>
      </c>
      <c r="G1022" t="s">
        <v>28</v>
      </c>
      <c r="H1022">
        <v>1</v>
      </c>
      <c r="I1022" s="3">
        <v>6499</v>
      </c>
      <c r="J1022" s="4">
        <v>0.1</v>
      </c>
      <c r="K1022" s="3">
        <v>59</v>
      </c>
      <c r="L1022" t="s">
        <v>113</v>
      </c>
      <c r="M1022" t="s">
        <v>114</v>
      </c>
      <c r="N1022" t="s">
        <v>40</v>
      </c>
      <c r="O1022" t="s">
        <v>59</v>
      </c>
      <c r="P1022" t="s">
        <v>33</v>
      </c>
      <c r="Q1022">
        <v>4</v>
      </c>
      <c r="R1022" s="3">
        <f t="shared" si="90"/>
        <v>6499</v>
      </c>
      <c r="S1022" s="3">
        <f t="shared" si="91"/>
        <v>649.90000000000009</v>
      </c>
      <c r="T1022" s="3">
        <f t="shared" si="92"/>
        <v>5908.1</v>
      </c>
      <c r="U1022" s="3">
        <f t="shared" si="93"/>
        <v>1358.8000000000011</v>
      </c>
      <c r="V1022" s="4">
        <f t="shared" si="94"/>
        <v>0.22998933667338078</v>
      </c>
      <c r="W1022" t="str">
        <f t="shared" si="95"/>
        <v>Feb</v>
      </c>
    </row>
    <row r="1023" spans="1:23" x14ac:dyDescent="0.25">
      <c r="A1023" t="s">
        <v>1433</v>
      </c>
      <c r="B1023" t="s">
        <v>257</v>
      </c>
      <c r="C1023" s="2">
        <v>45963.382638888892</v>
      </c>
      <c r="D1023" t="s">
        <v>55</v>
      </c>
      <c r="E1023" t="s">
        <v>56</v>
      </c>
      <c r="F1023" t="s">
        <v>37</v>
      </c>
      <c r="G1023" t="s">
        <v>38</v>
      </c>
      <c r="H1023">
        <v>4</v>
      </c>
      <c r="I1023" s="3">
        <v>2499</v>
      </c>
      <c r="J1023" s="4">
        <v>0.1</v>
      </c>
      <c r="K1023" s="3">
        <v>59</v>
      </c>
      <c r="L1023" t="s">
        <v>48</v>
      </c>
      <c r="M1023" t="s">
        <v>49</v>
      </c>
      <c r="N1023" t="s">
        <v>50</v>
      </c>
      <c r="O1023" t="s">
        <v>41</v>
      </c>
      <c r="P1023" t="s">
        <v>85</v>
      </c>
      <c r="Q1023">
        <v>3</v>
      </c>
      <c r="R1023" s="3">
        <f t="shared" si="90"/>
        <v>9996</v>
      </c>
      <c r="S1023" s="3">
        <f t="shared" si="91"/>
        <v>999.6</v>
      </c>
      <c r="T1023" s="3">
        <f t="shared" si="92"/>
        <v>9055.4</v>
      </c>
      <c r="U1023" s="3">
        <f t="shared" si="93"/>
        <v>2058.1999999999998</v>
      </c>
      <c r="V1023" s="4">
        <f t="shared" si="94"/>
        <v>0.22728979393511053</v>
      </c>
      <c r="W1023" t="str">
        <f t="shared" si="95"/>
        <v>Nov</v>
      </c>
    </row>
    <row r="1024" spans="1:23" x14ac:dyDescent="0.25">
      <c r="A1024" t="s">
        <v>1434</v>
      </c>
      <c r="B1024" t="s">
        <v>24</v>
      </c>
      <c r="C1024" s="2">
        <v>45812.378472222219</v>
      </c>
      <c r="D1024" t="s">
        <v>105</v>
      </c>
      <c r="E1024" t="s">
        <v>106</v>
      </c>
      <c r="F1024" t="s">
        <v>37</v>
      </c>
      <c r="G1024" t="s">
        <v>107</v>
      </c>
      <c r="H1024">
        <v>2</v>
      </c>
      <c r="I1024" s="3">
        <v>1799</v>
      </c>
      <c r="J1024" s="4">
        <v>0.15</v>
      </c>
      <c r="K1024" s="3">
        <v>79</v>
      </c>
      <c r="L1024" t="s">
        <v>57</v>
      </c>
      <c r="M1024" t="s">
        <v>58</v>
      </c>
      <c r="N1024" t="s">
        <v>50</v>
      </c>
      <c r="O1024" t="s">
        <v>59</v>
      </c>
      <c r="P1024" t="s">
        <v>33</v>
      </c>
      <c r="R1024" s="3">
        <f t="shared" si="90"/>
        <v>3598</v>
      </c>
      <c r="S1024" s="3">
        <f t="shared" si="91"/>
        <v>539.69999999999993</v>
      </c>
      <c r="T1024" s="3">
        <f t="shared" si="92"/>
        <v>3137.3</v>
      </c>
      <c r="U1024" s="3">
        <f t="shared" si="93"/>
        <v>618.70000000000027</v>
      </c>
      <c r="V1024" s="4">
        <f t="shared" si="94"/>
        <v>0.19720779013801684</v>
      </c>
      <c r="W1024" t="str">
        <f t="shared" si="95"/>
        <v>Jun</v>
      </c>
    </row>
    <row r="1025" spans="1:23" x14ac:dyDescent="0.25">
      <c r="A1025" t="s">
        <v>1435</v>
      </c>
      <c r="B1025" t="s">
        <v>196</v>
      </c>
      <c r="C1025" s="2">
        <v>45884.930555555547</v>
      </c>
      <c r="D1025" t="s">
        <v>96</v>
      </c>
      <c r="E1025" t="s">
        <v>97</v>
      </c>
      <c r="F1025" t="s">
        <v>98</v>
      </c>
      <c r="G1025" t="s">
        <v>99</v>
      </c>
      <c r="H1025">
        <v>1</v>
      </c>
      <c r="I1025" s="3">
        <v>1499</v>
      </c>
      <c r="J1025" s="4"/>
      <c r="K1025" s="3">
        <v>59</v>
      </c>
      <c r="L1025" t="s">
        <v>29</v>
      </c>
      <c r="M1025" t="s">
        <v>30</v>
      </c>
      <c r="N1025" t="s">
        <v>71</v>
      </c>
      <c r="O1025" t="s">
        <v>59</v>
      </c>
      <c r="P1025" t="s">
        <v>85</v>
      </c>
      <c r="Q1025">
        <v>4</v>
      </c>
      <c r="R1025" s="3">
        <f t="shared" si="90"/>
        <v>1499</v>
      </c>
      <c r="S1025" s="3">
        <f t="shared" si="91"/>
        <v>0</v>
      </c>
      <c r="T1025" s="3">
        <f t="shared" si="92"/>
        <v>1558</v>
      </c>
      <c r="U1025" s="3">
        <f t="shared" si="93"/>
        <v>508.70000000000005</v>
      </c>
      <c r="V1025" s="4">
        <f t="shared" si="94"/>
        <v>0.32650834403080875</v>
      </c>
      <c r="W1025" t="str">
        <f t="shared" si="95"/>
        <v>Aug</v>
      </c>
    </row>
    <row r="1026" spans="1:23" x14ac:dyDescent="0.25">
      <c r="A1026" t="s">
        <v>1436</v>
      </c>
      <c r="B1026" t="s">
        <v>296</v>
      </c>
      <c r="C1026" s="2">
        <v>45944.03402777778</v>
      </c>
      <c r="D1026" t="s">
        <v>96</v>
      </c>
      <c r="E1026" t="s">
        <v>97</v>
      </c>
      <c r="F1026" t="s">
        <v>98</v>
      </c>
      <c r="G1026" t="s">
        <v>99</v>
      </c>
      <c r="H1026">
        <v>2</v>
      </c>
      <c r="I1026" s="3">
        <v>1499</v>
      </c>
      <c r="J1026" s="4">
        <v>0</v>
      </c>
      <c r="K1026" s="3">
        <v>49</v>
      </c>
      <c r="L1026" t="s">
        <v>57</v>
      </c>
      <c r="M1026" t="s">
        <v>58</v>
      </c>
      <c r="N1026" t="s">
        <v>50</v>
      </c>
      <c r="O1026" t="s">
        <v>32</v>
      </c>
      <c r="P1026" t="s">
        <v>52</v>
      </c>
      <c r="Q1026">
        <v>5</v>
      </c>
      <c r="R1026" s="3">
        <f t="shared" ref="R1026:R1089" si="96">IFERROR(H1026*I1026,"")</f>
        <v>2998</v>
      </c>
      <c r="S1026" s="3">
        <f t="shared" ref="S1026:S1089" si="97">IFERROR(R1026*J1026,"")</f>
        <v>0</v>
      </c>
      <c r="T1026" s="3">
        <f t="shared" ref="T1026:T1089" si="98">IFERROR(R1026-S1026+K1026,"")</f>
        <v>3047</v>
      </c>
      <c r="U1026" s="3">
        <f t="shared" ref="U1026:U1089" si="99">IFERROR(T1026-(R1026*70%),"")</f>
        <v>948.40000000000009</v>
      </c>
      <c r="V1026" s="4">
        <f t="shared" ref="V1026:V1089" si="100">IFERROR(U1026/T1026,"")</f>
        <v>0.31125697407285857</v>
      </c>
      <c r="W1026" t="str">
        <f t="shared" ref="W1026:W1089" si="101">IFERROR(TEXT(C1026,"mmm"),"")</f>
        <v>Oct</v>
      </c>
    </row>
    <row r="1027" spans="1:23" x14ac:dyDescent="0.25">
      <c r="A1027" t="s">
        <v>1437</v>
      </c>
      <c r="B1027" t="s">
        <v>1173</v>
      </c>
      <c r="C1027" s="2">
        <v>45947.377083333333</v>
      </c>
      <c r="D1027" t="s">
        <v>169</v>
      </c>
      <c r="E1027" t="s">
        <v>170</v>
      </c>
      <c r="F1027" t="s">
        <v>98</v>
      </c>
      <c r="G1027" t="s">
        <v>171</v>
      </c>
      <c r="H1027">
        <v>2</v>
      </c>
      <c r="I1027" s="3">
        <v>799</v>
      </c>
      <c r="J1027" s="4">
        <v>0</v>
      </c>
      <c r="K1027" s="3">
        <v>79</v>
      </c>
      <c r="L1027" t="s">
        <v>100</v>
      </c>
      <c r="M1027" t="s">
        <v>101</v>
      </c>
      <c r="N1027" t="s">
        <v>40</v>
      </c>
      <c r="O1027" t="s">
        <v>32</v>
      </c>
      <c r="P1027" t="s">
        <v>52</v>
      </c>
      <c r="Q1027">
        <v>4</v>
      </c>
      <c r="R1027" s="3">
        <f t="shared" si="96"/>
        <v>1598</v>
      </c>
      <c r="S1027" s="3">
        <f t="shared" si="97"/>
        <v>0</v>
      </c>
      <c r="T1027" s="3">
        <f t="shared" si="98"/>
        <v>1677</v>
      </c>
      <c r="U1027" s="3">
        <f t="shared" si="99"/>
        <v>558.40000000000009</v>
      </c>
      <c r="V1027" s="4">
        <f t="shared" si="100"/>
        <v>0.33297555158020281</v>
      </c>
      <c r="W1027" t="str">
        <f t="shared" si="101"/>
        <v>Oct</v>
      </c>
    </row>
    <row r="1028" spans="1:23" x14ac:dyDescent="0.25">
      <c r="A1028" t="s">
        <v>1438</v>
      </c>
      <c r="B1028" t="s">
        <v>140</v>
      </c>
      <c r="C1028" s="2">
        <v>45990.13958333333</v>
      </c>
      <c r="D1028" t="s">
        <v>35</v>
      </c>
      <c r="E1028" t="s">
        <v>36</v>
      </c>
      <c r="F1028" t="s">
        <v>37</v>
      </c>
      <c r="G1028" t="s">
        <v>38</v>
      </c>
      <c r="H1028">
        <v>1</v>
      </c>
      <c r="I1028" s="3">
        <v>599</v>
      </c>
      <c r="J1028" s="4">
        <v>0</v>
      </c>
      <c r="K1028" s="3">
        <v>59</v>
      </c>
      <c r="L1028" t="s">
        <v>29</v>
      </c>
      <c r="M1028" t="s">
        <v>30</v>
      </c>
      <c r="N1028" t="s">
        <v>40</v>
      </c>
      <c r="O1028" t="s">
        <v>51</v>
      </c>
      <c r="P1028" t="s">
        <v>85</v>
      </c>
      <c r="R1028" s="3">
        <f t="shared" si="96"/>
        <v>599</v>
      </c>
      <c r="S1028" s="3">
        <f t="shared" si="97"/>
        <v>0</v>
      </c>
      <c r="T1028" s="3">
        <f t="shared" si="98"/>
        <v>658</v>
      </c>
      <c r="U1028" s="3">
        <f t="shared" si="99"/>
        <v>238.70000000000005</v>
      </c>
      <c r="V1028" s="4">
        <f t="shared" si="100"/>
        <v>0.36276595744680856</v>
      </c>
      <c r="W1028" t="str">
        <f t="shared" si="101"/>
        <v>Nov</v>
      </c>
    </row>
    <row r="1029" spans="1:23" x14ac:dyDescent="0.25">
      <c r="A1029" t="s">
        <v>1439</v>
      </c>
      <c r="B1029" t="s">
        <v>516</v>
      </c>
      <c r="C1029" s="2">
        <v>46003.699305555558</v>
      </c>
      <c r="D1029" t="s">
        <v>35</v>
      </c>
      <c r="E1029" t="s">
        <v>36</v>
      </c>
      <c r="F1029" t="s">
        <v>37</v>
      </c>
      <c r="G1029" t="s">
        <v>38</v>
      </c>
      <c r="H1029">
        <v>2</v>
      </c>
      <c r="I1029" s="3">
        <v>599</v>
      </c>
      <c r="J1029" s="4">
        <v>0</v>
      </c>
      <c r="K1029" s="3">
        <v>49</v>
      </c>
      <c r="L1029" t="s">
        <v>29</v>
      </c>
      <c r="M1029" t="s">
        <v>30</v>
      </c>
      <c r="N1029" t="s">
        <v>50</v>
      </c>
      <c r="O1029" t="s">
        <v>32</v>
      </c>
      <c r="P1029" t="s">
        <v>80</v>
      </c>
      <c r="R1029" s="3">
        <f t="shared" si="96"/>
        <v>1198</v>
      </c>
      <c r="S1029" s="3">
        <f t="shared" si="97"/>
        <v>0</v>
      </c>
      <c r="T1029" s="3">
        <f t="shared" si="98"/>
        <v>1247</v>
      </c>
      <c r="U1029" s="3">
        <f t="shared" si="99"/>
        <v>408.40000000000009</v>
      </c>
      <c r="V1029" s="4">
        <f t="shared" si="100"/>
        <v>0.32750601443464322</v>
      </c>
      <c r="W1029" t="str">
        <f t="shared" si="101"/>
        <v>Dec</v>
      </c>
    </row>
    <row r="1030" spans="1:23" x14ac:dyDescent="0.25">
      <c r="A1030" t="s">
        <v>1440</v>
      </c>
      <c r="B1030" t="s">
        <v>1173</v>
      </c>
      <c r="C1030" s="2">
        <v>46003.870833333327</v>
      </c>
      <c r="D1030" t="s">
        <v>90</v>
      </c>
      <c r="E1030" t="s">
        <v>91</v>
      </c>
      <c r="F1030" t="s">
        <v>37</v>
      </c>
      <c r="G1030" t="s">
        <v>92</v>
      </c>
      <c r="H1030">
        <v>1</v>
      </c>
      <c r="I1030" s="3">
        <v>3499</v>
      </c>
      <c r="J1030" s="4">
        <v>0.05</v>
      </c>
      <c r="K1030" s="3">
        <v>59</v>
      </c>
      <c r="L1030" t="s">
        <v>100</v>
      </c>
      <c r="M1030" t="s">
        <v>101</v>
      </c>
      <c r="N1030" t="s">
        <v>40</v>
      </c>
      <c r="O1030" t="s">
        <v>32</v>
      </c>
      <c r="P1030" t="s">
        <v>33</v>
      </c>
      <c r="R1030" s="3">
        <f t="shared" si="96"/>
        <v>3499</v>
      </c>
      <c r="S1030" s="3">
        <f t="shared" si="97"/>
        <v>174.95000000000002</v>
      </c>
      <c r="T1030" s="3">
        <f t="shared" si="98"/>
        <v>3383.05</v>
      </c>
      <c r="U1030" s="3">
        <f t="shared" si="99"/>
        <v>933.75000000000045</v>
      </c>
      <c r="V1030" s="4">
        <f t="shared" si="100"/>
        <v>0.27600833567343092</v>
      </c>
      <c r="W1030" t="str">
        <f t="shared" si="101"/>
        <v>Dec</v>
      </c>
    </row>
    <row r="1031" spans="1:23" x14ac:dyDescent="0.25">
      <c r="A1031" t="s">
        <v>1441</v>
      </c>
      <c r="B1031" t="s">
        <v>1232</v>
      </c>
      <c r="C1031" s="2">
        <v>45736.830555555563</v>
      </c>
      <c r="D1031" t="s">
        <v>67</v>
      </c>
      <c r="E1031" t="s">
        <v>68</v>
      </c>
      <c r="F1031" t="s">
        <v>37</v>
      </c>
      <c r="G1031" t="s">
        <v>38</v>
      </c>
      <c r="H1031">
        <v>1</v>
      </c>
      <c r="I1031" s="3">
        <v>1299</v>
      </c>
      <c r="J1031" s="4">
        <v>0.15</v>
      </c>
      <c r="K1031" s="3">
        <v>0</v>
      </c>
      <c r="L1031" t="s">
        <v>29</v>
      </c>
      <c r="M1031" t="s">
        <v>30</v>
      </c>
      <c r="N1031" t="s">
        <v>50</v>
      </c>
      <c r="O1031" t="s">
        <v>93</v>
      </c>
      <c r="P1031" t="s">
        <v>33</v>
      </c>
      <c r="Q1031">
        <v>4</v>
      </c>
      <c r="R1031" s="3">
        <f t="shared" si="96"/>
        <v>1299</v>
      </c>
      <c r="S1031" s="3">
        <f t="shared" si="97"/>
        <v>194.85</v>
      </c>
      <c r="T1031" s="3">
        <f t="shared" si="98"/>
        <v>1104.1500000000001</v>
      </c>
      <c r="U1031" s="3">
        <f t="shared" si="99"/>
        <v>194.85000000000014</v>
      </c>
      <c r="V1031" s="4">
        <f t="shared" si="100"/>
        <v>0.17647058823529424</v>
      </c>
      <c r="W1031" t="str">
        <f t="shared" si="101"/>
        <v>Mar</v>
      </c>
    </row>
    <row r="1032" spans="1:23" x14ac:dyDescent="0.25">
      <c r="A1032" t="s">
        <v>1442</v>
      </c>
      <c r="B1032" t="s">
        <v>327</v>
      </c>
      <c r="C1032" s="2">
        <v>45686.138194444437</v>
      </c>
      <c r="D1032" t="s">
        <v>35</v>
      </c>
      <c r="E1032" t="s">
        <v>36</v>
      </c>
      <c r="F1032" t="s">
        <v>37</v>
      </c>
      <c r="G1032" t="s">
        <v>38</v>
      </c>
      <c r="H1032">
        <v>1</v>
      </c>
      <c r="I1032" s="3">
        <v>599</v>
      </c>
      <c r="J1032" s="4">
        <v>0.1</v>
      </c>
      <c r="K1032" s="3">
        <v>49</v>
      </c>
      <c r="L1032" t="s">
        <v>83</v>
      </c>
      <c r="M1032" t="s">
        <v>84</v>
      </c>
      <c r="N1032" t="s">
        <v>102</v>
      </c>
      <c r="O1032" t="s">
        <v>51</v>
      </c>
      <c r="P1032" t="s">
        <v>52</v>
      </c>
      <c r="R1032" s="3">
        <f t="shared" si="96"/>
        <v>599</v>
      </c>
      <c r="S1032" s="3">
        <f t="shared" si="97"/>
        <v>59.900000000000006</v>
      </c>
      <c r="T1032" s="3">
        <f t="shared" si="98"/>
        <v>588.1</v>
      </c>
      <c r="U1032" s="3">
        <f t="shared" si="99"/>
        <v>168.80000000000007</v>
      </c>
      <c r="V1032" s="4">
        <f t="shared" si="100"/>
        <v>0.28702601598367633</v>
      </c>
      <c r="W1032" t="str">
        <f t="shared" si="101"/>
        <v>Jan</v>
      </c>
    </row>
    <row r="1033" spans="1:23" x14ac:dyDescent="0.25">
      <c r="A1033" t="s">
        <v>1443</v>
      </c>
      <c r="B1033" t="s">
        <v>620</v>
      </c>
      <c r="C1033" s="2">
        <v>45973.143750000003</v>
      </c>
      <c r="D1033" t="s">
        <v>44</v>
      </c>
      <c r="E1033" t="s">
        <v>45</v>
      </c>
      <c r="F1033" t="s">
        <v>46</v>
      </c>
      <c r="G1033" t="s">
        <v>47</v>
      </c>
      <c r="H1033">
        <v>3</v>
      </c>
      <c r="I1033" s="3">
        <v>1199</v>
      </c>
      <c r="J1033" s="4">
        <v>0.2</v>
      </c>
      <c r="K1033" s="3">
        <v>0</v>
      </c>
      <c r="L1033" t="s">
        <v>119</v>
      </c>
      <c r="M1033" t="s">
        <v>120</v>
      </c>
      <c r="N1033" t="s">
        <v>50</v>
      </c>
      <c r="O1033" t="s">
        <v>41</v>
      </c>
      <c r="P1033" t="s">
        <v>33</v>
      </c>
      <c r="Q1033">
        <v>2</v>
      </c>
      <c r="R1033" s="3">
        <f t="shared" si="96"/>
        <v>3597</v>
      </c>
      <c r="S1033" s="3">
        <f t="shared" si="97"/>
        <v>719.40000000000009</v>
      </c>
      <c r="T1033" s="3">
        <f t="shared" si="98"/>
        <v>2877.6</v>
      </c>
      <c r="U1033" s="3">
        <f t="shared" si="99"/>
        <v>359.70000000000027</v>
      </c>
      <c r="V1033" s="4">
        <f t="shared" si="100"/>
        <v>0.12500000000000011</v>
      </c>
      <c r="W1033" t="str">
        <f t="shared" si="101"/>
        <v>Nov</v>
      </c>
    </row>
    <row r="1034" spans="1:23" x14ac:dyDescent="0.25">
      <c r="A1034" t="s">
        <v>1444</v>
      </c>
      <c r="B1034" t="s">
        <v>1416</v>
      </c>
      <c r="C1034" s="2">
        <v>45903.387499999997</v>
      </c>
      <c r="D1034" t="s">
        <v>62</v>
      </c>
      <c r="E1034" t="s">
        <v>63</v>
      </c>
      <c r="F1034" t="s">
        <v>46</v>
      </c>
      <c r="G1034" t="s">
        <v>64</v>
      </c>
      <c r="H1034">
        <v>1</v>
      </c>
      <c r="I1034" s="3">
        <v>699</v>
      </c>
      <c r="J1034" s="4">
        <v>0</v>
      </c>
      <c r="K1034" s="3">
        <v>99</v>
      </c>
      <c r="L1034" t="s">
        <v>83</v>
      </c>
      <c r="M1034" t="s">
        <v>84</v>
      </c>
      <c r="N1034" t="s">
        <v>71</v>
      </c>
      <c r="O1034" t="s">
        <v>51</v>
      </c>
      <c r="P1034" t="s">
        <v>80</v>
      </c>
      <c r="Q1034">
        <v>4</v>
      </c>
      <c r="R1034" s="3">
        <f t="shared" si="96"/>
        <v>699</v>
      </c>
      <c r="S1034" s="3">
        <f t="shared" si="97"/>
        <v>0</v>
      </c>
      <c r="T1034" s="3">
        <f t="shared" si="98"/>
        <v>798</v>
      </c>
      <c r="U1034" s="3">
        <f t="shared" si="99"/>
        <v>308.70000000000005</v>
      </c>
      <c r="V1034" s="4">
        <f t="shared" si="100"/>
        <v>0.38684210526315793</v>
      </c>
      <c r="W1034" t="str">
        <f t="shared" si="101"/>
        <v>Sep</v>
      </c>
    </row>
    <row r="1035" spans="1:23" x14ac:dyDescent="0.25">
      <c r="A1035" t="s">
        <v>1445</v>
      </c>
      <c r="B1035" t="s">
        <v>329</v>
      </c>
      <c r="C1035" s="2">
        <v>45875.167361111111</v>
      </c>
      <c r="D1035" t="s">
        <v>96</v>
      </c>
      <c r="E1035" t="s">
        <v>97</v>
      </c>
      <c r="F1035" t="s">
        <v>98</v>
      </c>
      <c r="G1035" t="s">
        <v>99</v>
      </c>
      <c r="H1035">
        <v>2</v>
      </c>
      <c r="I1035" s="3">
        <v>1499</v>
      </c>
      <c r="J1035" s="4">
        <v>0.1</v>
      </c>
      <c r="K1035" s="3">
        <v>0</v>
      </c>
      <c r="L1035" t="s">
        <v>29</v>
      </c>
      <c r="M1035" t="s">
        <v>30</v>
      </c>
      <c r="N1035" t="s">
        <v>40</v>
      </c>
      <c r="O1035" t="s">
        <v>93</v>
      </c>
      <c r="P1035" t="s">
        <v>33</v>
      </c>
      <c r="Q1035">
        <v>5</v>
      </c>
      <c r="R1035" s="3">
        <f t="shared" si="96"/>
        <v>2998</v>
      </c>
      <c r="S1035" s="3">
        <f t="shared" si="97"/>
        <v>299.8</v>
      </c>
      <c r="T1035" s="3">
        <f t="shared" si="98"/>
        <v>2698.2</v>
      </c>
      <c r="U1035" s="3">
        <f t="shared" si="99"/>
        <v>599.59999999999991</v>
      </c>
      <c r="V1035" s="4">
        <f t="shared" si="100"/>
        <v>0.22222222222222221</v>
      </c>
      <c r="W1035" t="str">
        <f t="shared" si="101"/>
        <v>Aug</v>
      </c>
    </row>
    <row r="1036" spans="1:23" x14ac:dyDescent="0.25">
      <c r="A1036" t="s">
        <v>1446</v>
      </c>
      <c r="B1036" t="s">
        <v>196</v>
      </c>
      <c r="C1036" s="2">
        <v>45994.811111111107</v>
      </c>
      <c r="D1036" t="s">
        <v>110</v>
      </c>
      <c r="E1036" t="s">
        <v>111</v>
      </c>
      <c r="F1036" t="s">
        <v>98</v>
      </c>
      <c r="G1036" t="s">
        <v>112</v>
      </c>
      <c r="H1036">
        <v>2</v>
      </c>
      <c r="I1036" s="3">
        <v>2999</v>
      </c>
      <c r="J1036" s="4">
        <v>0.05</v>
      </c>
      <c r="K1036" s="3">
        <v>49</v>
      </c>
      <c r="L1036" t="s">
        <v>39</v>
      </c>
      <c r="M1036" t="s">
        <v>39</v>
      </c>
      <c r="N1036" t="s">
        <v>40</v>
      </c>
      <c r="O1036" t="s">
        <v>51</v>
      </c>
      <c r="P1036" t="s">
        <v>33</v>
      </c>
      <c r="Q1036">
        <v>1</v>
      </c>
      <c r="R1036" s="3">
        <f t="shared" si="96"/>
        <v>5998</v>
      </c>
      <c r="S1036" s="3">
        <f t="shared" si="97"/>
        <v>299.90000000000003</v>
      </c>
      <c r="T1036" s="3">
        <f t="shared" si="98"/>
        <v>5747.1</v>
      </c>
      <c r="U1036" s="3">
        <f t="shared" si="99"/>
        <v>1548.5000000000009</v>
      </c>
      <c r="V1036" s="4">
        <f t="shared" si="100"/>
        <v>0.26944023942510148</v>
      </c>
      <c r="W1036" t="str">
        <f t="shared" si="101"/>
        <v>Dec</v>
      </c>
    </row>
    <row r="1037" spans="1:23" x14ac:dyDescent="0.25">
      <c r="A1037" t="s">
        <v>1447</v>
      </c>
      <c r="B1037" t="s">
        <v>695</v>
      </c>
      <c r="C1037" s="2">
        <v>45915.265277777777</v>
      </c>
      <c r="D1037" t="s">
        <v>105</v>
      </c>
      <c r="E1037" t="s">
        <v>106</v>
      </c>
      <c r="F1037" t="s">
        <v>37</v>
      </c>
      <c r="G1037" t="s">
        <v>107</v>
      </c>
      <c r="H1037">
        <v>2</v>
      </c>
      <c r="I1037" s="3">
        <v>1799</v>
      </c>
      <c r="J1037" s="4">
        <v>0.15</v>
      </c>
      <c r="K1037" s="3">
        <v>79</v>
      </c>
      <c r="L1037" t="s">
        <v>74</v>
      </c>
      <c r="M1037" t="s">
        <v>49</v>
      </c>
      <c r="N1037" t="s">
        <v>31</v>
      </c>
      <c r="O1037" t="s">
        <v>41</v>
      </c>
      <c r="P1037" t="s">
        <v>80</v>
      </c>
      <c r="R1037" s="3">
        <f t="shared" si="96"/>
        <v>3598</v>
      </c>
      <c r="S1037" s="3">
        <f t="shared" si="97"/>
        <v>539.69999999999993</v>
      </c>
      <c r="T1037" s="3">
        <f t="shared" si="98"/>
        <v>3137.3</v>
      </c>
      <c r="U1037" s="3">
        <f t="shared" si="99"/>
        <v>618.70000000000027</v>
      </c>
      <c r="V1037" s="4">
        <f t="shared" si="100"/>
        <v>0.19720779013801684</v>
      </c>
      <c r="W1037" t="str">
        <f t="shared" si="101"/>
        <v>Sep</v>
      </c>
    </row>
    <row r="1038" spans="1:23" x14ac:dyDescent="0.25">
      <c r="A1038" t="s">
        <v>1448</v>
      </c>
      <c r="B1038" t="s">
        <v>857</v>
      </c>
      <c r="C1038" s="2">
        <v>45946.436805555553</v>
      </c>
      <c r="D1038" t="s">
        <v>105</v>
      </c>
      <c r="E1038" t="s">
        <v>106</v>
      </c>
      <c r="F1038" t="s">
        <v>37</v>
      </c>
      <c r="G1038" t="s">
        <v>107</v>
      </c>
      <c r="H1038">
        <v>2</v>
      </c>
      <c r="I1038" s="3">
        <v>1799</v>
      </c>
      <c r="J1038" s="4">
        <v>0</v>
      </c>
      <c r="K1038" s="3">
        <v>59</v>
      </c>
      <c r="L1038" t="s">
        <v>74</v>
      </c>
      <c r="M1038" t="s">
        <v>49</v>
      </c>
      <c r="N1038" t="s">
        <v>40</v>
      </c>
      <c r="O1038" t="s">
        <v>93</v>
      </c>
      <c r="P1038" t="s">
        <v>80</v>
      </c>
      <c r="R1038" s="3">
        <f t="shared" si="96"/>
        <v>3598</v>
      </c>
      <c r="S1038" s="3">
        <f t="shared" si="97"/>
        <v>0</v>
      </c>
      <c r="T1038" s="3">
        <f t="shared" si="98"/>
        <v>3657</v>
      </c>
      <c r="U1038" s="3">
        <f t="shared" si="99"/>
        <v>1138.4000000000001</v>
      </c>
      <c r="V1038" s="4">
        <f t="shared" si="100"/>
        <v>0.3112934098988242</v>
      </c>
      <c r="W1038" t="str">
        <f t="shared" si="101"/>
        <v>Oct</v>
      </c>
    </row>
    <row r="1039" spans="1:23" x14ac:dyDescent="0.25">
      <c r="A1039" t="s">
        <v>1449</v>
      </c>
      <c r="B1039" t="s">
        <v>422</v>
      </c>
      <c r="C1039" s="2">
        <v>45899.820833333331</v>
      </c>
      <c r="D1039" t="s">
        <v>25</v>
      </c>
      <c r="E1039" t="s">
        <v>26</v>
      </c>
      <c r="F1039" t="s">
        <v>27</v>
      </c>
      <c r="G1039" t="s">
        <v>28</v>
      </c>
      <c r="H1039">
        <v>1</v>
      </c>
      <c r="I1039" s="3">
        <v>249</v>
      </c>
      <c r="J1039" s="4">
        <v>0.15</v>
      </c>
      <c r="K1039" s="3">
        <v>99</v>
      </c>
      <c r="L1039" t="s">
        <v>119</v>
      </c>
      <c r="M1039" t="s">
        <v>120</v>
      </c>
      <c r="N1039" t="s">
        <v>71</v>
      </c>
      <c r="O1039" t="s">
        <v>41</v>
      </c>
      <c r="P1039" t="s">
        <v>33</v>
      </c>
      <c r="R1039" s="3">
        <f t="shared" si="96"/>
        <v>249</v>
      </c>
      <c r="S1039" s="3">
        <f t="shared" si="97"/>
        <v>37.35</v>
      </c>
      <c r="T1039" s="3">
        <f t="shared" si="98"/>
        <v>310.64999999999998</v>
      </c>
      <c r="U1039" s="3">
        <f t="shared" si="99"/>
        <v>136.35</v>
      </c>
      <c r="V1039" s="4">
        <f t="shared" si="100"/>
        <v>0.43891839690970547</v>
      </c>
      <c r="W1039" t="str">
        <f t="shared" si="101"/>
        <v>Aug</v>
      </c>
    </row>
    <row r="1040" spans="1:23" x14ac:dyDescent="0.25">
      <c r="A1040" t="s">
        <v>1450</v>
      </c>
      <c r="B1040" t="s">
        <v>202</v>
      </c>
      <c r="C1040" s="2">
        <v>45836.777083333327</v>
      </c>
      <c r="D1040" t="s">
        <v>169</v>
      </c>
      <c r="E1040" t="s">
        <v>170</v>
      </c>
      <c r="F1040" t="s">
        <v>98</v>
      </c>
      <c r="G1040" t="s">
        <v>171</v>
      </c>
      <c r="H1040">
        <v>4</v>
      </c>
      <c r="I1040" s="3">
        <v>799</v>
      </c>
      <c r="J1040" s="4">
        <v>0</v>
      </c>
      <c r="K1040" s="3">
        <v>0</v>
      </c>
      <c r="L1040" t="s">
        <v>125</v>
      </c>
      <c r="M1040" t="s">
        <v>126</v>
      </c>
      <c r="N1040" t="s">
        <v>430</v>
      </c>
      <c r="O1040" t="s">
        <v>41</v>
      </c>
      <c r="P1040" t="s">
        <v>52</v>
      </c>
      <c r="Q1040">
        <v>1</v>
      </c>
      <c r="R1040" s="3">
        <f t="shared" si="96"/>
        <v>3196</v>
      </c>
      <c r="S1040" s="3">
        <f t="shared" si="97"/>
        <v>0</v>
      </c>
      <c r="T1040" s="3">
        <f t="shared" si="98"/>
        <v>3196</v>
      </c>
      <c r="U1040" s="3">
        <f t="shared" si="99"/>
        <v>958.80000000000018</v>
      </c>
      <c r="V1040" s="4">
        <f t="shared" si="100"/>
        <v>0.30000000000000004</v>
      </c>
      <c r="W1040" t="str">
        <f t="shared" si="101"/>
        <v>Jun</v>
      </c>
    </row>
    <row r="1041" spans="1:23" x14ac:dyDescent="0.25">
      <c r="A1041" t="s">
        <v>1451</v>
      </c>
      <c r="B1041" t="s">
        <v>574</v>
      </c>
      <c r="C1041" s="2">
        <v>46005.638888888891</v>
      </c>
      <c r="D1041" t="s">
        <v>25</v>
      </c>
      <c r="E1041" t="s">
        <v>26</v>
      </c>
      <c r="F1041" t="s">
        <v>27</v>
      </c>
      <c r="G1041" t="s">
        <v>28</v>
      </c>
      <c r="H1041">
        <v>2</v>
      </c>
      <c r="I1041" s="3">
        <v>249</v>
      </c>
      <c r="J1041" s="4">
        <v>0.2</v>
      </c>
      <c r="K1041" s="3">
        <v>49</v>
      </c>
      <c r="L1041" t="s">
        <v>29</v>
      </c>
      <c r="M1041" t="s">
        <v>30</v>
      </c>
      <c r="N1041" t="s">
        <v>50</v>
      </c>
      <c r="O1041" t="s">
        <v>59</v>
      </c>
      <c r="P1041" t="s">
        <v>33</v>
      </c>
      <c r="R1041" s="3">
        <f t="shared" si="96"/>
        <v>498</v>
      </c>
      <c r="S1041" s="3">
        <f t="shared" si="97"/>
        <v>99.600000000000009</v>
      </c>
      <c r="T1041" s="3">
        <f t="shared" si="98"/>
        <v>447.4</v>
      </c>
      <c r="U1041" s="3">
        <f t="shared" si="99"/>
        <v>98.800000000000011</v>
      </c>
      <c r="V1041" s="4">
        <f t="shared" si="100"/>
        <v>0.22083147071971393</v>
      </c>
      <c r="W1041" t="str">
        <f t="shared" si="101"/>
        <v>Dec</v>
      </c>
    </row>
    <row r="1042" spans="1:23" x14ac:dyDescent="0.25">
      <c r="A1042" t="s">
        <v>1452</v>
      </c>
      <c r="B1042" t="s">
        <v>267</v>
      </c>
      <c r="C1042" s="2">
        <v>45786.126388888893</v>
      </c>
      <c r="D1042" t="s">
        <v>96</v>
      </c>
      <c r="E1042" t="s">
        <v>97</v>
      </c>
      <c r="F1042" t="s">
        <v>98</v>
      </c>
      <c r="G1042" t="s">
        <v>99</v>
      </c>
      <c r="H1042">
        <v>1</v>
      </c>
      <c r="I1042" s="3">
        <v>1499</v>
      </c>
      <c r="J1042" s="4">
        <v>0</v>
      </c>
      <c r="K1042" s="3">
        <v>79</v>
      </c>
      <c r="L1042" t="s">
        <v>29</v>
      </c>
      <c r="M1042" t="s">
        <v>30</v>
      </c>
      <c r="N1042" t="s">
        <v>102</v>
      </c>
      <c r="O1042" t="s">
        <v>93</v>
      </c>
      <c r="P1042" t="s">
        <v>80</v>
      </c>
      <c r="Q1042">
        <v>2</v>
      </c>
      <c r="R1042" s="3">
        <f t="shared" si="96"/>
        <v>1499</v>
      </c>
      <c r="S1042" s="3">
        <f t="shared" si="97"/>
        <v>0</v>
      </c>
      <c r="T1042" s="3">
        <f t="shared" si="98"/>
        <v>1578</v>
      </c>
      <c r="U1042" s="3">
        <f t="shared" si="99"/>
        <v>528.70000000000005</v>
      </c>
      <c r="V1042" s="4">
        <f t="shared" si="100"/>
        <v>0.33504435994930293</v>
      </c>
      <c r="W1042" t="str">
        <f t="shared" si="101"/>
        <v>May</v>
      </c>
    </row>
    <row r="1043" spans="1:23" x14ac:dyDescent="0.25">
      <c r="A1043" t="s">
        <v>1453</v>
      </c>
      <c r="B1043" t="s">
        <v>1228</v>
      </c>
      <c r="C1043" s="2">
        <v>45851.194444444453</v>
      </c>
      <c r="D1043" t="s">
        <v>169</v>
      </c>
      <c r="E1043" t="s">
        <v>170</v>
      </c>
      <c r="F1043" t="s">
        <v>98</v>
      </c>
      <c r="G1043" t="s">
        <v>171</v>
      </c>
      <c r="H1043">
        <v>2</v>
      </c>
      <c r="I1043" s="3">
        <v>799</v>
      </c>
      <c r="J1043" s="4">
        <v>0.15</v>
      </c>
      <c r="K1043" s="3">
        <v>49</v>
      </c>
      <c r="L1043" t="s">
        <v>29</v>
      </c>
      <c r="M1043" t="s">
        <v>30</v>
      </c>
      <c r="N1043" t="s">
        <v>71</v>
      </c>
      <c r="O1043" t="s">
        <v>59</v>
      </c>
      <c r="P1043" t="s">
        <v>85</v>
      </c>
      <c r="Q1043">
        <v>4</v>
      </c>
      <c r="R1043" s="3">
        <f t="shared" si="96"/>
        <v>1598</v>
      </c>
      <c r="S1043" s="3">
        <f t="shared" si="97"/>
        <v>239.7</v>
      </c>
      <c r="T1043" s="3">
        <f t="shared" si="98"/>
        <v>1407.3</v>
      </c>
      <c r="U1043" s="3">
        <f t="shared" si="99"/>
        <v>288.70000000000005</v>
      </c>
      <c r="V1043" s="4">
        <f t="shared" si="100"/>
        <v>0.20514460314076605</v>
      </c>
      <c r="W1043" t="str">
        <f t="shared" si="101"/>
        <v>Jul</v>
      </c>
    </row>
    <row r="1044" spans="1:23" x14ac:dyDescent="0.25">
      <c r="A1044" t="s">
        <v>1454</v>
      </c>
      <c r="B1044" t="s">
        <v>445</v>
      </c>
      <c r="C1044" s="2">
        <v>45740.577777777777</v>
      </c>
      <c r="D1044" t="s">
        <v>25</v>
      </c>
      <c r="E1044" t="s">
        <v>26</v>
      </c>
      <c r="F1044" t="s">
        <v>27</v>
      </c>
      <c r="G1044" t="s">
        <v>28</v>
      </c>
      <c r="H1044">
        <v>1</v>
      </c>
      <c r="I1044" s="3">
        <v>249</v>
      </c>
      <c r="J1044" s="4">
        <v>0</v>
      </c>
      <c r="K1044" s="3">
        <v>0</v>
      </c>
      <c r="L1044" t="s">
        <v>48</v>
      </c>
      <c r="M1044" t="s">
        <v>49</v>
      </c>
      <c r="N1044" t="s">
        <v>31</v>
      </c>
      <c r="O1044" t="s">
        <v>93</v>
      </c>
      <c r="P1044" t="s">
        <v>85</v>
      </c>
      <c r="Q1044">
        <v>2</v>
      </c>
      <c r="R1044" s="3">
        <f t="shared" si="96"/>
        <v>249</v>
      </c>
      <c r="S1044" s="3">
        <f t="shared" si="97"/>
        <v>0</v>
      </c>
      <c r="T1044" s="3">
        <f t="shared" si="98"/>
        <v>249</v>
      </c>
      <c r="U1044" s="3">
        <f t="shared" si="99"/>
        <v>74.700000000000017</v>
      </c>
      <c r="V1044" s="4">
        <f t="shared" si="100"/>
        <v>0.30000000000000004</v>
      </c>
      <c r="W1044" t="str">
        <f t="shared" si="101"/>
        <v>Mar</v>
      </c>
    </row>
    <row r="1045" spans="1:23" x14ac:dyDescent="0.25">
      <c r="A1045" t="s">
        <v>1455</v>
      </c>
      <c r="B1045" t="s">
        <v>620</v>
      </c>
      <c r="C1045" s="2">
        <v>45842.566666666673</v>
      </c>
      <c r="D1045" t="s">
        <v>35</v>
      </c>
      <c r="E1045" t="s">
        <v>36</v>
      </c>
      <c r="F1045" t="s">
        <v>37</v>
      </c>
      <c r="G1045" t="s">
        <v>38</v>
      </c>
      <c r="H1045">
        <v>3</v>
      </c>
      <c r="I1045" s="3">
        <v>599</v>
      </c>
      <c r="J1045" s="4">
        <v>0</v>
      </c>
      <c r="K1045" s="3">
        <v>59</v>
      </c>
      <c r="L1045" t="s">
        <v>100</v>
      </c>
      <c r="M1045" t="s">
        <v>101</v>
      </c>
      <c r="N1045" t="s">
        <v>102</v>
      </c>
      <c r="O1045" t="s">
        <v>59</v>
      </c>
      <c r="P1045" t="s">
        <v>85</v>
      </c>
      <c r="Q1045">
        <v>2</v>
      </c>
      <c r="R1045" s="3">
        <f t="shared" si="96"/>
        <v>1797</v>
      </c>
      <c r="S1045" s="3">
        <f t="shared" si="97"/>
        <v>0</v>
      </c>
      <c r="T1045" s="3">
        <f t="shared" si="98"/>
        <v>1856</v>
      </c>
      <c r="U1045" s="3">
        <f t="shared" si="99"/>
        <v>598.10000000000014</v>
      </c>
      <c r="V1045" s="4">
        <f t="shared" si="100"/>
        <v>0.32225215517241385</v>
      </c>
      <c r="W1045" t="str">
        <f t="shared" si="101"/>
        <v>Jul</v>
      </c>
    </row>
    <row r="1046" spans="1:23" x14ac:dyDescent="0.25">
      <c r="A1046" t="s">
        <v>1456</v>
      </c>
      <c r="C1046" s="2">
        <v>45914.473611111112</v>
      </c>
      <c r="D1046" t="s">
        <v>67</v>
      </c>
      <c r="E1046" t="s">
        <v>68</v>
      </c>
      <c r="F1046" t="s">
        <v>37</v>
      </c>
      <c r="G1046" t="s">
        <v>38</v>
      </c>
      <c r="H1046">
        <v>3</v>
      </c>
      <c r="I1046" s="3">
        <v>1299</v>
      </c>
      <c r="J1046" s="4">
        <v>0.15</v>
      </c>
      <c r="K1046" s="3">
        <v>49</v>
      </c>
      <c r="L1046" t="s">
        <v>125</v>
      </c>
      <c r="M1046" t="s">
        <v>126</v>
      </c>
      <c r="N1046" t="s">
        <v>40</v>
      </c>
      <c r="O1046" t="s">
        <v>59</v>
      </c>
      <c r="P1046" t="s">
        <v>85</v>
      </c>
      <c r="R1046" s="3">
        <f t="shared" si="96"/>
        <v>3897</v>
      </c>
      <c r="S1046" s="3">
        <f t="shared" si="97"/>
        <v>584.54999999999995</v>
      </c>
      <c r="T1046" s="3">
        <f t="shared" si="98"/>
        <v>3361.45</v>
      </c>
      <c r="U1046" s="3">
        <f t="shared" si="99"/>
        <v>633.55000000000018</v>
      </c>
      <c r="V1046" s="4">
        <f t="shared" si="100"/>
        <v>0.18847521159023642</v>
      </c>
      <c r="W1046" t="str">
        <f t="shared" si="101"/>
        <v>Sep</v>
      </c>
    </row>
    <row r="1047" spans="1:23" x14ac:dyDescent="0.25">
      <c r="A1047" t="s">
        <v>1457</v>
      </c>
      <c r="B1047" t="s">
        <v>236</v>
      </c>
      <c r="C1047" s="2">
        <v>45723.679861111108</v>
      </c>
      <c r="D1047" t="s">
        <v>96</v>
      </c>
      <c r="E1047" t="s">
        <v>97</v>
      </c>
      <c r="F1047" t="s">
        <v>98</v>
      </c>
      <c r="G1047" t="s">
        <v>99</v>
      </c>
      <c r="H1047">
        <v>2</v>
      </c>
      <c r="I1047" s="3">
        <v>1499</v>
      </c>
      <c r="J1047" s="4">
        <v>0</v>
      </c>
      <c r="K1047" s="3">
        <v>79</v>
      </c>
      <c r="L1047" t="s">
        <v>29</v>
      </c>
      <c r="M1047" t="s">
        <v>30</v>
      </c>
      <c r="N1047" t="s">
        <v>31</v>
      </c>
      <c r="O1047" t="s">
        <v>32</v>
      </c>
      <c r="P1047" t="s">
        <v>33</v>
      </c>
      <c r="Q1047">
        <v>5</v>
      </c>
      <c r="R1047" s="3">
        <f t="shared" si="96"/>
        <v>2998</v>
      </c>
      <c r="S1047" s="3">
        <f t="shared" si="97"/>
        <v>0</v>
      </c>
      <c r="T1047" s="3">
        <f t="shared" si="98"/>
        <v>3077</v>
      </c>
      <c r="U1047" s="3">
        <f t="shared" si="99"/>
        <v>978.40000000000009</v>
      </c>
      <c r="V1047" s="4">
        <f t="shared" si="100"/>
        <v>0.31797205069873258</v>
      </c>
      <c r="W1047" t="str">
        <f t="shared" si="101"/>
        <v>Mar</v>
      </c>
    </row>
    <row r="1048" spans="1:23" x14ac:dyDescent="0.25">
      <c r="A1048" t="s">
        <v>1458</v>
      </c>
      <c r="B1048" t="s">
        <v>234</v>
      </c>
      <c r="C1048" s="2">
        <v>45806.35</v>
      </c>
      <c r="D1048" t="s">
        <v>169</v>
      </c>
      <c r="E1048" t="s">
        <v>170</v>
      </c>
      <c r="F1048" t="s">
        <v>98</v>
      </c>
      <c r="G1048" t="s">
        <v>171</v>
      </c>
      <c r="H1048">
        <v>1</v>
      </c>
      <c r="I1048" s="3">
        <v>799</v>
      </c>
      <c r="J1048" s="4">
        <v>0.05</v>
      </c>
      <c r="K1048" s="3">
        <v>0</v>
      </c>
      <c r="L1048" t="s">
        <v>39</v>
      </c>
      <c r="M1048" t="s">
        <v>39</v>
      </c>
      <c r="N1048" t="s">
        <v>71</v>
      </c>
      <c r="O1048" t="s">
        <v>93</v>
      </c>
      <c r="P1048" t="s">
        <v>80</v>
      </c>
      <c r="Q1048">
        <v>5</v>
      </c>
      <c r="R1048" s="3">
        <f t="shared" si="96"/>
        <v>799</v>
      </c>
      <c r="S1048" s="3">
        <f t="shared" si="97"/>
        <v>39.950000000000003</v>
      </c>
      <c r="T1048" s="3">
        <f t="shared" si="98"/>
        <v>759.05</v>
      </c>
      <c r="U1048" s="3">
        <f t="shared" si="99"/>
        <v>199.75</v>
      </c>
      <c r="V1048" s="4">
        <f t="shared" si="100"/>
        <v>0.26315789473684215</v>
      </c>
      <c r="W1048" t="str">
        <f t="shared" si="101"/>
        <v>May</v>
      </c>
    </row>
    <row r="1049" spans="1:23" x14ac:dyDescent="0.25">
      <c r="A1049" t="s">
        <v>1459</v>
      </c>
      <c r="B1049" t="s">
        <v>24</v>
      </c>
      <c r="C1049" s="2">
        <v>45970.679861111108</v>
      </c>
      <c r="D1049" t="s">
        <v>44</v>
      </c>
      <c r="E1049" t="s">
        <v>45</v>
      </c>
      <c r="F1049" t="s">
        <v>46</v>
      </c>
      <c r="G1049" t="s">
        <v>47</v>
      </c>
      <c r="H1049">
        <v>3</v>
      </c>
      <c r="I1049" s="3">
        <v>1199</v>
      </c>
      <c r="J1049" s="4">
        <v>0.15</v>
      </c>
      <c r="K1049" s="3">
        <v>0</v>
      </c>
      <c r="L1049" t="s">
        <v>113</v>
      </c>
      <c r="M1049" t="s">
        <v>114</v>
      </c>
      <c r="N1049" t="s">
        <v>31</v>
      </c>
      <c r="O1049" t="s">
        <v>32</v>
      </c>
      <c r="P1049" t="s">
        <v>52</v>
      </c>
      <c r="Q1049">
        <v>4</v>
      </c>
      <c r="R1049" s="3">
        <f t="shared" si="96"/>
        <v>3597</v>
      </c>
      <c r="S1049" s="3">
        <f t="shared" si="97"/>
        <v>539.54999999999995</v>
      </c>
      <c r="T1049" s="3">
        <f t="shared" si="98"/>
        <v>3057.45</v>
      </c>
      <c r="U1049" s="3">
        <f t="shared" si="99"/>
        <v>539.55000000000018</v>
      </c>
      <c r="V1049" s="4">
        <f t="shared" si="100"/>
        <v>0.17647058823529418</v>
      </c>
      <c r="W1049" t="str">
        <f t="shared" si="101"/>
        <v>Nov</v>
      </c>
    </row>
    <row r="1050" spans="1:23" x14ac:dyDescent="0.25">
      <c r="A1050" t="s">
        <v>1460</v>
      </c>
      <c r="B1050" t="s">
        <v>470</v>
      </c>
      <c r="C1050" s="2">
        <v>45873.341666666667</v>
      </c>
      <c r="D1050" t="s">
        <v>110</v>
      </c>
      <c r="E1050" t="s">
        <v>111</v>
      </c>
      <c r="F1050" t="s">
        <v>98</v>
      </c>
      <c r="G1050" t="s">
        <v>112</v>
      </c>
      <c r="H1050">
        <v>1</v>
      </c>
      <c r="I1050" s="3">
        <v>2999</v>
      </c>
      <c r="J1050" s="4">
        <v>0</v>
      </c>
      <c r="K1050" s="3">
        <v>49</v>
      </c>
      <c r="L1050" t="s">
        <v>39</v>
      </c>
      <c r="M1050" t="s">
        <v>39</v>
      </c>
      <c r="N1050" t="s">
        <v>102</v>
      </c>
      <c r="O1050" t="s">
        <v>51</v>
      </c>
      <c r="P1050" t="s">
        <v>33</v>
      </c>
      <c r="R1050" s="3">
        <f t="shared" si="96"/>
        <v>2999</v>
      </c>
      <c r="S1050" s="3">
        <f t="shared" si="97"/>
        <v>0</v>
      </c>
      <c r="T1050" s="3">
        <f t="shared" si="98"/>
        <v>3048</v>
      </c>
      <c r="U1050" s="3">
        <f t="shared" si="99"/>
        <v>948.70000000000027</v>
      </c>
      <c r="V1050" s="4">
        <f t="shared" si="100"/>
        <v>0.31125328083989512</v>
      </c>
      <c r="W1050" t="str">
        <f t="shared" si="101"/>
        <v>Aug</v>
      </c>
    </row>
    <row r="1051" spans="1:23" x14ac:dyDescent="0.25">
      <c r="A1051" t="s">
        <v>1461</v>
      </c>
      <c r="C1051" s="2">
        <v>45695.789583333331</v>
      </c>
      <c r="D1051" t="s">
        <v>25</v>
      </c>
      <c r="E1051" t="s">
        <v>26</v>
      </c>
      <c r="F1051" t="s">
        <v>27</v>
      </c>
      <c r="G1051" t="s">
        <v>28</v>
      </c>
      <c r="H1051">
        <v>1</v>
      </c>
      <c r="I1051" s="3">
        <v>249</v>
      </c>
      <c r="J1051" s="4">
        <v>0.2</v>
      </c>
      <c r="K1051" s="3">
        <v>0</v>
      </c>
      <c r="L1051" t="s">
        <v>39</v>
      </c>
      <c r="M1051" t="s">
        <v>39</v>
      </c>
      <c r="N1051" t="s">
        <v>31</v>
      </c>
      <c r="O1051" t="s">
        <v>59</v>
      </c>
      <c r="P1051" t="s">
        <v>85</v>
      </c>
      <c r="Q1051">
        <v>5</v>
      </c>
      <c r="R1051" s="3">
        <f t="shared" si="96"/>
        <v>249</v>
      </c>
      <c r="S1051" s="3">
        <f t="shared" si="97"/>
        <v>49.800000000000004</v>
      </c>
      <c r="T1051" s="3">
        <f t="shared" si="98"/>
        <v>199.2</v>
      </c>
      <c r="U1051" s="3">
        <f t="shared" si="99"/>
        <v>24.900000000000006</v>
      </c>
      <c r="V1051" s="4">
        <f t="shared" si="100"/>
        <v>0.12500000000000003</v>
      </c>
      <c r="W1051" t="str">
        <f t="shared" si="101"/>
        <v>Feb</v>
      </c>
    </row>
    <row r="1052" spans="1:23" x14ac:dyDescent="0.25">
      <c r="A1052" t="s">
        <v>1462</v>
      </c>
      <c r="B1052" t="s">
        <v>574</v>
      </c>
      <c r="C1052" s="2">
        <v>45940.630555555559</v>
      </c>
      <c r="D1052" t="s">
        <v>77</v>
      </c>
      <c r="E1052" t="s">
        <v>78</v>
      </c>
      <c r="F1052" t="s">
        <v>79</v>
      </c>
      <c r="G1052" t="s">
        <v>28</v>
      </c>
      <c r="H1052">
        <v>4</v>
      </c>
      <c r="I1052" s="3">
        <v>6499</v>
      </c>
      <c r="J1052" s="4">
        <v>0.2</v>
      </c>
      <c r="K1052" s="3">
        <v>0</v>
      </c>
      <c r="L1052" t="s">
        <v>125</v>
      </c>
      <c r="M1052" t="s">
        <v>126</v>
      </c>
      <c r="N1052" t="s">
        <v>31</v>
      </c>
      <c r="O1052" t="s">
        <v>59</v>
      </c>
      <c r="P1052" t="s">
        <v>33</v>
      </c>
      <c r="Q1052">
        <v>5</v>
      </c>
      <c r="R1052" s="3">
        <f t="shared" si="96"/>
        <v>25996</v>
      </c>
      <c r="S1052" s="3">
        <f t="shared" si="97"/>
        <v>5199.2000000000007</v>
      </c>
      <c r="T1052" s="3">
        <f t="shared" si="98"/>
        <v>20796.8</v>
      </c>
      <c r="U1052" s="3">
        <f t="shared" si="99"/>
        <v>2599.6000000000022</v>
      </c>
      <c r="V1052" s="4">
        <f t="shared" si="100"/>
        <v>0.12500000000000011</v>
      </c>
      <c r="W1052" t="str">
        <f t="shared" si="101"/>
        <v>Oct</v>
      </c>
    </row>
    <row r="1053" spans="1:23" x14ac:dyDescent="0.25">
      <c r="A1053" t="s">
        <v>1463</v>
      </c>
      <c r="B1053" t="s">
        <v>224</v>
      </c>
      <c r="C1053" s="2">
        <v>45813.292361111111</v>
      </c>
      <c r="D1053" t="s">
        <v>67</v>
      </c>
      <c r="E1053" t="s">
        <v>68</v>
      </c>
      <c r="F1053" t="s">
        <v>37</v>
      </c>
      <c r="G1053" t="s">
        <v>38</v>
      </c>
      <c r="H1053">
        <v>1</v>
      </c>
      <c r="I1053" s="3">
        <v>1299</v>
      </c>
      <c r="J1053" s="4">
        <v>0</v>
      </c>
      <c r="K1053" s="3">
        <v>49</v>
      </c>
      <c r="L1053" t="s">
        <v>74</v>
      </c>
      <c r="M1053" t="s">
        <v>49</v>
      </c>
      <c r="N1053" t="s">
        <v>102</v>
      </c>
      <c r="O1053" t="s">
        <v>59</v>
      </c>
      <c r="P1053" t="s">
        <v>33</v>
      </c>
      <c r="R1053" s="3">
        <f t="shared" si="96"/>
        <v>1299</v>
      </c>
      <c r="S1053" s="3">
        <f t="shared" si="97"/>
        <v>0</v>
      </c>
      <c r="T1053" s="3">
        <f t="shared" si="98"/>
        <v>1348</v>
      </c>
      <c r="U1053" s="3">
        <f t="shared" si="99"/>
        <v>438.70000000000005</v>
      </c>
      <c r="V1053" s="4">
        <f t="shared" si="100"/>
        <v>0.32544510385756681</v>
      </c>
      <c r="W1053" t="str">
        <f t="shared" si="101"/>
        <v>Jun</v>
      </c>
    </row>
    <row r="1054" spans="1:23" x14ac:dyDescent="0.25">
      <c r="A1054" t="s">
        <v>1464</v>
      </c>
      <c r="B1054" t="s">
        <v>1031</v>
      </c>
      <c r="C1054" s="2">
        <v>45684.53402777778</v>
      </c>
      <c r="D1054" t="s">
        <v>25</v>
      </c>
      <c r="E1054" t="s">
        <v>26</v>
      </c>
      <c r="F1054" t="s">
        <v>27</v>
      </c>
      <c r="G1054" t="s">
        <v>28</v>
      </c>
      <c r="H1054">
        <v>2</v>
      </c>
      <c r="I1054" s="3">
        <v>249</v>
      </c>
      <c r="J1054" s="4">
        <v>0.2</v>
      </c>
      <c r="K1054" s="3">
        <v>49</v>
      </c>
      <c r="L1054" t="s">
        <v>39</v>
      </c>
      <c r="M1054" t="s">
        <v>39</v>
      </c>
      <c r="N1054" t="s">
        <v>40</v>
      </c>
      <c r="O1054" t="s">
        <v>1465</v>
      </c>
      <c r="P1054" t="s">
        <v>52</v>
      </c>
      <c r="Q1054">
        <v>2</v>
      </c>
      <c r="R1054" s="3">
        <f t="shared" si="96"/>
        <v>498</v>
      </c>
      <c r="S1054" s="3">
        <f t="shared" si="97"/>
        <v>99.600000000000009</v>
      </c>
      <c r="T1054" s="3">
        <f t="shared" si="98"/>
        <v>447.4</v>
      </c>
      <c r="U1054" s="3">
        <f t="shared" si="99"/>
        <v>98.800000000000011</v>
      </c>
      <c r="V1054" s="4">
        <f t="shared" si="100"/>
        <v>0.22083147071971393</v>
      </c>
      <c r="W1054" t="str">
        <f t="shared" si="101"/>
        <v>Jan</v>
      </c>
    </row>
    <row r="1055" spans="1:23" x14ac:dyDescent="0.25">
      <c r="A1055" t="s">
        <v>1466</v>
      </c>
      <c r="B1055" t="s">
        <v>1117</v>
      </c>
      <c r="C1055" s="2">
        <v>45973.473611111112</v>
      </c>
      <c r="D1055" t="s">
        <v>55</v>
      </c>
      <c r="E1055" t="s">
        <v>56</v>
      </c>
      <c r="F1055" t="s">
        <v>37</v>
      </c>
      <c r="G1055" t="s">
        <v>38</v>
      </c>
      <c r="H1055">
        <v>1</v>
      </c>
      <c r="I1055" s="3">
        <v>2499</v>
      </c>
      <c r="J1055" s="4">
        <v>0.05</v>
      </c>
      <c r="K1055" s="3">
        <v>79</v>
      </c>
      <c r="L1055" t="s">
        <v>119</v>
      </c>
      <c r="M1055" t="s">
        <v>120</v>
      </c>
      <c r="N1055" t="s">
        <v>50</v>
      </c>
      <c r="O1055" t="s">
        <v>41</v>
      </c>
      <c r="P1055" t="s">
        <v>33</v>
      </c>
      <c r="Q1055">
        <v>1</v>
      </c>
      <c r="R1055" s="3">
        <f t="shared" si="96"/>
        <v>2499</v>
      </c>
      <c r="S1055" s="3">
        <f t="shared" si="97"/>
        <v>124.95</v>
      </c>
      <c r="T1055" s="3">
        <f t="shared" si="98"/>
        <v>2453.0500000000002</v>
      </c>
      <c r="U1055" s="3">
        <f t="shared" si="99"/>
        <v>703.75000000000023</v>
      </c>
      <c r="V1055" s="4">
        <f t="shared" si="100"/>
        <v>0.28688775198222627</v>
      </c>
      <c r="W1055" t="str">
        <f t="shared" si="101"/>
        <v>Nov</v>
      </c>
    </row>
    <row r="1056" spans="1:23" x14ac:dyDescent="0.25">
      <c r="A1056" t="s">
        <v>1467</v>
      </c>
      <c r="B1056" t="s">
        <v>1117</v>
      </c>
      <c r="C1056" s="2">
        <v>45932.751388888893</v>
      </c>
      <c r="D1056" t="s">
        <v>44</v>
      </c>
      <c r="E1056" t="s">
        <v>45</v>
      </c>
      <c r="F1056" t="s">
        <v>46</v>
      </c>
      <c r="G1056" t="s">
        <v>47</v>
      </c>
      <c r="H1056">
        <v>1</v>
      </c>
      <c r="I1056" s="3">
        <v>1199</v>
      </c>
      <c r="J1056" s="4">
        <v>0.2</v>
      </c>
      <c r="K1056" s="3">
        <v>49</v>
      </c>
      <c r="L1056" t="s">
        <v>39</v>
      </c>
      <c r="M1056" t="s">
        <v>39</v>
      </c>
      <c r="N1056" t="s">
        <v>31</v>
      </c>
      <c r="O1056" t="s">
        <v>93</v>
      </c>
      <c r="P1056" t="s">
        <v>33</v>
      </c>
      <c r="Q1056">
        <v>2</v>
      </c>
      <c r="R1056" s="3">
        <f t="shared" si="96"/>
        <v>1199</v>
      </c>
      <c r="S1056" s="3">
        <f t="shared" si="97"/>
        <v>239.8</v>
      </c>
      <c r="T1056" s="3">
        <f t="shared" si="98"/>
        <v>1008.2</v>
      </c>
      <c r="U1056" s="3">
        <f t="shared" si="99"/>
        <v>168.90000000000009</v>
      </c>
      <c r="V1056" s="4">
        <f t="shared" si="100"/>
        <v>0.16752628446736767</v>
      </c>
      <c r="W1056" t="str">
        <f t="shared" si="101"/>
        <v>Oct</v>
      </c>
    </row>
    <row r="1057" spans="1:23" x14ac:dyDescent="0.25">
      <c r="A1057" t="s">
        <v>1468</v>
      </c>
      <c r="B1057" t="s">
        <v>306</v>
      </c>
      <c r="C1057" s="2">
        <v>45818.484722222223</v>
      </c>
      <c r="D1057" t="s">
        <v>90</v>
      </c>
      <c r="E1057" t="s">
        <v>91</v>
      </c>
      <c r="F1057" t="s">
        <v>37</v>
      </c>
      <c r="G1057" t="s">
        <v>92</v>
      </c>
      <c r="H1057">
        <v>1</v>
      </c>
      <c r="I1057" s="3">
        <v>3499</v>
      </c>
      <c r="J1057" s="4">
        <v>0</v>
      </c>
      <c r="K1057" s="3">
        <v>59</v>
      </c>
      <c r="L1057" t="s">
        <v>100</v>
      </c>
      <c r="M1057" t="s">
        <v>101</v>
      </c>
      <c r="N1057" t="s">
        <v>102</v>
      </c>
      <c r="O1057" t="s">
        <v>59</v>
      </c>
      <c r="P1057" t="s">
        <v>80</v>
      </c>
      <c r="Q1057">
        <v>4</v>
      </c>
      <c r="R1057" s="3">
        <f t="shared" si="96"/>
        <v>3499</v>
      </c>
      <c r="S1057" s="3">
        <f t="shared" si="97"/>
        <v>0</v>
      </c>
      <c r="T1057" s="3">
        <f t="shared" si="98"/>
        <v>3558</v>
      </c>
      <c r="U1057" s="3">
        <f t="shared" si="99"/>
        <v>1108.7000000000003</v>
      </c>
      <c r="V1057" s="4">
        <f t="shared" si="100"/>
        <v>0.31160764474423841</v>
      </c>
      <c r="W1057" t="str">
        <f t="shared" si="101"/>
        <v>Jun</v>
      </c>
    </row>
    <row r="1058" spans="1:23" x14ac:dyDescent="0.25">
      <c r="A1058" t="s">
        <v>1469</v>
      </c>
      <c r="B1058" t="s">
        <v>82</v>
      </c>
      <c r="C1058" s="2">
        <v>45697.356944444437</v>
      </c>
      <c r="D1058" t="s">
        <v>25</v>
      </c>
      <c r="E1058" t="s">
        <v>26</v>
      </c>
      <c r="F1058" t="s">
        <v>27</v>
      </c>
      <c r="G1058" t="s">
        <v>28</v>
      </c>
      <c r="H1058">
        <v>2</v>
      </c>
      <c r="I1058" s="3">
        <v>249</v>
      </c>
      <c r="J1058" s="4">
        <v>0.1</v>
      </c>
      <c r="K1058" s="3">
        <v>59</v>
      </c>
      <c r="L1058" t="s">
        <v>29</v>
      </c>
      <c r="M1058" t="s">
        <v>30</v>
      </c>
      <c r="N1058" t="s">
        <v>40</v>
      </c>
      <c r="O1058" t="s">
        <v>51</v>
      </c>
      <c r="P1058" t="s">
        <v>33</v>
      </c>
      <c r="Q1058">
        <v>3</v>
      </c>
      <c r="R1058" s="3">
        <f t="shared" si="96"/>
        <v>498</v>
      </c>
      <c r="S1058" s="3">
        <f t="shared" si="97"/>
        <v>49.800000000000004</v>
      </c>
      <c r="T1058" s="3">
        <f t="shared" si="98"/>
        <v>507.2</v>
      </c>
      <c r="U1058" s="3">
        <f t="shared" si="99"/>
        <v>158.60000000000002</v>
      </c>
      <c r="V1058" s="4">
        <f t="shared" si="100"/>
        <v>0.31269716088328081</v>
      </c>
      <c r="W1058" t="str">
        <f t="shared" si="101"/>
        <v>Feb</v>
      </c>
    </row>
    <row r="1059" spans="1:23" x14ac:dyDescent="0.25">
      <c r="A1059" t="s">
        <v>1470</v>
      </c>
      <c r="B1059" t="s">
        <v>392</v>
      </c>
      <c r="C1059" s="2">
        <v>45783.706250000003</v>
      </c>
      <c r="D1059" t="s">
        <v>62</v>
      </c>
      <c r="E1059" t="s">
        <v>63</v>
      </c>
      <c r="F1059" t="s">
        <v>46</v>
      </c>
      <c r="G1059" t="s">
        <v>64</v>
      </c>
      <c r="H1059">
        <v>3</v>
      </c>
      <c r="I1059" s="3">
        <v>699</v>
      </c>
      <c r="J1059" s="4">
        <v>0.05</v>
      </c>
      <c r="K1059" s="3">
        <v>99</v>
      </c>
      <c r="L1059" t="s">
        <v>48</v>
      </c>
      <c r="M1059" t="s">
        <v>49</v>
      </c>
      <c r="N1059" t="s">
        <v>31</v>
      </c>
      <c r="O1059" t="s">
        <v>93</v>
      </c>
      <c r="P1059" t="s">
        <v>33</v>
      </c>
      <c r="Q1059">
        <v>3</v>
      </c>
      <c r="R1059" s="3">
        <f t="shared" si="96"/>
        <v>2097</v>
      </c>
      <c r="S1059" s="3">
        <f t="shared" si="97"/>
        <v>104.85000000000001</v>
      </c>
      <c r="T1059" s="3">
        <f t="shared" si="98"/>
        <v>2091.15</v>
      </c>
      <c r="U1059" s="3">
        <f t="shared" si="99"/>
        <v>623.25000000000023</v>
      </c>
      <c r="V1059" s="4">
        <f t="shared" si="100"/>
        <v>0.29804174736389077</v>
      </c>
      <c r="W1059" t="str">
        <f t="shared" si="101"/>
        <v>May</v>
      </c>
    </row>
    <row r="1060" spans="1:23" x14ac:dyDescent="0.25">
      <c r="A1060" t="s">
        <v>1471</v>
      </c>
      <c r="B1060" t="s">
        <v>220</v>
      </c>
      <c r="C1060" s="2">
        <v>45698.290277777778</v>
      </c>
      <c r="D1060" t="s">
        <v>96</v>
      </c>
      <c r="E1060" t="s">
        <v>97</v>
      </c>
      <c r="F1060" t="s">
        <v>98</v>
      </c>
      <c r="G1060" t="s">
        <v>99</v>
      </c>
      <c r="H1060">
        <v>2</v>
      </c>
      <c r="I1060" s="3">
        <v>1499</v>
      </c>
      <c r="J1060" s="4">
        <v>0.15</v>
      </c>
      <c r="K1060" s="3">
        <v>49</v>
      </c>
      <c r="L1060" t="s">
        <v>125</v>
      </c>
      <c r="M1060" t="s">
        <v>126</v>
      </c>
      <c r="N1060" t="s">
        <v>102</v>
      </c>
      <c r="O1060" t="s">
        <v>41</v>
      </c>
      <c r="P1060" t="s">
        <v>33</v>
      </c>
      <c r="Q1060">
        <v>1</v>
      </c>
      <c r="R1060" s="3">
        <f t="shared" si="96"/>
        <v>2998</v>
      </c>
      <c r="S1060" s="3">
        <f t="shared" si="97"/>
        <v>449.7</v>
      </c>
      <c r="T1060" s="3">
        <f t="shared" si="98"/>
        <v>2597.3000000000002</v>
      </c>
      <c r="U1060" s="3">
        <f t="shared" si="99"/>
        <v>498.70000000000027</v>
      </c>
      <c r="V1060" s="4">
        <f t="shared" si="100"/>
        <v>0.19200708427982915</v>
      </c>
      <c r="W1060" t="str">
        <f t="shared" si="101"/>
        <v>Feb</v>
      </c>
    </row>
    <row r="1061" spans="1:23" x14ac:dyDescent="0.25">
      <c r="A1061" t="s">
        <v>1472</v>
      </c>
      <c r="B1061" t="s">
        <v>192</v>
      </c>
      <c r="C1061" s="2">
        <v>45778.936111111107</v>
      </c>
      <c r="D1061" t="s">
        <v>169</v>
      </c>
      <c r="E1061" t="s">
        <v>170</v>
      </c>
      <c r="F1061" t="s">
        <v>98</v>
      </c>
      <c r="G1061" t="s">
        <v>171</v>
      </c>
      <c r="H1061">
        <v>1</v>
      </c>
      <c r="I1061" s="3">
        <v>799</v>
      </c>
      <c r="J1061" s="4">
        <v>0.1</v>
      </c>
      <c r="K1061" s="3">
        <v>0</v>
      </c>
      <c r="L1061" t="s">
        <v>100</v>
      </c>
      <c r="M1061" t="s">
        <v>101</v>
      </c>
      <c r="N1061" t="s">
        <v>40</v>
      </c>
      <c r="O1061" t="s">
        <v>93</v>
      </c>
      <c r="P1061" t="s">
        <v>80</v>
      </c>
      <c r="Q1061">
        <v>3</v>
      </c>
      <c r="R1061" s="3">
        <f t="shared" si="96"/>
        <v>799</v>
      </c>
      <c r="S1061" s="3">
        <f t="shared" si="97"/>
        <v>79.900000000000006</v>
      </c>
      <c r="T1061" s="3">
        <f t="shared" si="98"/>
        <v>719.1</v>
      </c>
      <c r="U1061" s="3">
        <f t="shared" si="99"/>
        <v>159.80000000000007</v>
      </c>
      <c r="V1061" s="4">
        <f t="shared" si="100"/>
        <v>0.22222222222222232</v>
      </c>
      <c r="W1061" t="str">
        <f t="shared" si="101"/>
        <v>May</v>
      </c>
    </row>
    <row r="1062" spans="1:23" x14ac:dyDescent="0.25">
      <c r="A1062" t="s">
        <v>1473</v>
      </c>
      <c r="B1062" t="s">
        <v>942</v>
      </c>
      <c r="C1062" s="2">
        <v>45701.053472222222</v>
      </c>
      <c r="D1062" t="s">
        <v>110</v>
      </c>
      <c r="E1062" t="s">
        <v>111</v>
      </c>
      <c r="F1062" t="s">
        <v>98</v>
      </c>
      <c r="G1062" t="s">
        <v>112</v>
      </c>
      <c r="H1062">
        <v>1</v>
      </c>
      <c r="I1062" s="3">
        <v>2999</v>
      </c>
      <c r="J1062" s="4">
        <v>0.1</v>
      </c>
      <c r="K1062" s="3">
        <v>79</v>
      </c>
      <c r="L1062" t="s">
        <v>125</v>
      </c>
      <c r="M1062" t="s">
        <v>126</v>
      </c>
      <c r="N1062" t="s">
        <v>40</v>
      </c>
      <c r="O1062" t="s">
        <v>59</v>
      </c>
      <c r="P1062" t="s">
        <v>85</v>
      </c>
      <c r="Q1062">
        <v>4</v>
      </c>
      <c r="R1062" s="3">
        <f t="shared" si="96"/>
        <v>2999</v>
      </c>
      <c r="S1062" s="3">
        <f t="shared" si="97"/>
        <v>299.90000000000003</v>
      </c>
      <c r="T1062" s="3">
        <f t="shared" si="98"/>
        <v>2778.1</v>
      </c>
      <c r="U1062" s="3">
        <f t="shared" si="99"/>
        <v>678.80000000000018</v>
      </c>
      <c r="V1062" s="4">
        <f t="shared" si="100"/>
        <v>0.2443396565998345</v>
      </c>
      <c r="W1062" t="str">
        <f t="shared" si="101"/>
        <v>Feb</v>
      </c>
    </row>
    <row r="1063" spans="1:23" x14ac:dyDescent="0.25">
      <c r="A1063" t="s">
        <v>1474</v>
      </c>
      <c r="B1063" t="s">
        <v>381</v>
      </c>
      <c r="C1063" s="2">
        <v>45752.893750000003</v>
      </c>
      <c r="D1063" t="s">
        <v>35</v>
      </c>
      <c r="E1063" t="s">
        <v>36</v>
      </c>
      <c r="F1063" t="s">
        <v>37</v>
      </c>
      <c r="G1063" t="s">
        <v>38</v>
      </c>
      <c r="H1063">
        <v>1</v>
      </c>
      <c r="I1063" s="3">
        <v>599</v>
      </c>
      <c r="J1063" s="4">
        <v>0</v>
      </c>
      <c r="K1063" s="3">
        <v>59</v>
      </c>
      <c r="L1063" t="s">
        <v>113</v>
      </c>
      <c r="M1063" t="s">
        <v>114</v>
      </c>
      <c r="N1063" t="s">
        <v>102</v>
      </c>
      <c r="O1063" t="s">
        <v>51</v>
      </c>
      <c r="P1063" t="s">
        <v>85</v>
      </c>
      <c r="Q1063">
        <v>1</v>
      </c>
      <c r="R1063" s="3">
        <f t="shared" si="96"/>
        <v>599</v>
      </c>
      <c r="S1063" s="3">
        <f t="shared" si="97"/>
        <v>0</v>
      </c>
      <c r="T1063" s="3">
        <f t="shared" si="98"/>
        <v>658</v>
      </c>
      <c r="U1063" s="3">
        <f t="shared" si="99"/>
        <v>238.70000000000005</v>
      </c>
      <c r="V1063" s="4">
        <f t="shared" si="100"/>
        <v>0.36276595744680856</v>
      </c>
      <c r="W1063" t="str">
        <f t="shared" si="101"/>
        <v>Apr</v>
      </c>
    </row>
    <row r="1064" spans="1:23" x14ac:dyDescent="0.25">
      <c r="A1064" t="s">
        <v>1475</v>
      </c>
      <c r="B1064" t="s">
        <v>265</v>
      </c>
      <c r="C1064" s="2">
        <v>45792.759027777778</v>
      </c>
      <c r="D1064" t="s">
        <v>44</v>
      </c>
      <c r="E1064" t="s">
        <v>45</v>
      </c>
      <c r="F1064" t="s">
        <v>46</v>
      </c>
      <c r="G1064" t="s">
        <v>47</v>
      </c>
      <c r="H1064">
        <v>4</v>
      </c>
      <c r="I1064" s="3">
        <v>1199</v>
      </c>
      <c r="J1064" s="4">
        <v>0.05</v>
      </c>
      <c r="K1064" s="3">
        <v>99</v>
      </c>
      <c r="L1064" t="s">
        <v>74</v>
      </c>
      <c r="M1064" t="s">
        <v>49</v>
      </c>
      <c r="N1064" t="s">
        <v>40</v>
      </c>
      <c r="O1064" t="s">
        <v>93</v>
      </c>
      <c r="P1064" t="s">
        <v>33</v>
      </c>
      <c r="R1064" s="3">
        <f t="shared" si="96"/>
        <v>4796</v>
      </c>
      <c r="S1064" s="3">
        <f t="shared" si="97"/>
        <v>239.8</v>
      </c>
      <c r="T1064" s="3">
        <f t="shared" si="98"/>
        <v>4655.2</v>
      </c>
      <c r="U1064" s="3">
        <f t="shared" si="99"/>
        <v>1298</v>
      </c>
      <c r="V1064" s="4">
        <f t="shared" si="100"/>
        <v>0.27882797731568998</v>
      </c>
      <c r="W1064" t="str">
        <f t="shared" si="101"/>
        <v>May</v>
      </c>
    </row>
    <row r="1065" spans="1:23" x14ac:dyDescent="0.25">
      <c r="A1065" t="s">
        <v>1476</v>
      </c>
      <c r="B1065" t="s">
        <v>226</v>
      </c>
      <c r="C1065" s="2">
        <v>46005.412499999999</v>
      </c>
      <c r="D1065" t="s">
        <v>55</v>
      </c>
      <c r="E1065" t="s">
        <v>56</v>
      </c>
      <c r="F1065" t="s">
        <v>37</v>
      </c>
      <c r="G1065" t="s">
        <v>38</v>
      </c>
      <c r="H1065">
        <v>1</v>
      </c>
      <c r="I1065" s="3">
        <v>2499</v>
      </c>
      <c r="J1065" s="4">
        <v>0.1</v>
      </c>
      <c r="K1065" s="3">
        <v>79</v>
      </c>
      <c r="L1065" t="s">
        <v>83</v>
      </c>
      <c r="M1065" t="s">
        <v>84</v>
      </c>
      <c r="N1065" t="s">
        <v>102</v>
      </c>
      <c r="O1065" t="s">
        <v>32</v>
      </c>
      <c r="P1065" t="s">
        <v>85</v>
      </c>
      <c r="Q1065">
        <v>3</v>
      </c>
      <c r="R1065" s="3">
        <f t="shared" si="96"/>
        <v>2499</v>
      </c>
      <c r="S1065" s="3">
        <f t="shared" si="97"/>
        <v>249.9</v>
      </c>
      <c r="T1065" s="3">
        <f t="shared" si="98"/>
        <v>2328.1</v>
      </c>
      <c r="U1065" s="3">
        <f t="shared" si="99"/>
        <v>578.79999999999995</v>
      </c>
      <c r="V1065" s="4">
        <f t="shared" si="100"/>
        <v>0.24861475022550578</v>
      </c>
      <c r="W1065" t="str">
        <f t="shared" si="101"/>
        <v>Dec</v>
      </c>
    </row>
    <row r="1066" spans="1:23" x14ac:dyDescent="0.25">
      <c r="A1066" t="s">
        <v>1477</v>
      </c>
      <c r="B1066" t="s">
        <v>748</v>
      </c>
      <c r="C1066" s="2">
        <v>45779.206944444442</v>
      </c>
      <c r="D1066" t="s">
        <v>105</v>
      </c>
      <c r="E1066" t="s">
        <v>106</v>
      </c>
      <c r="F1066" t="s">
        <v>37</v>
      </c>
      <c r="G1066" t="s">
        <v>107</v>
      </c>
      <c r="H1066">
        <v>2</v>
      </c>
      <c r="I1066" s="3">
        <v>1799</v>
      </c>
      <c r="J1066" s="4">
        <v>0.05</v>
      </c>
      <c r="K1066" s="3">
        <v>59</v>
      </c>
      <c r="L1066" t="s">
        <v>57</v>
      </c>
      <c r="M1066" t="s">
        <v>58</v>
      </c>
      <c r="N1066" t="s">
        <v>50</v>
      </c>
      <c r="O1066" t="s">
        <v>32</v>
      </c>
      <c r="P1066" t="s">
        <v>33</v>
      </c>
      <c r="Q1066">
        <v>3</v>
      </c>
      <c r="R1066" s="3">
        <f t="shared" si="96"/>
        <v>3598</v>
      </c>
      <c r="S1066" s="3">
        <f t="shared" si="97"/>
        <v>179.9</v>
      </c>
      <c r="T1066" s="3">
        <f t="shared" si="98"/>
        <v>3477.1</v>
      </c>
      <c r="U1066" s="3">
        <f t="shared" si="99"/>
        <v>958.5</v>
      </c>
      <c r="V1066" s="4">
        <f t="shared" si="100"/>
        <v>0.27566075177590521</v>
      </c>
      <c r="W1066" t="str">
        <f t="shared" si="101"/>
        <v>May</v>
      </c>
    </row>
    <row r="1067" spans="1:23" x14ac:dyDescent="0.25">
      <c r="A1067" t="s">
        <v>1478</v>
      </c>
      <c r="B1067" t="s">
        <v>779</v>
      </c>
      <c r="C1067" s="2">
        <v>45973.349305555559</v>
      </c>
      <c r="D1067" t="s">
        <v>169</v>
      </c>
      <c r="E1067" t="s">
        <v>170</v>
      </c>
      <c r="F1067" t="s">
        <v>98</v>
      </c>
      <c r="G1067" t="s">
        <v>171</v>
      </c>
      <c r="H1067">
        <v>1</v>
      </c>
      <c r="I1067" s="3"/>
      <c r="J1067" s="4">
        <v>0.2</v>
      </c>
      <c r="K1067" s="3">
        <v>59</v>
      </c>
      <c r="L1067" t="s">
        <v>125</v>
      </c>
      <c r="M1067" t="s">
        <v>126</v>
      </c>
      <c r="N1067" t="s">
        <v>31</v>
      </c>
      <c r="O1067" t="s">
        <v>51</v>
      </c>
      <c r="P1067" t="s">
        <v>33</v>
      </c>
      <c r="Q1067">
        <v>5</v>
      </c>
      <c r="R1067" s="3">
        <f t="shared" si="96"/>
        <v>0</v>
      </c>
      <c r="S1067" s="3">
        <f t="shared" si="97"/>
        <v>0</v>
      </c>
      <c r="T1067" s="3">
        <f t="shared" si="98"/>
        <v>59</v>
      </c>
      <c r="U1067" s="3">
        <f t="shared" si="99"/>
        <v>59</v>
      </c>
      <c r="V1067" s="4">
        <f t="shared" si="100"/>
        <v>1</v>
      </c>
      <c r="W1067" t="str">
        <f t="shared" si="101"/>
        <v>Nov</v>
      </c>
    </row>
    <row r="1068" spans="1:23" x14ac:dyDescent="0.25">
      <c r="A1068" t="s">
        <v>1479</v>
      </c>
      <c r="B1068" t="s">
        <v>204</v>
      </c>
      <c r="C1068" s="2">
        <v>45749.603472222218</v>
      </c>
      <c r="D1068" t="s">
        <v>25</v>
      </c>
      <c r="E1068" t="s">
        <v>26</v>
      </c>
      <c r="F1068" t="s">
        <v>27</v>
      </c>
      <c r="G1068" t="s">
        <v>28</v>
      </c>
      <c r="H1068">
        <v>3</v>
      </c>
      <c r="I1068" s="3">
        <v>249</v>
      </c>
      <c r="J1068" s="4">
        <v>0.1</v>
      </c>
      <c r="K1068" s="3">
        <v>0</v>
      </c>
      <c r="L1068" t="s">
        <v>74</v>
      </c>
      <c r="M1068" t="s">
        <v>49</v>
      </c>
      <c r="N1068" t="s">
        <v>31</v>
      </c>
      <c r="O1068" t="s">
        <v>51</v>
      </c>
      <c r="P1068" t="s">
        <v>33</v>
      </c>
      <c r="Q1068">
        <v>4</v>
      </c>
      <c r="R1068" s="3">
        <f t="shared" si="96"/>
        <v>747</v>
      </c>
      <c r="S1068" s="3">
        <f t="shared" si="97"/>
        <v>74.7</v>
      </c>
      <c r="T1068" s="3">
        <f t="shared" si="98"/>
        <v>672.3</v>
      </c>
      <c r="U1068" s="3">
        <f t="shared" si="99"/>
        <v>149.39999999999998</v>
      </c>
      <c r="V1068" s="4">
        <f t="shared" si="100"/>
        <v>0.22222222222222221</v>
      </c>
      <c r="W1068" t="str">
        <f t="shared" si="101"/>
        <v>Apr</v>
      </c>
    </row>
    <row r="1069" spans="1:23" x14ac:dyDescent="0.25">
      <c r="A1069" t="s">
        <v>1480</v>
      </c>
      <c r="B1069" t="s">
        <v>304</v>
      </c>
      <c r="C1069" s="2">
        <v>45687.753472222219</v>
      </c>
      <c r="D1069" t="s">
        <v>25</v>
      </c>
      <c r="E1069" t="s">
        <v>26</v>
      </c>
      <c r="F1069" t="s">
        <v>27</v>
      </c>
      <c r="G1069" t="s">
        <v>28</v>
      </c>
      <c r="H1069">
        <v>1</v>
      </c>
      <c r="I1069" s="3">
        <v>249</v>
      </c>
      <c r="J1069" s="4">
        <v>0.15</v>
      </c>
      <c r="K1069" s="3">
        <v>99</v>
      </c>
      <c r="L1069" t="s">
        <v>83</v>
      </c>
      <c r="M1069" t="s">
        <v>84</v>
      </c>
      <c r="N1069" t="s">
        <v>31</v>
      </c>
      <c r="O1069" t="s">
        <v>59</v>
      </c>
      <c r="P1069" t="s">
        <v>33</v>
      </c>
      <c r="Q1069">
        <v>2</v>
      </c>
      <c r="R1069" s="3">
        <f t="shared" si="96"/>
        <v>249</v>
      </c>
      <c r="S1069" s="3">
        <f t="shared" si="97"/>
        <v>37.35</v>
      </c>
      <c r="T1069" s="3">
        <f t="shared" si="98"/>
        <v>310.64999999999998</v>
      </c>
      <c r="U1069" s="3">
        <f t="shared" si="99"/>
        <v>136.35</v>
      </c>
      <c r="V1069" s="4">
        <f t="shared" si="100"/>
        <v>0.43891839690970547</v>
      </c>
      <c r="W1069" t="str">
        <f t="shared" si="101"/>
        <v>Jan</v>
      </c>
    </row>
    <row r="1070" spans="1:23" x14ac:dyDescent="0.25">
      <c r="A1070" t="s">
        <v>1481</v>
      </c>
      <c r="B1070" t="s">
        <v>865</v>
      </c>
      <c r="C1070" s="2">
        <v>45911.176388888889</v>
      </c>
      <c r="D1070" t="s">
        <v>110</v>
      </c>
      <c r="E1070" t="s">
        <v>111</v>
      </c>
      <c r="F1070" t="s">
        <v>98</v>
      </c>
      <c r="G1070" t="s">
        <v>112</v>
      </c>
      <c r="H1070">
        <v>1</v>
      </c>
      <c r="I1070" s="3">
        <v>2999</v>
      </c>
      <c r="J1070" s="4">
        <v>0</v>
      </c>
      <c r="K1070" s="3">
        <v>49</v>
      </c>
      <c r="L1070" t="s">
        <v>48</v>
      </c>
      <c r="M1070" t="s">
        <v>49</v>
      </c>
      <c r="N1070" t="s">
        <v>50</v>
      </c>
      <c r="O1070" t="s">
        <v>93</v>
      </c>
      <c r="P1070" t="s">
        <v>80</v>
      </c>
      <c r="R1070" s="3">
        <f t="shared" si="96"/>
        <v>2999</v>
      </c>
      <c r="S1070" s="3">
        <f t="shared" si="97"/>
        <v>0</v>
      </c>
      <c r="T1070" s="3">
        <f t="shared" si="98"/>
        <v>3048</v>
      </c>
      <c r="U1070" s="3">
        <f t="shared" si="99"/>
        <v>948.70000000000027</v>
      </c>
      <c r="V1070" s="4">
        <f t="shared" si="100"/>
        <v>0.31125328083989512</v>
      </c>
      <c r="W1070" t="str">
        <f t="shared" si="101"/>
        <v>Sep</v>
      </c>
    </row>
    <row r="1071" spans="1:23" x14ac:dyDescent="0.25">
      <c r="A1071" t="s">
        <v>1482</v>
      </c>
      <c r="B1071" t="s">
        <v>440</v>
      </c>
      <c r="C1071" s="2">
        <v>45883.763888888891</v>
      </c>
      <c r="D1071" t="s">
        <v>35</v>
      </c>
      <c r="E1071" t="s">
        <v>36</v>
      </c>
      <c r="F1071" t="s">
        <v>37</v>
      </c>
      <c r="G1071" t="s">
        <v>38</v>
      </c>
      <c r="H1071">
        <v>2</v>
      </c>
      <c r="I1071" s="3">
        <v>599</v>
      </c>
      <c r="J1071" s="4">
        <v>0.15</v>
      </c>
      <c r="K1071" s="3">
        <v>49</v>
      </c>
      <c r="L1071" t="s">
        <v>100</v>
      </c>
      <c r="M1071" t="s">
        <v>101</v>
      </c>
      <c r="N1071" t="s">
        <v>71</v>
      </c>
      <c r="O1071" t="s">
        <v>51</v>
      </c>
      <c r="P1071" t="s">
        <v>33</v>
      </c>
      <c r="Q1071">
        <v>1</v>
      </c>
      <c r="R1071" s="3">
        <f t="shared" si="96"/>
        <v>1198</v>
      </c>
      <c r="S1071" s="3">
        <f t="shared" si="97"/>
        <v>179.7</v>
      </c>
      <c r="T1071" s="3">
        <f t="shared" si="98"/>
        <v>1067.3</v>
      </c>
      <c r="U1071" s="3">
        <f t="shared" si="99"/>
        <v>228.70000000000005</v>
      </c>
      <c r="V1071" s="4">
        <f t="shared" si="100"/>
        <v>0.21427902183078801</v>
      </c>
      <c r="W1071" t="str">
        <f t="shared" si="101"/>
        <v>Aug</v>
      </c>
    </row>
    <row r="1072" spans="1:23" x14ac:dyDescent="0.25">
      <c r="A1072" t="s">
        <v>1483</v>
      </c>
      <c r="B1072" t="s">
        <v>555</v>
      </c>
      <c r="C1072" s="2">
        <v>45680.802083333343</v>
      </c>
      <c r="D1072" t="s">
        <v>25</v>
      </c>
      <c r="E1072" t="s">
        <v>26</v>
      </c>
      <c r="F1072" t="s">
        <v>27</v>
      </c>
      <c r="G1072" t="s">
        <v>28</v>
      </c>
      <c r="H1072">
        <v>2</v>
      </c>
      <c r="I1072" s="3">
        <v>249</v>
      </c>
      <c r="J1072" s="4">
        <v>0</v>
      </c>
      <c r="K1072" s="3">
        <v>0</v>
      </c>
      <c r="L1072" t="s">
        <v>74</v>
      </c>
      <c r="M1072" t="s">
        <v>49</v>
      </c>
      <c r="N1072" t="s">
        <v>40</v>
      </c>
      <c r="O1072" t="s">
        <v>93</v>
      </c>
      <c r="P1072" t="s">
        <v>33</v>
      </c>
      <c r="Q1072">
        <v>5</v>
      </c>
      <c r="R1072" s="3">
        <f t="shared" si="96"/>
        <v>498</v>
      </c>
      <c r="S1072" s="3">
        <f t="shared" si="97"/>
        <v>0</v>
      </c>
      <c r="T1072" s="3">
        <f t="shared" si="98"/>
        <v>498</v>
      </c>
      <c r="U1072" s="3">
        <f t="shared" si="99"/>
        <v>149.40000000000003</v>
      </c>
      <c r="V1072" s="4">
        <f t="shared" si="100"/>
        <v>0.30000000000000004</v>
      </c>
      <c r="W1072" t="str">
        <f t="shared" si="101"/>
        <v>Jan</v>
      </c>
    </row>
    <row r="1073" spans="1:23" x14ac:dyDescent="0.25">
      <c r="A1073" t="s">
        <v>1484</v>
      </c>
      <c r="B1073" t="s">
        <v>616</v>
      </c>
      <c r="C1073" s="2">
        <v>45950.495138888888</v>
      </c>
      <c r="D1073" t="s">
        <v>55</v>
      </c>
      <c r="E1073" t="s">
        <v>56</v>
      </c>
      <c r="F1073" t="s">
        <v>37</v>
      </c>
      <c r="G1073" t="s">
        <v>38</v>
      </c>
      <c r="H1073">
        <v>1</v>
      </c>
      <c r="I1073" s="3">
        <v>2499</v>
      </c>
      <c r="J1073" s="4">
        <v>0.1</v>
      </c>
      <c r="K1073" s="3">
        <v>0</v>
      </c>
      <c r="L1073" t="s">
        <v>113</v>
      </c>
      <c r="M1073" t="s">
        <v>114</v>
      </c>
      <c r="N1073" t="s">
        <v>71</v>
      </c>
      <c r="O1073" t="s">
        <v>41</v>
      </c>
      <c r="P1073" t="s">
        <v>80</v>
      </c>
      <c r="Q1073">
        <v>1</v>
      </c>
      <c r="R1073" s="3">
        <f t="shared" si="96"/>
        <v>2499</v>
      </c>
      <c r="S1073" s="3">
        <f t="shared" si="97"/>
        <v>249.9</v>
      </c>
      <c r="T1073" s="3">
        <f t="shared" si="98"/>
        <v>2249.1</v>
      </c>
      <c r="U1073" s="3">
        <f t="shared" si="99"/>
        <v>499.79999999999995</v>
      </c>
      <c r="V1073" s="4">
        <f t="shared" si="100"/>
        <v>0.22222222222222221</v>
      </c>
      <c r="W1073" t="str">
        <f t="shared" si="101"/>
        <v>Oct</v>
      </c>
    </row>
    <row r="1074" spans="1:23" x14ac:dyDescent="0.25">
      <c r="A1074" t="s">
        <v>1485</v>
      </c>
      <c r="B1074" t="s">
        <v>1391</v>
      </c>
      <c r="C1074" s="2">
        <v>45829.581250000003</v>
      </c>
      <c r="D1074" t="s">
        <v>169</v>
      </c>
      <c r="E1074" t="s">
        <v>170</v>
      </c>
      <c r="F1074" t="s">
        <v>98</v>
      </c>
      <c r="G1074" t="s">
        <v>171</v>
      </c>
      <c r="H1074">
        <v>3</v>
      </c>
      <c r="I1074" s="3">
        <v>799</v>
      </c>
      <c r="J1074" s="4">
        <v>0.05</v>
      </c>
      <c r="K1074" s="3">
        <v>79</v>
      </c>
      <c r="L1074" t="s">
        <v>125</v>
      </c>
      <c r="M1074" t="s">
        <v>126</v>
      </c>
      <c r="N1074" t="s">
        <v>102</v>
      </c>
      <c r="O1074" t="s">
        <v>93</v>
      </c>
      <c r="P1074" t="s">
        <v>80</v>
      </c>
      <c r="Q1074">
        <v>2</v>
      </c>
      <c r="R1074" s="3">
        <f t="shared" si="96"/>
        <v>2397</v>
      </c>
      <c r="S1074" s="3">
        <f t="shared" si="97"/>
        <v>119.85000000000001</v>
      </c>
      <c r="T1074" s="3">
        <f t="shared" si="98"/>
        <v>2356.15</v>
      </c>
      <c r="U1074" s="3">
        <f t="shared" si="99"/>
        <v>678.25000000000023</v>
      </c>
      <c r="V1074" s="4">
        <f t="shared" si="100"/>
        <v>0.28786367591197515</v>
      </c>
      <c r="W1074" t="str">
        <f t="shared" si="101"/>
        <v>Jun</v>
      </c>
    </row>
    <row r="1075" spans="1:23" x14ac:dyDescent="0.25">
      <c r="A1075" t="s">
        <v>1486</v>
      </c>
      <c r="B1075" t="s">
        <v>304</v>
      </c>
      <c r="C1075" s="2">
        <v>45734.750694444447</v>
      </c>
      <c r="D1075" t="s">
        <v>169</v>
      </c>
      <c r="E1075" t="s">
        <v>170</v>
      </c>
      <c r="F1075" t="s">
        <v>98</v>
      </c>
      <c r="G1075" t="s">
        <v>171</v>
      </c>
      <c r="H1075">
        <v>1</v>
      </c>
      <c r="I1075" s="3">
        <v>799</v>
      </c>
      <c r="J1075" s="4">
        <v>0.15</v>
      </c>
      <c r="K1075" s="3">
        <v>49</v>
      </c>
      <c r="L1075" t="s">
        <v>39</v>
      </c>
      <c r="M1075" t="s">
        <v>39</v>
      </c>
      <c r="N1075" t="s">
        <v>102</v>
      </c>
      <c r="O1075" t="s">
        <v>32</v>
      </c>
      <c r="P1075" t="s">
        <v>33</v>
      </c>
      <c r="R1075" s="3">
        <f t="shared" si="96"/>
        <v>799</v>
      </c>
      <c r="S1075" s="3">
        <f t="shared" si="97"/>
        <v>119.85</v>
      </c>
      <c r="T1075" s="3">
        <f t="shared" si="98"/>
        <v>728.15</v>
      </c>
      <c r="U1075" s="3">
        <f t="shared" si="99"/>
        <v>168.85000000000002</v>
      </c>
      <c r="V1075" s="4">
        <f t="shared" si="100"/>
        <v>0.23188903385291496</v>
      </c>
      <c r="W1075" t="str">
        <f t="shared" si="101"/>
        <v>Mar</v>
      </c>
    </row>
    <row r="1076" spans="1:23" x14ac:dyDescent="0.25">
      <c r="A1076" t="s">
        <v>1487</v>
      </c>
      <c r="B1076" t="s">
        <v>450</v>
      </c>
      <c r="C1076" s="2">
        <v>45851.751388888893</v>
      </c>
      <c r="D1076" t="s">
        <v>44</v>
      </c>
      <c r="E1076" t="s">
        <v>45</v>
      </c>
      <c r="F1076" t="s">
        <v>46</v>
      </c>
      <c r="G1076" t="s">
        <v>47</v>
      </c>
      <c r="H1076">
        <v>4</v>
      </c>
      <c r="I1076" s="3">
        <v>1199</v>
      </c>
      <c r="J1076" s="4">
        <v>0.2</v>
      </c>
      <c r="K1076" s="3">
        <v>49</v>
      </c>
      <c r="L1076" t="s">
        <v>74</v>
      </c>
      <c r="M1076" t="s">
        <v>49</v>
      </c>
      <c r="N1076" t="s">
        <v>31</v>
      </c>
      <c r="O1076" t="s">
        <v>93</v>
      </c>
      <c r="P1076" t="s">
        <v>80</v>
      </c>
      <c r="Q1076">
        <v>2</v>
      </c>
      <c r="R1076" s="3">
        <f t="shared" si="96"/>
        <v>4796</v>
      </c>
      <c r="S1076" s="3">
        <f t="shared" si="97"/>
        <v>959.2</v>
      </c>
      <c r="T1076" s="3">
        <f t="shared" si="98"/>
        <v>3885.8</v>
      </c>
      <c r="U1076" s="3">
        <f t="shared" si="99"/>
        <v>528.60000000000036</v>
      </c>
      <c r="V1076" s="4">
        <f t="shared" si="100"/>
        <v>0.13603376396108918</v>
      </c>
      <c r="W1076" t="str">
        <f t="shared" si="101"/>
        <v>Jul</v>
      </c>
    </row>
    <row r="1077" spans="1:23" x14ac:dyDescent="0.25">
      <c r="A1077" t="s">
        <v>1488</v>
      </c>
      <c r="B1077" t="s">
        <v>521</v>
      </c>
      <c r="C1077" s="2">
        <v>45980.740277777782</v>
      </c>
      <c r="D1077" t="s">
        <v>44</v>
      </c>
      <c r="E1077" t="s">
        <v>45</v>
      </c>
      <c r="F1077" t="s">
        <v>46</v>
      </c>
      <c r="G1077" t="s">
        <v>47</v>
      </c>
      <c r="H1077">
        <v>5</v>
      </c>
      <c r="I1077" s="3">
        <v>1199</v>
      </c>
      <c r="J1077" s="4">
        <v>0.15</v>
      </c>
      <c r="K1077" s="3">
        <v>0</v>
      </c>
      <c r="L1077" t="s">
        <v>83</v>
      </c>
      <c r="M1077" t="s">
        <v>84</v>
      </c>
      <c r="N1077" t="s">
        <v>31</v>
      </c>
      <c r="O1077" t="s">
        <v>32</v>
      </c>
      <c r="P1077" t="s">
        <v>52</v>
      </c>
      <c r="Q1077">
        <v>4</v>
      </c>
      <c r="R1077" s="3">
        <f t="shared" si="96"/>
        <v>5995</v>
      </c>
      <c r="S1077" s="3">
        <f t="shared" si="97"/>
        <v>899.25</v>
      </c>
      <c r="T1077" s="3">
        <f t="shared" si="98"/>
        <v>5095.75</v>
      </c>
      <c r="U1077" s="3">
        <f t="shared" si="99"/>
        <v>899.25</v>
      </c>
      <c r="V1077" s="4">
        <f t="shared" si="100"/>
        <v>0.17647058823529413</v>
      </c>
      <c r="W1077" t="str">
        <f t="shared" si="101"/>
        <v>Nov</v>
      </c>
    </row>
    <row r="1078" spans="1:23" x14ac:dyDescent="0.25">
      <c r="A1078" t="s">
        <v>1489</v>
      </c>
      <c r="B1078" t="s">
        <v>1081</v>
      </c>
      <c r="C1078" s="2">
        <v>45820.341666666667</v>
      </c>
      <c r="D1078" t="s">
        <v>25</v>
      </c>
      <c r="E1078" t="s">
        <v>26</v>
      </c>
      <c r="F1078" t="s">
        <v>27</v>
      </c>
      <c r="G1078" t="s">
        <v>28</v>
      </c>
      <c r="H1078">
        <v>2</v>
      </c>
      <c r="I1078" s="3">
        <v>249</v>
      </c>
      <c r="J1078" s="4">
        <v>0.05</v>
      </c>
      <c r="K1078" s="3">
        <v>49</v>
      </c>
      <c r="L1078" t="s">
        <v>83</v>
      </c>
      <c r="M1078" t="s">
        <v>84</v>
      </c>
      <c r="N1078" t="s">
        <v>50</v>
      </c>
      <c r="O1078" t="s">
        <v>51</v>
      </c>
      <c r="P1078" t="s">
        <v>85</v>
      </c>
      <c r="Q1078">
        <v>2</v>
      </c>
      <c r="R1078" s="3">
        <f t="shared" si="96"/>
        <v>498</v>
      </c>
      <c r="S1078" s="3">
        <f t="shared" si="97"/>
        <v>24.900000000000002</v>
      </c>
      <c r="T1078" s="3">
        <f t="shared" si="98"/>
        <v>522.1</v>
      </c>
      <c r="U1078" s="3">
        <f t="shared" si="99"/>
        <v>173.50000000000006</v>
      </c>
      <c r="V1078" s="4">
        <f t="shared" si="100"/>
        <v>0.33231181765945228</v>
      </c>
      <c r="W1078" t="str">
        <f t="shared" si="101"/>
        <v>Jun</v>
      </c>
    </row>
    <row r="1079" spans="1:23" x14ac:dyDescent="0.25">
      <c r="A1079" t="s">
        <v>1490</v>
      </c>
      <c r="B1079" t="s">
        <v>387</v>
      </c>
      <c r="C1079" s="2">
        <v>45717.927083333343</v>
      </c>
      <c r="D1079" t="s">
        <v>90</v>
      </c>
      <c r="E1079" t="s">
        <v>91</v>
      </c>
      <c r="F1079" t="s">
        <v>37</v>
      </c>
      <c r="G1079" t="s">
        <v>92</v>
      </c>
      <c r="H1079">
        <v>2</v>
      </c>
      <c r="I1079" s="3">
        <v>3499</v>
      </c>
      <c r="J1079" s="4">
        <v>0.2</v>
      </c>
      <c r="K1079" s="3">
        <v>79</v>
      </c>
      <c r="L1079" t="s">
        <v>74</v>
      </c>
      <c r="M1079" t="s">
        <v>49</v>
      </c>
      <c r="N1079" t="s">
        <v>31</v>
      </c>
      <c r="O1079" t="s">
        <v>51</v>
      </c>
      <c r="P1079" t="s">
        <v>52</v>
      </c>
      <c r="Q1079">
        <v>5</v>
      </c>
      <c r="R1079" s="3">
        <f t="shared" si="96"/>
        <v>6998</v>
      </c>
      <c r="S1079" s="3">
        <f t="shared" si="97"/>
        <v>1399.6000000000001</v>
      </c>
      <c r="T1079" s="3">
        <f t="shared" si="98"/>
        <v>5677.4</v>
      </c>
      <c r="U1079" s="3">
        <f t="shared" si="99"/>
        <v>778.80000000000018</v>
      </c>
      <c r="V1079" s="4">
        <f t="shared" si="100"/>
        <v>0.13717546764363975</v>
      </c>
      <c r="W1079" t="str">
        <f t="shared" si="101"/>
        <v>Mar</v>
      </c>
    </row>
    <row r="1080" spans="1:23" x14ac:dyDescent="0.25">
      <c r="A1080" t="s">
        <v>1491</v>
      </c>
      <c r="B1080" t="s">
        <v>118</v>
      </c>
      <c r="C1080" s="2">
        <v>45992.651388888888</v>
      </c>
      <c r="D1080" t="s">
        <v>62</v>
      </c>
      <c r="E1080" t="s">
        <v>63</v>
      </c>
      <c r="F1080" t="s">
        <v>46</v>
      </c>
      <c r="G1080" t="s">
        <v>64</v>
      </c>
      <c r="H1080">
        <v>4</v>
      </c>
      <c r="I1080" s="3">
        <v>699</v>
      </c>
      <c r="J1080" s="4">
        <v>0.1</v>
      </c>
      <c r="K1080" s="3">
        <v>79</v>
      </c>
      <c r="L1080" t="s">
        <v>29</v>
      </c>
      <c r="M1080" t="s">
        <v>30</v>
      </c>
      <c r="N1080" t="s">
        <v>102</v>
      </c>
      <c r="O1080" t="s">
        <v>41</v>
      </c>
      <c r="P1080" t="s">
        <v>33</v>
      </c>
      <c r="Q1080">
        <v>5</v>
      </c>
      <c r="R1080" s="3">
        <f t="shared" si="96"/>
        <v>2796</v>
      </c>
      <c r="S1080" s="3">
        <f t="shared" si="97"/>
        <v>279.60000000000002</v>
      </c>
      <c r="T1080" s="3">
        <f t="shared" si="98"/>
        <v>2595.4</v>
      </c>
      <c r="U1080" s="3">
        <f t="shared" si="99"/>
        <v>638.20000000000027</v>
      </c>
      <c r="V1080" s="4">
        <f t="shared" si="100"/>
        <v>0.24589658626801272</v>
      </c>
      <c r="W1080" t="str">
        <f t="shared" si="101"/>
        <v>Dec</v>
      </c>
    </row>
    <row r="1081" spans="1:23" x14ac:dyDescent="0.25">
      <c r="A1081" t="s">
        <v>1492</v>
      </c>
      <c r="B1081" t="s">
        <v>304</v>
      </c>
      <c r="C1081" s="2">
        <v>45998.193055555559</v>
      </c>
      <c r="D1081" t="s">
        <v>67</v>
      </c>
      <c r="E1081" t="s">
        <v>68</v>
      </c>
      <c r="F1081" t="s">
        <v>37</v>
      </c>
      <c r="G1081" t="s">
        <v>38</v>
      </c>
      <c r="H1081">
        <v>2</v>
      </c>
      <c r="I1081" s="3">
        <v>1299</v>
      </c>
      <c r="J1081" s="4">
        <v>0.05</v>
      </c>
      <c r="K1081" s="3">
        <v>59</v>
      </c>
      <c r="L1081" t="s">
        <v>57</v>
      </c>
      <c r="M1081" t="s">
        <v>58</v>
      </c>
      <c r="N1081" t="s">
        <v>31</v>
      </c>
      <c r="O1081" t="s">
        <v>93</v>
      </c>
      <c r="P1081" t="s">
        <v>33</v>
      </c>
      <c r="Q1081">
        <v>4</v>
      </c>
      <c r="R1081" s="3">
        <f t="shared" si="96"/>
        <v>2598</v>
      </c>
      <c r="S1081" s="3">
        <f t="shared" si="97"/>
        <v>129.9</v>
      </c>
      <c r="T1081" s="3">
        <f t="shared" si="98"/>
        <v>2527.1</v>
      </c>
      <c r="U1081" s="3">
        <f t="shared" si="99"/>
        <v>708.5</v>
      </c>
      <c r="V1081" s="4">
        <f t="shared" si="100"/>
        <v>0.28036088797435799</v>
      </c>
      <c r="W1081" t="str">
        <f t="shared" si="101"/>
        <v>Dec</v>
      </c>
    </row>
    <row r="1082" spans="1:23" x14ac:dyDescent="0.25">
      <c r="A1082" t="s">
        <v>1493</v>
      </c>
      <c r="B1082" t="s">
        <v>805</v>
      </c>
      <c r="C1082" s="2">
        <v>45952.652777777781</v>
      </c>
      <c r="D1082" t="s">
        <v>96</v>
      </c>
      <c r="E1082" t="s">
        <v>97</v>
      </c>
      <c r="F1082" t="s">
        <v>98</v>
      </c>
      <c r="G1082" t="s">
        <v>99</v>
      </c>
      <c r="H1082">
        <v>5</v>
      </c>
      <c r="I1082" s="3">
        <v>1499</v>
      </c>
      <c r="J1082" s="4">
        <v>0</v>
      </c>
      <c r="K1082" s="3">
        <v>79</v>
      </c>
      <c r="L1082" t="s">
        <v>83</v>
      </c>
      <c r="M1082" t="s">
        <v>84</v>
      </c>
      <c r="N1082" t="s">
        <v>50</v>
      </c>
      <c r="O1082" t="s">
        <v>93</v>
      </c>
      <c r="P1082" t="s">
        <v>33</v>
      </c>
      <c r="Q1082">
        <v>4</v>
      </c>
      <c r="R1082" s="3">
        <f t="shared" si="96"/>
        <v>7495</v>
      </c>
      <c r="S1082" s="3">
        <f t="shared" si="97"/>
        <v>0</v>
      </c>
      <c r="T1082" s="3">
        <f t="shared" si="98"/>
        <v>7574</v>
      </c>
      <c r="U1082" s="3">
        <f t="shared" si="99"/>
        <v>2327.5</v>
      </c>
      <c r="V1082" s="4">
        <f t="shared" si="100"/>
        <v>0.30730129390018485</v>
      </c>
      <c r="W1082" t="str">
        <f t="shared" si="101"/>
        <v>Oct</v>
      </c>
    </row>
    <row r="1083" spans="1:23" x14ac:dyDescent="0.25">
      <c r="A1083" t="s">
        <v>1494</v>
      </c>
      <c r="B1083" t="s">
        <v>1495</v>
      </c>
      <c r="C1083" s="2">
        <v>45898.962500000001</v>
      </c>
      <c r="D1083" t="s">
        <v>110</v>
      </c>
      <c r="E1083" t="s">
        <v>111</v>
      </c>
      <c r="F1083" t="s">
        <v>98</v>
      </c>
      <c r="G1083" t="s">
        <v>112</v>
      </c>
      <c r="H1083">
        <v>2</v>
      </c>
      <c r="I1083" s="3">
        <v>2999</v>
      </c>
      <c r="J1083" s="4">
        <v>0</v>
      </c>
      <c r="K1083" s="3">
        <v>79</v>
      </c>
      <c r="L1083" t="s">
        <v>83</v>
      </c>
      <c r="M1083" t="s">
        <v>84</v>
      </c>
      <c r="N1083" t="s">
        <v>50</v>
      </c>
      <c r="O1083" t="s">
        <v>93</v>
      </c>
      <c r="P1083" t="s">
        <v>33</v>
      </c>
      <c r="Q1083">
        <v>2</v>
      </c>
      <c r="R1083" s="3">
        <f t="shared" si="96"/>
        <v>5998</v>
      </c>
      <c r="S1083" s="3">
        <f t="shared" si="97"/>
        <v>0</v>
      </c>
      <c r="T1083" s="3">
        <f t="shared" si="98"/>
        <v>6077</v>
      </c>
      <c r="U1083" s="3">
        <f t="shared" si="99"/>
        <v>1878.4000000000005</v>
      </c>
      <c r="V1083" s="4">
        <f t="shared" si="100"/>
        <v>0.30909988481158474</v>
      </c>
      <c r="W1083" t="str">
        <f t="shared" si="101"/>
        <v>Aug</v>
      </c>
    </row>
    <row r="1084" spans="1:23" x14ac:dyDescent="0.25">
      <c r="A1084" t="s">
        <v>1496</v>
      </c>
      <c r="B1084" t="s">
        <v>216</v>
      </c>
      <c r="C1084" s="2">
        <v>45874.463888888888</v>
      </c>
      <c r="D1084" t="s">
        <v>62</v>
      </c>
      <c r="E1084" t="s">
        <v>63</v>
      </c>
      <c r="F1084" t="s">
        <v>46</v>
      </c>
      <c r="G1084" t="s">
        <v>64</v>
      </c>
      <c r="H1084">
        <v>4</v>
      </c>
      <c r="I1084" s="3">
        <v>699</v>
      </c>
      <c r="J1084" s="4">
        <v>0.2</v>
      </c>
      <c r="K1084" s="3">
        <v>99</v>
      </c>
      <c r="L1084" t="s">
        <v>83</v>
      </c>
      <c r="M1084" t="s">
        <v>84</v>
      </c>
      <c r="N1084" t="s">
        <v>71</v>
      </c>
      <c r="O1084" t="s">
        <v>93</v>
      </c>
      <c r="P1084" t="s">
        <v>52</v>
      </c>
      <c r="Q1084">
        <v>3</v>
      </c>
      <c r="R1084" s="3">
        <f t="shared" si="96"/>
        <v>2796</v>
      </c>
      <c r="S1084" s="3">
        <f t="shared" si="97"/>
        <v>559.20000000000005</v>
      </c>
      <c r="T1084" s="3">
        <f t="shared" si="98"/>
        <v>2335.8000000000002</v>
      </c>
      <c r="U1084" s="3">
        <f t="shared" si="99"/>
        <v>378.60000000000036</v>
      </c>
      <c r="V1084" s="4">
        <f t="shared" si="100"/>
        <v>0.16208579501669679</v>
      </c>
      <c r="W1084" t="str">
        <f t="shared" si="101"/>
        <v>Aug</v>
      </c>
    </row>
    <row r="1085" spans="1:23" x14ac:dyDescent="0.25">
      <c r="A1085" t="s">
        <v>1497</v>
      </c>
      <c r="B1085" t="s">
        <v>493</v>
      </c>
      <c r="C1085" s="2">
        <v>45713.959722222222</v>
      </c>
      <c r="D1085" t="s">
        <v>169</v>
      </c>
      <c r="E1085" t="s">
        <v>170</v>
      </c>
      <c r="F1085" t="s">
        <v>98</v>
      </c>
      <c r="G1085" t="s">
        <v>171</v>
      </c>
      <c r="H1085">
        <v>2</v>
      </c>
      <c r="I1085" s="3">
        <v>799</v>
      </c>
      <c r="J1085" s="4">
        <v>0.2</v>
      </c>
      <c r="K1085" s="3">
        <v>59</v>
      </c>
      <c r="L1085" t="s">
        <v>125</v>
      </c>
      <c r="M1085" t="s">
        <v>126</v>
      </c>
      <c r="N1085" t="s">
        <v>40</v>
      </c>
      <c r="O1085" t="s">
        <v>59</v>
      </c>
      <c r="P1085" t="s">
        <v>33</v>
      </c>
      <c r="R1085" s="3">
        <f t="shared" si="96"/>
        <v>1598</v>
      </c>
      <c r="S1085" s="3">
        <f t="shared" si="97"/>
        <v>319.60000000000002</v>
      </c>
      <c r="T1085" s="3">
        <f t="shared" si="98"/>
        <v>1337.4</v>
      </c>
      <c r="U1085" s="3">
        <f t="shared" si="99"/>
        <v>218.80000000000018</v>
      </c>
      <c r="V1085" s="4">
        <f t="shared" si="100"/>
        <v>0.16360101689845982</v>
      </c>
      <c r="W1085" t="str">
        <f t="shared" si="101"/>
        <v>Feb</v>
      </c>
    </row>
    <row r="1086" spans="1:23" x14ac:dyDescent="0.25">
      <c r="A1086" t="s">
        <v>1498</v>
      </c>
      <c r="B1086" t="s">
        <v>713</v>
      </c>
      <c r="C1086" s="2">
        <v>46016.198611111111</v>
      </c>
      <c r="D1086" t="s">
        <v>96</v>
      </c>
      <c r="E1086" t="s">
        <v>97</v>
      </c>
      <c r="F1086" t="s">
        <v>98</v>
      </c>
      <c r="G1086" t="s">
        <v>99</v>
      </c>
      <c r="H1086">
        <v>3</v>
      </c>
      <c r="I1086" s="3">
        <v>1499</v>
      </c>
      <c r="J1086" s="4">
        <v>0.2</v>
      </c>
      <c r="K1086" s="3">
        <v>99</v>
      </c>
      <c r="L1086" t="s">
        <v>48</v>
      </c>
      <c r="M1086" t="s">
        <v>49</v>
      </c>
      <c r="N1086" t="s">
        <v>31</v>
      </c>
      <c r="O1086" t="s">
        <v>41</v>
      </c>
      <c r="P1086" t="s">
        <v>33</v>
      </c>
      <c r="Q1086">
        <v>1</v>
      </c>
      <c r="R1086" s="3">
        <f t="shared" si="96"/>
        <v>4497</v>
      </c>
      <c r="S1086" s="3">
        <f t="shared" si="97"/>
        <v>899.40000000000009</v>
      </c>
      <c r="T1086" s="3">
        <f t="shared" si="98"/>
        <v>3696.6</v>
      </c>
      <c r="U1086" s="3">
        <f t="shared" si="99"/>
        <v>548.70000000000027</v>
      </c>
      <c r="V1086" s="4">
        <f t="shared" si="100"/>
        <v>0.14843369582859933</v>
      </c>
      <c r="W1086" t="str">
        <f t="shared" si="101"/>
        <v>Dec</v>
      </c>
    </row>
    <row r="1087" spans="1:23" x14ac:dyDescent="0.25">
      <c r="A1087" t="s">
        <v>1499</v>
      </c>
      <c r="B1087" t="s">
        <v>713</v>
      </c>
      <c r="C1087" s="2">
        <v>45990.6</v>
      </c>
      <c r="D1087" t="s">
        <v>44</v>
      </c>
      <c r="E1087" t="s">
        <v>45</v>
      </c>
      <c r="F1087" t="s">
        <v>46</v>
      </c>
      <c r="G1087" t="s">
        <v>47</v>
      </c>
      <c r="H1087">
        <v>1</v>
      </c>
      <c r="I1087" s="3">
        <v>1199</v>
      </c>
      <c r="J1087" s="4">
        <v>0.1</v>
      </c>
      <c r="K1087" s="3">
        <v>49</v>
      </c>
      <c r="L1087" t="s">
        <v>125</v>
      </c>
      <c r="M1087" t="s">
        <v>126</v>
      </c>
      <c r="N1087" t="s">
        <v>102</v>
      </c>
      <c r="O1087" t="s">
        <v>51</v>
      </c>
      <c r="P1087" t="s">
        <v>33</v>
      </c>
      <c r="R1087" s="3">
        <f t="shared" si="96"/>
        <v>1199</v>
      </c>
      <c r="S1087" s="3">
        <f t="shared" si="97"/>
        <v>119.9</v>
      </c>
      <c r="T1087" s="3">
        <f t="shared" si="98"/>
        <v>1128.0999999999999</v>
      </c>
      <c r="U1087" s="3">
        <f t="shared" si="99"/>
        <v>288.79999999999995</v>
      </c>
      <c r="V1087" s="4">
        <f t="shared" si="100"/>
        <v>0.256005673255917</v>
      </c>
      <c r="W1087" t="str">
        <f t="shared" si="101"/>
        <v>Nov</v>
      </c>
    </row>
    <row r="1088" spans="1:23" x14ac:dyDescent="0.25">
      <c r="A1088" t="s">
        <v>1500</v>
      </c>
      <c r="B1088" t="s">
        <v>713</v>
      </c>
      <c r="C1088" s="2">
        <v>45832.066666666673</v>
      </c>
      <c r="D1088" t="s">
        <v>55</v>
      </c>
      <c r="E1088" t="s">
        <v>56</v>
      </c>
      <c r="F1088" t="s">
        <v>37</v>
      </c>
      <c r="G1088" t="s">
        <v>38</v>
      </c>
      <c r="H1088">
        <v>1</v>
      </c>
      <c r="I1088" s="3">
        <v>2499</v>
      </c>
      <c r="J1088" s="4">
        <v>0.15</v>
      </c>
      <c r="K1088" s="3">
        <v>99</v>
      </c>
      <c r="L1088" t="s">
        <v>113</v>
      </c>
      <c r="M1088" t="s">
        <v>114</v>
      </c>
      <c r="N1088" t="s">
        <v>40</v>
      </c>
      <c r="O1088" t="s">
        <v>51</v>
      </c>
      <c r="P1088" t="s">
        <v>85</v>
      </c>
      <c r="Q1088">
        <v>3</v>
      </c>
      <c r="R1088" s="3">
        <f t="shared" si="96"/>
        <v>2499</v>
      </c>
      <c r="S1088" s="3">
        <f t="shared" si="97"/>
        <v>374.84999999999997</v>
      </c>
      <c r="T1088" s="3">
        <f t="shared" si="98"/>
        <v>2223.15</v>
      </c>
      <c r="U1088" s="3">
        <f t="shared" si="99"/>
        <v>473.85000000000014</v>
      </c>
      <c r="V1088" s="4">
        <f t="shared" si="100"/>
        <v>0.21314351258349645</v>
      </c>
      <c r="W1088" t="str">
        <f t="shared" si="101"/>
        <v>Jun</v>
      </c>
    </row>
    <row r="1089" spans="1:23" x14ac:dyDescent="0.25">
      <c r="A1089" t="s">
        <v>1501</v>
      </c>
      <c r="B1089" t="s">
        <v>1031</v>
      </c>
      <c r="C1089" s="2">
        <v>45731.077777777777</v>
      </c>
      <c r="D1089" t="s">
        <v>96</v>
      </c>
      <c r="E1089" t="s">
        <v>97</v>
      </c>
      <c r="F1089" t="s">
        <v>98</v>
      </c>
      <c r="G1089" t="s">
        <v>99</v>
      </c>
      <c r="H1089">
        <v>3</v>
      </c>
      <c r="I1089" s="3">
        <v>1499</v>
      </c>
      <c r="J1089" s="4">
        <v>0.2</v>
      </c>
      <c r="K1089" s="3">
        <v>49</v>
      </c>
      <c r="L1089" t="s">
        <v>74</v>
      </c>
      <c r="M1089" t="s">
        <v>49</v>
      </c>
      <c r="N1089" t="s">
        <v>102</v>
      </c>
      <c r="O1089" t="s">
        <v>51</v>
      </c>
      <c r="P1089" t="s">
        <v>80</v>
      </c>
      <c r="Q1089">
        <v>5</v>
      </c>
      <c r="R1089" s="3">
        <f t="shared" si="96"/>
        <v>4497</v>
      </c>
      <c r="S1089" s="3">
        <f t="shared" si="97"/>
        <v>899.40000000000009</v>
      </c>
      <c r="T1089" s="3">
        <f t="shared" si="98"/>
        <v>3646.6</v>
      </c>
      <c r="U1089" s="3">
        <f t="shared" si="99"/>
        <v>498.70000000000027</v>
      </c>
      <c r="V1089" s="4">
        <f t="shared" si="100"/>
        <v>0.13675752755991891</v>
      </c>
      <c r="W1089" t="str">
        <f t="shared" si="101"/>
        <v>Mar</v>
      </c>
    </row>
    <row r="1090" spans="1:23" x14ac:dyDescent="0.25">
      <c r="A1090" t="s">
        <v>1502</v>
      </c>
      <c r="B1090" t="s">
        <v>675</v>
      </c>
      <c r="C1090" s="2">
        <v>45803.213194444441</v>
      </c>
      <c r="D1090" t="s">
        <v>44</v>
      </c>
      <c r="E1090" t="s">
        <v>45</v>
      </c>
      <c r="F1090" t="s">
        <v>46</v>
      </c>
      <c r="G1090" t="s">
        <v>47</v>
      </c>
      <c r="H1090">
        <v>1</v>
      </c>
      <c r="I1090" s="3">
        <v>1199</v>
      </c>
      <c r="J1090" s="4">
        <v>0.05</v>
      </c>
      <c r="K1090" s="3">
        <v>79</v>
      </c>
      <c r="L1090" t="s">
        <v>74</v>
      </c>
      <c r="M1090" t="s">
        <v>49</v>
      </c>
      <c r="N1090" t="s">
        <v>50</v>
      </c>
      <c r="O1090" t="s">
        <v>41</v>
      </c>
      <c r="P1090" t="s">
        <v>33</v>
      </c>
      <c r="Q1090">
        <v>3</v>
      </c>
      <c r="R1090" s="3">
        <f t="shared" ref="R1090:R1153" si="102">IFERROR(H1090*I1090,"")</f>
        <v>1199</v>
      </c>
      <c r="S1090" s="3">
        <f t="shared" ref="S1090:S1153" si="103">IFERROR(R1090*J1090,"")</f>
        <v>59.95</v>
      </c>
      <c r="T1090" s="3">
        <f t="shared" ref="T1090:T1153" si="104">IFERROR(R1090-S1090+K1090,"")</f>
        <v>1218.05</v>
      </c>
      <c r="U1090" s="3">
        <f t="shared" ref="U1090:U1153" si="105">IFERROR(T1090-(R1090*70%),"")</f>
        <v>378.75</v>
      </c>
      <c r="V1090" s="4">
        <f t="shared" ref="V1090:V1153" si="106">IFERROR(U1090/T1090,"")</f>
        <v>0.31094782644390623</v>
      </c>
      <c r="W1090" t="str">
        <f t="shared" ref="W1090:W1153" si="107">IFERROR(TEXT(C1090,"mmm"),"")</f>
        <v>May</v>
      </c>
    </row>
    <row r="1091" spans="1:23" x14ac:dyDescent="0.25">
      <c r="A1091" t="s">
        <v>1503</v>
      </c>
      <c r="B1091" t="s">
        <v>640</v>
      </c>
      <c r="C1091" s="2">
        <v>45776.886805555558</v>
      </c>
      <c r="D1091" t="s">
        <v>110</v>
      </c>
      <c r="E1091" t="s">
        <v>111</v>
      </c>
      <c r="F1091" t="s">
        <v>98</v>
      </c>
      <c r="G1091" t="s">
        <v>112</v>
      </c>
      <c r="H1091">
        <v>3</v>
      </c>
      <c r="I1091" s="3">
        <v>2999</v>
      </c>
      <c r="J1091" s="4">
        <v>0</v>
      </c>
      <c r="K1091" s="3">
        <v>49</v>
      </c>
      <c r="L1091" t="s">
        <v>125</v>
      </c>
      <c r="M1091" t="s">
        <v>126</v>
      </c>
      <c r="N1091" t="s">
        <v>102</v>
      </c>
      <c r="O1091" t="s">
        <v>41</v>
      </c>
      <c r="P1091" t="s">
        <v>33</v>
      </c>
      <c r="Q1091">
        <v>1</v>
      </c>
      <c r="R1091" s="3">
        <f t="shared" si="102"/>
        <v>8997</v>
      </c>
      <c r="S1091" s="3">
        <f t="shared" si="103"/>
        <v>0</v>
      </c>
      <c r="T1091" s="3">
        <f t="shared" si="104"/>
        <v>9046</v>
      </c>
      <c r="U1091" s="3">
        <f t="shared" si="105"/>
        <v>2748.1000000000004</v>
      </c>
      <c r="V1091" s="4">
        <f t="shared" si="106"/>
        <v>0.3037917311518904</v>
      </c>
      <c r="W1091" t="str">
        <f t="shared" si="107"/>
        <v>Apr</v>
      </c>
    </row>
    <row r="1092" spans="1:23" x14ac:dyDescent="0.25">
      <c r="A1092" t="s">
        <v>1504</v>
      </c>
      <c r="B1092" t="s">
        <v>311</v>
      </c>
      <c r="C1092" s="2">
        <v>45934.743750000001</v>
      </c>
      <c r="D1092" t="s">
        <v>44</v>
      </c>
      <c r="E1092" t="s">
        <v>45</v>
      </c>
      <c r="F1092" t="s">
        <v>46</v>
      </c>
      <c r="G1092" t="s">
        <v>47</v>
      </c>
      <c r="H1092">
        <v>4</v>
      </c>
      <c r="I1092" s="3">
        <v>1199</v>
      </c>
      <c r="J1092" s="4">
        <v>0</v>
      </c>
      <c r="K1092" s="3">
        <v>79</v>
      </c>
      <c r="L1092" t="s">
        <v>39</v>
      </c>
      <c r="M1092" t="s">
        <v>39</v>
      </c>
      <c r="N1092" t="s">
        <v>71</v>
      </c>
      <c r="O1092" t="s">
        <v>41</v>
      </c>
      <c r="P1092" t="s">
        <v>33</v>
      </c>
      <c r="Q1092">
        <v>3</v>
      </c>
      <c r="R1092" s="3">
        <f t="shared" si="102"/>
        <v>4796</v>
      </c>
      <c r="S1092" s="3">
        <f t="shared" si="103"/>
        <v>0</v>
      </c>
      <c r="T1092" s="3">
        <f t="shared" si="104"/>
        <v>4875</v>
      </c>
      <c r="U1092" s="3">
        <f t="shared" si="105"/>
        <v>1517.8000000000002</v>
      </c>
      <c r="V1092" s="4">
        <f t="shared" si="106"/>
        <v>0.31134358974358978</v>
      </c>
      <c r="W1092" t="str">
        <f t="shared" si="107"/>
        <v>Oct</v>
      </c>
    </row>
    <row r="1093" spans="1:23" x14ac:dyDescent="0.25">
      <c r="A1093" t="s">
        <v>1505</v>
      </c>
      <c r="C1093" s="2">
        <v>45924.203472222223</v>
      </c>
      <c r="D1093" t="s">
        <v>44</v>
      </c>
      <c r="E1093" t="s">
        <v>45</v>
      </c>
      <c r="F1093" t="s">
        <v>46</v>
      </c>
      <c r="G1093" t="s">
        <v>47</v>
      </c>
      <c r="H1093">
        <v>2</v>
      </c>
      <c r="I1093" s="3">
        <v>1199</v>
      </c>
      <c r="J1093" s="4">
        <v>0.05</v>
      </c>
      <c r="K1093" s="3">
        <v>0</v>
      </c>
      <c r="L1093" t="s">
        <v>57</v>
      </c>
      <c r="M1093" t="s">
        <v>58</v>
      </c>
      <c r="N1093" t="s">
        <v>40</v>
      </c>
      <c r="O1093" t="s">
        <v>59</v>
      </c>
      <c r="P1093" t="s">
        <v>52</v>
      </c>
      <c r="Q1093">
        <v>4</v>
      </c>
      <c r="R1093" s="3">
        <f t="shared" si="102"/>
        <v>2398</v>
      </c>
      <c r="S1093" s="3">
        <f t="shared" si="103"/>
        <v>119.9</v>
      </c>
      <c r="T1093" s="3">
        <f t="shared" si="104"/>
        <v>2278.1</v>
      </c>
      <c r="U1093" s="3">
        <f t="shared" si="105"/>
        <v>599.5</v>
      </c>
      <c r="V1093" s="4">
        <f t="shared" si="106"/>
        <v>0.26315789473684209</v>
      </c>
      <c r="W1093" t="str">
        <f t="shared" si="107"/>
        <v>Sep</v>
      </c>
    </row>
    <row r="1094" spans="1:23" x14ac:dyDescent="0.25">
      <c r="A1094" t="s">
        <v>1506</v>
      </c>
      <c r="B1094" t="s">
        <v>325</v>
      </c>
      <c r="C1094" s="2">
        <v>45800.987500000003</v>
      </c>
      <c r="D1094" t="s">
        <v>110</v>
      </c>
      <c r="E1094" t="s">
        <v>111</v>
      </c>
      <c r="F1094" t="s">
        <v>98</v>
      </c>
      <c r="G1094" t="s">
        <v>112</v>
      </c>
      <c r="H1094">
        <v>3</v>
      </c>
      <c r="I1094" s="3">
        <v>2999</v>
      </c>
      <c r="J1094" s="4">
        <v>0.05</v>
      </c>
      <c r="K1094" s="3">
        <v>0</v>
      </c>
      <c r="L1094" t="s">
        <v>29</v>
      </c>
      <c r="M1094" t="s">
        <v>30</v>
      </c>
      <c r="N1094" t="s">
        <v>31</v>
      </c>
      <c r="O1094" t="s">
        <v>51</v>
      </c>
      <c r="P1094" t="s">
        <v>33</v>
      </c>
      <c r="Q1094">
        <v>2</v>
      </c>
      <c r="R1094" s="3">
        <f t="shared" si="102"/>
        <v>8997</v>
      </c>
      <c r="S1094" s="3">
        <f t="shared" si="103"/>
        <v>449.85</v>
      </c>
      <c r="T1094" s="3">
        <f t="shared" si="104"/>
        <v>8547.15</v>
      </c>
      <c r="U1094" s="3">
        <f t="shared" si="105"/>
        <v>2249.25</v>
      </c>
      <c r="V1094" s="4">
        <f t="shared" si="106"/>
        <v>0.26315789473684209</v>
      </c>
      <c r="W1094" t="str">
        <f t="shared" si="107"/>
        <v>May</v>
      </c>
    </row>
    <row r="1095" spans="1:23" x14ac:dyDescent="0.25">
      <c r="A1095" t="s">
        <v>1507</v>
      </c>
      <c r="B1095" t="s">
        <v>662</v>
      </c>
      <c r="C1095" s="2">
        <v>45980.980555555558</v>
      </c>
      <c r="D1095" t="s">
        <v>62</v>
      </c>
      <c r="E1095" t="s">
        <v>63</v>
      </c>
      <c r="F1095" t="s">
        <v>46</v>
      </c>
      <c r="G1095" t="s">
        <v>64</v>
      </c>
      <c r="H1095">
        <v>1</v>
      </c>
      <c r="I1095" s="3">
        <v>699</v>
      </c>
      <c r="J1095" s="4">
        <v>0</v>
      </c>
      <c r="K1095" s="3">
        <v>59</v>
      </c>
      <c r="L1095" t="s">
        <v>74</v>
      </c>
      <c r="M1095" t="s">
        <v>49</v>
      </c>
      <c r="N1095" t="s">
        <v>40</v>
      </c>
      <c r="O1095" t="s">
        <v>93</v>
      </c>
      <c r="P1095" t="s">
        <v>80</v>
      </c>
      <c r="R1095" s="3">
        <f t="shared" si="102"/>
        <v>699</v>
      </c>
      <c r="S1095" s="3">
        <f t="shared" si="103"/>
        <v>0</v>
      </c>
      <c r="T1095" s="3">
        <f t="shared" si="104"/>
        <v>758</v>
      </c>
      <c r="U1095" s="3">
        <f t="shared" si="105"/>
        <v>268.70000000000005</v>
      </c>
      <c r="V1095" s="4">
        <f t="shared" si="106"/>
        <v>0.35448548812664915</v>
      </c>
      <c r="W1095" t="str">
        <f t="shared" si="107"/>
        <v>Nov</v>
      </c>
    </row>
    <row r="1096" spans="1:23" x14ac:dyDescent="0.25">
      <c r="A1096" t="s">
        <v>1508</v>
      </c>
      <c r="B1096" t="s">
        <v>1509</v>
      </c>
      <c r="C1096" s="2">
        <v>45943.911805555559</v>
      </c>
      <c r="D1096" t="s">
        <v>62</v>
      </c>
      <c r="E1096" t="s">
        <v>63</v>
      </c>
      <c r="F1096" t="s">
        <v>46</v>
      </c>
      <c r="G1096" t="s">
        <v>64</v>
      </c>
      <c r="H1096">
        <v>1</v>
      </c>
      <c r="I1096" s="3">
        <v>699</v>
      </c>
      <c r="J1096" s="4">
        <v>0</v>
      </c>
      <c r="K1096" s="3">
        <v>0</v>
      </c>
      <c r="L1096" t="s">
        <v>74</v>
      </c>
      <c r="M1096" t="s">
        <v>49</v>
      </c>
      <c r="N1096" t="s">
        <v>50</v>
      </c>
      <c r="O1096" t="s">
        <v>32</v>
      </c>
      <c r="P1096" t="s">
        <v>80</v>
      </c>
      <c r="Q1096">
        <v>4</v>
      </c>
      <c r="R1096" s="3">
        <f t="shared" si="102"/>
        <v>699</v>
      </c>
      <c r="S1096" s="3">
        <f t="shared" si="103"/>
        <v>0</v>
      </c>
      <c r="T1096" s="3">
        <f t="shared" si="104"/>
        <v>699</v>
      </c>
      <c r="U1096" s="3">
        <f t="shared" si="105"/>
        <v>209.70000000000005</v>
      </c>
      <c r="V1096" s="4">
        <f t="shared" si="106"/>
        <v>0.30000000000000004</v>
      </c>
      <c r="W1096" t="str">
        <f t="shared" si="107"/>
        <v>Oct</v>
      </c>
    </row>
    <row r="1097" spans="1:23" x14ac:dyDescent="0.25">
      <c r="A1097" t="s">
        <v>1510</v>
      </c>
      <c r="B1097" t="s">
        <v>338</v>
      </c>
      <c r="C1097" s="2">
        <v>45735.661111111112</v>
      </c>
      <c r="D1097" t="s">
        <v>67</v>
      </c>
      <c r="E1097" t="s">
        <v>68</v>
      </c>
      <c r="F1097" t="s">
        <v>37</v>
      </c>
      <c r="G1097" t="s">
        <v>38</v>
      </c>
      <c r="H1097">
        <v>1</v>
      </c>
      <c r="I1097" s="3"/>
      <c r="J1097" s="4">
        <v>0.2</v>
      </c>
      <c r="K1097" s="3">
        <v>79</v>
      </c>
      <c r="L1097" t="s">
        <v>113</v>
      </c>
      <c r="M1097" t="s">
        <v>114</v>
      </c>
      <c r="N1097" t="s">
        <v>50</v>
      </c>
      <c r="O1097" t="s">
        <v>41</v>
      </c>
      <c r="P1097" t="s">
        <v>33</v>
      </c>
      <c r="R1097" s="3">
        <f t="shared" si="102"/>
        <v>0</v>
      </c>
      <c r="S1097" s="3">
        <f t="shared" si="103"/>
        <v>0</v>
      </c>
      <c r="T1097" s="3">
        <f t="shared" si="104"/>
        <v>79</v>
      </c>
      <c r="U1097" s="3">
        <f t="shared" si="105"/>
        <v>79</v>
      </c>
      <c r="V1097" s="4">
        <f t="shared" si="106"/>
        <v>1</v>
      </c>
      <c r="W1097" t="str">
        <f t="shared" si="107"/>
        <v>Mar</v>
      </c>
    </row>
    <row r="1098" spans="1:23" x14ac:dyDescent="0.25">
      <c r="A1098" t="s">
        <v>1511</v>
      </c>
      <c r="B1098" t="s">
        <v>809</v>
      </c>
      <c r="C1098" s="2">
        <v>45767.018750000003</v>
      </c>
      <c r="D1098" t="s">
        <v>55</v>
      </c>
      <c r="E1098" t="s">
        <v>56</v>
      </c>
      <c r="F1098" t="s">
        <v>37</v>
      </c>
      <c r="G1098" t="s">
        <v>38</v>
      </c>
      <c r="H1098">
        <v>3</v>
      </c>
      <c r="I1098" s="3">
        <v>2499</v>
      </c>
      <c r="J1098" s="4">
        <v>0.1</v>
      </c>
      <c r="K1098" s="3">
        <v>99</v>
      </c>
      <c r="L1098" t="s">
        <v>83</v>
      </c>
      <c r="M1098" t="s">
        <v>84</v>
      </c>
      <c r="N1098" t="s">
        <v>50</v>
      </c>
      <c r="O1098" t="s">
        <v>93</v>
      </c>
      <c r="P1098" t="s">
        <v>33</v>
      </c>
      <c r="Q1098">
        <v>4</v>
      </c>
      <c r="R1098" s="3">
        <f t="shared" si="102"/>
        <v>7497</v>
      </c>
      <c r="S1098" s="3">
        <f t="shared" si="103"/>
        <v>749.7</v>
      </c>
      <c r="T1098" s="3">
        <f t="shared" si="104"/>
        <v>6846.3</v>
      </c>
      <c r="U1098" s="3">
        <f t="shared" si="105"/>
        <v>1598.4000000000005</v>
      </c>
      <c r="V1098" s="4">
        <f t="shared" si="106"/>
        <v>0.23346917313001189</v>
      </c>
      <c r="W1098" t="str">
        <f t="shared" si="107"/>
        <v>Apr</v>
      </c>
    </row>
    <row r="1099" spans="1:23" x14ac:dyDescent="0.25">
      <c r="A1099" t="s">
        <v>1512</v>
      </c>
      <c r="B1099" t="s">
        <v>300</v>
      </c>
      <c r="C1099" s="2">
        <v>45981.760416666657</v>
      </c>
      <c r="D1099" t="s">
        <v>77</v>
      </c>
      <c r="E1099" t="s">
        <v>78</v>
      </c>
      <c r="F1099" t="s">
        <v>79</v>
      </c>
      <c r="G1099" t="s">
        <v>28</v>
      </c>
      <c r="H1099">
        <v>2</v>
      </c>
      <c r="I1099" s="3">
        <v>6499</v>
      </c>
      <c r="J1099" s="4">
        <v>0.05</v>
      </c>
      <c r="K1099" s="3">
        <v>79</v>
      </c>
      <c r="L1099" t="s">
        <v>48</v>
      </c>
      <c r="M1099" t="s">
        <v>49</v>
      </c>
      <c r="N1099" t="s">
        <v>50</v>
      </c>
      <c r="O1099" t="s">
        <v>51</v>
      </c>
      <c r="P1099" t="s">
        <v>80</v>
      </c>
      <c r="R1099" s="3">
        <f t="shared" si="102"/>
        <v>12998</v>
      </c>
      <c r="S1099" s="3">
        <f t="shared" si="103"/>
        <v>649.90000000000009</v>
      </c>
      <c r="T1099" s="3">
        <f t="shared" si="104"/>
        <v>12427.1</v>
      </c>
      <c r="U1099" s="3">
        <f t="shared" si="105"/>
        <v>3328.5000000000018</v>
      </c>
      <c r="V1099" s="4">
        <f t="shared" si="106"/>
        <v>0.26784205486396678</v>
      </c>
      <c r="W1099" t="str">
        <f t="shared" si="107"/>
        <v>Nov</v>
      </c>
    </row>
    <row r="1100" spans="1:23" x14ac:dyDescent="0.25">
      <c r="A1100" t="s">
        <v>1513</v>
      </c>
      <c r="B1100" t="s">
        <v>884</v>
      </c>
      <c r="C1100" s="2">
        <v>45908.850694444453</v>
      </c>
      <c r="D1100" t="s">
        <v>67</v>
      </c>
      <c r="E1100" t="s">
        <v>68</v>
      </c>
      <c r="F1100" t="s">
        <v>37</v>
      </c>
      <c r="G1100" t="s">
        <v>38</v>
      </c>
      <c r="H1100">
        <v>2</v>
      </c>
      <c r="I1100" s="3">
        <v>1299</v>
      </c>
      <c r="J1100" s="4">
        <v>0.05</v>
      </c>
      <c r="K1100" s="3">
        <v>99</v>
      </c>
      <c r="L1100" t="s">
        <v>48</v>
      </c>
      <c r="M1100" t="s">
        <v>49</v>
      </c>
      <c r="N1100" t="s">
        <v>71</v>
      </c>
      <c r="O1100" t="s">
        <v>489</v>
      </c>
      <c r="P1100" t="s">
        <v>85</v>
      </c>
      <c r="Q1100">
        <v>2</v>
      </c>
      <c r="R1100" s="3">
        <f t="shared" si="102"/>
        <v>2598</v>
      </c>
      <c r="S1100" s="3">
        <f t="shared" si="103"/>
        <v>129.9</v>
      </c>
      <c r="T1100" s="3">
        <f t="shared" si="104"/>
        <v>2567.1</v>
      </c>
      <c r="U1100" s="3">
        <f t="shared" si="105"/>
        <v>748.5</v>
      </c>
      <c r="V1100" s="4">
        <f t="shared" si="106"/>
        <v>0.29157414981886176</v>
      </c>
      <c r="W1100" t="str">
        <f t="shared" si="107"/>
        <v>Sep</v>
      </c>
    </row>
    <row r="1101" spans="1:23" x14ac:dyDescent="0.25">
      <c r="A1101" t="s">
        <v>1514</v>
      </c>
      <c r="B1101" t="s">
        <v>181</v>
      </c>
      <c r="C1101" s="2">
        <v>45886.427083333343</v>
      </c>
      <c r="D1101" t="s">
        <v>55</v>
      </c>
      <c r="E1101" t="s">
        <v>56</v>
      </c>
      <c r="F1101" t="s">
        <v>37</v>
      </c>
      <c r="G1101" t="s">
        <v>38</v>
      </c>
      <c r="H1101">
        <v>1</v>
      </c>
      <c r="I1101" s="3">
        <v>2499</v>
      </c>
      <c r="J1101" s="4">
        <v>0.1</v>
      </c>
      <c r="K1101" s="3">
        <v>0</v>
      </c>
      <c r="L1101" t="s">
        <v>48</v>
      </c>
      <c r="M1101" t="s">
        <v>49</v>
      </c>
      <c r="N1101" t="s">
        <v>40</v>
      </c>
      <c r="O1101" t="s">
        <v>51</v>
      </c>
      <c r="P1101" t="s">
        <v>80</v>
      </c>
      <c r="R1101" s="3">
        <f t="shared" si="102"/>
        <v>2499</v>
      </c>
      <c r="S1101" s="3">
        <f t="shared" si="103"/>
        <v>249.9</v>
      </c>
      <c r="T1101" s="3">
        <f t="shared" si="104"/>
        <v>2249.1</v>
      </c>
      <c r="U1101" s="3">
        <f t="shared" si="105"/>
        <v>499.79999999999995</v>
      </c>
      <c r="V1101" s="4">
        <f t="shared" si="106"/>
        <v>0.22222222222222221</v>
      </c>
      <c r="W1101" t="str">
        <f t="shared" si="107"/>
        <v>Aug</v>
      </c>
    </row>
    <row r="1102" spans="1:23" x14ac:dyDescent="0.25">
      <c r="A1102" t="s">
        <v>1515</v>
      </c>
      <c r="B1102" t="s">
        <v>420</v>
      </c>
      <c r="C1102" s="2">
        <v>46018.200694444437</v>
      </c>
      <c r="D1102" t="s">
        <v>55</v>
      </c>
      <c r="E1102" t="s">
        <v>56</v>
      </c>
      <c r="F1102" t="s">
        <v>37</v>
      </c>
      <c r="G1102" t="s">
        <v>38</v>
      </c>
      <c r="H1102">
        <v>2</v>
      </c>
      <c r="I1102" s="3">
        <v>2499</v>
      </c>
      <c r="J1102" s="4">
        <v>0.1</v>
      </c>
      <c r="K1102" s="3">
        <v>99</v>
      </c>
      <c r="L1102" t="s">
        <v>74</v>
      </c>
      <c r="M1102" t="s">
        <v>49</v>
      </c>
      <c r="N1102" t="s">
        <v>50</v>
      </c>
      <c r="O1102" t="s">
        <v>93</v>
      </c>
      <c r="P1102" t="s">
        <v>52</v>
      </c>
      <c r="Q1102">
        <v>3</v>
      </c>
      <c r="R1102" s="3">
        <f t="shared" si="102"/>
        <v>4998</v>
      </c>
      <c r="S1102" s="3">
        <f t="shared" si="103"/>
        <v>499.8</v>
      </c>
      <c r="T1102" s="3">
        <f t="shared" si="104"/>
        <v>4597.2</v>
      </c>
      <c r="U1102" s="3">
        <f t="shared" si="105"/>
        <v>1098.5999999999999</v>
      </c>
      <c r="V1102" s="4">
        <f t="shared" si="106"/>
        <v>0.23897154789872094</v>
      </c>
      <c r="W1102" t="str">
        <f t="shared" si="107"/>
        <v>Dec</v>
      </c>
    </row>
    <row r="1103" spans="1:23" x14ac:dyDescent="0.25">
      <c r="A1103" t="s">
        <v>1516</v>
      </c>
      <c r="B1103" t="s">
        <v>420</v>
      </c>
      <c r="C1103" s="2">
        <v>45867.065972222219</v>
      </c>
      <c r="D1103" t="s">
        <v>110</v>
      </c>
      <c r="E1103" t="s">
        <v>111</v>
      </c>
      <c r="F1103" t="s">
        <v>98</v>
      </c>
      <c r="G1103" t="s">
        <v>112</v>
      </c>
      <c r="H1103">
        <v>1</v>
      </c>
      <c r="I1103" s="3">
        <v>2999</v>
      </c>
      <c r="J1103" s="4">
        <v>0.05</v>
      </c>
      <c r="K1103" s="3">
        <v>59</v>
      </c>
      <c r="L1103" t="s">
        <v>83</v>
      </c>
      <c r="M1103" t="s">
        <v>84</v>
      </c>
      <c r="N1103" t="s">
        <v>40</v>
      </c>
      <c r="O1103" t="s">
        <v>59</v>
      </c>
      <c r="P1103" t="s">
        <v>33</v>
      </c>
      <c r="Q1103">
        <v>4</v>
      </c>
      <c r="R1103" s="3">
        <f t="shared" si="102"/>
        <v>2999</v>
      </c>
      <c r="S1103" s="3">
        <f t="shared" si="103"/>
        <v>149.95000000000002</v>
      </c>
      <c r="T1103" s="3">
        <f t="shared" si="104"/>
        <v>2908.05</v>
      </c>
      <c r="U1103" s="3">
        <f t="shared" si="105"/>
        <v>808.75000000000045</v>
      </c>
      <c r="V1103" s="4">
        <f t="shared" si="106"/>
        <v>0.27810732277643108</v>
      </c>
      <c r="W1103" t="str">
        <f t="shared" si="107"/>
        <v>Jul</v>
      </c>
    </row>
    <row r="1104" spans="1:23" x14ac:dyDescent="0.25">
      <c r="A1104" t="s">
        <v>1517</v>
      </c>
      <c r="B1104" t="s">
        <v>906</v>
      </c>
      <c r="C1104" s="2">
        <v>45795.656944444447</v>
      </c>
      <c r="D1104" t="s">
        <v>96</v>
      </c>
      <c r="E1104" t="s">
        <v>97</v>
      </c>
      <c r="F1104" t="s">
        <v>98</v>
      </c>
      <c r="G1104" t="s">
        <v>99</v>
      </c>
      <c r="H1104">
        <v>4</v>
      </c>
      <c r="I1104" s="3">
        <v>1499</v>
      </c>
      <c r="J1104" s="4">
        <v>0.05</v>
      </c>
      <c r="K1104" s="3">
        <v>0</v>
      </c>
      <c r="L1104" t="s">
        <v>48</v>
      </c>
      <c r="M1104" t="s">
        <v>49</v>
      </c>
      <c r="N1104" t="s">
        <v>40</v>
      </c>
      <c r="O1104" t="s">
        <v>59</v>
      </c>
      <c r="P1104" t="s">
        <v>33</v>
      </c>
      <c r="Q1104">
        <v>2</v>
      </c>
      <c r="R1104" s="3">
        <f t="shared" si="102"/>
        <v>5996</v>
      </c>
      <c r="S1104" s="3">
        <f t="shared" si="103"/>
        <v>299.8</v>
      </c>
      <c r="T1104" s="3">
        <f t="shared" si="104"/>
        <v>5696.2</v>
      </c>
      <c r="U1104" s="3">
        <f t="shared" si="105"/>
        <v>1499</v>
      </c>
      <c r="V1104" s="4">
        <f t="shared" si="106"/>
        <v>0.26315789473684209</v>
      </c>
      <c r="W1104" t="str">
        <f t="shared" si="107"/>
        <v>May</v>
      </c>
    </row>
    <row r="1105" spans="1:23" x14ac:dyDescent="0.25">
      <c r="A1105" t="s">
        <v>1518</v>
      </c>
      <c r="B1105" t="s">
        <v>919</v>
      </c>
      <c r="C1105" s="2">
        <v>45978.152083333327</v>
      </c>
      <c r="D1105" t="s">
        <v>44</v>
      </c>
      <c r="E1105" t="s">
        <v>45</v>
      </c>
      <c r="F1105" t="s">
        <v>46</v>
      </c>
      <c r="G1105" t="s">
        <v>47</v>
      </c>
      <c r="H1105">
        <v>2</v>
      </c>
      <c r="I1105" s="3">
        <v>1199</v>
      </c>
      <c r="J1105" s="4">
        <v>0.05</v>
      </c>
      <c r="K1105" s="3">
        <v>49</v>
      </c>
      <c r="L1105" t="s">
        <v>100</v>
      </c>
      <c r="M1105" t="s">
        <v>101</v>
      </c>
      <c r="N1105" t="s">
        <v>31</v>
      </c>
      <c r="O1105" t="s">
        <v>93</v>
      </c>
      <c r="P1105" t="s">
        <v>85</v>
      </c>
      <c r="R1105" s="3">
        <f t="shared" si="102"/>
        <v>2398</v>
      </c>
      <c r="S1105" s="3">
        <f t="shared" si="103"/>
        <v>119.9</v>
      </c>
      <c r="T1105" s="3">
        <f t="shared" si="104"/>
        <v>2327.1</v>
      </c>
      <c r="U1105" s="3">
        <f t="shared" si="105"/>
        <v>648.5</v>
      </c>
      <c r="V1105" s="4">
        <f t="shared" si="106"/>
        <v>0.27867302651368658</v>
      </c>
      <c r="W1105" t="str">
        <f t="shared" si="107"/>
        <v>Nov</v>
      </c>
    </row>
    <row r="1106" spans="1:23" x14ac:dyDescent="0.25">
      <c r="A1106" t="s">
        <v>1519</v>
      </c>
      <c r="B1106" t="s">
        <v>550</v>
      </c>
      <c r="C1106" s="2">
        <v>45828.492361111108</v>
      </c>
      <c r="D1106" t="s">
        <v>96</v>
      </c>
      <c r="E1106" t="s">
        <v>97</v>
      </c>
      <c r="F1106" t="s">
        <v>98</v>
      </c>
      <c r="G1106" t="s">
        <v>99</v>
      </c>
      <c r="H1106">
        <v>3</v>
      </c>
      <c r="I1106" s="3">
        <v>1499</v>
      </c>
      <c r="J1106" s="4">
        <v>0</v>
      </c>
      <c r="K1106" s="3">
        <v>0</v>
      </c>
      <c r="L1106" t="s">
        <v>29</v>
      </c>
      <c r="M1106" t="s">
        <v>30</v>
      </c>
      <c r="N1106" t="s">
        <v>50</v>
      </c>
      <c r="O1106" t="s">
        <v>51</v>
      </c>
      <c r="P1106" t="s">
        <v>85</v>
      </c>
      <c r="Q1106">
        <v>5</v>
      </c>
      <c r="R1106" s="3">
        <f t="shared" si="102"/>
        <v>4497</v>
      </c>
      <c r="S1106" s="3">
        <f t="shared" si="103"/>
        <v>0</v>
      </c>
      <c r="T1106" s="3">
        <f t="shared" si="104"/>
        <v>4497</v>
      </c>
      <c r="U1106" s="3">
        <f t="shared" si="105"/>
        <v>1349.1000000000004</v>
      </c>
      <c r="V1106" s="4">
        <f t="shared" si="106"/>
        <v>0.3000000000000001</v>
      </c>
      <c r="W1106" t="str">
        <f t="shared" si="107"/>
        <v>Jun</v>
      </c>
    </row>
    <row r="1107" spans="1:23" x14ac:dyDescent="0.25">
      <c r="A1107" t="s">
        <v>1520</v>
      </c>
      <c r="B1107" t="s">
        <v>483</v>
      </c>
      <c r="C1107" s="2">
        <v>45860.926388888889</v>
      </c>
      <c r="D1107" t="s">
        <v>67</v>
      </c>
      <c r="E1107" t="s">
        <v>68</v>
      </c>
      <c r="F1107" t="s">
        <v>37</v>
      </c>
      <c r="G1107" t="s">
        <v>38</v>
      </c>
      <c r="H1107">
        <v>3</v>
      </c>
      <c r="I1107" s="3">
        <v>1299</v>
      </c>
      <c r="J1107" s="4">
        <v>0</v>
      </c>
      <c r="K1107" s="3">
        <v>59</v>
      </c>
      <c r="L1107" t="s">
        <v>100</v>
      </c>
      <c r="M1107" t="s">
        <v>101</v>
      </c>
      <c r="N1107" t="s">
        <v>40</v>
      </c>
      <c r="O1107" t="s">
        <v>41</v>
      </c>
      <c r="P1107" t="s">
        <v>33</v>
      </c>
      <c r="Q1107">
        <v>5</v>
      </c>
      <c r="R1107" s="3">
        <f t="shared" si="102"/>
        <v>3897</v>
      </c>
      <c r="S1107" s="3">
        <f t="shared" si="103"/>
        <v>0</v>
      </c>
      <c r="T1107" s="3">
        <f t="shared" si="104"/>
        <v>3956</v>
      </c>
      <c r="U1107" s="3">
        <f t="shared" si="105"/>
        <v>1228.1000000000004</v>
      </c>
      <c r="V1107" s="4">
        <f t="shared" si="106"/>
        <v>0.31043983822042476</v>
      </c>
      <c r="W1107" t="str">
        <f t="shared" si="107"/>
        <v>Jul</v>
      </c>
    </row>
    <row r="1108" spans="1:23" x14ac:dyDescent="0.25">
      <c r="A1108" t="s">
        <v>1521</v>
      </c>
      <c r="B1108" t="s">
        <v>280</v>
      </c>
      <c r="C1108" s="2">
        <v>45676.033333333333</v>
      </c>
      <c r="D1108" t="s">
        <v>77</v>
      </c>
      <c r="E1108" t="s">
        <v>78</v>
      </c>
      <c r="F1108" t="s">
        <v>79</v>
      </c>
      <c r="G1108" t="s">
        <v>28</v>
      </c>
      <c r="H1108">
        <v>4</v>
      </c>
      <c r="I1108" s="3">
        <v>6499</v>
      </c>
      <c r="J1108" s="4">
        <v>0</v>
      </c>
      <c r="K1108" s="3">
        <v>99</v>
      </c>
      <c r="L1108" t="s">
        <v>113</v>
      </c>
      <c r="M1108" t="s">
        <v>114</v>
      </c>
      <c r="N1108" t="s">
        <v>40</v>
      </c>
      <c r="O1108" t="s">
        <v>93</v>
      </c>
      <c r="P1108" t="s">
        <v>85</v>
      </c>
      <c r="Q1108">
        <v>2</v>
      </c>
      <c r="R1108" s="3">
        <f t="shared" si="102"/>
        <v>25996</v>
      </c>
      <c r="S1108" s="3">
        <f t="shared" si="103"/>
        <v>0</v>
      </c>
      <c r="T1108" s="3">
        <f t="shared" si="104"/>
        <v>26095</v>
      </c>
      <c r="U1108" s="3">
        <f t="shared" si="105"/>
        <v>7897.8000000000029</v>
      </c>
      <c r="V1108" s="4">
        <f t="shared" si="106"/>
        <v>0.30265568116497427</v>
      </c>
      <c r="W1108" t="str">
        <f t="shared" si="107"/>
        <v>Jan</v>
      </c>
    </row>
    <row r="1109" spans="1:23" x14ac:dyDescent="0.25">
      <c r="A1109" t="s">
        <v>1522</v>
      </c>
      <c r="B1109" t="s">
        <v>1065</v>
      </c>
      <c r="C1109" s="2">
        <v>45981.927083333343</v>
      </c>
      <c r="D1109" t="s">
        <v>110</v>
      </c>
      <c r="E1109" t="s">
        <v>111</v>
      </c>
      <c r="F1109" t="s">
        <v>98</v>
      </c>
      <c r="G1109" t="s">
        <v>112</v>
      </c>
      <c r="H1109">
        <v>1</v>
      </c>
      <c r="I1109" s="3">
        <v>2999</v>
      </c>
      <c r="J1109" s="4">
        <v>0.05</v>
      </c>
      <c r="K1109" s="3">
        <v>0</v>
      </c>
      <c r="L1109" t="s">
        <v>48</v>
      </c>
      <c r="M1109" t="s">
        <v>49</v>
      </c>
      <c r="N1109" t="s">
        <v>40</v>
      </c>
      <c r="O1109" t="s">
        <v>41</v>
      </c>
      <c r="P1109" t="s">
        <v>33</v>
      </c>
      <c r="R1109" s="3">
        <f t="shared" si="102"/>
        <v>2999</v>
      </c>
      <c r="S1109" s="3">
        <f t="shared" si="103"/>
        <v>149.95000000000002</v>
      </c>
      <c r="T1109" s="3">
        <f t="shared" si="104"/>
        <v>2849.05</v>
      </c>
      <c r="U1109" s="3">
        <f t="shared" si="105"/>
        <v>749.75000000000045</v>
      </c>
      <c r="V1109" s="4">
        <f t="shared" si="106"/>
        <v>0.26315789473684226</v>
      </c>
      <c r="W1109" t="str">
        <f t="shared" si="107"/>
        <v>Nov</v>
      </c>
    </row>
    <row r="1110" spans="1:23" x14ac:dyDescent="0.25">
      <c r="A1110" t="s">
        <v>1523</v>
      </c>
      <c r="B1110" t="s">
        <v>192</v>
      </c>
      <c r="C1110" s="2">
        <v>45697.105555555558</v>
      </c>
      <c r="D1110" t="s">
        <v>77</v>
      </c>
      <c r="E1110" t="s">
        <v>78</v>
      </c>
      <c r="F1110" t="s">
        <v>79</v>
      </c>
      <c r="G1110" t="s">
        <v>28</v>
      </c>
      <c r="H1110">
        <v>3</v>
      </c>
      <c r="I1110" s="3">
        <v>6499</v>
      </c>
      <c r="J1110" s="4">
        <v>0.2</v>
      </c>
      <c r="K1110" s="3">
        <v>79</v>
      </c>
      <c r="L1110" t="s">
        <v>48</v>
      </c>
      <c r="M1110" t="s">
        <v>49</v>
      </c>
      <c r="N1110" t="s">
        <v>31</v>
      </c>
      <c r="O1110" t="s">
        <v>32</v>
      </c>
      <c r="P1110" t="s">
        <v>80</v>
      </c>
      <c r="Q1110">
        <v>5</v>
      </c>
      <c r="R1110" s="3">
        <f t="shared" si="102"/>
        <v>19497</v>
      </c>
      <c r="S1110" s="3">
        <f t="shared" si="103"/>
        <v>3899.4</v>
      </c>
      <c r="T1110" s="3">
        <f t="shared" si="104"/>
        <v>15676.6</v>
      </c>
      <c r="U1110" s="3">
        <f t="shared" si="105"/>
        <v>2028.7000000000007</v>
      </c>
      <c r="V1110" s="4">
        <f t="shared" si="106"/>
        <v>0.12940943827105372</v>
      </c>
      <c r="W1110" t="str">
        <f t="shared" si="107"/>
        <v>Feb</v>
      </c>
    </row>
    <row r="1111" spans="1:23" x14ac:dyDescent="0.25">
      <c r="A1111" t="s">
        <v>1524</v>
      </c>
      <c r="B1111" t="s">
        <v>1338</v>
      </c>
      <c r="C1111" s="2">
        <v>45858.286805555559</v>
      </c>
      <c r="D1111" t="s">
        <v>105</v>
      </c>
      <c r="E1111" t="s">
        <v>106</v>
      </c>
      <c r="F1111" t="s">
        <v>37</v>
      </c>
      <c r="G1111" t="s">
        <v>107</v>
      </c>
      <c r="H1111">
        <v>2</v>
      </c>
      <c r="I1111" s="3"/>
      <c r="J1111" s="4">
        <v>0.05</v>
      </c>
      <c r="K1111" s="3">
        <v>59</v>
      </c>
      <c r="L1111" t="s">
        <v>29</v>
      </c>
      <c r="M1111" t="s">
        <v>30</v>
      </c>
      <c r="N1111" t="s">
        <v>102</v>
      </c>
      <c r="O1111" t="s">
        <v>93</v>
      </c>
      <c r="P1111" t="s">
        <v>85</v>
      </c>
      <c r="Q1111">
        <v>3</v>
      </c>
      <c r="R1111" s="3">
        <f t="shared" si="102"/>
        <v>0</v>
      </c>
      <c r="S1111" s="3">
        <f t="shared" si="103"/>
        <v>0</v>
      </c>
      <c r="T1111" s="3">
        <f t="shared" si="104"/>
        <v>59</v>
      </c>
      <c r="U1111" s="3">
        <f t="shared" si="105"/>
        <v>59</v>
      </c>
      <c r="V1111" s="4">
        <f t="shared" si="106"/>
        <v>1</v>
      </c>
      <c r="W1111" t="str">
        <f t="shared" si="107"/>
        <v>Jul</v>
      </c>
    </row>
    <row r="1112" spans="1:23" x14ac:dyDescent="0.25">
      <c r="A1112" t="s">
        <v>1525</v>
      </c>
      <c r="B1112" t="s">
        <v>232</v>
      </c>
      <c r="C1112" s="2">
        <v>45793.85833333333</v>
      </c>
      <c r="D1112" t="s">
        <v>110</v>
      </c>
      <c r="E1112" t="s">
        <v>111</v>
      </c>
      <c r="F1112" t="s">
        <v>98</v>
      </c>
      <c r="G1112" t="s">
        <v>112</v>
      </c>
      <c r="H1112">
        <v>1</v>
      </c>
      <c r="I1112" s="3">
        <v>2999</v>
      </c>
      <c r="J1112" s="4">
        <v>0.1</v>
      </c>
      <c r="K1112" s="3">
        <v>59</v>
      </c>
      <c r="L1112" t="s">
        <v>119</v>
      </c>
      <c r="M1112" t="s">
        <v>120</v>
      </c>
      <c r="N1112" t="s">
        <v>31</v>
      </c>
      <c r="O1112" t="s">
        <v>41</v>
      </c>
      <c r="P1112" t="s">
        <v>52</v>
      </c>
      <c r="Q1112">
        <v>4</v>
      </c>
      <c r="R1112" s="3">
        <f t="shared" si="102"/>
        <v>2999</v>
      </c>
      <c r="S1112" s="3">
        <f t="shared" si="103"/>
        <v>299.90000000000003</v>
      </c>
      <c r="T1112" s="3">
        <f t="shared" si="104"/>
        <v>2758.1</v>
      </c>
      <c r="U1112" s="3">
        <f t="shared" si="105"/>
        <v>658.80000000000018</v>
      </c>
      <c r="V1112" s="4">
        <f t="shared" si="106"/>
        <v>0.23886008484101381</v>
      </c>
      <c r="W1112" t="str">
        <f t="shared" si="107"/>
        <v>May</v>
      </c>
    </row>
    <row r="1113" spans="1:23" x14ac:dyDescent="0.25">
      <c r="A1113" t="s">
        <v>1526</v>
      </c>
      <c r="B1113" t="s">
        <v>607</v>
      </c>
      <c r="C1113" s="2">
        <v>46017.730555555558</v>
      </c>
      <c r="D1113" t="s">
        <v>62</v>
      </c>
      <c r="E1113" t="s">
        <v>63</v>
      </c>
      <c r="F1113" t="s">
        <v>46</v>
      </c>
      <c r="G1113" t="s">
        <v>64</v>
      </c>
      <c r="H1113">
        <v>2</v>
      </c>
      <c r="I1113" s="3">
        <v>699</v>
      </c>
      <c r="J1113" s="4">
        <v>0.1</v>
      </c>
      <c r="K1113" s="3">
        <v>0</v>
      </c>
      <c r="L1113" t="s">
        <v>48</v>
      </c>
      <c r="M1113" t="s">
        <v>49</v>
      </c>
      <c r="N1113" t="s">
        <v>40</v>
      </c>
      <c r="O1113" t="s">
        <v>51</v>
      </c>
      <c r="P1113" t="s">
        <v>33</v>
      </c>
      <c r="R1113" s="3">
        <f t="shared" si="102"/>
        <v>1398</v>
      </c>
      <c r="S1113" s="3">
        <f t="shared" si="103"/>
        <v>139.80000000000001</v>
      </c>
      <c r="T1113" s="3">
        <f t="shared" si="104"/>
        <v>1258.2</v>
      </c>
      <c r="U1113" s="3">
        <f t="shared" si="105"/>
        <v>279.60000000000014</v>
      </c>
      <c r="V1113" s="4">
        <f t="shared" si="106"/>
        <v>0.22222222222222232</v>
      </c>
      <c r="W1113" t="str">
        <f t="shared" si="107"/>
        <v>Dec</v>
      </c>
    </row>
    <row r="1114" spans="1:23" x14ac:dyDescent="0.25">
      <c r="A1114" t="s">
        <v>1527</v>
      </c>
      <c r="B1114" t="s">
        <v>1345</v>
      </c>
      <c r="C1114" s="2">
        <v>45953.017361111109</v>
      </c>
      <c r="D1114" t="s">
        <v>62</v>
      </c>
      <c r="E1114" t="s">
        <v>63</v>
      </c>
      <c r="F1114" t="s">
        <v>46</v>
      </c>
      <c r="G1114" t="s">
        <v>64</v>
      </c>
      <c r="H1114">
        <v>2</v>
      </c>
      <c r="I1114" s="3">
        <v>699</v>
      </c>
      <c r="J1114" s="4">
        <v>0.1</v>
      </c>
      <c r="K1114" s="3">
        <v>59</v>
      </c>
      <c r="L1114" t="s">
        <v>29</v>
      </c>
      <c r="M1114" t="s">
        <v>30</v>
      </c>
      <c r="N1114" t="s">
        <v>102</v>
      </c>
      <c r="O1114" t="s">
        <v>93</v>
      </c>
      <c r="P1114" t="s">
        <v>33</v>
      </c>
      <c r="R1114" s="3">
        <f t="shared" si="102"/>
        <v>1398</v>
      </c>
      <c r="S1114" s="3">
        <f t="shared" si="103"/>
        <v>139.80000000000001</v>
      </c>
      <c r="T1114" s="3">
        <f t="shared" si="104"/>
        <v>1317.2</v>
      </c>
      <c r="U1114" s="3">
        <f t="shared" si="105"/>
        <v>338.60000000000014</v>
      </c>
      <c r="V1114" s="4">
        <f t="shared" si="106"/>
        <v>0.2570604312177347</v>
      </c>
      <c r="W1114" t="str">
        <f t="shared" si="107"/>
        <v>Oct</v>
      </c>
    </row>
    <row r="1115" spans="1:23" x14ac:dyDescent="0.25">
      <c r="A1115" t="s">
        <v>1528</v>
      </c>
      <c r="B1115" t="s">
        <v>104</v>
      </c>
      <c r="C1115" s="2">
        <v>45980.087500000001</v>
      </c>
      <c r="D1115" t="s">
        <v>110</v>
      </c>
      <c r="E1115" t="s">
        <v>111</v>
      </c>
      <c r="F1115" t="s">
        <v>98</v>
      </c>
      <c r="G1115" t="s">
        <v>112</v>
      </c>
      <c r="H1115">
        <v>1</v>
      </c>
      <c r="I1115" s="3">
        <v>2999</v>
      </c>
      <c r="J1115" s="4">
        <v>0</v>
      </c>
      <c r="K1115" s="3">
        <v>49</v>
      </c>
      <c r="L1115" t="s">
        <v>74</v>
      </c>
      <c r="M1115" t="s">
        <v>49</v>
      </c>
      <c r="N1115" t="s">
        <v>102</v>
      </c>
      <c r="O1115" t="s">
        <v>41</v>
      </c>
      <c r="P1115" t="s">
        <v>85</v>
      </c>
      <c r="Q1115">
        <v>1</v>
      </c>
      <c r="R1115" s="3">
        <f t="shared" si="102"/>
        <v>2999</v>
      </c>
      <c r="S1115" s="3">
        <f t="shared" si="103"/>
        <v>0</v>
      </c>
      <c r="T1115" s="3">
        <f t="shared" si="104"/>
        <v>3048</v>
      </c>
      <c r="U1115" s="3">
        <f t="shared" si="105"/>
        <v>948.70000000000027</v>
      </c>
      <c r="V1115" s="4">
        <f t="shared" si="106"/>
        <v>0.31125328083989512</v>
      </c>
      <c r="W1115" t="str">
        <f t="shared" si="107"/>
        <v>Nov</v>
      </c>
    </row>
    <row r="1116" spans="1:23" x14ac:dyDescent="0.25">
      <c r="A1116" t="s">
        <v>1529</v>
      </c>
      <c r="B1116" t="s">
        <v>1416</v>
      </c>
      <c r="C1116" s="2">
        <v>45900.698611111111</v>
      </c>
      <c r="D1116" t="s">
        <v>105</v>
      </c>
      <c r="E1116" t="s">
        <v>106</v>
      </c>
      <c r="F1116" t="s">
        <v>37</v>
      </c>
      <c r="G1116" t="s">
        <v>107</v>
      </c>
      <c r="H1116">
        <v>2</v>
      </c>
      <c r="I1116" s="3">
        <v>1799</v>
      </c>
      <c r="J1116" s="4">
        <v>0</v>
      </c>
      <c r="K1116" s="3">
        <v>0</v>
      </c>
      <c r="L1116" t="s">
        <v>57</v>
      </c>
      <c r="M1116" t="s">
        <v>58</v>
      </c>
      <c r="N1116" t="s">
        <v>71</v>
      </c>
      <c r="O1116" t="s">
        <v>59</v>
      </c>
      <c r="P1116" t="s">
        <v>85</v>
      </c>
      <c r="Q1116">
        <v>3</v>
      </c>
      <c r="R1116" s="3">
        <f t="shared" si="102"/>
        <v>3598</v>
      </c>
      <c r="S1116" s="3">
        <f t="shared" si="103"/>
        <v>0</v>
      </c>
      <c r="T1116" s="3">
        <f t="shared" si="104"/>
        <v>3598</v>
      </c>
      <c r="U1116" s="3">
        <f t="shared" si="105"/>
        <v>1079.4000000000001</v>
      </c>
      <c r="V1116" s="4">
        <f t="shared" si="106"/>
        <v>0.30000000000000004</v>
      </c>
      <c r="W1116" t="str">
        <f t="shared" si="107"/>
        <v>Aug</v>
      </c>
    </row>
    <row r="1117" spans="1:23" x14ac:dyDescent="0.25">
      <c r="A1117" t="s">
        <v>1530</v>
      </c>
      <c r="B1117" t="s">
        <v>656</v>
      </c>
      <c r="C1117" s="2">
        <v>45676.447222222218</v>
      </c>
      <c r="D1117" t="s">
        <v>77</v>
      </c>
      <c r="E1117" t="s">
        <v>78</v>
      </c>
      <c r="F1117" t="s">
        <v>79</v>
      </c>
      <c r="G1117" t="s">
        <v>28</v>
      </c>
      <c r="H1117">
        <v>3</v>
      </c>
      <c r="I1117" s="3">
        <v>6499</v>
      </c>
      <c r="J1117" s="4">
        <v>0.15</v>
      </c>
      <c r="K1117" s="3">
        <v>79</v>
      </c>
      <c r="L1117" t="s">
        <v>74</v>
      </c>
      <c r="M1117" t="s">
        <v>49</v>
      </c>
      <c r="N1117" t="s">
        <v>71</v>
      </c>
      <c r="O1117" t="s">
        <v>41</v>
      </c>
      <c r="P1117" t="s">
        <v>85</v>
      </c>
      <c r="R1117" s="3">
        <f t="shared" si="102"/>
        <v>19497</v>
      </c>
      <c r="S1117" s="3">
        <f t="shared" si="103"/>
        <v>2924.5499999999997</v>
      </c>
      <c r="T1117" s="3">
        <f t="shared" si="104"/>
        <v>16651.45</v>
      </c>
      <c r="U1117" s="3">
        <f t="shared" si="105"/>
        <v>3003.5500000000011</v>
      </c>
      <c r="V1117" s="4">
        <f t="shared" si="106"/>
        <v>0.18037768482624641</v>
      </c>
      <c r="W1117" t="str">
        <f t="shared" si="107"/>
        <v>Jan</v>
      </c>
    </row>
    <row r="1118" spans="1:23" x14ac:dyDescent="0.25">
      <c r="A1118" t="s">
        <v>1531</v>
      </c>
      <c r="B1118" t="s">
        <v>372</v>
      </c>
      <c r="C1118" s="2">
        <v>45818.84375</v>
      </c>
      <c r="D1118" t="s">
        <v>62</v>
      </c>
      <c r="E1118" t="s">
        <v>63</v>
      </c>
      <c r="F1118" t="s">
        <v>46</v>
      </c>
      <c r="G1118" t="s">
        <v>64</v>
      </c>
      <c r="H1118">
        <v>2</v>
      </c>
      <c r="I1118" s="3">
        <v>699</v>
      </c>
      <c r="J1118" s="4">
        <v>0.1</v>
      </c>
      <c r="K1118" s="3">
        <v>79</v>
      </c>
      <c r="L1118" t="s">
        <v>119</v>
      </c>
      <c r="M1118" t="s">
        <v>120</v>
      </c>
      <c r="N1118" t="s">
        <v>102</v>
      </c>
      <c r="O1118" t="s">
        <v>93</v>
      </c>
      <c r="P1118" t="s">
        <v>33</v>
      </c>
      <c r="Q1118">
        <v>1</v>
      </c>
      <c r="R1118" s="3">
        <f t="shared" si="102"/>
        <v>1398</v>
      </c>
      <c r="S1118" s="3">
        <f t="shared" si="103"/>
        <v>139.80000000000001</v>
      </c>
      <c r="T1118" s="3">
        <f t="shared" si="104"/>
        <v>1337.2</v>
      </c>
      <c r="U1118" s="3">
        <f t="shared" si="105"/>
        <v>358.60000000000014</v>
      </c>
      <c r="V1118" s="4">
        <f t="shared" si="106"/>
        <v>0.26817230032904588</v>
      </c>
      <c r="W1118" t="str">
        <f t="shared" si="107"/>
        <v>Jun</v>
      </c>
    </row>
    <row r="1119" spans="1:23" x14ac:dyDescent="0.25">
      <c r="A1119" t="s">
        <v>1532</v>
      </c>
      <c r="B1119" t="s">
        <v>1120</v>
      </c>
      <c r="C1119" s="2">
        <v>45664.231249999997</v>
      </c>
      <c r="D1119" t="s">
        <v>96</v>
      </c>
      <c r="E1119" t="s">
        <v>97</v>
      </c>
      <c r="F1119" t="s">
        <v>98</v>
      </c>
      <c r="G1119" t="s">
        <v>99</v>
      </c>
      <c r="H1119">
        <v>1</v>
      </c>
      <c r="I1119" s="3">
        <v>1499</v>
      </c>
      <c r="J1119" s="4">
        <v>0</v>
      </c>
      <c r="K1119" s="3">
        <v>49</v>
      </c>
      <c r="L1119" t="s">
        <v>29</v>
      </c>
      <c r="M1119" t="s">
        <v>30</v>
      </c>
      <c r="N1119" t="s">
        <v>40</v>
      </c>
      <c r="O1119" t="s">
        <v>489</v>
      </c>
      <c r="P1119" t="s">
        <v>80</v>
      </c>
      <c r="Q1119">
        <v>1</v>
      </c>
      <c r="R1119" s="3">
        <f t="shared" si="102"/>
        <v>1499</v>
      </c>
      <c r="S1119" s="3">
        <f t="shared" si="103"/>
        <v>0</v>
      </c>
      <c r="T1119" s="3">
        <f t="shared" si="104"/>
        <v>1548</v>
      </c>
      <c r="U1119" s="3">
        <f t="shared" si="105"/>
        <v>498.70000000000005</v>
      </c>
      <c r="V1119" s="4">
        <f t="shared" si="106"/>
        <v>0.3221576227390181</v>
      </c>
      <c r="W1119" t="str">
        <f t="shared" si="107"/>
        <v>Jan</v>
      </c>
    </row>
    <row r="1120" spans="1:23" x14ac:dyDescent="0.25">
      <c r="A1120" t="s">
        <v>1533</v>
      </c>
      <c r="B1120" t="s">
        <v>1534</v>
      </c>
      <c r="C1120" s="2">
        <v>45926.630555555559</v>
      </c>
      <c r="D1120" t="s">
        <v>96</v>
      </c>
      <c r="E1120" t="s">
        <v>97</v>
      </c>
      <c r="F1120" t="s">
        <v>98</v>
      </c>
      <c r="G1120" t="s">
        <v>99</v>
      </c>
      <c r="H1120">
        <v>1</v>
      </c>
      <c r="I1120" s="3">
        <v>1499</v>
      </c>
      <c r="J1120" s="4">
        <v>0.15</v>
      </c>
      <c r="K1120" s="3">
        <v>79</v>
      </c>
      <c r="L1120" t="s">
        <v>119</v>
      </c>
      <c r="M1120" t="s">
        <v>120</v>
      </c>
      <c r="N1120" t="s">
        <v>31</v>
      </c>
      <c r="O1120" t="s">
        <v>51</v>
      </c>
      <c r="P1120" t="s">
        <v>80</v>
      </c>
      <c r="Q1120">
        <v>1</v>
      </c>
      <c r="R1120" s="3">
        <f t="shared" si="102"/>
        <v>1499</v>
      </c>
      <c r="S1120" s="3">
        <f t="shared" si="103"/>
        <v>224.85</v>
      </c>
      <c r="T1120" s="3">
        <f t="shared" si="104"/>
        <v>1353.15</v>
      </c>
      <c r="U1120" s="3">
        <f t="shared" si="105"/>
        <v>303.85000000000014</v>
      </c>
      <c r="V1120" s="4">
        <f t="shared" si="106"/>
        <v>0.22455012378524192</v>
      </c>
      <c r="W1120" t="str">
        <f t="shared" si="107"/>
        <v>Sep</v>
      </c>
    </row>
    <row r="1121" spans="1:23" x14ac:dyDescent="0.25">
      <c r="A1121" t="s">
        <v>1535</v>
      </c>
      <c r="B1121" t="s">
        <v>329</v>
      </c>
      <c r="C1121" s="2">
        <v>46004.356249999997</v>
      </c>
      <c r="D1121" t="s">
        <v>96</v>
      </c>
      <c r="E1121" t="s">
        <v>97</v>
      </c>
      <c r="F1121" t="s">
        <v>98</v>
      </c>
      <c r="G1121" t="s">
        <v>99</v>
      </c>
      <c r="H1121">
        <v>2</v>
      </c>
      <c r="I1121" s="3">
        <v>1499</v>
      </c>
      <c r="J1121" s="4"/>
      <c r="K1121" s="3">
        <v>59</v>
      </c>
      <c r="L1121" t="s">
        <v>48</v>
      </c>
      <c r="M1121" t="s">
        <v>49</v>
      </c>
      <c r="N1121" t="s">
        <v>50</v>
      </c>
      <c r="O1121" t="s">
        <v>41</v>
      </c>
      <c r="P1121" t="s">
        <v>33</v>
      </c>
      <c r="Q1121">
        <v>3</v>
      </c>
      <c r="R1121" s="3">
        <f t="shared" si="102"/>
        <v>2998</v>
      </c>
      <c r="S1121" s="3">
        <f t="shared" si="103"/>
        <v>0</v>
      </c>
      <c r="T1121" s="3">
        <f t="shared" si="104"/>
        <v>3057</v>
      </c>
      <c r="U1121" s="3">
        <f t="shared" si="105"/>
        <v>958.40000000000009</v>
      </c>
      <c r="V1121" s="4">
        <f t="shared" si="106"/>
        <v>0.31350997710173378</v>
      </c>
      <c r="W1121" t="str">
        <f t="shared" si="107"/>
        <v>Dec</v>
      </c>
    </row>
    <row r="1122" spans="1:23" x14ac:dyDescent="0.25">
      <c r="A1122" t="s">
        <v>1536</v>
      </c>
      <c r="B1122" t="s">
        <v>148</v>
      </c>
      <c r="C1122" s="2">
        <v>45848.693055555559</v>
      </c>
      <c r="D1122" t="s">
        <v>62</v>
      </c>
      <c r="E1122" t="s">
        <v>63</v>
      </c>
      <c r="F1122" t="s">
        <v>46</v>
      </c>
      <c r="G1122" t="s">
        <v>64</v>
      </c>
      <c r="H1122">
        <v>3</v>
      </c>
      <c r="I1122" s="3">
        <v>699</v>
      </c>
      <c r="J1122" s="4">
        <v>0.1</v>
      </c>
      <c r="K1122" s="3">
        <v>79</v>
      </c>
      <c r="L1122" t="s">
        <v>970</v>
      </c>
      <c r="M1122" t="s">
        <v>114</v>
      </c>
      <c r="N1122" t="s">
        <v>71</v>
      </c>
      <c r="O1122" t="s">
        <v>41</v>
      </c>
      <c r="P1122" t="s">
        <v>33</v>
      </c>
      <c r="Q1122">
        <v>2</v>
      </c>
      <c r="R1122" s="3">
        <f t="shared" si="102"/>
        <v>2097</v>
      </c>
      <c r="S1122" s="3">
        <f t="shared" si="103"/>
        <v>209.70000000000002</v>
      </c>
      <c r="T1122" s="3">
        <f t="shared" si="104"/>
        <v>1966.3</v>
      </c>
      <c r="U1122" s="3">
        <f t="shared" si="105"/>
        <v>498.40000000000009</v>
      </c>
      <c r="V1122" s="4">
        <f t="shared" si="106"/>
        <v>0.25347098611605556</v>
      </c>
      <c r="W1122" t="str">
        <f t="shared" si="107"/>
        <v>Jul</v>
      </c>
    </row>
    <row r="1123" spans="1:23" x14ac:dyDescent="0.25">
      <c r="A1123" t="s">
        <v>1537</v>
      </c>
      <c r="B1123" t="s">
        <v>116</v>
      </c>
      <c r="C1123" s="2">
        <v>45871.214583333327</v>
      </c>
      <c r="D1123" t="s">
        <v>62</v>
      </c>
      <c r="E1123" t="s">
        <v>63</v>
      </c>
      <c r="F1123" t="s">
        <v>46</v>
      </c>
      <c r="G1123" t="s">
        <v>64</v>
      </c>
      <c r="H1123">
        <v>1</v>
      </c>
      <c r="I1123" s="3">
        <v>699</v>
      </c>
      <c r="J1123" s="4">
        <v>0</v>
      </c>
      <c r="K1123" s="3">
        <v>0</v>
      </c>
      <c r="L1123" t="s">
        <v>119</v>
      </c>
      <c r="M1123" t="s">
        <v>120</v>
      </c>
      <c r="N1123" t="s">
        <v>50</v>
      </c>
      <c r="O1123" t="s">
        <v>41</v>
      </c>
      <c r="P1123" t="s">
        <v>52</v>
      </c>
      <c r="R1123" s="3">
        <f t="shared" si="102"/>
        <v>699</v>
      </c>
      <c r="S1123" s="3">
        <f t="shared" si="103"/>
        <v>0</v>
      </c>
      <c r="T1123" s="3">
        <f t="shared" si="104"/>
        <v>699</v>
      </c>
      <c r="U1123" s="3">
        <f t="shared" si="105"/>
        <v>209.70000000000005</v>
      </c>
      <c r="V1123" s="4">
        <f t="shared" si="106"/>
        <v>0.30000000000000004</v>
      </c>
      <c r="W1123" t="str">
        <f t="shared" si="107"/>
        <v>Aug</v>
      </c>
    </row>
    <row r="1124" spans="1:23" x14ac:dyDescent="0.25">
      <c r="A1124" t="s">
        <v>1538</v>
      </c>
      <c r="B1124" t="s">
        <v>138</v>
      </c>
      <c r="C1124" s="2">
        <v>45706.068749999999</v>
      </c>
      <c r="D1124" t="s">
        <v>55</v>
      </c>
      <c r="E1124" t="s">
        <v>56</v>
      </c>
      <c r="F1124" t="s">
        <v>37</v>
      </c>
      <c r="G1124" t="s">
        <v>38</v>
      </c>
      <c r="H1124">
        <v>2</v>
      </c>
      <c r="I1124" s="3">
        <v>2499</v>
      </c>
      <c r="J1124" s="4">
        <v>0.15</v>
      </c>
      <c r="K1124" s="3">
        <v>49</v>
      </c>
      <c r="L1124" t="s">
        <v>83</v>
      </c>
      <c r="M1124" t="s">
        <v>84</v>
      </c>
      <c r="N1124" t="s">
        <v>71</v>
      </c>
      <c r="O1124" t="s">
        <v>32</v>
      </c>
      <c r="P1124" t="s">
        <v>52</v>
      </c>
      <c r="Q1124">
        <v>2</v>
      </c>
      <c r="R1124" s="3">
        <f t="shared" si="102"/>
        <v>4998</v>
      </c>
      <c r="S1124" s="3">
        <f t="shared" si="103"/>
        <v>749.69999999999993</v>
      </c>
      <c r="T1124" s="3">
        <f t="shared" si="104"/>
        <v>4297.3</v>
      </c>
      <c r="U1124" s="3">
        <f t="shared" si="105"/>
        <v>798.70000000000027</v>
      </c>
      <c r="V1124" s="4">
        <f t="shared" si="106"/>
        <v>0.18586088939566711</v>
      </c>
      <c r="W1124" t="str">
        <f t="shared" si="107"/>
        <v>Feb</v>
      </c>
    </row>
    <row r="1125" spans="1:23" x14ac:dyDescent="0.25">
      <c r="A1125" t="s">
        <v>1539</v>
      </c>
      <c r="B1125" t="s">
        <v>218</v>
      </c>
      <c r="C1125" s="2">
        <v>45798.411111111112</v>
      </c>
      <c r="D1125" t="s">
        <v>169</v>
      </c>
      <c r="E1125" t="s">
        <v>170</v>
      </c>
      <c r="F1125" t="s">
        <v>98</v>
      </c>
      <c r="G1125" t="s">
        <v>171</v>
      </c>
      <c r="H1125">
        <v>4</v>
      </c>
      <c r="I1125" s="3">
        <v>799</v>
      </c>
      <c r="J1125" s="4">
        <v>0.15</v>
      </c>
      <c r="K1125" s="3">
        <v>59</v>
      </c>
      <c r="L1125" t="s">
        <v>39</v>
      </c>
      <c r="M1125" t="s">
        <v>39</v>
      </c>
      <c r="N1125" t="s">
        <v>102</v>
      </c>
      <c r="O1125" t="s">
        <v>59</v>
      </c>
      <c r="P1125" t="s">
        <v>52</v>
      </c>
      <c r="Q1125">
        <v>3</v>
      </c>
      <c r="R1125" s="3">
        <f t="shared" si="102"/>
        <v>3196</v>
      </c>
      <c r="S1125" s="3">
        <f t="shared" si="103"/>
        <v>479.4</v>
      </c>
      <c r="T1125" s="3">
        <f t="shared" si="104"/>
        <v>2775.6</v>
      </c>
      <c r="U1125" s="3">
        <f t="shared" si="105"/>
        <v>538.40000000000009</v>
      </c>
      <c r="V1125" s="4">
        <f t="shared" si="106"/>
        <v>0.19397607724455979</v>
      </c>
      <c r="W1125" t="str">
        <f t="shared" si="107"/>
        <v>May</v>
      </c>
    </row>
    <row r="1126" spans="1:23" x14ac:dyDescent="0.25">
      <c r="A1126" t="s">
        <v>1540</v>
      </c>
      <c r="B1126" t="s">
        <v>214</v>
      </c>
      <c r="C1126" s="2">
        <v>45761.109027777777</v>
      </c>
      <c r="D1126" t="s">
        <v>62</v>
      </c>
      <c r="E1126" t="s">
        <v>63</v>
      </c>
      <c r="F1126" t="s">
        <v>46</v>
      </c>
      <c r="G1126" t="s">
        <v>64</v>
      </c>
      <c r="H1126">
        <v>2</v>
      </c>
      <c r="I1126" s="3">
        <v>699</v>
      </c>
      <c r="J1126" s="4">
        <v>0</v>
      </c>
      <c r="K1126" s="3">
        <v>49</v>
      </c>
      <c r="L1126" t="s">
        <v>83</v>
      </c>
      <c r="M1126" t="s">
        <v>84</v>
      </c>
      <c r="N1126" t="s">
        <v>430</v>
      </c>
      <c r="O1126" t="s">
        <v>51</v>
      </c>
      <c r="P1126" t="s">
        <v>33</v>
      </c>
      <c r="Q1126">
        <v>5</v>
      </c>
      <c r="R1126" s="3">
        <f t="shared" si="102"/>
        <v>1398</v>
      </c>
      <c r="S1126" s="3">
        <f t="shared" si="103"/>
        <v>0</v>
      </c>
      <c r="T1126" s="3">
        <f t="shared" si="104"/>
        <v>1447</v>
      </c>
      <c r="U1126" s="3">
        <f t="shared" si="105"/>
        <v>468.40000000000009</v>
      </c>
      <c r="V1126" s="4">
        <f t="shared" si="106"/>
        <v>0.32370421561852114</v>
      </c>
      <c r="W1126" t="str">
        <f t="shared" si="107"/>
        <v>Apr</v>
      </c>
    </row>
    <row r="1127" spans="1:23" x14ac:dyDescent="0.25">
      <c r="A1127" t="s">
        <v>1541</v>
      </c>
      <c r="B1127" t="s">
        <v>222</v>
      </c>
      <c r="C1127" s="2">
        <v>45958.867361111108</v>
      </c>
      <c r="D1127" t="s">
        <v>55</v>
      </c>
      <c r="E1127" t="s">
        <v>56</v>
      </c>
      <c r="F1127" t="s">
        <v>37</v>
      </c>
      <c r="G1127" t="s">
        <v>38</v>
      </c>
      <c r="H1127">
        <v>3</v>
      </c>
      <c r="I1127" s="3">
        <v>2499</v>
      </c>
      <c r="J1127" s="4">
        <v>0.05</v>
      </c>
      <c r="K1127" s="3">
        <v>99</v>
      </c>
      <c r="L1127" t="s">
        <v>100</v>
      </c>
      <c r="M1127" t="s">
        <v>101</v>
      </c>
      <c r="N1127" t="s">
        <v>102</v>
      </c>
      <c r="O1127" t="s">
        <v>59</v>
      </c>
      <c r="P1127" t="s">
        <v>52</v>
      </c>
      <c r="Q1127">
        <v>2</v>
      </c>
      <c r="R1127" s="3">
        <f t="shared" si="102"/>
        <v>7497</v>
      </c>
      <c r="S1127" s="3">
        <f t="shared" si="103"/>
        <v>374.85</v>
      </c>
      <c r="T1127" s="3">
        <f t="shared" si="104"/>
        <v>7221.15</v>
      </c>
      <c r="U1127" s="3">
        <f t="shared" si="105"/>
        <v>1973.25</v>
      </c>
      <c r="V1127" s="4">
        <f t="shared" si="106"/>
        <v>0.27325979933944039</v>
      </c>
      <c r="W1127" t="str">
        <f t="shared" si="107"/>
        <v>Oct</v>
      </c>
    </row>
    <row r="1128" spans="1:23" x14ac:dyDescent="0.25">
      <c r="A1128" t="s">
        <v>1542</v>
      </c>
      <c r="B1128" t="s">
        <v>660</v>
      </c>
      <c r="C1128" s="2">
        <v>45768.124305555553</v>
      </c>
      <c r="D1128" t="s">
        <v>105</v>
      </c>
      <c r="E1128" t="s">
        <v>106</v>
      </c>
      <c r="F1128" t="s">
        <v>37</v>
      </c>
      <c r="G1128" t="s">
        <v>107</v>
      </c>
      <c r="H1128">
        <v>3</v>
      </c>
      <c r="I1128" s="3">
        <v>1799</v>
      </c>
      <c r="J1128" s="4">
        <v>0</v>
      </c>
      <c r="K1128" s="3">
        <v>49</v>
      </c>
      <c r="L1128" t="s">
        <v>39</v>
      </c>
      <c r="M1128" t="s">
        <v>39</v>
      </c>
      <c r="N1128" t="s">
        <v>40</v>
      </c>
      <c r="O1128" t="s">
        <v>93</v>
      </c>
      <c r="P1128" t="s">
        <v>85</v>
      </c>
      <c r="Q1128">
        <v>3</v>
      </c>
      <c r="R1128" s="3">
        <f t="shared" si="102"/>
        <v>5397</v>
      </c>
      <c r="S1128" s="3">
        <f t="shared" si="103"/>
        <v>0</v>
      </c>
      <c r="T1128" s="3">
        <f t="shared" si="104"/>
        <v>5446</v>
      </c>
      <c r="U1128" s="3">
        <f t="shared" si="105"/>
        <v>1668.1000000000004</v>
      </c>
      <c r="V1128" s="4">
        <f t="shared" si="106"/>
        <v>0.30629820051413886</v>
      </c>
      <c r="W1128" t="str">
        <f t="shared" si="107"/>
        <v>Apr</v>
      </c>
    </row>
    <row r="1129" spans="1:23" x14ac:dyDescent="0.25">
      <c r="A1129" t="s">
        <v>1543</v>
      </c>
      <c r="B1129" t="s">
        <v>278</v>
      </c>
      <c r="C1129" s="2">
        <v>45883.570833333331</v>
      </c>
      <c r="D1129" t="s">
        <v>55</v>
      </c>
      <c r="E1129" t="s">
        <v>56</v>
      </c>
      <c r="F1129" t="s">
        <v>37</v>
      </c>
      <c r="G1129" t="s">
        <v>38</v>
      </c>
      <c r="H1129">
        <v>1</v>
      </c>
      <c r="I1129" s="3">
        <v>2499</v>
      </c>
      <c r="J1129" s="4">
        <v>0.05</v>
      </c>
      <c r="K1129" s="3">
        <v>59</v>
      </c>
      <c r="L1129" t="s">
        <v>39</v>
      </c>
      <c r="M1129" t="s">
        <v>39</v>
      </c>
      <c r="N1129" t="s">
        <v>31</v>
      </c>
      <c r="O1129" t="s">
        <v>41</v>
      </c>
      <c r="P1129" t="s">
        <v>52</v>
      </c>
      <c r="Q1129">
        <v>5</v>
      </c>
      <c r="R1129" s="3">
        <f t="shared" si="102"/>
        <v>2499</v>
      </c>
      <c r="S1129" s="3">
        <f t="shared" si="103"/>
        <v>124.95</v>
      </c>
      <c r="T1129" s="3">
        <f t="shared" si="104"/>
        <v>2433.0500000000002</v>
      </c>
      <c r="U1129" s="3">
        <f t="shared" si="105"/>
        <v>683.75000000000023</v>
      </c>
      <c r="V1129" s="4">
        <f t="shared" si="106"/>
        <v>0.28102587287560887</v>
      </c>
      <c r="W1129" t="str">
        <f t="shared" si="107"/>
        <v>Aug</v>
      </c>
    </row>
    <row r="1130" spans="1:23" x14ac:dyDescent="0.25">
      <c r="A1130" t="s">
        <v>1544</v>
      </c>
      <c r="B1130" t="s">
        <v>300</v>
      </c>
      <c r="C1130" s="2">
        <v>46019.640277777777</v>
      </c>
      <c r="D1130" t="s">
        <v>96</v>
      </c>
      <c r="E1130" t="s">
        <v>97</v>
      </c>
      <c r="F1130" t="s">
        <v>98</v>
      </c>
      <c r="G1130" t="s">
        <v>99</v>
      </c>
      <c r="I1130" s="3">
        <v>1499</v>
      </c>
      <c r="J1130" s="4">
        <v>0.15</v>
      </c>
      <c r="K1130" s="3">
        <v>59</v>
      </c>
      <c r="L1130" t="s">
        <v>57</v>
      </c>
      <c r="M1130" t="s">
        <v>58</v>
      </c>
      <c r="N1130" t="s">
        <v>31</v>
      </c>
      <c r="O1130" t="s">
        <v>32</v>
      </c>
      <c r="P1130" t="s">
        <v>33</v>
      </c>
      <c r="R1130" s="3">
        <f t="shared" si="102"/>
        <v>0</v>
      </c>
      <c r="S1130" s="3">
        <f t="shared" si="103"/>
        <v>0</v>
      </c>
      <c r="T1130" s="3">
        <f t="shared" si="104"/>
        <v>59</v>
      </c>
      <c r="U1130" s="3">
        <f t="shared" si="105"/>
        <v>59</v>
      </c>
      <c r="V1130" s="4">
        <f t="shared" si="106"/>
        <v>1</v>
      </c>
      <c r="W1130" t="str">
        <f t="shared" si="107"/>
        <v>Dec</v>
      </c>
    </row>
    <row r="1131" spans="1:23" x14ac:dyDescent="0.25">
      <c r="A1131" t="s">
        <v>1545</v>
      </c>
      <c r="B1131" t="s">
        <v>104</v>
      </c>
      <c r="C1131" s="2">
        <v>45800.92291666667</v>
      </c>
      <c r="D1131" t="s">
        <v>67</v>
      </c>
      <c r="E1131" t="s">
        <v>68</v>
      </c>
      <c r="F1131" t="s">
        <v>37</v>
      </c>
      <c r="G1131" t="s">
        <v>38</v>
      </c>
      <c r="H1131">
        <v>4</v>
      </c>
      <c r="I1131" s="3">
        <v>1299</v>
      </c>
      <c r="J1131" s="4">
        <v>0.15</v>
      </c>
      <c r="K1131" s="3">
        <v>79</v>
      </c>
      <c r="L1131" t="s">
        <v>100</v>
      </c>
      <c r="M1131" t="s">
        <v>101</v>
      </c>
      <c r="N1131" t="s">
        <v>71</v>
      </c>
      <c r="O1131" t="s">
        <v>93</v>
      </c>
      <c r="P1131" t="s">
        <v>52</v>
      </c>
      <c r="Q1131">
        <v>5</v>
      </c>
      <c r="R1131" s="3">
        <f t="shared" si="102"/>
        <v>5196</v>
      </c>
      <c r="S1131" s="3">
        <f t="shared" si="103"/>
        <v>779.4</v>
      </c>
      <c r="T1131" s="3">
        <f t="shared" si="104"/>
        <v>4495.6000000000004</v>
      </c>
      <c r="U1131" s="3">
        <f t="shared" si="105"/>
        <v>858.40000000000055</v>
      </c>
      <c r="V1131" s="4">
        <f t="shared" si="106"/>
        <v>0.19094225464899023</v>
      </c>
      <c r="W1131" t="str">
        <f t="shared" si="107"/>
        <v>May</v>
      </c>
    </row>
    <row r="1132" spans="1:23" x14ac:dyDescent="0.25">
      <c r="A1132" t="s">
        <v>1546</v>
      </c>
      <c r="B1132" t="s">
        <v>132</v>
      </c>
      <c r="C1132" s="2">
        <v>45845.617361111108</v>
      </c>
      <c r="D1132" t="s">
        <v>96</v>
      </c>
      <c r="E1132" t="s">
        <v>97</v>
      </c>
      <c r="F1132" t="s">
        <v>98</v>
      </c>
      <c r="G1132" t="s">
        <v>99</v>
      </c>
      <c r="H1132">
        <v>1</v>
      </c>
      <c r="I1132" s="3">
        <v>1499</v>
      </c>
      <c r="J1132" s="4">
        <v>0.05</v>
      </c>
      <c r="K1132" s="3">
        <v>79</v>
      </c>
      <c r="L1132" t="s">
        <v>74</v>
      </c>
      <c r="M1132" t="s">
        <v>49</v>
      </c>
      <c r="N1132" t="s">
        <v>102</v>
      </c>
      <c r="O1132" t="s">
        <v>32</v>
      </c>
      <c r="P1132" t="s">
        <v>80</v>
      </c>
      <c r="Q1132">
        <v>2</v>
      </c>
      <c r="R1132" s="3">
        <f t="shared" si="102"/>
        <v>1499</v>
      </c>
      <c r="S1132" s="3">
        <f t="shared" si="103"/>
        <v>74.95</v>
      </c>
      <c r="T1132" s="3">
        <f t="shared" si="104"/>
        <v>1503.05</v>
      </c>
      <c r="U1132" s="3">
        <f t="shared" si="105"/>
        <v>453.75</v>
      </c>
      <c r="V1132" s="4">
        <f t="shared" si="106"/>
        <v>0.30188616479824359</v>
      </c>
      <c r="W1132" t="str">
        <f t="shared" si="107"/>
        <v>Jul</v>
      </c>
    </row>
    <row r="1133" spans="1:23" x14ac:dyDescent="0.25">
      <c r="A1133" t="s">
        <v>1547</v>
      </c>
      <c r="B1133" t="s">
        <v>656</v>
      </c>
      <c r="C1133" s="2">
        <v>45663.269444444442</v>
      </c>
      <c r="D1133" t="s">
        <v>96</v>
      </c>
      <c r="E1133" t="s">
        <v>97</v>
      </c>
      <c r="F1133" t="s">
        <v>98</v>
      </c>
      <c r="G1133" t="s">
        <v>99</v>
      </c>
      <c r="H1133">
        <v>1</v>
      </c>
      <c r="I1133" s="3">
        <v>1499</v>
      </c>
      <c r="J1133" s="4">
        <v>0.15</v>
      </c>
      <c r="K1133" s="3">
        <v>49</v>
      </c>
      <c r="L1133" t="s">
        <v>74</v>
      </c>
      <c r="M1133" t="s">
        <v>49</v>
      </c>
      <c r="N1133" t="s">
        <v>102</v>
      </c>
      <c r="O1133" t="s">
        <v>51</v>
      </c>
      <c r="P1133" t="s">
        <v>33</v>
      </c>
      <c r="Q1133">
        <v>3</v>
      </c>
      <c r="R1133" s="3">
        <f t="shared" si="102"/>
        <v>1499</v>
      </c>
      <c r="S1133" s="3">
        <f t="shared" si="103"/>
        <v>224.85</v>
      </c>
      <c r="T1133" s="3">
        <f t="shared" si="104"/>
        <v>1323.15</v>
      </c>
      <c r="U1133" s="3">
        <f t="shared" si="105"/>
        <v>273.85000000000014</v>
      </c>
      <c r="V1133" s="4">
        <f t="shared" si="106"/>
        <v>0.20696821977855884</v>
      </c>
      <c r="W1133" t="str">
        <f t="shared" si="107"/>
        <v>Jan</v>
      </c>
    </row>
    <row r="1134" spans="1:23" x14ac:dyDescent="0.25">
      <c r="A1134" t="s">
        <v>1548</v>
      </c>
      <c r="B1134" t="s">
        <v>993</v>
      </c>
      <c r="C1134" s="2">
        <v>45915.026388888888</v>
      </c>
      <c r="D1134" t="s">
        <v>55</v>
      </c>
      <c r="E1134" t="s">
        <v>56</v>
      </c>
      <c r="F1134" t="s">
        <v>37</v>
      </c>
      <c r="G1134" t="s">
        <v>38</v>
      </c>
      <c r="H1134">
        <v>4</v>
      </c>
      <c r="I1134" s="3">
        <v>2499</v>
      </c>
      <c r="J1134" s="4">
        <v>0</v>
      </c>
      <c r="K1134" s="3">
        <v>59</v>
      </c>
      <c r="L1134" t="s">
        <v>74</v>
      </c>
      <c r="M1134" t="s">
        <v>49</v>
      </c>
      <c r="N1134" t="s">
        <v>40</v>
      </c>
      <c r="O1134" t="s">
        <v>93</v>
      </c>
      <c r="P1134" t="s">
        <v>33</v>
      </c>
      <c r="R1134" s="3">
        <f t="shared" si="102"/>
        <v>9996</v>
      </c>
      <c r="S1134" s="3">
        <f t="shared" si="103"/>
        <v>0</v>
      </c>
      <c r="T1134" s="3">
        <f t="shared" si="104"/>
        <v>10055</v>
      </c>
      <c r="U1134" s="3">
        <f t="shared" si="105"/>
        <v>3057.8</v>
      </c>
      <c r="V1134" s="4">
        <f t="shared" si="106"/>
        <v>0.30410740924912982</v>
      </c>
      <c r="W1134" t="str">
        <f t="shared" si="107"/>
        <v>Sep</v>
      </c>
    </row>
    <row r="1135" spans="1:23" x14ac:dyDescent="0.25">
      <c r="A1135" t="s">
        <v>1549</v>
      </c>
      <c r="B1135" t="s">
        <v>1321</v>
      </c>
      <c r="C1135" s="2">
        <v>45687.786111111112</v>
      </c>
      <c r="D1135" t="s">
        <v>77</v>
      </c>
      <c r="E1135" t="s">
        <v>78</v>
      </c>
      <c r="F1135" t="s">
        <v>79</v>
      </c>
      <c r="G1135" t="s">
        <v>28</v>
      </c>
      <c r="H1135">
        <v>1</v>
      </c>
      <c r="I1135" s="3">
        <v>6499</v>
      </c>
      <c r="J1135" s="4">
        <v>0.2</v>
      </c>
      <c r="K1135" s="3">
        <v>79</v>
      </c>
      <c r="L1135" t="s">
        <v>48</v>
      </c>
      <c r="M1135" t="s">
        <v>49</v>
      </c>
      <c r="N1135" t="s">
        <v>40</v>
      </c>
      <c r="O1135" t="s">
        <v>41</v>
      </c>
      <c r="P1135" t="s">
        <v>33</v>
      </c>
      <c r="Q1135">
        <v>4</v>
      </c>
      <c r="R1135" s="3">
        <f t="shared" si="102"/>
        <v>6499</v>
      </c>
      <c r="S1135" s="3">
        <f t="shared" si="103"/>
        <v>1299.8000000000002</v>
      </c>
      <c r="T1135" s="3">
        <f t="shared" si="104"/>
        <v>5278.2</v>
      </c>
      <c r="U1135" s="3">
        <f t="shared" si="105"/>
        <v>728.90000000000055</v>
      </c>
      <c r="V1135" s="4">
        <f t="shared" si="106"/>
        <v>0.13809632071539552</v>
      </c>
      <c r="W1135" t="str">
        <f t="shared" si="107"/>
        <v>Jan</v>
      </c>
    </row>
    <row r="1136" spans="1:23" x14ac:dyDescent="0.25">
      <c r="A1136" t="s">
        <v>1550</v>
      </c>
      <c r="B1136" t="s">
        <v>181</v>
      </c>
      <c r="C1136" s="2">
        <v>45677.459027777782</v>
      </c>
      <c r="D1136" t="s">
        <v>77</v>
      </c>
      <c r="E1136" t="s">
        <v>78</v>
      </c>
      <c r="F1136" t="s">
        <v>79</v>
      </c>
      <c r="G1136" t="s">
        <v>28</v>
      </c>
      <c r="H1136">
        <v>3</v>
      </c>
      <c r="I1136" s="3">
        <v>6499</v>
      </c>
      <c r="J1136" s="4">
        <v>0.2</v>
      </c>
      <c r="K1136" s="3">
        <v>49</v>
      </c>
      <c r="L1136" t="s">
        <v>83</v>
      </c>
      <c r="M1136" t="s">
        <v>84</v>
      </c>
      <c r="N1136" t="s">
        <v>50</v>
      </c>
      <c r="O1136" t="s">
        <v>93</v>
      </c>
      <c r="P1136" t="s">
        <v>85</v>
      </c>
      <c r="Q1136">
        <v>4</v>
      </c>
      <c r="R1136" s="3">
        <f t="shared" si="102"/>
        <v>19497</v>
      </c>
      <c r="S1136" s="3">
        <f t="shared" si="103"/>
        <v>3899.4</v>
      </c>
      <c r="T1136" s="3">
        <f t="shared" si="104"/>
        <v>15646.6</v>
      </c>
      <c r="U1136" s="3">
        <f t="shared" si="105"/>
        <v>1998.7000000000007</v>
      </c>
      <c r="V1136" s="4">
        <f t="shared" si="106"/>
        <v>0.12774021193102658</v>
      </c>
      <c r="W1136" t="str">
        <f t="shared" si="107"/>
        <v>Jan</v>
      </c>
    </row>
    <row r="1137" spans="1:23" x14ac:dyDescent="0.25">
      <c r="A1137" t="s">
        <v>1551</v>
      </c>
      <c r="B1137" t="s">
        <v>409</v>
      </c>
      <c r="C1137" s="2">
        <v>46021.055555555547</v>
      </c>
      <c r="D1137" t="s">
        <v>55</v>
      </c>
      <c r="E1137" t="s">
        <v>56</v>
      </c>
      <c r="F1137" t="s">
        <v>37</v>
      </c>
      <c r="G1137" t="s">
        <v>38</v>
      </c>
      <c r="H1137">
        <v>1</v>
      </c>
      <c r="I1137" s="3">
        <v>2499</v>
      </c>
      <c r="J1137" s="4">
        <v>0.15</v>
      </c>
      <c r="K1137" s="3">
        <v>59</v>
      </c>
      <c r="L1137" t="s">
        <v>39</v>
      </c>
      <c r="M1137" t="s">
        <v>39</v>
      </c>
      <c r="N1137" t="s">
        <v>102</v>
      </c>
      <c r="O1137" t="s">
        <v>93</v>
      </c>
      <c r="P1137" t="s">
        <v>33</v>
      </c>
      <c r="Q1137">
        <v>3</v>
      </c>
      <c r="R1137" s="3">
        <f t="shared" si="102"/>
        <v>2499</v>
      </c>
      <c r="S1137" s="3">
        <f t="shared" si="103"/>
        <v>374.84999999999997</v>
      </c>
      <c r="T1137" s="3">
        <f t="shared" si="104"/>
        <v>2183.15</v>
      </c>
      <c r="U1137" s="3">
        <f t="shared" si="105"/>
        <v>433.85000000000014</v>
      </c>
      <c r="V1137" s="4">
        <f t="shared" si="106"/>
        <v>0.19872661063142713</v>
      </c>
      <c r="W1137" t="str">
        <f t="shared" si="107"/>
        <v>Dec</v>
      </c>
    </row>
    <row r="1138" spans="1:23" x14ac:dyDescent="0.25">
      <c r="A1138" t="s">
        <v>1552</v>
      </c>
      <c r="B1138" t="s">
        <v>128</v>
      </c>
      <c r="C1138" s="2">
        <v>45744.781944444447</v>
      </c>
      <c r="D1138" t="s">
        <v>25</v>
      </c>
      <c r="E1138" t="s">
        <v>26</v>
      </c>
      <c r="F1138" t="s">
        <v>27</v>
      </c>
      <c r="G1138" t="s">
        <v>28</v>
      </c>
      <c r="H1138">
        <v>3</v>
      </c>
      <c r="I1138" s="3">
        <v>249</v>
      </c>
      <c r="J1138" s="4">
        <v>0.15</v>
      </c>
      <c r="K1138" s="3">
        <v>0</v>
      </c>
      <c r="L1138" t="s">
        <v>74</v>
      </c>
      <c r="M1138" t="s">
        <v>49</v>
      </c>
      <c r="N1138" t="s">
        <v>40</v>
      </c>
      <c r="O1138" t="s">
        <v>93</v>
      </c>
      <c r="P1138" t="s">
        <v>33</v>
      </c>
      <c r="Q1138">
        <v>1</v>
      </c>
      <c r="R1138" s="3">
        <f t="shared" si="102"/>
        <v>747</v>
      </c>
      <c r="S1138" s="3">
        <f t="shared" si="103"/>
        <v>112.05</v>
      </c>
      <c r="T1138" s="3">
        <f t="shared" si="104"/>
        <v>634.95000000000005</v>
      </c>
      <c r="U1138" s="3">
        <f t="shared" si="105"/>
        <v>112.05000000000007</v>
      </c>
      <c r="V1138" s="4">
        <f t="shared" si="106"/>
        <v>0.17647058823529421</v>
      </c>
      <c r="W1138" t="str">
        <f t="shared" si="107"/>
        <v>Mar</v>
      </c>
    </row>
    <row r="1139" spans="1:23" x14ac:dyDescent="0.25">
      <c r="A1139" t="s">
        <v>1553</v>
      </c>
      <c r="B1139" t="s">
        <v>1120</v>
      </c>
      <c r="C1139" s="2">
        <v>45794.09097222222</v>
      </c>
      <c r="D1139" t="s">
        <v>67</v>
      </c>
      <c r="E1139" t="s">
        <v>68</v>
      </c>
      <c r="F1139" t="s">
        <v>37</v>
      </c>
      <c r="G1139" t="s">
        <v>38</v>
      </c>
      <c r="H1139">
        <v>1</v>
      </c>
      <c r="I1139" s="3">
        <v>1299</v>
      </c>
      <c r="J1139" s="4">
        <v>0</v>
      </c>
      <c r="K1139" s="3">
        <v>59</v>
      </c>
      <c r="L1139" t="s">
        <v>83</v>
      </c>
      <c r="M1139" t="s">
        <v>84</v>
      </c>
      <c r="N1139" t="s">
        <v>102</v>
      </c>
      <c r="O1139" t="s">
        <v>59</v>
      </c>
      <c r="P1139" t="s">
        <v>52</v>
      </c>
      <c r="Q1139">
        <v>2</v>
      </c>
      <c r="R1139" s="3">
        <f t="shared" si="102"/>
        <v>1299</v>
      </c>
      <c r="S1139" s="3">
        <f t="shared" si="103"/>
        <v>0</v>
      </c>
      <c r="T1139" s="3">
        <f t="shared" si="104"/>
        <v>1358</v>
      </c>
      <c r="U1139" s="3">
        <f t="shared" si="105"/>
        <v>448.70000000000005</v>
      </c>
      <c r="V1139" s="4">
        <f t="shared" si="106"/>
        <v>0.33041237113402067</v>
      </c>
      <c r="W1139" t="str">
        <f t="shared" si="107"/>
        <v>May</v>
      </c>
    </row>
    <row r="1140" spans="1:23" x14ac:dyDescent="0.25">
      <c r="A1140" t="s">
        <v>1554</v>
      </c>
      <c r="B1140" t="s">
        <v>1249</v>
      </c>
      <c r="C1140" s="2">
        <v>45945.463194444441</v>
      </c>
      <c r="D1140" t="s">
        <v>25</v>
      </c>
      <c r="E1140" t="s">
        <v>26</v>
      </c>
      <c r="F1140" t="s">
        <v>27</v>
      </c>
      <c r="G1140" t="s">
        <v>28</v>
      </c>
      <c r="H1140">
        <v>1</v>
      </c>
      <c r="I1140" s="3">
        <v>249</v>
      </c>
      <c r="J1140" s="4">
        <v>0.1</v>
      </c>
      <c r="K1140" s="3">
        <v>99</v>
      </c>
      <c r="L1140" t="s">
        <v>39</v>
      </c>
      <c r="M1140" t="s">
        <v>39</v>
      </c>
      <c r="N1140" t="s">
        <v>102</v>
      </c>
      <c r="O1140" t="s">
        <v>59</v>
      </c>
      <c r="P1140" t="s">
        <v>33</v>
      </c>
      <c r="Q1140">
        <v>1</v>
      </c>
      <c r="R1140" s="3">
        <f t="shared" si="102"/>
        <v>249</v>
      </c>
      <c r="S1140" s="3">
        <f t="shared" si="103"/>
        <v>24.900000000000002</v>
      </c>
      <c r="T1140" s="3">
        <f t="shared" si="104"/>
        <v>323.10000000000002</v>
      </c>
      <c r="U1140" s="3">
        <f t="shared" si="105"/>
        <v>148.80000000000004</v>
      </c>
      <c r="V1140" s="4">
        <f t="shared" si="106"/>
        <v>0.46053853296193137</v>
      </c>
      <c r="W1140" t="str">
        <f t="shared" si="107"/>
        <v>Oct</v>
      </c>
    </row>
    <row r="1141" spans="1:23" x14ac:dyDescent="0.25">
      <c r="A1141" t="s">
        <v>1555</v>
      </c>
      <c r="B1141" t="s">
        <v>497</v>
      </c>
      <c r="C1141" s="2">
        <v>45702.222222222219</v>
      </c>
      <c r="D1141" t="s">
        <v>55</v>
      </c>
      <c r="E1141" t="s">
        <v>56</v>
      </c>
      <c r="F1141" t="s">
        <v>37</v>
      </c>
      <c r="G1141" t="s">
        <v>38</v>
      </c>
      <c r="H1141">
        <v>1</v>
      </c>
      <c r="I1141" s="3">
        <v>2499</v>
      </c>
      <c r="J1141" s="4">
        <v>0.2</v>
      </c>
      <c r="K1141" s="3">
        <v>0</v>
      </c>
      <c r="L1141" t="s">
        <v>29</v>
      </c>
      <c r="M1141" t="s">
        <v>30</v>
      </c>
      <c r="N1141" t="s">
        <v>31</v>
      </c>
      <c r="O1141" t="s">
        <v>41</v>
      </c>
      <c r="P1141" t="s">
        <v>85</v>
      </c>
      <c r="R1141" s="3">
        <f t="shared" si="102"/>
        <v>2499</v>
      </c>
      <c r="S1141" s="3">
        <f t="shared" si="103"/>
        <v>499.8</v>
      </c>
      <c r="T1141" s="3">
        <f t="shared" si="104"/>
        <v>1999.2</v>
      </c>
      <c r="U1141" s="3">
        <f t="shared" si="105"/>
        <v>249.90000000000009</v>
      </c>
      <c r="V1141" s="4">
        <f t="shared" si="106"/>
        <v>0.12500000000000006</v>
      </c>
      <c r="W1141" t="str">
        <f t="shared" si="107"/>
        <v>Feb</v>
      </c>
    </row>
    <row r="1142" spans="1:23" x14ac:dyDescent="0.25">
      <c r="A1142" t="s">
        <v>1556</v>
      </c>
      <c r="B1142" t="s">
        <v>697</v>
      </c>
      <c r="C1142" s="2">
        <v>45784.411805555559</v>
      </c>
      <c r="D1142" t="s">
        <v>169</v>
      </c>
      <c r="E1142" t="s">
        <v>170</v>
      </c>
      <c r="F1142" t="s">
        <v>98</v>
      </c>
      <c r="G1142" t="s">
        <v>171</v>
      </c>
      <c r="H1142">
        <v>1</v>
      </c>
      <c r="I1142" s="3">
        <v>799</v>
      </c>
      <c r="J1142" s="4">
        <v>0.2</v>
      </c>
      <c r="K1142" s="3">
        <v>49</v>
      </c>
      <c r="L1142" t="s">
        <v>119</v>
      </c>
      <c r="M1142" t="s">
        <v>120</v>
      </c>
      <c r="N1142" t="s">
        <v>71</v>
      </c>
      <c r="O1142" t="s">
        <v>93</v>
      </c>
      <c r="P1142" t="s">
        <v>80</v>
      </c>
      <c r="Q1142">
        <v>4</v>
      </c>
      <c r="R1142" s="3">
        <f t="shared" si="102"/>
        <v>799</v>
      </c>
      <c r="S1142" s="3">
        <f t="shared" si="103"/>
        <v>159.80000000000001</v>
      </c>
      <c r="T1142" s="3">
        <f t="shared" si="104"/>
        <v>688.2</v>
      </c>
      <c r="U1142" s="3">
        <f t="shared" si="105"/>
        <v>128.90000000000009</v>
      </c>
      <c r="V1142" s="4">
        <f t="shared" si="106"/>
        <v>0.18730020342923581</v>
      </c>
      <c r="W1142" t="str">
        <f t="shared" si="107"/>
        <v>May</v>
      </c>
    </row>
    <row r="1143" spans="1:23" x14ac:dyDescent="0.25">
      <c r="A1143" t="s">
        <v>1557</v>
      </c>
      <c r="B1143" t="s">
        <v>315</v>
      </c>
      <c r="C1143" s="2">
        <v>45729.763888888891</v>
      </c>
      <c r="D1143" t="s">
        <v>77</v>
      </c>
      <c r="E1143" t="s">
        <v>78</v>
      </c>
      <c r="F1143" t="s">
        <v>79</v>
      </c>
      <c r="G1143" t="s">
        <v>28</v>
      </c>
      <c r="H1143">
        <v>1</v>
      </c>
      <c r="I1143" s="3">
        <v>6499</v>
      </c>
      <c r="J1143" s="4">
        <v>0</v>
      </c>
      <c r="K1143" s="3">
        <v>49</v>
      </c>
      <c r="L1143" t="s">
        <v>48</v>
      </c>
      <c r="M1143" t="s">
        <v>49</v>
      </c>
      <c r="N1143" t="s">
        <v>50</v>
      </c>
      <c r="O1143" t="s">
        <v>41</v>
      </c>
      <c r="P1143" t="s">
        <v>52</v>
      </c>
      <c r="Q1143">
        <v>3</v>
      </c>
      <c r="R1143" s="3">
        <f t="shared" si="102"/>
        <v>6499</v>
      </c>
      <c r="S1143" s="3">
        <f t="shared" si="103"/>
        <v>0</v>
      </c>
      <c r="T1143" s="3">
        <f t="shared" si="104"/>
        <v>6548</v>
      </c>
      <c r="U1143" s="3">
        <f t="shared" si="105"/>
        <v>1998.7000000000007</v>
      </c>
      <c r="V1143" s="4">
        <f t="shared" si="106"/>
        <v>0.30523824068417849</v>
      </c>
      <c r="W1143" t="str">
        <f t="shared" si="107"/>
        <v>Mar</v>
      </c>
    </row>
    <row r="1144" spans="1:23" x14ac:dyDescent="0.25">
      <c r="A1144" t="s">
        <v>1558</v>
      </c>
      <c r="B1144" t="s">
        <v>464</v>
      </c>
      <c r="C1144" s="2">
        <v>45908.484027777777</v>
      </c>
      <c r="D1144" t="s">
        <v>110</v>
      </c>
      <c r="E1144" t="s">
        <v>111</v>
      </c>
      <c r="F1144" t="s">
        <v>98</v>
      </c>
      <c r="G1144" t="s">
        <v>112</v>
      </c>
      <c r="H1144">
        <v>1</v>
      </c>
      <c r="I1144" s="3">
        <v>2999</v>
      </c>
      <c r="J1144" s="4">
        <v>0.05</v>
      </c>
      <c r="K1144" s="3">
        <v>99</v>
      </c>
      <c r="L1144" t="s">
        <v>119</v>
      </c>
      <c r="M1144" t="s">
        <v>120</v>
      </c>
      <c r="N1144" t="s">
        <v>50</v>
      </c>
      <c r="O1144" t="s">
        <v>93</v>
      </c>
      <c r="P1144" t="s">
        <v>33</v>
      </c>
      <c r="R1144" s="3">
        <f t="shared" si="102"/>
        <v>2999</v>
      </c>
      <c r="S1144" s="3">
        <f t="shared" si="103"/>
        <v>149.95000000000002</v>
      </c>
      <c r="T1144" s="3">
        <f t="shared" si="104"/>
        <v>2948.05</v>
      </c>
      <c r="U1144" s="3">
        <f t="shared" si="105"/>
        <v>848.75000000000045</v>
      </c>
      <c r="V1144" s="4">
        <f t="shared" si="106"/>
        <v>0.28790217262258117</v>
      </c>
      <c r="W1144" t="str">
        <f t="shared" si="107"/>
        <v>Sep</v>
      </c>
    </row>
    <row r="1145" spans="1:23" x14ac:dyDescent="0.25">
      <c r="A1145" t="s">
        <v>1559</v>
      </c>
      <c r="B1145" t="s">
        <v>809</v>
      </c>
      <c r="C1145" s="2">
        <v>45949.280555555553</v>
      </c>
      <c r="D1145" t="s">
        <v>44</v>
      </c>
      <c r="E1145" t="s">
        <v>45</v>
      </c>
      <c r="F1145" t="s">
        <v>46</v>
      </c>
      <c r="G1145" t="s">
        <v>47</v>
      </c>
      <c r="H1145">
        <v>1</v>
      </c>
      <c r="I1145" s="3">
        <v>1199</v>
      </c>
      <c r="J1145" s="4">
        <v>0.05</v>
      </c>
      <c r="K1145" s="3">
        <v>59</v>
      </c>
      <c r="L1145" t="s">
        <v>57</v>
      </c>
      <c r="M1145" t="s">
        <v>58</v>
      </c>
      <c r="N1145" t="s">
        <v>71</v>
      </c>
      <c r="O1145" t="s">
        <v>32</v>
      </c>
      <c r="P1145" t="s">
        <v>52</v>
      </c>
      <c r="Q1145">
        <v>5</v>
      </c>
      <c r="R1145" s="3">
        <f t="shared" si="102"/>
        <v>1199</v>
      </c>
      <c r="S1145" s="3">
        <f t="shared" si="103"/>
        <v>59.95</v>
      </c>
      <c r="T1145" s="3">
        <f t="shared" si="104"/>
        <v>1198.05</v>
      </c>
      <c r="U1145" s="3">
        <f t="shared" si="105"/>
        <v>358.75</v>
      </c>
      <c r="V1145" s="4">
        <f t="shared" si="106"/>
        <v>0.29944493134677186</v>
      </c>
      <c r="W1145" t="str">
        <f t="shared" si="107"/>
        <v>Oct</v>
      </c>
    </row>
    <row r="1146" spans="1:23" x14ac:dyDescent="0.25">
      <c r="A1146" t="s">
        <v>1560</v>
      </c>
      <c r="B1146" t="s">
        <v>162</v>
      </c>
      <c r="C1146" s="2">
        <v>45765.342361111107</v>
      </c>
      <c r="D1146" t="s">
        <v>77</v>
      </c>
      <c r="E1146" t="s">
        <v>78</v>
      </c>
      <c r="F1146" t="s">
        <v>79</v>
      </c>
      <c r="G1146" t="s">
        <v>28</v>
      </c>
      <c r="H1146">
        <v>1</v>
      </c>
      <c r="I1146" s="3">
        <v>6499</v>
      </c>
      <c r="J1146" s="4">
        <v>0.05</v>
      </c>
      <c r="K1146" s="3">
        <v>0</v>
      </c>
      <c r="L1146" t="s">
        <v>48</v>
      </c>
      <c r="M1146" t="s">
        <v>49</v>
      </c>
      <c r="N1146" t="s">
        <v>102</v>
      </c>
      <c r="O1146" t="s">
        <v>41</v>
      </c>
      <c r="P1146" t="s">
        <v>52</v>
      </c>
      <c r="Q1146">
        <v>4</v>
      </c>
      <c r="R1146" s="3">
        <f t="shared" si="102"/>
        <v>6499</v>
      </c>
      <c r="S1146" s="3">
        <f t="shared" si="103"/>
        <v>324.95000000000005</v>
      </c>
      <c r="T1146" s="3">
        <f t="shared" si="104"/>
        <v>6174.05</v>
      </c>
      <c r="U1146" s="3">
        <f t="shared" si="105"/>
        <v>1624.7500000000009</v>
      </c>
      <c r="V1146" s="4">
        <f t="shared" si="106"/>
        <v>0.26315789473684226</v>
      </c>
      <c r="W1146" t="str">
        <f t="shared" si="107"/>
        <v>Apr</v>
      </c>
    </row>
    <row r="1147" spans="1:23" x14ac:dyDescent="0.25">
      <c r="A1147" t="s">
        <v>1561</v>
      </c>
      <c r="B1147" t="s">
        <v>937</v>
      </c>
      <c r="C1147" s="2">
        <v>45848.76666666667</v>
      </c>
      <c r="D1147" t="s">
        <v>105</v>
      </c>
      <c r="E1147" t="s">
        <v>106</v>
      </c>
      <c r="F1147" t="s">
        <v>37</v>
      </c>
      <c r="G1147" t="s">
        <v>107</v>
      </c>
      <c r="H1147">
        <v>2</v>
      </c>
      <c r="I1147" s="3">
        <v>1799</v>
      </c>
      <c r="J1147" s="4">
        <v>0.15</v>
      </c>
      <c r="K1147" s="3">
        <v>0</v>
      </c>
      <c r="L1147" t="s">
        <v>119</v>
      </c>
      <c r="M1147" t="s">
        <v>120</v>
      </c>
      <c r="N1147" t="s">
        <v>31</v>
      </c>
      <c r="O1147" t="s">
        <v>51</v>
      </c>
      <c r="P1147" t="s">
        <v>80</v>
      </c>
      <c r="R1147" s="3">
        <f t="shared" si="102"/>
        <v>3598</v>
      </c>
      <c r="S1147" s="3">
        <f t="shared" si="103"/>
        <v>539.69999999999993</v>
      </c>
      <c r="T1147" s="3">
        <f t="shared" si="104"/>
        <v>3058.3</v>
      </c>
      <c r="U1147" s="3">
        <f t="shared" si="105"/>
        <v>539.70000000000027</v>
      </c>
      <c r="V1147" s="4">
        <f t="shared" si="106"/>
        <v>0.17647058823529418</v>
      </c>
      <c r="W1147" t="str">
        <f t="shared" si="107"/>
        <v>Jul</v>
      </c>
    </row>
    <row r="1148" spans="1:23" x14ac:dyDescent="0.25">
      <c r="A1148" t="s">
        <v>1562</v>
      </c>
      <c r="B1148" t="s">
        <v>220</v>
      </c>
      <c r="C1148" s="2">
        <v>45829.445138888892</v>
      </c>
      <c r="D1148" t="s">
        <v>35</v>
      </c>
      <c r="E1148" t="s">
        <v>36</v>
      </c>
      <c r="F1148" t="s">
        <v>37</v>
      </c>
      <c r="G1148" t="s">
        <v>38</v>
      </c>
      <c r="H1148">
        <v>1</v>
      </c>
      <c r="I1148" s="3">
        <v>599</v>
      </c>
      <c r="J1148" s="4">
        <v>0</v>
      </c>
      <c r="K1148" s="3">
        <v>59</v>
      </c>
      <c r="L1148" t="s">
        <v>100</v>
      </c>
      <c r="M1148" t="s">
        <v>101</v>
      </c>
      <c r="N1148" t="s">
        <v>50</v>
      </c>
      <c r="O1148" t="s">
        <v>59</v>
      </c>
      <c r="P1148" t="s">
        <v>33</v>
      </c>
      <c r="Q1148">
        <v>5</v>
      </c>
      <c r="R1148" s="3">
        <f t="shared" si="102"/>
        <v>599</v>
      </c>
      <c r="S1148" s="3">
        <f t="shared" si="103"/>
        <v>0</v>
      </c>
      <c r="T1148" s="3">
        <f t="shared" si="104"/>
        <v>658</v>
      </c>
      <c r="U1148" s="3">
        <f t="shared" si="105"/>
        <v>238.70000000000005</v>
      </c>
      <c r="V1148" s="4">
        <f t="shared" si="106"/>
        <v>0.36276595744680856</v>
      </c>
      <c r="W1148" t="str">
        <f t="shared" si="107"/>
        <v>Jun</v>
      </c>
    </row>
    <row r="1149" spans="1:23" x14ac:dyDescent="0.25">
      <c r="A1149" t="s">
        <v>1563</v>
      </c>
      <c r="B1149" t="s">
        <v>1534</v>
      </c>
      <c r="C1149" s="2">
        <v>45973.609027777777</v>
      </c>
      <c r="D1149" t="s">
        <v>105</v>
      </c>
      <c r="E1149" t="s">
        <v>106</v>
      </c>
      <c r="F1149" t="s">
        <v>37</v>
      </c>
      <c r="G1149" t="s">
        <v>107</v>
      </c>
      <c r="H1149">
        <v>1</v>
      </c>
      <c r="I1149" s="3">
        <v>1799</v>
      </c>
      <c r="J1149" s="4">
        <v>0.2</v>
      </c>
      <c r="K1149" s="3">
        <v>79</v>
      </c>
      <c r="L1149" t="s">
        <v>39</v>
      </c>
      <c r="M1149" t="s">
        <v>39</v>
      </c>
      <c r="N1149" t="s">
        <v>40</v>
      </c>
      <c r="O1149" t="s">
        <v>41</v>
      </c>
      <c r="P1149" t="s">
        <v>85</v>
      </c>
      <c r="Q1149">
        <v>3</v>
      </c>
      <c r="R1149" s="3">
        <f t="shared" si="102"/>
        <v>1799</v>
      </c>
      <c r="S1149" s="3">
        <f t="shared" si="103"/>
        <v>359.8</v>
      </c>
      <c r="T1149" s="3">
        <f t="shared" si="104"/>
        <v>1518.2</v>
      </c>
      <c r="U1149" s="3">
        <f t="shared" si="105"/>
        <v>258.90000000000009</v>
      </c>
      <c r="V1149" s="4">
        <f t="shared" si="106"/>
        <v>0.17053089184560669</v>
      </c>
      <c r="W1149" t="str">
        <f t="shared" si="107"/>
        <v>Nov</v>
      </c>
    </row>
    <row r="1150" spans="1:23" x14ac:dyDescent="0.25">
      <c r="A1150" t="s">
        <v>1564</v>
      </c>
      <c r="B1150" t="s">
        <v>555</v>
      </c>
      <c r="C1150" s="2">
        <v>45905.892361111109</v>
      </c>
      <c r="D1150" t="s">
        <v>77</v>
      </c>
      <c r="E1150" t="s">
        <v>78</v>
      </c>
      <c r="F1150" t="s">
        <v>79</v>
      </c>
      <c r="G1150" t="s">
        <v>28</v>
      </c>
      <c r="H1150">
        <v>2</v>
      </c>
      <c r="I1150" s="3">
        <v>6499</v>
      </c>
      <c r="J1150" s="4"/>
      <c r="K1150" s="3">
        <v>49</v>
      </c>
      <c r="L1150" t="s">
        <v>74</v>
      </c>
      <c r="M1150" t="s">
        <v>49</v>
      </c>
      <c r="N1150" t="s">
        <v>31</v>
      </c>
      <c r="O1150" t="s">
        <v>59</v>
      </c>
      <c r="P1150" t="s">
        <v>33</v>
      </c>
      <c r="Q1150">
        <v>4</v>
      </c>
      <c r="R1150" s="3">
        <f t="shared" si="102"/>
        <v>12998</v>
      </c>
      <c r="S1150" s="3">
        <f t="shared" si="103"/>
        <v>0</v>
      </c>
      <c r="T1150" s="3">
        <f t="shared" si="104"/>
        <v>13047</v>
      </c>
      <c r="U1150" s="3">
        <f t="shared" si="105"/>
        <v>3948.4000000000015</v>
      </c>
      <c r="V1150" s="4">
        <f t="shared" si="106"/>
        <v>0.30262895684831775</v>
      </c>
      <c r="W1150" t="str">
        <f t="shared" si="107"/>
        <v>Sep</v>
      </c>
    </row>
    <row r="1151" spans="1:23" x14ac:dyDescent="0.25">
      <c r="A1151" t="s">
        <v>1565</v>
      </c>
      <c r="B1151" t="s">
        <v>364</v>
      </c>
      <c r="C1151" s="2">
        <v>45672.230555555558</v>
      </c>
      <c r="D1151" t="s">
        <v>110</v>
      </c>
      <c r="E1151" t="s">
        <v>111</v>
      </c>
      <c r="F1151" t="s">
        <v>98</v>
      </c>
      <c r="G1151" t="s">
        <v>112</v>
      </c>
      <c r="H1151">
        <v>1</v>
      </c>
      <c r="I1151" s="3">
        <v>2999</v>
      </c>
      <c r="J1151" s="4">
        <v>0.05</v>
      </c>
      <c r="K1151" s="3">
        <v>99</v>
      </c>
      <c r="L1151" t="s">
        <v>125</v>
      </c>
      <c r="M1151" t="s">
        <v>126</v>
      </c>
      <c r="N1151" t="s">
        <v>50</v>
      </c>
      <c r="O1151" t="s">
        <v>32</v>
      </c>
      <c r="P1151" t="s">
        <v>33</v>
      </c>
      <c r="R1151" s="3">
        <f t="shared" si="102"/>
        <v>2999</v>
      </c>
      <c r="S1151" s="3">
        <f t="shared" si="103"/>
        <v>149.95000000000002</v>
      </c>
      <c r="T1151" s="3">
        <f t="shared" si="104"/>
        <v>2948.05</v>
      </c>
      <c r="U1151" s="3">
        <f t="shared" si="105"/>
        <v>848.75000000000045</v>
      </c>
      <c r="V1151" s="4">
        <f t="shared" si="106"/>
        <v>0.28790217262258117</v>
      </c>
      <c r="W1151" t="str">
        <f t="shared" si="107"/>
        <v>Jan</v>
      </c>
    </row>
    <row r="1152" spans="1:23" x14ac:dyDescent="0.25">
      <c r="A1152" t="s">
        <v>1566</v>
      </c>
      <c r="B1152" t="s">
        <v>500</v>
      </c>
      <c r="C1152" s="2">
        <v>45685.09652777778</v>
      </c>
      <c r="D1152" t="s">
        <v>105</v>
      </c>
      <c r="E1152" t="s">
        <v>106</v>
      </c>
      <c r="F1152" t="s">
        <v>37</v>
      </c>
      <c r="G1152" t="s">
        <v>107</v>
      </c>
      <c r="H1152">
        <v>2</v>
      </c>
      <c r="I1152" s="3">
        <v>1799</v>
      </c>
      <c r="J1152" s="4">
        <v>0.05</v>
      </c>
      <c r="K1152" s="3">
        <v>79</v>
      </c>
      <c r="L1152" t="s">
        <v>100</v>
      </c>
      <c r="M1152" t="s">
        <v>101</v>
      </c>
      <c r="N1152" t="s">
        <v>50</v>
      </c>
      <c r="O1152" t="s">
        <v>59</v>
      </c>
      <c r="P1152" t="s">
        <v>33</v>
      </c>
      <c r="Q1152">
        <v>1</v>
      </c>
      <c r="R1152" s="3">
        <f t="shared" si="102"/>
        <v>3598</v>
      </c>
      <c r="S1152" s="3">
        <f t="shared" si="103"/>
        <v>179.9</v>
      </c>
      <c r="T1152" s="3">
        <f t="shared" si="104"/>
        <v>3497.1</v>
      </c>
      <c r="U1152" s="3">
        <f t="shared" si="105"/>
        <v>978.5</v>
      </c>
      <c r="V1152" s="4">
        <f t="shared" si="106"/>
        <v>0.27980326556289498</v>
      </c>
      <c r="W1152" t="str">
        <f t="shared" si="107"/>
        <v>Jan</v>
      </c>
    </row>
    <row r="1153" spans="1:23" x14ac:dyDescent="0.25">
      <c r="A1153" t="s">
        <v>1567</v>
      </c>
      <c r="B1153" t="s">
        <v>470</v>
      </c>
      <c r="C1153" s="2">
        <v>45746.388194444437</v>
      </c>
      <c r="D1153" t="s">
        <v>25</v>
      </c>
      <c r="E1153" t="s">
        <v>26</v>
      </c>
      <c r="F1153" t="s">
        <v>27</v>
      </c>
      <c r="G1153" t="s">
        <v>28</v>
      </c>
      <c r="H1153">
        <v>1</v>
      </c>
      <c r="I1153" s="3">
        <v>249</v>
      </c>
      <c r="J1153" s="4">
        <v>0</v>
      </c>
      <c r="K1153" s="3">
        <v>49</v>
      </c>
      <c r="L1153" t="s">
        <v>100</v>
      </c>
      <c r="M1153" t="s">
        <v>101</v>
      </c>
      <c r="N1153" t="s">
        <v>40</v>
      </c>
      <c r="O1153" t="s">
        <v>93</v>
      </c>
      <c r="P1153" t="s">
        <v>33</v>
      </c>
      <c r="R1153" s="3">
        <f t="shared" si="102"/>
        <v>249</v>
      </c>
      <c r="S1153" s="3">
        <f t="shared" si="103"/>
        <v>0</v>
      </c>
      <c r="T1153" s="3">
        <f t="shared" si="104"/>
        <v>298</v>
      </c>
      <c r="U1153" s="3">
        <f t="shared" si="105"/>
        <v>123.70000000000002</v>
      </c>
      <c r="V1153" s="4">
        <f t="shared" si="106"/>
        <v>0.41510067114093968</v>
      </c>
      <c r="W1153" t="str">
        <f t="shared" si="107"/>
        <v>Mar</v>
      </c>
    </row>
    <row r="1154" spans="1:23" x14ac:dyDescent="0.25">
      <c r="A1154" t="s">
        <v>1568</v>
      </c>
      <c r="B1154" t="s">
        <v>782</v>
      </c>
      <c r="C1154" s="2">
        <v>45849.020833333343</v>
      </c>
      <c r="D1154" t="s">
        <v>67</v>
      </c>
      <c r="E1154" t="s">
        <v>68</v>
      </c>
      <c r="F1154" t="s">
        <v>37</v>
      </c>
      <c r="G1154" t="s">
        <v>38</v>
      </c>
      <c r="H1154">
        <v>2</v>
      </c>
      <c r="I1154" s="3">
        <v>1299</v>
      </c>
      <c r="J1154" s="4">
        <v>0.05</v>
      </c>
      <c r="K1154" s="3">
        <v>0</v>
      </c>
      <c r="L1154" t="s">
        <v>100</v>
      </c>
      <c r="M1154" t="s">
        <v>101</v>
      </c>
      <c r="N1154" t="s">
        <v>102</v>
      </c>
      <c r="O1154" t="s">
        <v>59</v>
      </c>
      <c r="P1154" t="s">
        <v>33</v>
      </c>
      <c r="R1154" s="3">
        <f t="shared" ref="R1154:R1213" si="108">IFERROR(H1154*I1154,"")</f>
        <v>2598</v>
      </c>
      <c r="S1154" s="3">
        <f t="shared" ref="S1154:S1210" si="109">IFERROR(R1154*J1154,"")</f>
        <v>129.9</v>
      </c>
      <c r="T1154" s="3">
        <f t="shared" ref="T1154:T1212" si="110">IFERROR(R1154-S1154+K1154,"")</f>
        <v>2468.1</v>
      </c>
      <c r="U1154" s="3">
        <f t="shared" ref="U1154:U1210" si="111">IFERROR(T1154-(R1154*70%),"")</f>
        <v>649.5</v>
      </c>
      <c r="V1154" s="4">
        <f t="shared" ref="V1154:V1212" si="112">IFERROR(U1154/T1154,"")</f>
        <v>0.26315789473684209</v>
      </c>
      <c r="W1154" t="str">
        <f t="shared" ref="W1154:W1213" si="113">IFERROR(TEXT(C1154,"mmm"),"")</f>
        <v>Jul</v>
      </c>
    </row>
    <row r="1155" spans="1:23" x14ac:dyDescent="0.25">
      <c r="A1155" t="s">
        <v>1569</v>
      </c>
      <c r="B1155" t="s">
        <v>425</v>
      </c>
      <c r="C1155" s="2">
        <v>45895.927083333343</v>
      </c>
      <c r="D1155" t="s">
        <v>67</v>
      </c>
      <c r="E1155" t="s">
        <v>68</v>
      </c>
      <c r="F1155" t="s">
        <v>37</v>
      </c>
      <c r="G1155" t="s">
        <v>38</v>
      </c>
      <c r="H1155">
        <v>2</v>
      </c>
      <c r="I1155" s="3">
        <v>1299</v>
      </c>
      <c r="J1155" s="4">
        <v>0.1</v>
      </c>
      <c r="K1155" s="3">
        <v>49</v>
      </c>
      <c r="L1155" t="s">
        <v>119</v>
      </c>
      <c r="M1155" t="s">
        <v>120</v>
      </c>
      <c r="N1155" t="s">
        <v>50</v>
      </c>
      <c r="O1155" t="s">
        <v>59</v>
      </c>
      <c r="P1155" t="s">
        <v>33</v>
      </c>
      <c r="R1155" s="3">
        <f t="shared" si="108"/>
        <v>2598</v>
      </c>
      <c r="S1155" s="3">
        <f t="shared" si="109"/>
        <v>259.8</v>
      </c>
      <c r="T1155" s="3">
        <f t="shared" si="110"/>
        <v>2387.1999999999998</v>
      </c>
      <c r="U1155" s="3">
        <f t="shared" si="111"/>
        <v>568.59999999999991</v>
      </c>
      <c r="V1155" s="4">
        <f t="shared" si="112"/>
        <v>0.23818699731903484</v>
      </c>
      <c r="W1155" t="str">
        <f t="shared" si="113"/>
        <v>Aug</v>
      </c>
    </row>
    <row r="1156" spans="1:23" x14ac:dyDescent="0.25">
      <c r="A1156" t="s">
        <v>1570</v>
      </c>
      <c r="B1156" t="s">
        <v>104</v>
      </c>
      <c r="C1156" s="2">
        <v>45875.809027777781</v>
      </c>
      <c r="D1156" t="s">
        <v>169</v>
      </c>
      <c r="E1156" t="s">
        <v>170</v>
      </c>
      <c r="F1156" t="s">
        <v>98</v>
      </c>
      <c r="G1156" t="s">
        <v>171</v>
      </c>
      <c r="H1156">
        <v>3</v>
      </c>
      <c r="I1156" s="3">
        <v>799</v>
      </c>
      <c r="J1156" s="4">
        <v>0</v>
      </c>
      <c r="K1156" s="3">
        <v>59</v>
      </c>
      <c r="L1156" t="s">
        <v>48</v>
      </c>
      <c r="M1156" t="s">
        <v>49</v>
      </c>
      <c r="N1156" t="s">
        <v>102</v>
      </c>
      <c r="O1156" t="s">
        <v>93</v>
      </c>
      <c r="P1156" t="s">
        <v>85</v>
      </c>
      <c r="Q1156">
        <v>2</v>
      </c>
      <c r="R1156" s="3">
        <f t="shared" si="108"/>
        <v>2397</v>
      </c>
      <c r="S1156" s="3">
        <f t="shared" si="109"/>
        <v>0</v>
      </c>
      <c r="T1156" s="3">
        <f t="shared" si="110"/>
        <v>2456</v>
      </c>
      <c r="U1156" s="3">
        <f t="shared" si="111"/>
        <v>778.10000000000014</v>
      </c>
      <c r="V1156" s="4">
        <f t="shared" si="112"/>
        <v>0.31681596091205216</v>
      </c>
      <c r="W1156" t="str">
        <f t="shared" si="113"/>
        <v>Aug</v>
      </c>
    </row>
    <row r="1157" spans="1:23" x14ac:dyDescent="0.25">
      <c r="A1157" t="s">
        <v>1571</v>
      </c>
      <c r="B1157" t="s">
        <v>280</v>
      </c>
      <c r="C1157" s="2">
        <v>45846.472916666673</v>
      </c>
      <c r="D1157" t="s">
        <v>44</v>
      </c>
      <c r="E1157" t="s">
        <v>45</v>
      </c>
      <c r="F1157" t="s">
        <v>46</v>
      </c>
      <c r="G1157" t="s">
        <v>47</v>
      </c>
      <c r="H1157">
        <v>3</v>
      </c>
      <c r="I1157" s="3">
        <v>1199</v>
      </c>
      <c r="J1157" s="4">
        <v>0</v>
      </c>
      <c r="K1157" s="3">
        <v>99</v>
      </c>
      <c r="L1157" t="s">
        <v>100</v>
      </c>
      <c r="M1157" t="s">
        <v>101</v>
      </c>
      <c r="N1157" t="s">
        <v>31</v>
      </c>
      <c r="O1157" t="s">
        <v>41</v>
      </c>
      <c r="P1157" t="s">
        <v>85</v>
      </c>
      <c r="Q1157">
        <v>2</v>
      </c>
      <c r="R1157" s="3">
        <f t="shared" si="108"/>
        <v>3597</v>
      </c>
      <c r="S1157" s="3">
        <f t="shared" si="109"/>
        <v>0</v>
      </c>
      <c r="T1157" s="3">
        <f t="shared" si="110"/>
        <v>3696</v>
      </c>
      <c r="U1157" s="3">
        <f t="shared" si="111"/>
        <v>1178.1000000000004</v>
      </c>
      <c r="V1157" s="4">
        <f t="shared" si="112"/>
        <v>0.31875000000000009</v>
      </c>
      <c r="W1157" t="str">
        <f t="shared" si="113"/>
        <v>Jul</v>
      </c>
    </row>
    <row r="1158" spans="1:23" x14ac:dyDescent="0.25">
      <c r="A1158" t="s">
        <v>1572</v>
      </c>
      <c r="B1158" t="s">
        <v>1338</v>
      </c>
      <c r="C1158" s="2">
        <v>45812.545138888891</v>
      </c>
      <c r="D1158" t="s">
        <v>90</v>
      </c>
      <c r="E1158" t="s">
        <v>91</v>
      </c>
      <c r="F1158" t="s">
        <v>37</v>
      </c>
      <c r="G1158" t="s">
        <v>92</v>
      </c>
      <c r="H1158">
        <v>1</v>
      </c>
      <c r="I1158" s="3">
        <v>3499</v>
      </c>
      <c r="J1158" s="4">
        <v>0.1</v>
      </c>
      <c r="K1158" s="3">
        <v>49</v>
      </c>
      <c r="L1158" t="s">
        <v>113</v>
      </c>
      <c r="M1158" t="s">
        <v>114</v>
      </c>
      <c r="N1158" t="s">
        <v>50</v>
      </c>
      <c r="O1158" t="s">
        <v>51</v>
      </c>
      <c r="P1158" t="s">
        <v>33</v>
      </c>
      <c r="Q1158">
        <v>3</v>
      </c>
      <c r="R1158" s="3">
        <f t="shared" si="108"/>
        <v>3499</v>
      </c>
      <c r="S1158" s="3">
        <f t="shared" si="109"/>
        <v>349.90000000000003</v>
      </c>
      <c r="T1158" s="3">
        <f t="shared" si="110"/>
        <v>3198.1</v>
      </c>
      <c r="U1158" s="3">
        <f t="shared" si="111"/>
        <v>748.80000000000018</v>
      </c>
      <c r="V1158" s="4">
        <f t="shared" si="112"/>
        <v>0.23413902004315068</v>
      </c>
      <c r="W1158" t="str">
        <f t="shared" si="113"/>
        <v>Jun</v>
      </c>
    </row>
    <row r="1159" spans="1:23" x14ac:dyDescent="0.25">
      <c r="A1159" t="s">
        <v>1573</v>
      </c>
      <c r="B1159" t="s">
        <v>1110</v>
      </c>
      <c r="C1159" s="2">
        <v>45873.215277777781</v>
      </c>
      <c r="D1159" t="s">
        <v>96</v>
      </c>
      <c r="E1159" t="s">
        <v>97</v>
      </c>
      <c r="F1159" t="s">
        <v>98</v>
      </c>
      <c r="G1159" t="s">
        <v>99</v>
      </c>
      <c r="H1159">
        <v>1</v>
      </c>
      <c r="I1159" s="3">
        <v>1499</v>
      </c>
      <c r="J1159" s="4">
        <v>0.2</v>
      </c>
      <c r="K1159" s="3">
        <v>99</v>
      </c>
      <c r="L1159" t="s">
        <v>119</v>
      </c>
      <c r="M1159" t="s">
        <v>120</v>
      </c>
      <c r="N1159" t="s">
        <v>40</v>
      </c>
      <c r="O1159" t="s">
        <v>93</v>
      </c>
      <c r="P1159" t="s">
        <v>52</v>
      </c>
      <c r="Q1159">
        <v>3</v>
      </c>
      <c r="R1159" s="3">
        <f t="shared" si="108"/>
        <v>1499</v>
      </c>
      <c r="S1159" s="3">
        <f t="shared" si="109"/>
        <v>299.8</v>
      </c>
      <c r="T1159" s="3">
        <f t="shared" si="110"/>
        <v>1298.2</v>
      </c>
      <c r="U1159" s="3">
        <f t="shared" si="111"/>
        <v>248.90000000000009</v>
      </c>
      <c r="V1159" s="4">
        <f t="shared" si="112"/>
        <v>0.19172700662455713</v>
      </c>
      <c r="W1159" t="str">
        <f t="shared" si="113"/>
        <v>Aug</v>
      </c>
    </row>
    <row r="1160" spans="1:23" x14ac:dyDescent="0.25">
      <c r="A1160" t="s">
        <v>1574</v>
      </c>
      <c r="B1160" t="s">
        <v>555</v>
      </c>
      <c r="C1160" s="2">
        <v>45865.006944444453</v>
      </c>
      <c r="D1160" t="s">
        <v>25</v>
      </c>
      <c r="E1160" t="s">
        <v>26</v>
      </c>
      <c r="F1160" t="s">
        <v>27</v>
      </c>
      <c r="G1160" t="s">
        <v>28</v>
      </c>
      <c r="H1160">
        <v>2</v>
      </c>
      <c r="I1160" s="3">
        <v>249</v>
      </c>
      <c r="J1160" s="4">
        <v>0</v>
      </c>
      <c r="K1160" s="3">
        <v>99</v>
      </c>
      <c r="L1160" t="s">
        <v>29</v>
      </c>
      <c r="M1160" t="s">
        <v>30</v>
      </c>
      <c r="N1160" t="s">
        <v>40</v>
      </c>
      <c r="O1160" t="s">
        <v>59</v>
      </c>
      <c r="P1160" t="s">
        <v>33</v>
      </c>
      <c r="Q1160">
        <v>1</v>
      </c>
      <c r="R1160" s="3">
        <f t="shared" si="108"/>
        <v>498</v>
      </c>
      <c r="S1160" s="3">
        <f t="shared" si="109"/>
        <v>0</v>
      </c>
      <c r="T1160" s="3">
        <f t="shared" si="110"/>
        <v>597</v>
      </c>
      <c r="U1160" s="3">
        <f t="shared" si="111"/>
        <v>248.40000000000003</v>
      </c>
      <c r="V1160" s="4">
        <f t="shared" si="112"/>
        <v>0.41608040201005031</v>
      </c>
      <c r="W1160" t="str">
        <f t="shared" si="113"/>
        <v>Jul</v>
      </c>
    </row>
    <row r="1161" spans="1:23" x14ac:dyDescent="0.25">
      <c r="A1161" t="s">
        <v>1575</v>
      </c>
      <c r="B1161" t="s">
        <v>464</v>
      </c>
      <c r="C1161" s="2">
        <v>45685.393750000003</v>
      </c>
      <c r="D1161" t="s">
        <v>90</v>
      </c>
      <c r="E1161" t="s">
        <v>91</v>
      </c>
      <c r="F1161" t="s">
        <v>37</v>
      </c>
      <c r="G1161" t="s">
        <v>92</v>
      </c>
      <c r="H1161">
        <v>1</v>
      </c>
      <c r="I1161" s="3">
        <v>3499</v>
      </c>
      <c r="J1161" s="4">
        <v>0.2</v>
      </c>
      <c r="K1161" s="3">
        <v>0</v>
      </c>
      <c r="L1161" t="s">
        <v>57</v>
      </c>
      <c r="M1161" t="s">
        <v>58</v>
      </c>
      <c r="N1161" t="s">
        <v>102</v>
      </c>
      <c r="O1161" t="s">
        <v>51</v>
      </c>
      <c r="P1161" t="s">
        <v>33</v>
      </c>
      <c r="R1161" s="3">
        <f t="shared" si="108"/>
        <v>3499</v>
      </c>
      <c r="S1161" s="3">
        <f t="shared" si="109"/>
        <v>699.80000000000007</v>
      </c>
      <c r="T1161" s="3">
        <f t="shared" si="110"/>
        <v>2799.2</v>
      </c>
      <c r="U1161" s="3">
        <f t="shared" si="111"/>
        <v>349.90000000000009</v>
      </c>
      <c r="V1161" s="4">
        <f t="shared" si="112"/>
        <v>0.12500000000000003</v>
      </c>
      <c r="W1161" t="str">
        <f t="shared" si="113"/>
        <v>Jan</v>
      </c>
    </row>
    <row r="1162" spans="1:23" x14ac:dyDescent="0.25">
      <c r="A1162" t="s">
        <v>1576</v>
      </c>
      <c r="B1162" t="s">
        <v>271</v>
      </c>
      <c r="C1162" s="2">
        <v>45844.159722222219</v>
      </c>
      <c r="D1162" t="s">
        <v>90</v>
      </c>
      <c r="E1162" t="s">
        <v>91</v>
      </c>
      <c r="F1162" t="s">
        <v>37</v>
      </c>
      <c r="G1162" t="s">
        <v>92</v>
      </c>
      <c r="H1162">
        <v>3</v>
      </c>
      <c r="I1162" s="3">
        <v>3499</v>
      </c>
      <c r="J1162" s="4">
        <v>0.1</v>
      </c>
      <c r="K1162" s="3">
        <v>99</v>
      </c>
      <c r="L1162" t="s">
        <v>74</v>
      </c>
      <c r="M1162" t="s">
        <v>49</v>
      </c>
      <c r="N1162" t="s">
        <v>31</v>
      </c>
      <c r="O1162" t="s">
        <v>41</v>
      </c>
      <c r="P1162" t="s">
        <v>33</v>
      </c>
      <c r="Q1162">
        <v>1</v>
      </c>
      <c r="R1162" s="3">
        <f t="shared" si="108"/>
        <v>10497</v>
      </c>
      <c r="S1162" s="3">
        <f t="shared" si="109"/>
        <v>1049.7</v>
      </c>
      <c r="T1162" s="3">
        <f t="shared" si="110"/>
        <v>9546.2999999999993</v>
      </c>
      <c r="U1162" s="3">
        <f t="shared" si="111"/>
        <v>2198.3999999999996</v>
      </c>
      <c r="V1162" s="4">
        <f t="shared" si="112"/>
        <v>0.23028817447597497</v>
      </c>
      <c r="W1162" t="str">
        <f t="shared" si="113"/>
        <v>Jul</v>
      </c>
    </row>
    <row r="1163" spans="1:23" x14ac:dyDescent="0.25">
      <c r="A1163" t="s">
        <v>1577</v>
      </c>
      <c r="B1163" t="s">
        <v>283</v>
      </c>
      <c r="C1163" s="2">
        <v>45921.823611111111</v>
      </c>
      <c r="D1163" t="s">
        <v>169</v>
      </c>
      <c r="E1163" t="s">
        <v>170</v>
      </c>
      <c r="F1163" t="s">
        <v>98</v>
      </c>
      <c r="G1163" t="s">
        <v>171</v>
      </c>
      <c r="H1163">
        <v>1</v>
      </c>
      <c r="I1163" s="3">
        <v>799</v>
      </c>
      <c r="J1163" s="4">
        <v>0.1</v>
      </c>
      <c r="K1163" s="3">
        <v>0</v>
      </c>
      <c r="L1163" t="s">
        <v>125</v>
      </c>
      <c r="M1163" t="s">
        <v>126</v>
      </c>
      <c r="N1163" t="s">
        <v>71</v>
      </c>
      <c r="O1163" t="s">
        <v>93</v>
      </c>
      <c r="P1163" t="s">
        <v>52</v>
      </c>
      <c r="Q1163">
        <v>1</v>
      </c>
      <c r="R1163" s="3">
        <f t="shared" si="108"/>
        <v>799</v>
      </c>
      <c r="S1163" s="3">
        <f t="shared" si="109"/>
        <v>79.900000000000006</v>
      </c>
      <c r="T1163" s="3">
        <f t="shared" si="110"/>
        <v>719.1</v>
      </c>
      <c r="U1163" s="3">
        <f t="shared" si="111"/>
        <v>159.80000000000007</v>
      </c>
      <c r="V1163" s="4">
        <f t="shared" si="112"/>
        <v>0.22222222222222232</v>
      </c>
      <c r="W1163" t="str">
        <f t="shared" si="113"/>
        <v>Sep</v>
      </c>
    </row>
    <row r="1164" spans="1:23" x14ac:dyDescent="0.25">
      <c r="A1164" t="s">
        <v>1578</v>
      </c>
      <c r="B1164" t="s">
        <v>591</v>
      </c>
      <c r="C1164" s="2">
        <v>45964.890972222223</v>
      </c>
      <c r="D1164" t="s">
        <v>90</v>
      </c>
      <c r="E1164" t="s">
        <v>91</v>
      </c>
      <c r="F1164" t="s">
        <v>37</v>
      </c>
      <c r="G1164" t="s">
        <v>92</v>
      </c>
      <c r="H1164">
        <v>1</v>
      </c>
      <c r="I1164" s="3">
        <v>3499</v>
      </c>
      <c r="J1164" s="4">
        <v>0.1</v>
      </c>
      <c r="K1164" s="3">
        <v>59</v>
      </c>
      <c r="L1164" t="s">
        <v>119</v>
      </c>
      <c r="M1164" t="s">
        <v>120</v>
      </c>
      <c r="N1164" t="s">
        <v>31</v>
      </c>
      <c r="O1164" t="s">
        <v>32</v>
      </c>
      <c r="P1164" t="s">
        <v>33</v>
      </c>
      <c r="Q1164">
        <v>3</v>
      </c>
      <c r="R1164" s="3">
        <f t="shared" si="108"/>
        <v>3499</v>
      </c>
      <c r="S1164" s="3">
        <f t="shared" si="109"/>
        <v>349.90000000000003</v>
      </c>
      <c r="T1164" s="3">
        <f t="shared" si="110"/>
        <v>3208.1</v>
      </c>
      <c r="U1164" s="3">
        <f t="shared" si="111"/>
        <v>758.80000000000018</v>
      </c>
      <c r="V1164" s="4">
        <f t="shared" si="112"/>
        <v>0.23652629282129617</v>
      </c>
      <c r="W1164" t="str">
        <f t="shared" si="113"/>
        <v>Nov</v>
      </c>
    </row>
    <row r="1165" spans="1:23" x14ac:dyDescent="0.25">
      <c r="A1165" t="s">
        <v>1579</v>
      </c>
      <c r="B1165" t="s">
        <v>152</v>
      </c>
      <c r="C1165" s="2">
        <v>45666.597222222219</v>
      </c>
      <c r="D1165" t="s">
        <v>105</v>
      </c>
      <c r="E1165" t="s">
        <v>106</v>
      </c>
      <c r="F1165" t="s">
        <v>37</v>
      </c>
      <c r="G1165" t="s">
        <v>107</v>
      </c>
      <c r="H1165">
        <v>1</v>
      </c>
      <c r="I1165" s="3">
        <v>1799</v>
      </c>
      <c r="J1165" s="4">
        <v>0.2</v>
      </c>
      <c r="K1165" s="3">
        <v>0</v>
      </c>
      <c r="L1165" t="s">
        <v>48</v>
      </c>
      <c r="M1165" t="s">
        <v>49</v>
      </c>
      <c r="N1165" t="s">
        <v>71</v>
      </c>
      <c r="O1165" t="s">
        <v>93</v>
      </c>
      <c r="P1165" t="s">
        <v>33</v>
      </c>
      <c r="Q1165">
        <v>5</v>
      </c>
      <c r="R1165" s="3">
        <f t="shared" si="108"/>
        <v>1799</v>
      </c>
      <c r="S1165" s="3">
        <f t="shared" si="109"/>
        <v>359.8</v>
      </c>
      <c r="T1165" s="3">
        <f t="shared" si="110"/>
        <v>1439.2</v>
      </c>
      <c r="U1165" s="3">
        <f t="shared" si="111"/>
        <v>179.90000000000009</v>
      </c>
      <c r="V1165" s="4">
        <f t="shared" si="112"/>
        <v>0.12500000000000006</v>
      </c>
      <c r="W1165" t="str">
        <f t="shared" si="113"/>
        <v>Jan</v>
      </c>
    </row>
    <row r="1166" spans="1:23" x14ac:dyDescent="0.25">
      <c r="A1166" t="s">
        <v>1580</v>
      </c>
      <c r="B1166" t="s">
        <v>1416</v>
      </c>
      <c r="C1166" s="2">
        <v>45701.712500000001</v>
      </c>
      <c r="D1166" t="s">
        <v>77</v>
      </c>
      <c r="E1166" t="s">
        <v>78</v>
      </c>
      <c r="F1166" t="s">
        <v>79</v>
      </c>
      <c r="G1166" t="s">
        <v>28</v>
      </c>
      <c r="H1166">
        <v>1</v>
      </c>
      <c r="I1166" s="3">
        <v>6499</v>
      </c>
      <c r="J1166" s="4">
        <v>0.2</v>
      </c>
      <c r="K1166" s="3">
        <v>49</v>
      </c>
      <c r="L1166" t="s">
        <v>57</v>
      </c>
      <c r="M1166" t="s">
        <v>58</v>
      </c>
      <c r="N1166" t="s">
        <v>40</v>
      </c>
      <c r="O1166" t="s">
        <v>51</v>
      </c>
      <c r="P1166" t="s">
        <v>33</v>
      </c>
      <c r="Q1166">
        <v>3</v>
      </c>
      <c r="R1166" s="3">
        <f t="shared" si="108"/>
        <v>6499</v>
      </c>
      <c r="S1166" s="3">
        <f t="shared" si="109"/>
        <v>1299.8000000000002</v>
      </c>
      <c r="T1166" s="3">
        <f t="shared" si="110"/>
        <v>5248.2</v>
      </c>
      <c r="U1166" s="3">
        <f t="shared" si="111"/>
        <v>698.90000000000055</v>
      </c>
      <c r="V1166" s="4">
        <f t="shared" si="112"/>
        <v>0.13316946762699602</v>
      </c>
      <c r="W1166" t="str">
        <f t="shared" si="113"/>
        <v>Feb</v>
      </c>
    </row>
    <row r="1167" spans="1:23" x14ac:dyDescent="0.25">
      <c r="A1167" t="s">
        <v>1581</v>
      </c>
      <c r="B1167" t="s">
        <v>563</v>
      </c>
      <c r="C1167" s="2">
        <v>45926.770138888889</v>
      </c>
      <c r="D1167" t="s">
        <v>90</v>
      </c>
      <c r="E1167" t="s">
        <v>91</v>
      </c>
      <c r="F1167" t="s">
        <v>37</v>
      </c>
      <c r="G1167" t="s">
        <v>92</v>
      </c>
      <c r="H1167">
        <v>1</v>
      </c>
      <c r="I1167" s="3">
        <v>3499</v>
      </c>
      <c r="J1167" s="4">
        <v>0</v>
      </c>
      <c r="K1167" s="3">
        <v>59</v>
      </c>
      <c r="L1167" t="s">
        <v>125</v>
      </c>
      <c r="M1167" t="s">
        <v>126</v>
      </c>
      <c r="N1167" t="s">
        <v>31</v>
      </c>
      <c r="O1167" t="s">
        <v>41</v>
      </c>
      <c r="P1167" t="s">
        <v>33</v>
      </c>
      <c r="Q1167">
        <v>5</v>
      </c>
      <c r="R1167" s="3">
        <f t="shared" si="108"/>
        <v>3499</v>
      </c>
      <c r="S1167" s="3">
        <f t="shared" si="109"/>
        <v>0</v>
      </c>
      <c r="T1167" s="3">
        <f t="shared" si="110"/>
        <v>3558</v>
      </c>
      <c r="U1167" s="3">
        <f t="shared" si="111"/>
        <v>1108.7000000000003</v>
      </c>
      <c r="V1167" s="4">
        <f t="shared" si="112"/>
        <v>0.31160764474423841</v>
      </c>
      <c r="W1167" t="str">
        <f t="shared" si="113"/>
        <v>Sep</v>
      </c>
    </row>
    <row r="1168" spans="1:23" x14ac:dyDescent="0.25">
      <c r="A1168" t="s">
        <v>1582</v>
      </c>
      <c r="B1168" t="s">
        <v>1053</v>
      </c>
      <c r="C1168" s="2">
        <v>45698.457638888889</v>
      </c>
      <c r="D1168" t="s">
        <v>77</v>
      </c>
      <c r="E1168" t="s">
        <v>78</v>
      </c>
      <c r="F1168" t="s">
        <v>79</v>
      </c>
      <c r="G1168" t="s">
        <v>28</v>
      </c>
      <c r="H1168">
        <v>1</v>
      </c>
      <c r="I1168" s="3">
        <v>6499</v>
      </c>
      <c r="J1168" s="4">
        <v>0.2</v>
      </c>
      <c r="K1168" s="3">
        <v>59</v>
      </c>
      <c r="L1168" t="s">
        <v>29</v>
      </c>
      <c r="M1168" t="s">
        <v>30</v>
      </c>
      <c r="N1168" t="s">
        <v>40</v>
      </c>
      <c r="O1168" t="s">
        <v>93</v>
      </c>
      <c r="P1168" t="s">
        <v>80</v>
      </c>
      <c r="Q1168">
        <v>2</v>
      </c>
      <c r="R1168" s="3">
        <f t="shared" si="108"/>
        <v>6499</v>
      </c>
      <c r="S1168" s="3">
        <f t="shared" si="109"/>
        <v>1299.8000000000002</v>
      </c>
      <c r="T1168" s="3">
        <f t="shared" si="110"/>
        <v>5258.2</v>
      </c>
      <c r="U1168" s="3">
        <f t="shared" si="111"/>
        <v>708.90000000000055</v>
      </c>
      <c r="V1168" s="4">
        <f t="shared" si="112"/>
        <v>0.13481799855463858</v>
      </c>
      <c r="W1168" t="str">
        <f t="shared" si="113"/>
        <v>Feb</v>
      </c>
    </row>
    <row r="1169" spans="1:23" x14ac:dyDescent="0.25">
      <c r="A1169" t="s">
        <v>1583</v>
      </c>
      <c r="B1169" t="s">
        <v>857</v>
      </c>
      <c r="C1169" s="2">
        <v>45698.546527777777</v>
      </c>
      <c r="D1169" t="s">
        <v>77</v>
      </c>
      <c r="E1169" t="s">
        <v>78</v>
      </c>
      <c r="F1169" t="s">
        <v>79</v>
      </c>
      <c r="G1169" t="s">
        <v>28</v>
      </c>
      <c r="H1169">
        <v>2</v>
      </c>
      <c r="I1169" s="3">
        <v>6499</v>
      </c>
      <c r="J1169" s="4">
        <v>0.15</v>
      </c>
      <c r="K1169" s="3">
        <v>59</v>
      </c>
      <c r="L1169" t="s">
        <v>48</v>
      </c>
      <c r="M1169" t="s">
        <v>49</v>
      </c>
      <c r="N1169" t="s">
        <v>102</v>
      </c>
      <c r="O1169" t="s">
        <v>32</v>
      </c>
      <c r="P1169" t="s">
        <v>33</v>
      </c>
      <c r="Q1169">
        <v>5</v>
      </c>
      <c r="R1169" s="3">
        <f t="shared" si="108"/>
        <v>12998</v>
      </c>
      <c r="S1169" s="3">
        <f t="shared" si="109"/>
        <v>1949.6999999999998</v>
      </c>
      <c r="T1169" s="3">
        <f t="shared" si="110"/>
        <v>11107.3</v>
      </c>
      <c r="U1169" s="3">
        <f t="shared" si="111"/>
        <v>2008.7000000000007</v>
      </c>
      <c r="V1169" s="4">
        <f t="shared" si="112"/>
        <v>0.18084502984523698</v>
      </c>
      <c r="W1169" t="str">
        <f t="shared" si="113"/>
        <v>Feb</v>
      </c>
    </row>
    <row r="1170" spans="1:23" x14ac:dyDescent="0.25">
      <c r="A1170" t="s">
        <v>1584</v>
      </c>
      <c r="B1170" t="s">
        <v>222</v>
      </c>
      <c r="C1170" s="2">
        <v>45900.283333333333</v>
      </c>
      <c r="D1170" t="s">
        <v>67</v>
      </c>
      <c r="E1170" t="s">
        <v>68</v>
      </c>
      <c r="F1170" t="s">
        <v>37</v>
      </c>
      <c r="G1170" t="s">
        <v>38</v>
      </c>
      <c r="H1170">
        <v>1</v>
      </c>
      <c r="I1170" s="3">
        <v>1299</v>
      </c>
      <c r="J1170" s="4">
        <v>0.05</v>
      </c>
      <c r="K1170" s="3">
        <v>49</v>
      </c>
      <c r="L1170" t="s">
        <v>39</v>
      </c>
      <c r="M1170" t="s">
        <v>39</v>
      </c>
      <c r="N1170" t="s">
        <v>102</v>
      </c>
      <c r="O1170" t="s">
        <v>93</v>
      </c>
      <c r="P1170" t="s">
        <v>52</v>
      </c>
      <c r="Q1170">
        <v>5</v>
      </c>
      <c r="R1170" s="3">
        <f t="shared" si="108"/>
        <v>1299</v>
      </c>
      <c r="S1170" s="3">
        <f t="shared" si="109"/>
        <v>64.95</v>
      </c>
      <c r="T1170" s="3">
        <f t="shared" si="110"/>
        <v>1283.05</v>
      </c>
      <c r="U1170" s="3">
        <f t="shared" si="111"/>
        <v>373.75</v>
      </c>
      <c r="V1170" s="4">
        <f t="shared" si="112"/>
        <v>0.29129807879661745</v>
      </c>
      <c r="W1170" t="str">
        <f t="shared" si="113"/>
        <v>Aug</v>
      </c>
    </row>
    <row r="1171" spans="1:23" x14ac:dyDescent="0.25">
      <c r="A1171" t="s">
        <v>1585</v>
      </c>
      <c r="B1171" t="s">
        <v>306</v>
      </c>
      <c r="C1171" s="2">
        <v>45797.018055555563</v>
      </c>
      <c r="D1171" t="s">
        <v>96</v>
      </c>
      <c r="E1171" t="s">
        <v>97</v>
      </c>
      <c r="F1171" t="s">
        <v>98</v>
      </c>
      <c r="G1171" t="s">
        <v>99</v>
      </c>
      <c r="H1171">
        <v>2</v>
      </c>
      <c r="I1171" s="3">
        <v>1499</v>
      </c>
      <c r="J1171" s="4">
        <v>0</v>
      </c>
      <c r="K1171" s="3">
        <v>79</v>
      </c>
      <c r="L1171" t="s">
        <v>100</v>
      </c>
      <c r="M1171" t="s">
        <v>101</v>
      </c>
      <c r="N1171" t="s">
        <v>71</v>
      </c>
      <c r="O1171" t="s">
        <v>51</v>
      </c>
      <c r="P1171" t="s">
        <v>33</v>
      </c>
      <c r="Q1171">
        <v>4</v>
      </c>
      <c r="R1171" s="3">
        <f t="shared" si="108"/>
        <v>2998</v>
      </c>
      <c r="S1171" s="3">
        <f t="shared" si="109"/>
        <v>0</v>
      </c>
      <c r="T1171" s="3">
        <f t="shared" si="110"/>
        <v>3077</v>
      </c>
      <c r="U1171" s="3">
        <f t="shared" si="111"/>
        <v>978.40000000000009</v>
      </c>
      <c r="V1171" s="4">
        <f t="shared" si="112"/>
        <v>0.31797205069873258</v>
      </c>
      <c r="W1171" t="str">
        <f t="shared" si="113"/>
        <v>May</v>
      </c>
    </row>
    <row r="1172" spans="1:23" x14ac:dyDescent="0.25">
      <c r="A1172" t="s">
        <v>1586</v>
      </c>
      <c r="B1172" t="s">
        <v>240</v>
      </c>
      <c r="C1172" s="2">
        <v>45773.03125</v>
      </c>
      <c r="D1172" t="s">
        <v>44</v>
      </c>
      <c r="E1172" t="s">
        <v>45</v>
      </c>
      <c r="F1172" t="s">
        <v>46</v>
      </c>
      <c r="G1172" t="s">
        <v>47</v>
      </c>
      <c r="H1172">
        <v>1</v>
      </c>
      <c r="I1172" s="3">
        <v>1199</v>
      </c>
      <c r="J1172" s="4">
        <v>0</v>
      </c>
      <c r="K1172" s="3">
        <v>0</v>
      </c>
      <c r="L1172" t="s">
        <v>74</v>
      </c>
      <c r="M1172" t="s">
        <v>49</v>
      </c>
      <c r="N1172" t="s">
        <v>102</v>
      </c>
      <c r="O1172" t="s">
        <v>59</v>
      </c>
      <c r="P1172" t="s">
        <v>33</v>
      </c>
      <c r="Q1172">
        <v>5</v>
      </c>
      <c r="R1172" s="3">
        <f t="shared" si="108"/>
        <v>1199</v>
      </c>
      <c r="S1172" s="3">
        <f t="shared" si="109"/>
        <v>0</v>
      </c>
      <c r="T1172" s="3">
        <f t="shared" si="110"/>
        <v>1199</v>
      </c>
      <c r="U1172" s="3">
        <f t="shared" si="111"/>
        <v>359.70000000000005</v>
      </c>
      <c r="V1172" s="4">
        <f t="shared" si="112"/>
        <v>0.30000000000000004</v>
      </c>
      <c r="W1172" t="str">
        <f t="shared" si="113"/>
        <v>Apr</v>
      </c>
    </row>
    <row r="1173" spans="1:23" x14ac:dyDescent="0.25">
      <c r="A1173" t="s">
        <v>1587</v>
      </c>
      <c r="B1173" t="s">
        <v>1035</v>
      </c>
      <c r="C1173" s="2">
        <v>45857.665972222218</v>
      </c>
      <c r="D1173" t="s">
        <v>96</v>
      </c>
      <c r="E1173" t="s">
        <v>97</v>
      </c>
      <c r="F1173" t="s">
        <v>98</v>
      </c>
      <c r="G1173" t="s">
        <v>99</v>
      </c>
      <c r="H1173">
        <v>1</v>
      </c>
      <c r="I1173" s="3">
        <v>1499</v>
      </c>
      <c r="J1173" s="4">
        <v>0</v>
      </c>
      <c r="K1173" s="3">
        <v>59</v>
      </c>
      <c r="L1173" t="s">
        <v>125</v>
      </c>
      <c r="M1173" t="s">
        <v>126</v>
      </c>
      <c r="N1173" t="s">
        <v>71</v>
      </c>
      <c r="O1173" t="s">
        <v>51</v>
      </c>
      <c r="P1173" t="s">
        <v>85</v>
      </c>
      <c r="R1173" s="3">
        <f t="shared" si="108"/>
        <v>1499</v>
      </c>
      <c r="S1173" s="3">
        <f t="shared" si="109"/>
        <v>0</v>
      </c>
      <c r="T1173" s="3">
        <f t="shared" si="110"/>
        <v>1558</v>
      </c>
      <c r="U1173" s="3">
        <f t="shared" si="111"/>
        <v>508.70000000000005</v>
      </c>
      <c r="V1173" s="4">
        <f t="shared" si="112"/>
        <v>0.32650834403080875</v>
      </c>
      <c r="W1173" t="str">
        <f t="shared" si="113"/>
        <v>Jul</v>
      </c>
    </row>
    <row r="1174" spans="1:23" x14ac:dyDescent="0.25">
      <c r="A1174" t="s">
        <v>1588</v>
      </c>
      <c r="B1174" t="s">
        <v>1234</v>
      </c>
      <c r="C1174" s="2">
        <v>45913.273611111108</v>
      </c>
      <c r="D1174" t="s">
        <v>90</v>
      </c>
      <c r="E1174" t="s">
        <v>91</v>
      </c>
      <c r="F1174" t="s">
        <v>37</v>
      </c>
      <c r="G1174" t="s">
        <v>92</v>
      </c>
      <c r="H1174">
        <v>2</v>
      </c>
      <c r="I1174" s="3">
        <v>3499</v>
      </c>
      <c r="J1174" s="4">
        <v>0</v>
      </c>
      <c r="K1174" s="3">
        <v>79</v>
      </c>
      <c r="L1174" t="s">
        <v>100</v>
      </c>
      <c r="M1174" t="s">
        <v>101</v>
      </c>
      <c r="N1174" t="s">
        <v>40</v>
      </c>
      <c r="O1174" t="s">
        <v>93</v>
      </c>
      <c r="P1174" t="s">
        <v>80</v>
      </c>
      <c r="R1174" s="3">
        <f t="shared" si="108"/>
        <v>6998</v>
      </c>
      <c r="S1174" s="3">
        <f t="shared" si="109"/>
        <v>0</v>
      </c>
      <c r="T1174" s="3">
        <f t="shared" si="110"/>
        <v>7077</v>
      </c>
      <c r="U1174" s="3">
        <f t="shared" si="111"/>
        <v>2178.4000000000005</v>
      </c>
      <c r="V1174" s="4">
        <f t="shared" si="112"/>
        <v>0.30781404549950553</v>
      </c>
      <c r="W1174" t="str">
        <f t="shared" si="113"/>
        <v>Sep</v>
      </c>
    </row>
    <row r="1175" spans="1:23" x14ac:dyDescent="0.25">
      <c r="A1175" t="s">
        <v>1589</v>
      </c>
      <c r="B1175" t="s">
        <v>400</v>
      </c>
      <c r="C1175" s="2">
        <v>45945.461805555547</v>
      </c>
      <c r="D1175" t="s">
        <v>44</v>
      </c>
      <c r="E1175" t="s">
        <v>45</v>
      </c>
      <c r="F1175" t="s">
        <v>46</v>
      </c>
      <c r="G1175" t="s">
        <v>47</v>
      </c>
      <c r="H1175">
        <v>2</v>
      </c>
      <c r="I1175" s="3">
        <v>1199</v>
      </c>
      <c r="J1175" s="4">
        <v>0.2</v>
      </c>
      <c r="K1175" s="3">
        <v>99</v>
      </c>
      <c r="L1175" t="s">
        <v>29</v>
      </c>
      <c r="M1175" t="s">
        <v>30</v>
      </c>
      <c r="N1175" t="s">
        <v>71</v>
      </c>
      <c r="O1175" t="s">
        <v>51</v>
      </c>
      <c r="P1175" t="s">
        <v>33</v>
      </c>
      <c r="R1175" s="3">
        <f t="shared" si="108"/>
        <v>2398</v>
      </c>
      <c r="S1175" s="3">
        <f t="shared" si="109"/>
        <v>479.6</v>
      </c>
      <c r="T1175" s="3">
        <f t="shared" si="110"/>
        <v>2017.4</v>
      </c>
      <c r="U1175" s="3">
        <f t="shared" si="111"/>
        <v>338.80000000000018</v>
      </c>
      <c r="V1175" s="4">
        <f t="shared" si="112"/>
        <v>0.16793893129771001</v>
      </c>
      <c r="W1175" t="str">
        <f t="shared" si="113"/>
        <v>Oct</v>
      </c>
    </row>
    <row r="1176" spans="1:23" x14ac:dyDescent="0.25">
      <c r="A1176" t="s">
        <v>1590</v>
      </c>
      <c r="B1176" t="s">
        <v>378</v>
      </c>
      <c r="C1176" s="2">
        <v>45673.193749999999</v>
      </c>
      <c r="D1176" t="s">
        <v>169</v>
      </c>
      <c r="E1176" t="s">
        <v>170</v>
      </c>
      <c r="F1176" t="s">
        <v>98</v>
      </c>
      <c r="G1176" t="s">
        <v>171</v>
      </c>
      <c r="H1176">
        <v>2</v>
      </c>
      <c r="I1176" s="3">
        <v>799</v>
      </c>
      <c r="J1176" s="4">
        <v>0</v>
      </c>
      <c r="K1176" s="3">
        <v>99</v>
      </c>
      <c r="L1176" t="s">
        <v>119</v>
      </c>
      <c r="M1176" t="s">
        <v>120</v>
      </c>
      <c r="N1176" t="s">
        <v>102</v>
      </c>
      <c r="O1176" t="s">
        <v>59</v>
      </c>
      <c r="P1176" t="s">
        <v>85</v>
      </c>
      <c r="Q1176">
        <v>4</v>
      </c>
      <c r="R1176" s="3">
        <f t="shared" si="108"/>
        <v>1598</v>
      </c>
      <c r="S1176" s="3">
        <f t="shared" si="109"/>
        <v>0</v>
      </c>
      <c r="T1176" s="3">
        <f t="shared" si="110"/>
        <v>1697</v>
      </c>
      <c r="U1176" s="3">
        <f t="shared" si="111"/>
        <v>578.40000000000009</v>
      </c>
      <c r="V1176" s="4">
        <f t="shared" si="112"/>
        <v>0.34083677077195057</v>
      </c>
      <c r="W1176" t="str">
        <f t="shared" si="113"/>
        <v>Jan</v>
      </c>
    </row>
    <row r="1177" spans="1:23" x14ac:dyDescent="0.25">
      <c r="A1177" t="s">
        <v>1591</v>
      </c>
      <c r="B1177" t="s">
        <v>690</v>
      </c>
      <c r="C1177" s="2">
        <v>45909.308333333327</v>
      </c>
      <c r="D1177" t="s">
        <v>35</v>
      </c>
      <c r="E1177" t="s">
        <v>36</v>
      </c>
      <c r="F1177" t="s">
        <v>37</v>
      </c>
      <c r="G1177" t="s">
        <v>38</v>
      </c>
      <c r="H1177">
        <v>2</v>
      </c>
      <c r="I1177" s="3">
        <v>599</v>
      </c>
      <c r="J1177" s="4">
        <v>0</v>
      </c>
      <c r="K1177" s="3">
        <v>79</v>
      </c>
      <c r="L1177" t="s">
        <v>48</v>
      </c>
      <c r="M1177" t="s">
        <v>49</v>
      </c>
      <c r="N1177" t="s">
        <v>31</v>
      </c>
      <c r="O1177" t="s">
        <v>59</v>
      </c>
      <c r="P1177" t="s">
        <v>85</v>
      </c>
      <c r="Q1177">
        <v>2</v>
      </c>
      <c r="R1177" s="3">
        <f t="shared" si="108"/>
        <v>1198</v>
      </c>
      <c r="S1177" s="3">
        <f t="shared" si="109"/>
        <v>0</v>
      </c>
      <c r="T1177" s="3">
        <f t="shared" si="110"/>
        <v>1277</v>
      </c>
      <c r="U1177" s="3">
        <f t="shared" si="111"/>
        <v>438.40000000000009</v>
      </c>
      <c r="V1177" s="4">
        <f t="shared" si="112"/>
        <v>0.34330462020360225</v>
      </c>
      <c r="W1177" t="str">
        <f t="shared" si="113"/>
        <v>Sep</v>
      </c>
    </row>
    <row r="1178" spans="1:23" x14ac:dyDescent="0.25">
      <c r="A1178" t="s">
        <v>1592</v>
      </c>
      <c r="B1178" t="s">
        <v>168</v>
      </c>
      <c r="C1178" s="2">
        <v>45749.242361111108</v>
      </c>
      <c r="D1178" t="s">
        <v>67</v>
      </c>
      <c r="E1178" t="s">
        <v>68</v>
      </c>
      <c r="F1178" t="s">
        <v>37</v>
      </c>
      <c r="G1178" t="s">
        <v>38</v>
      </c>
      <c r="H1178">
        <v>2</v>
      </c>
      <c r="I1178" s="3">
        <v>1299</v>
      </c>
      <c r="J1178" s="4">
        <v>0.1</v>
      </c>
      <c r="K1178" s="3">
        <v>99</v>
      </c>
      <c r="L1178" t="s">
        <v>29</v>
      </c>
      <c r="M1178" t="s">
        <v>30</v>
      </c>
      <c r="N1178" t="s">
        <v>71</v>
      </c>
      <c r="O1178" t="s">
        <v>41</v>
      </c>
      <c r="P1178" t="s">
        <v>80</v>
      </c>
      <c r="Q1178">
        <v>4</v>
      </c>
      <c r="R1178" s="3">
        <f t="shared" si="108"/>
        <v>2598</v>
      </c>
      <c r="S1178" s="3">
        <f t="shared" si="109"/>
        <v>259.8</v>
      </c>
      <c r="T1178" s="3">
        <f t="shared" si="110"/>
        <v>2437.1999999999998</v>
      </c>
      <c r="U1178" s="3">
        <f t="shared" si="111"/>
        <v>618.59999999999991</v>
      </c>
      <c r="V1178" s="4">
        <f t="shared" si="112"/>
        <v>0.25381585425898573</v>
      </c>
      <c r="W1178" t="str">
        <f t="shared" si="113"/>
        <v>Apr</v>
      </c>
    </row>
    <row r="1179" spans="1:23" x14ac:dyDescent="0.25">
      <c r="A1179" t="s">
        <v>1593</v>
      </c>
      <c r="B1179" t="s">
        <v>392</v>
      </c>
      <c r="C1179" s="2">
        <v>45843.837500000001</v>
      </c>
      <c r="D1179" t="s">
        <v>44</v>
      </c>
      <c r="E1179" t="s">
        <v>45</v>
      </c>
      <c r="F1179" t="s">
        <v>46</v>
      </c>
      <c r="G1179" t="s">
        <v>47</v>
      </c>
      <c r="H1179">
        <v>1</v>
      </c>
      <c r="I1179" s="3">
        <v>1199</v>
      </c>
      <c r="J1179" s="4">
        <v>0.2</v>
      </c>
      <c r="K1179" s="3">
        <v>59</v>
      </c>
      <c r="L1179" t="s">
        <v>48</v>
      </c>
      <c r="M1179" t="s">
        <v>49</v>
      </c>
      <c r="N1179" t="s">
        <v>102</v>
      </c>
      <c r="O1179" t="s">
        <v>32</v>
      </c>
      <c r="P1179" t="s">
        <v>80</v>
      </c>
      <c r="Q1179">
        <v>4</v>
      </c>
      <c r="R1179" s="3">
        <f t="shared" si="108"/>
        <v>1199</v>
      </c>
      <c r="S1179" s="3">
        <f t="shared" si="109"/>
        <v>239.8</v>
      </c>
      <c r="T1179" s="3">
        <f t="shared" si="110"/>
        <v>1018.2</v>
      </c>
      <c r="U1179" s="3">
        <f t="shared" si="111"/>
        <v>178.90000000000009</v>
      </c>
      <c r="V1179" s="4">
        <f t="shared" si="112"/>
        <v>0.17570221960322147</v>
      </c>
      <c r="W1179" t="str">
        <f t="shared" si="113"/>
        <v>Jul</v>
      </c>
    </row>
    <row r="1180" spans="1:23" x14ac:dyDescent="0.25">
      <c r="A1180" t="s">
        <v>1594</v>
      </c>
      <c r="B1180" t="s">
        <v>1534</v>
      </c>
      <c r="C1180" s="2">
        <v>45895.411111111112</v>
      </c>
      <c r="D1180" t="s">
        <v>67</v>
      </c>
      <c r="E1180" t="s">
        <v>68</v>
      </c>
      <c r="F1180" t="s">
        <v>37</v>
      </c>
      <c r="G1180" t="s">
        <v>38</v>
      </c>
      <c r="H1180">
        <v>2</v>
      </c>
      <c r="I1180" s="3">
        <v>1299</v>
      </c>
      <c r="J1180" s="4">
        <v>0</v>
      </c>
      <c r="K1180" s="3">
        <v>49</v>
      </c>
      <c r="L1180" t="s">
        <v>558</v>
      </c>
      <c r="M1180" t="s">
        <v>58</v>
      </c>
      <c r="N1180" t="s">
        <v>71</v>
      </c>
      <c r="O1180" t="s">
        <v>93</v>
      </c>
      <c r="P1180" t="s">
        <v>52</v>
      </c>
      <c r="Q1180">
        <v>5</v>
      </c>
      <c r="R1180" s="3">
        <f t="shared" si="108"/>
        <v>2598</v>
      </c>
      <c r="S1180" s="3">
        <f t="shared" si="109"/>
        <v>0</v>
      </c>
      <c r="T1180" s="3">
        <f t="shared" si="110"/>
        <v>2647</v>
      </c>
      <c r="U1180" s="3">
        <f t="shared" si="111"/>
        <v>828.40000000000009</v>
      </c>
      <c r="V1180" s="4">
        <f t="shared" si="112"/>
        <v>0.31295806573479412</v>
      </c>
      <c r="W1180" t="str">
        <f t="shared" si="113"/>
        <v>Aug</v>
      </c>
    </row>
    <row r="1181" spans="1:23" x14ac:dyDescent="0.25">
      <c r="A1181" t="s">
        <v>1595</v>
      </c>
      <c r="B1181" t="s">
        <v>508</v>
      </c>
      <c r="C1181" s="2">
        <v>46007.14166666667</v>
      </c>
      <c r="D1181" t="s">
        <v>169</v>
      </c>
      <c r="E1181" t="s">
        <v>170</v>
      </c>
      <c r="F1181" t="s">
        <v>98</v>
      </c>
      <c r="G1181" t="s">
        <v>171</v>
      </c>
      <c r="I1181" s="3">
        <v>799</v>
      </c>
      <c r="J1181" s="4">
        <v>0.2</v>
      </c>
      <c r="K1181" s="3">
        <v>79</v>
      </c>
      <c r="L1181" t="s">
        <v>119</v>
      </c>
      <c r="M1181" t="s">
        <v>120</v>
      </c>
      <c r="N1181" t="s">
        <v>40</v>
      </c>
      <c r="O1181" t="s">
        <v>41</v>
      </c>
      <c r="P1181" t="s">
        <v>85</v>
      </c>
      <c r="R1181" s="3">
        <f t="shared" si="108"/>
        <v>0</v>
      </c>
      <c r="S1181" s="3">
        <f t="shared" si="109"/>
        <v>0</v>
      </c>
      <c r="T1181" s="3">
        <f t="shared" si="110"/>
        <v>79</v>
      </c>
      <c r="U1181" s="3">
        <f t="shared" si="111"/>
        <v>79</v>
      </c>
      <c r="V1181" s="4">
        <f t="shared" si="112"/>
        <v>1</v>
      </c>
      <c r="W1181" t="str">
        <f t="shared" si="113"/>
        <v>Dec</v>
      </c>
    </row>
    <row r="1182" spans="1:23" x14ac:dyDescent="0.25">
      <c r="A1182" t="s">
        <v>1596</v>
      </c>
      <c r="B1182" t="s">
        <v>168</v>
      </c>
      <c r="C1182" s="2">
        <v>45970.813888888893</v>
      </c>
      <c r="D1182" t="s">
        <v>35</v>
      </c>
      <c r="E1182" t="s">
        <v>36</v>
      </c>
      <c r="F1182" t="s">
        <v>37</v>
      </c>
      <c r="G1182" t="s">
        <v>38</v>
      </c>
      <c r="H1182">
        <v>1</v>
      </c>
      <c r="I1182" s="3">
        <v>599</v>
      </c>
      <c r="J1182" s="4">
        <v>0.15</v>
      </c>
      <c r="K1182" s="3">
        <v>99</v>
      </c>
      <c r="L1182" t="s">
        <v>125</v>
      </c>
      <c r="M1182" t="s">
        <v>126</v>
      </c>
      <c r="N1182" t="s">
        <v>31</v>
      </c>
      <c r="O1182" t="s">
        <v>51</v>
      </c>
      <c r="P1182" t="s">
        <v>33</v>
      </c>
      <c r="Q1182">
        <v>5</v>
      </c>
      <c r="R1182" s="3">
        <f t="shared" si="108"/>
        <v>599</v>
      </c>
      <c r="S1182" s="3">
        <f t="shared" si="109"/>
        <v>89.85</v>
      </c>
      <c r="T1182" s="3">
        <f t="shared" si="110"/>
        <v>608.15</v>
      </c>
      <c r="U1182" s="3">
        <f t="shared" si="111"/>
        <v>188.85000000000002</v>
      </c>
      <c r="V1182" s="4">
        <f t="shared" si="112"/>
        <v>0.31053194113294424</v>
      </c>
      <c r="W1182" t="str">
        <f t="shared" si="113"/>
        <v>Nov</v>
      </c>
    </row>
    <row r="1183" spans="1:23" x14ac:dyDescent="0.25">
      <c r="A1183" t="s">
        <v>1597</v>
      </c>
      <c r="B1183" t="s">
        <v>1598</v>
      </c>
      <c r="C1183" s="2">
        <v>45899.878472222219</v>
      </c>
      <c r="D1183" t="s">
        <v>67</v>
      </c>
      <c r="E1183" t="s">
        <v>68</v>
      </c>
      <c r="F1183" t="s">
        <v>37</v>
      </c>
      <c r="G1183" t="s">
        <v>38</v>
      </c>
      <c r="H1183">
        <v>2</v>
      </c>
      <c r="I1183" s="3">
        <v>1299</v>
      </c>
      <c r="J1183" s="4">
        <v>0</v>
      </c>
      <c r="K1183" s="3">
        <v>99</v>
      </c>
      <c r="L1183" t="s">
        <v>100</v>
      </c>
      <c r="M1183" t="s">
        <v>101</v>
      </c>
      <c r="N1183" t="s">
        <v>102</v>
      </c>
      <c r="O1183" t="s">
        <v>32</v>
      </c>
      <c r="P1183" t="s">
        <v>33</v>
      </c>
      <c r="R1183" s="3">
        <f t="shared" si="108"/>
        <v>2598</v>
      </c>
      <c r="S1183" s="3">
        <f t="shared" si="109"/>
        <v>0</v>
      </c>
      <c r="T1183" s="3">
        <f t="shared" si="110"/>
        <v>2697</v>
      </c>
      <c r="U1183" s="3">
        <f t="shared" si="111"/>
        <v>878.40000000000009</v>
      </c>
      <c r="V1183" s="4">
        <f t="shared" si="112"/>
        <v>0.32569521690767522</v>
      </c>
      <c r="W1183" t="str">
        <f t="shared" si="113"/>
        <v>Aug</v>
      </c>
    </row>
    <row r="1184" spans="1:23" x14ac:dyDescent="0.25">
      <c r="A1184" t="s">
        <v>1599</v>
      </c>
      <c r="B1184" t="s">
        <v>697</v>
      </c>
      <c r="C1184" s="2">
        <v>45780.229166666657</v>
      </c>
      <c r="D1184" t="s">
        <v>67</v>
      </c>
      <c r="E1184" t="s">
        <v>68</v>
      </c>
      <c r="F1184" t="s">
        <v>37</v>
      </c>
      <c r="G1184" t="s">
        <v>38</v>
      </c>
      <c r="H1184">
        <v>2</v>
      </c>
      <c r="I1184" s="3"/>
      <c r="J1184" s="4">
        <v>0</v>
      </c>
      <c r="K1184" s="3">
        <v>59</v>
      </c>
      <c r="L1184" t="s">
        <v>100</v>
      </c>
      <c r="M1184" t="s">
        <v>101</v>
      </c>
      <c r="N1184" t="s">
        <v>71</v>
      </c>
      <c r="O1184" t="s">
        <v>93</v>
      </c>
      <c r="P1184" t="s">
        <v>80</v>
      </c>
      <c r="Q1184">
        <v>1</v>
      </c>
      <c r="R1184" s="3">
        <f t="shared" si="108"/>
        <v>0</v>
      </c>
      <c r="S1184" s="3">
        <f t="shared" si="109"/>
        <v>0</v>
      </c>
      <c r="T1184" s="3">
        <f t="shared" si="110"/>
        <v>59</v>
      </c>
      <c r="U1184" s="3">
        <f t="shared" si="111"/>
        <v>59</v>
      </c>
      <c r="V1184" s="4">
        <f t="shared" si="112"/>
        <v>1</v>
      </c>
      <c r="W1184" t="str">
        <f t="shared" si="113"/>
        <v>May</v>
      </c>
    </row>
    <row r="1185" spans="1:23" x14ac:dyDescent="0.25">
      <c r="A1185" t="s">
        <v>1600</v>
      </c>
      <c r="B1185" t="s">
        <v>198</v>
      </c>
      <c r="C1185" s="2">
        <v>45783.901388888888</v>
      </c>
      <c r="D1185" t="s">
        <v>67</v>
      </c>
      <c r="E1185" t="s">
        <v>68</v>
      </c>
      <c r="F1185" t="s">
        <v>37</v>
      </c>
      <c r="G1185" t="s">
        <v>38</v>
      </c>
      <c r="H1185">
        <v>2</v>
      </c>
      <c r="I1185" s="3">
        <v>1299</v>
      </c>
      <c r="J1185" s="4">
        <v>0</v>
      </c>
      <c r="K1185" s="3">
        <v>49</v>
      </c>
      <c r="L1185" t="s">
        <v>125</v>
      </c>
      <c r="M1185" t="s">
        <v>126</v>
      </c>
      <c r="N1185" t="s">
        <v>102</v>
      </c>
      <c r="O1185" t="s">
        <v>93</v>
      </c>
      <c r="P1185" t="s">
        <v>52</v>
      </c>
      <c r="R1185" s="3">
        <f t="shared" si="108"/>
        <v>2598</v>
      </c>
      <c r="S1185" s="3">
        <f t="shared" si="109"/>
        <v>0</v>
      </c>
      <c r="T1185" s="3">
        <f t="shared" si="110"/>
        <v>2647</v>
      </c>
      <c r="U1185" s="3">
        <f t="shared" si="111"/>
        <v>828.40000000000009</v>
      </c>
      <c r="V1185" s="4">
        <f t="shared" si="112"/>
        <v>0.31295806573479412</v>
      </c>
      <c r="W1185" t="str">
        <f t="shared" si="113"/>
        <v>May</v>
      </c>
    </row>
    <row r="1186" spans="1:23" x14ac:dyDescent="0.25">
      <c r="A1186" t="s">
        <v>1601</v>
      </c>
      <c r="B1186" t="s">
        <v>381</v>
      </c>
      <c r="C1186" s="2">
        <v>45739.311805555553</v>
      </c>
      <c r="D1186" t="s">
        <v>44</v>
      </c>
      <c r="E1186" t="s">
        <v>45</v>
      </c>
      <c r="F1186" t="s">
        <v>46</v>
      </c>
      <c r="G1186" t="s">
        <v>47</v>
      </c>
      <c r="H1186">
        <v>3</v>
      </c>
      <c r="I1186" s="3">
        <v>1199</v>
      </c>
      <c r="J1186" s="4">
        <v>0</v>
      </c>
      <c r="K1186" s="3">
        <v>0</v>
      </c>
      <c r="L1186" t="s">
        <v>74</v>
      </c>
      <c r="M1186" t="s">
        <v>49</v>
      </c>
      <c r="N1186" t="s">
        <v>40</v>
      </c>
      <c r="O1186" t="s">
        <v>32</v>
      </c>
      <c r="P1186" t="s">
        <v>80</v>
      </c>
      <c r="Q1186">
        <v>4</v>
      </c>
      <c r="R1186" s="3">
        <f t="shared" si="108"/>
        <v>3597</v>
      </c>
      <c r="S1186" s="3">
        <f t="shared" si="109"/>
        <v>0</v>
      </c>
      <c r="T1186" s="3">
        <f t="shared" si="110"/>
        <v>3597</v>
      </c>
      <c r="U1186" s="3">
        <f t="shared" si="111"/>
        <v>1079.1000000000004</v>
      </c>
      <c r="V1186" s="4">
        <f t="shared" si="112"/>
        <v>0.3000000000000001</v>
      </c>
      <c r="W1186" t="str">
        <f t="shared" si="113"/>
        <v>Mar</v>
      </c>
    </row>
    <row r="1187" spans="1:23" x14ac:dyDescent="0.25">
      <c r="A1187" t="s">
        <v>1602</v>
      </c>
      <c r="B1187" t="s">
        <v>224</v>
      </c>
      <c r="C1187" s="2">
        <v>45791.94027777778</v>
      </c>
      <c r="D1187" t="s">
        <v>96</v>
      </c>
      <c r="E1187" t="s">
        <v>97</v>
      </c>
      <c r="F1187" t="s">
        <v>98</v>
      </c>
      <c r="G1187" t="s">
        <v>99</v>
      </c>
      <c r="H1187">
        <v>3</v>
      </c>
      <c r="I1187" s="3">
        <v>1499</v>
      </c>
      <c r="J1187" s="4">
        <v>0.2</v>
      </c>
      <c r="K1187" s="3">
        <v>99</v>
      </c>
      <c r="L1187" t="s">
        <v>29</v>
      </c>
      <c r="M1187" t="s">
        <v>30</v>
      </c>
      <c r="N1187" t="s">
        <v>31</v>
      </c>
      <c r="O1187" t="s">
        <v>59</v>
      </c>
      <c r="P1187" t="s">
        <v>33</v>
      </c>
      <c r="Q1187">
        <v>4</v>
      </c>
      <c r="R1187" s="3">
        <f t="shared" si="108"/>
        <v>4497</v>
      </c>
      <c r="S1187" s="3">
        <f t="shared" si="109"/>
        <v>899.40000000000009</v>
      </c>
      <c r="T1187" s="3">
        <f t="shared" si="110"/>
        <v>3696.6</v>
      </c>
      <c r="U1187" s="3">
        <f t="shared" si="111"/>
        <v>548.70000000000027</v>
      </c>
      <c r="V1187" s="4">
        <f t="shared" si="112"/>
        <v>0.14843369582859933</v>
      </c>
      <c r="W1187" t="str">
        <f t="shared" si="113"/>
        <v>May</v>
      </c>
    </row>
    <row r="1188" spans="1:23" x14ac:dyDescent="0.25">
      <c r="A1188" t="s">
        <v>1603</v>
      </c>
      <c r="B1188" t="s">
        <v>164</v>
      </c>
      <c r="C1188" s="2">
        <v>45861.992361111108</v>
      </c>
      <c r="D1188" t="s">
        <v>77</v>
      </c>
      <c r="E1188" t="s">
        <v>78</v>
      </c>
      <c r="F1188" t="s">
        <v>79</v>
      </c>
      <c r="G1188" t="s">
        <v>28</v>
      </c>
      <c r="H1188">
        <v>1</v>
      </c>
      <c r="I1188" s="3">
        <v>6499</v>
      </c>
      <c r="J1188" s="4">
        <v>0.05</v>
      </c>
      <c r="K1188" s="3">
        <v>79</v>
      </c>
      <c r="L1188" t="s">
        <v>39</v>
      </c>
      <c r="M1188" t="s">
        <v>39</v>
      </c>
      <c r="N1188" t="s">
        <v>40</v>
      </c>
      <c r="O1188" t="s">
        <v>59</v>
      </c>
      <c r="P1188" t="s">
        <v>33</v>
      </c>
      <c r="R1188" s="3">
        <f t="shared" si="108"/>
        <v>6499</v>
      </c>
      <c r="S1188" s="3">
        <f t="shared" si="109"/>
        <v>324.95000000000005</v>
      </c>
      <c r="T1188" s="3">
        <f t="shared" si="110"/>
        <v>6253.05</v>
      </c>
      <c r="U1188" s="3">
        <f t="shared" si="111"/>
        <v>1703.7500000000009</v>
      </c>
      <c r="V1188" s="4">
        <f t="shared" si="112"/>
        <v>0.27246703608639</v>
      </c>
      <c r="W1188" t="str">
        <f t="shared" si="113"/>
        <v>Jul</v>
      </c>
    </row>
    <row r="1189" spans="1:23" x14ac:dyDescent="0.25">
      <c r="A1189" t="s">
        <v>1604</v>
      </c>
      <c r="B1189" t="s">
        <v>842</v>
      </c>
      <c r="C1189" s="2">
        <v>45792.783333333333</v>
      </c>
      <c r="D1189" t="s">
        <v>55</v>
      </c>
      <c r="E1189" t="s">
        <v>56</v>
      </c>
      <c r="F1189" t="s">
        <v>37</v>
      </c>
      <c r="G1189" t="s">
        <v>38</v>
      </c>
      <c r="H1189">
        <v>1</v>
      </c>
      <c r="I1189" s="3">
        <v>2499</v>
      </c>
      <c r="J1189" s="4">
        <v>0.2</v>
      </c>
      <c r="K1189" s="3">
        <v>49</v>
      </c>
      <c r="L1189" t="s">
        <v>29</v>
      </c>
      <c r="M1189" t="s">
        <v>30</v>
      </c>
      <c r="N1189" t="s">
        <v>40</v>
      </c>
      <c r="O1189" t="s">
        <v>51</v>
      </c>
      <c r="P1189" t="s">
        <v>33</v>
      </c>
      <c r="Q1189">
        <v>2</v>
      </c>
      <c r="R1189" s="3">
        <f t="shared" si="108"/>
        <v>2499</v>
      </c>
      <c r="S1189" s="3">
        <f t="shared" si="109"/>
        <v>499.8</v>
      </c>
      <c r="T1189" s="3">
        <f t="shared" si="110"/>
        <v>2048.1999999999998</v>
      </c>
      <c r="U1189" s="3">
        <f t="shared" si="111"/>
        <v>298.89999999999986</v>
      </c>
      <c r="V1189" s="4">
        <f t="shared" si="112"/>
        <v>0.14593301435406694</v>
      </c>
      <c r="W1189" t="str">
        <f t="shared" si="113"/>
        <v>May</v>
      </c>
    </row>
    <row r="1190" spans="1:23" x14ac:dyDescent="0.25">
      <c r="A1190" t="s">
        <v>1605</v>
      </c>
      <c r="B1190" t="s">
        <v>707</v>
      </c>
      <c r="C1190" s="2">
        <v>45707.445138888892</v>
      </c>
      <c r="D1190" t="s">
        <v>67</v>
      </c>
      <c r="E1190" t="s">
        <v>68</v>
      </c>
      <c r="F1190" t="s">
        <v>37</v>
      </c>
      <c r="G1190" t="s">
        <v>38</v>
      </c>
      <c r="H1190">
        <v>1</v>
      </c>
      <c r="I1190" s="3">
        <v>1299</v>
      </c>
      <c r="J1190" s="4">
        <v>0</v>
      </c>
      <c r="K1190" s="3">
        <v>79</v>
      </c>
      <c r="L1190" t="s">
        <v>119</v>
      </c>
      <c r="M1190" t="s">
        <v>120</v>
      </c>
      <c r="N1190" t="s">
        <v>50</v>
      </c>
      <c r="O1190" t="s">
        <v>51</v>
      </c>
      <c r="P1190" t="s">
        <v>80</v>
      </c>
      <c r="Q1190">
        <v>3</v>
      </c>
      <c r="R1190" s="3">
        <f t="shared" si="108"/>
        <v>1299</v>
      </c>
      <c r="S1190" s="3">
        <f t="shared" si="109"/>
        <v>0</v>
      </c>
      <c r="T1190" s="3">
        <f t="shared" si="110"/>
        <v>1378</v>
      </c>
      <c r="U1190" s="3">
        <f t="shared" si="111"/>
        <v>468.70000000000005</v>
      </c>
      <c r="V1190" s="4">
        <f t="shared" si="112"/>
        <v>0.3401306240928883</v>
      </c>
      <c r="W1190" t="str">
        <f t="shared" si="113"/>
        <v>Feb</v>
      </c>
    </row>
    <row r="1191" spans="1:23" x14ac:dyDescent="0.25">
      <c r="A1191" t="s">
        <v>1606</v>
      </c>
      <c r="B1191" t="s">
        <v>1370</v>
      </c>
      <c r="C1191" s="2">
        <v>45888.927777777782</v>
      </c>
      <c r="D1191" t="s">
        <v>110</v>
      </c>
      <c r="E1191" t="s">
        <v>111</v>
      </c>
      <c r="F1191" t="s">
        <v>98</v>
      </c>
      <c r="G1191" t="s">
        <v>112</v>
      </c>
      <c r="H1191">
        <v>1</v>
      </c>
      <c r="I1191" s="3">
        <v>2999</v>
      </c>
      <c r="J1191" s="4">
        <v>0.05</v>
      </c>
      <c r="K1191" s="3">
        <v>99</v>
      </c>
      <c r="L1191" t="s">
        <v>119</v>
      </c>
      <c r="M1191" t="s">
        <v>120</v>
      </c>
      <c r="N1191" t="s">
        <v>50</v>
      </c>
      <c r="O1191" t="s">
        <v>41</v>
      </c>
      <c r="P1191" t="s">
        <v>85</v>
      </c>
      <c r="Q1191">
        <v>5</v>
      </c>
      <c r="R1191" s="3">
        <f t="shared" si="108"/>
        <v>2999</v>
      </c>
      <c r="S1191" s="3">
        <f t="shared" si="109"/>
        <v>149.95000000000002</v>
      </c>
      <c r="T1191" s="3">
        <f t="shared" si="110"/>
        <v>2948.05</v>
      </c>
      <c r="U1191" s="3">
        <f t="shared" si="111"/>
        <v>848.75000000000045</v>
      </c>
      <c r="V1191" s="4">
        <f t="shared" si="112"/>
        <v>0.28790217262258117</v>
      </c>
      <c r="W1191" t="str">
        <f t="shared" si="113"/>
        <v>Aug</v>
      </c>
    </row>
    <row r="1192" spans="1:23" x14ac:dyDescent="0.25">
      <c r="A1192" t="s">
        <v>1607</v>
      </c>
      <c r="B1192" t="s">
        <v>158</v>
      </c>
      <c r="C1192" s="2">
        <v>45847.765972222223</v>
      </c>
      <c r="D1192" t="s">
        <v>110</v>
      </c>
      <c r="E1192" t="s">
        <v>111</v>
      </c>
      <c r="F1192" t="s">
        <v>98</v>
      </c>
      <c r="G1192" t="s">
        <v>112</v>
      </c>
      <c r="H1192">
        <v>1</v>
      </c>
      <c r="I1192" s="3">
        <v>2999</v>
      </c>
      <c r="J1192" s="4">
        <v>0.05</v>
      </c>
      <c r="K1192" s="3">
        <v>59</v>
      </c>
      <c r="L1192" t="s">
        <v>39</v>
      </c>
      <c r="M1192" t="s">
        <v>39</v>
      </c>
      <c r="N1192" t="s">
        <v>102</v>
      </c>
      <c r="O1192" t="s">
        <v>51</v>
      </c>
      <c r="P1192" t="s">
        <v>80</v>
      </c>
      <c r="Q1192">
        <v>4</v>
      </c>
      <c r="R1192" s="3">
        <f t="shared" si="108"/>
        <v>2999</v>
      </c>
      <c r="S1192" s="3">
        <f t="shared" si="109"/>
        <v>149.95000000000002</v>
      </c>
      <c r="T1192" s="3">
        <f t="shared" si="110"/>
        <v>2908.05</v>
      </c>
      <c r="U1192" s="3">
        <f t="shared" si="111"/>
        <v>808.75000000000045</v>
      </c>
      <c r="V1192" s="4">
        <f t="shared" si="112"/>
        <v>0.27810732277643108</v>
      </c>
      <c r="W1192" t="str">
        <f t="shared" si="113"/>
        <v>Jul</v>
      </c>
    </row>
    <row r="1193" spans="1:23" x14ac:dyDescent="0.25">
      <c r="A1193" t="s">
        <v>1608</v>
      </c>
      <c r="B1193" t="s">
        <v>252</v>
      </c>
      <c r="C1193" s="2">
        <v>45737.993750000001</v>
      </c>
      <c r="D1193" t="s">
        <v>77</v>
      </c>
      <c r="E1193" t="s">
        <v>78</v>
      </c>
      <c r="F1193" t="s">
        <v>79</v>
      </c>
      <c r="G1193" t="s">
        <v>28</v>
      </c>
      <c r="H1193">
        <v>2</v>
      </c>
      <c r="I1193" s="3">
        <v>6499</v>
      </c>
      <c r="J1193" s="4">
        <v>0</v>
      </c>
      <c r="K1193" s="3">
        <v>49</v>
      </c>
      <c r="L1193" t="s">
        <v>119</v>
      </c>
      <c r="M1193" t="s">
        <v>120</v>
      </c>
      <c r="N1193" t="s">
        <v>40</v>
      </c>
      <c r="O1193" t="s">
        <v>51</v>
      </c>
      <c r="P1193" t="s">
        <v>80</v>
      </c>
      <c r="R1193" s="3">
        <f t="shared" si="108"/>
        <v>12998</v>
      </c>
      <c r="S1193" s="3">
        <f t="shared" si="109"/>
        <v>0</v>
      </c>
      <c r="T1193" s="3">
        <f t="shared" si="110"/>
        <v>13047</v>
      </c>
      <c r="U1193" s="3">
        <f t="shared" si="111"/>
        <v>3948.4000000000015</v>
      </c>
      <c r="V1193" s="4">
        <f t="shared" si="112"/>
        <v>0.30262895684831775</v>
      </c>
      <c r="W1193" t="str">
        <f t="shared" si="113"/>
        <v>Mar</v>
      </c>
    </row>
    <row r="1194" spans="1:23" x14ac:dyDescent="0.25">
      <c r="A1194" t="s">
        <v>1609</v>
      </c>
      <c r="B1194" t="s">
        <v>166</v>
      </c>
      <c r="C1194" s="2">
        <v>45956.381249999999</v>
      </c>
      <c r="D1194" t="s">
        <v>67</v>
      </c>
      <c r="E1194" t="s">
        <v>68</v>
      </c>
      <c r="F1194" t="s">
        <v>37</v>
      </c>
      <c r="G1194" t="s">
        <v>38</v>
      </c>
      <c r="H1194">
        <v>3</v>
      </c>
      <c r="I1194" s="3">
        <v>1299</v>
      </c>
      <c r="J1194" s="4">
        <v>0</v>
      </c>
      <c r="K1194" s="3">
        <v>59</v>
      </c>
      <c r="L1194" t="s">
        <v>39</v>
      </c>
      <c r="M1194" t="s">
        <v>39</v>
      </c>
      <c r="N1194" t="s">
        <v>102</v>
      </c>
      <c r="O1194" t="s">
        <v>32</v>
      </c>
      <c r="P1194" t="s">
        <v>85</v>
      </c>
      <c r="Q1194">
        <v>4</v>
      </c>
      <c r="R1194" s="3">
        <f t="shared" si="108"/>
        <v>3897</v>
      </c>
      <c r="S1194" s="3">
        <f t="shared" si="109"/>
        <v>0</v>
      </c>
      <c r="T1194" s="3">
        <f t="shared" si="110"/>
        <v>3956</v>
      </c>
      <c r="U1194" s="3">
        <f t="shared" si="111"/>
        <v>1228.1000000000004</v>
      </c>
      <c r="V1194" s="4">
        <f t="shared" si="112"/>
        <v>0.31043983822042476</v>
      </c>
      <c r="W1194" t="str">
        <f t="shared" si="113"/>
        <v>Oct</v>
      </c>
    </row>
    <row r="1195" spans="1:23" x14ac:dyDescent="0.25">
      <c r="A1195" t="s">
        <v>1610</v>
      </c>
      <c r="B1195" t="s">
        <v>623</v>
      </c>
      <c r="C1195" s="2">
        <v>45834.839583333327</v>
      </c>
      <c r="D1195" t="s">
        <v>90</v>
      </c>
      <c r="E1195" t="s">
        <v>91</v>
      </c>
      <c r="F1195" t="s">
        <v>37</v>
      </c>
      <c r="G1195" t="s">
        <v>92</v>
      </c>
      <c r="H1195">
        <v>4</v>
      </c>
      <c r="I1195" s="3">
        <v>3499</v>
      </c>
      <c r="J1195" s="4">
        <v>0.15</v>
      </c>
      <c r="K1195" s="3">
        <v>59</v>
      </c>
      <c r="L1195" t="s">
        <v>125</v>
      </c>
      <c r="M1195" t="s">
        <v>126</v>
      </c>
      <c r="N1195" t="s">
        <v>71</v>
      </c>
      <c r="O1195" t="s">
        <v>59</v>
      </c>
      <c r="P1195" t="s">
        <v>85</v>
      </c>
      <c r="R1195" s="3">
        <f t="shared" si="108"/>
        <v>13996</v>
      </c>
      <c r="S1195" s="3">
        <f t="shared" si="109"/>
        <v>2099.4</v>
      </c>
      <c r="T1195" s="3">
        <f t="shared" si="110"/>
        <v>11955.6</v>
      </c>
      <c r="U1195" s="3">
        <f t="shared" si="111"/>
        <v>2158.4000000000015</v>
      </c>
      <c r="V1195" s="4">
        <f t="shared" si="112"/>
        <v>0.1805346448526215</v>
      </c>
      <c r="W1195" t="str">
        <f t="shared" si="113"/>
        <v>Jun</v>
      </c>
    </row>
    <row r="1196" spans="1:23" x14ac:dyDescent="0.25">
      <c r="A1196" t="s">
        <v>1611</v>
      </c>
      <c r="B1196" t="s">
        <v>986</v>
      </c>
      <c r="C1196" s="2">
        <v>45904.229166666657</v>
      </c>
      <c r="D1196" t="s">
        <v>90</v>
      </c>
      <c r="E1196" t="s">
        <v>91</v>
      </c>
      <c r="F1196" t="s">
        <v>37</v>
      </c>
      <c r="G1196" t="s">
        <v>92</v>
      </c>
      <c r="H1196">
        <v>3</v>
      </c>
      <c r="I1196" s="3">
        <v>3499</v>
      </c>
      <c r="J1196" s="4">
        <v>0</v>
      </c>
      <c r="K1196" s="3">
        <v>0</v>
      </c>
      <c r="L1196" t="s">
        <v>100</v>
      </c>
      <c r="M1196" t="s">
        <v>101</v>
      </c>
      <c r="N1196" t="s">
        <v>50</v>
      </c>
      <c r="O1196" t="s">
        <v>51</v>
      </c>
      <c r="P1196" t="s">
        <v>52</v>
      </c>
      <c r="Q1196">
        <v>2</v>
      </c>
      <c r="R1196" s="3">
        <f t="shared" si="108"/>
        <v>10497</v>
      </c>
      <c r="S1196" s="3">
        <f t="shared" si="109"/>
        <v>0</v>
      </c>
      <c r="T1196" s="3">
        <f t="shared" si="110"/>
        <v>10497</v>
      </c>
      <c r="U1196" s="3">
        <f t="shared" si="111"/>
        <v>3149.1000000000004</v>
      </c>
      <c r="V1196" s="4">
        <f t="shared" si="112"/>
        <v>0.30000000000000004</v>
      </c>
      <c r="W1196" t="str">
        <f t="shared" si="113"/>
        <v>Sep</v>
      </c>
    </row>
    <row r="1197" spans="1:23" x14ac:dyDescent="0.25">
      <c r="A1197" t="s">
        <v>1612</v>
      </c>
      <c r="B1197" t="s">
        <v>173</v>
      </c>
      <c r="C1197" s="2">
        <v>45719.841666666667</v>
      </c>
      <c r="D1197" t="s">
        <v>67</v>
      </c>
      <c r="E1197" t="s">
        <v>68</v>
      </c>
      <c r="F1197" t="s">
        <v>37</v>
      </c>
      <c r="G1197" t="s">
        <v>38</v>
      </c>
      <c r="H1197">
        <v>1</v>
      </c>
      <c r="I1197" s="3">
        <v>1299</v>
      </c>
      <c r="J1197" s="4">
        <v>0.1</v>
      </c>
      <c r="K1197" s="3">
        <v>79</v>
      </c>
      <c r="L1197" t="s">
        <v>100</v>
      </c>
      <c r="M1197" t="s">
        <v>101</v>
      </c>
      <c r="N1197" t="s">
        <v>31</v>
      </c>
      <c r="O1197" t="s">
        <v>32</v>
      </c>
      <c r="P1197" t="s">
        <v>33</v>
      </c>
      <c r="Q1197">
        <v>2</v>
      </c>
      <c r="R1197" s="3">
        <f t="shared" si="108"/>
        <v>1299</v>
      </c>
      <c r="S1197" s="3">
        <f t="shared" si="109"/>
        <v>129.9</v>
      </c>
      <c r="T1197" s="3">
        <f t="shared" si="110"/>
        <v>1248.0999999999999</v>
      </c>
      <c r="U1197" s="3">
        <f t="shared" si="111"/>
        <v>338.79999999999995</v>
      </c>
      <c r="V1197" s="4">
        <f t="shared" si="112"/>
        <v>0.27145260796410542</v>
      </c>
      <c r="W1197" t="str">
        <f t="shared" si="113"/>
        <v>Mar</v>
      </c>
    </row>
    <row r="1198" spans="1:23" x14ac:dyDescent="0.25">
      <c r="A1198" t="s">
        <v>1613</v>
      </c>
      <c r="B1198" t="s">
        <v>138</v>
      </c>
      <c r="C1198" s="2">
        <v>45674.527777777781</v>
      </c>
      <c r="D1198" t="s">
        <v>77</v>
      </c>
      <c r="E1198" t="s">
        <v>78</v>
      </c>
      <c r="F1198" t="s">
        <v>79</v>
      </c>
      <c r="G1198" t="s">
        <v>28</v>
      </c>
      <c r="H1198">
        <v>1</v>
      </c>
      <c r="I1198" s="3">
        <v>6499</v>
      </c>
      <c r="J1198" s="4">
        <v>0.05</v>
      </c>
      <c r="K1198" s="3">
        <v>99</v>
      </c>
      <c r="L1198" t="s">
        <v>113</v>
      </c>
      <c r="M1198" t="s">
        <v>114</v>
      </c>
      <c r="N1198" t="s">
        <v>71</v>
      </c>
      <c r="O1198" t="s">
        <v>32</v>
      </c>
      <c r="P1198" t="s">
        <v>33</v>
      </c>
      <c r="Q1198">
        <v>5</v>
      </c>
      <c r="R1198" s="3">
        <f t="shared" si="108"/>
        <v>6499</v>
      </c>
      <c r="S1198" s="3">
        <f t="shared" si="109"/>
        <v>324.95000000000005</v>
      </c>
      <c r="T1198" s="3">
        <f t="shared" si="110"/>
        <v>6273.05</v>
      </c>
      <c r="U1198" s="3">
        <f t="shared" si="111"/>
        <v>1723.7500000000009</v>
      </c>
      <c r="V1198" s="4">
        <f t="shared" si="112"/>
        <v>0.2747865870668974</v>
      </c>
      <c r="W1198" t="str">
        <f t="shared" si="113"/>
        <v>Jan</v>
      </c>
    </row>
    <row r="1199" spans="1:23" x14ac:dyDescent="0.25">
      <c r="A1199" t="s">
        <v>1614</v>
      </c>
      <c r="B1199" t="s">
        <v>360</v>
      </c>
      <c r="C1199" s="2">
        <v>45686.60833333333</v>
      </c>
      <c r="D1199" t="s">
        <v>77</v>
      </c>
      <c r="E1199" t="s">
        <v>78</v>
      </c>
      <c r="F1199" t="s">
        <v>79</v>
      </c>
      <c r="G1199" t="s">
        <v>28</v>
      </c>
      <c r="H1199">
        <v>3</v>
      </c>
      <c r="I1199" s="3">
        <v>6499</v>
      </c>
      <c r="J1199" s="4">
        <v>0</v>
      </c>
      <c r="K1199" s="3">
        <v>49</v>
      </c>
      <c r="L1199" t="s">
        <v>83</v>
      </c>
      <c r="M1199" t="s">
        <v>84</v>
      </c>
      <c r="N1199" t="s">
        <v>50</v>
      </c>
      <c r="O1199" t="s">
        <v>41</v>
      </c>
      <c r="P1199" t="s">
        <v>85</v>
      </c>
      <c r="Q1199">
        <v>2</v>
      </c>
      <c r="R1199" s="3">
        <f t="shared" si="108"/>
        <v>19497</v>
      </c>
      <c r="S1199" s="3">
        <f t="shared" si="109"/>
        <v>0</v>
      </c>
      <c r="T1199" s="3">
        <f>IFERROR(R1199-S1199+K1199,"")</f>
        <v>19546</v>
      </c>
      <c r="U1199" s="3">
        <f t="shared" si="111"/>
        <v>5898.1</v>
      </c>
      <c r="V1199" s="4">
        <f t="shared" si="112"/>
        <v>0.30175483474879772</v>
      </c>
      <c r="W1199" t="str">
        <f t="shared" si="113"/>
        <v>Jan</v>
      </c>
    </row>
    <row r="1200" spans="1:23" x14ac:dyDescent="0.25">
      <c r="A1200" t="s">
        <v>1615</v>
      </c>
      <c r="B1200" t="s">
        <v>87</v>
      </c>
      <c r="C1200" s="2">
        <v>45969.357638888891</v>
      </c>
      <c r="D1200" t="s">
        <v>77</v>
      </c>
      <c r="E1200" t="s">
        <v>78</v>
      </c>
      <c r="F1200" t="s">
        <v>79</v>
      </c>
      <c r="G1200" t="s">
        <v>28</v>
      </c>
      <c r="H1200">
        <v>1</v>
      </c>
      <c r="I1200" s="3">
        <v>6499</v>
      </c>
      <c r="J1200" s="4">
        <v>0</v>
      </c>
      <c r="K1200" s="3">
        <v>49</v>
      </c>
      <c r="L1200" t="s">
        <v>119</v>
      </c>
      <c r="M1200" t="s">
        <v>120</v>
      </c>
      <c r="N1200" t="s">
        <v>50</v>
      </c>
      <c r="O1200" t="s">
        <v>32</v>
      </c>
      <c r="P1200" t="s">
        <v>33</v>
      </c>
      <c r="Q1200">
        <v>3</v>
      </c>
      <c r="R1200" s="3">
        <f t="shared" si="108"/>
        <v>6499</v>
      </c>
      <c r="S1200" s="3">
        <f t="shared" si="109"/>
        <v>0</v>
      </c>
      <c r="T1200" s="3">
        <f t="shared" si="110"/>
        <v>6548</v>
      </c>
      <c r="U1200" s="3">
        <f t="shared" si="111"/>
        <v>1998.7000000000007</v>
      </c>
      <c r="V1200" s="4">
        <f t="shared" si="112"/>
        <v>0.30523824068417849</v>
      </c>
      <c r="W1200" t="str">
        <f t="shared" si="113"/>
        <v>Nov</v>
      </c>
    </row>
    <row r="1201" spans="1:23" x14ac:dyDescent="0.25">
      <c r="A1201" t="s">
        <v>1616</v>
      </c>
      <c r="B1201" t="s">
        <v>1059</v>
      </c>
      <c r="C1201" s="2">
        <v>45957.770833333343</v>
      </c>
      <c r="D1201" t="s">
        <v>35</v>
      </c>
      <c r="E1201" t="s">
        <v>36</v>
      </c>
      <c r="F1201" t="s">
        <v>37</v>
      </c>
      <c r="G1201" t="s">
        <v>38</v>
      </c>
      <c r="H1201">
        <v>1</v>
      </c>
      <c r="I1201" s="3">
        <v>599</v>
      </c>
      <c r="J1201" s="4">
        <v>0</v>
      </c>
      <c r="K1201" s="3">
        <v>99</v>
      </c>
      <c r="L1201" t="s">
        <v>113</v>
      </c>
      <c r="M1201" t="s">
        <v>114</v>
      </c>
      <c r="N1201" t="s">
        <v>71</v>
      </c>
      <c r="O1201" t="s">
        <v>93</v>
      </c>
      <c r="P1201" t="s">
        <v>52</v>
      </c>
      <c r="Q1201">
        <v>2</v>
      </c>
      <c r="R1201" s="3">
        <f t="shared" si="108"/>
        <v>599</v>
      </c>
      <c r="S1201" s="3">
        <f t="shared" si="109"/>
        <v>0</v>
      </c>
      <c r="T1201" s="3">
        <f t="shared" si="110"/>
        <v>698</v>
      </c>
      <c r="U1201" s="3">
        <f t="shared" si="111"/>
        <v>278.70000000000005</v>
      </c>
      <c r="V1201" s="4">
        <f t="shared" si="112"/>
        <v>0.39928366762177658</v>
      </c>
      <c r="W1201" t="str">
        <f t="shared" si="113"/>
        <v>Oct</v>
      </c>
    </row>
    <row r="1202" spans="1:23" x14ac:dyDescent="0.25">
      <c r="A1202" t="s">
        <v>802</v>
      </c>
      <c r="B1202" t="s">
        <v>403</v>
      </c>
      <c r="C1202" s="2">
        <v>45869.287499999999</v>
      </c>
      <c r="D1202" t="s">
        <v>25</v>
      </c>
      <c r="E1202" t="s">
        <v>26</v>
      </c>
      <c r="F1202" t="s">
        <v>27</v>
      </c>
      <c r="G1202" t="s">
        <v>28</v>
      </c>
      <c r="H1202">
        <v>3</v>
      </c>
      <c r="I1202" s="3">
        <v>249</v>
      </c>
      <c r="J1202" s="4"/>
      <c r="K1202" s="3">
        <v>49</v>
      </c>
      <c r="L1202" t="s">
        <v>83</v>
      </c>
      <c r="M1202" t="s">
        <v>84</v>
      </c>
      <c r="N1202" t="s">
        <v>31</v>
      </c>
      <c r="O1202" t="s">
        <v>59</v>
      </c>
      <c r="P1202" t="s">
        <v>33</v>
      </c>
      <c r="Q1202">
        <v>5</v>
      </c>
      <c r="R1202" s="3">
        <f t="shared" si="108"/>
        <v>747</v>
      </c>
      <c r="S1202" s="3">
        <f t="shared" si="109"/>
        <v>0</v>
      </c>
      <c r="T1202" s="3">
        <f t="shared" si="110"/>
        <v>796</v>
      </c>
      <c r="U1202" s="3">
        <f t="shared" si="111"/>
        <v>273.10000000000002</v>
      </c>
      <c r="V1202" s="4">
        <f t="shared" si="112"/>
        <v>0.34309045226130658</v>
      </c>
      <c r="W1202" t="str">
        <f t="shared" si="113"/>
        <v>Jul</v>
      </c>
    </row>
    <row r="1203" spans="1:23" x14ac:dyDescent="0.25">
      <c r="A1203" t="s">
        <v>799</v>
      </c>
      <c r="B1203" t="s">
        <v>800</v>
      </c>
      <c r="C1203" s="2">
        <v>45661.724305555559</v>
      </c>
      <c r="D1203" t="s">
        <v>110</v>
      </c>
      <c r="E1203" t="s">
        <v>111</v>
      </c>
      <c r="F1203" t="s">
        <v>98</v>
      </c>
      <c r="G1203" t="s">
        <v>112</v>
      </c>
      <c r="H1203">
        <v>1</v>
      </c>
      <c r="I1203" s="3">
        <v>2999</v>
      </c>
      <c r="J1203" s="4">
        <v>0.1</v>
      </c>
      <c r="K1203" s="3">
        <v>99</v>
      </c>
      <c r="L1203" t="s">
        <v>125</v>
      </c>
      <c r="M1203" t="s">
        <v>126</v>
      </c>
      <c r="N1203" t="s">
        <v>40</v>
      </c>
      <c r="O1203" t="s">
        <v>41</v>
      </c>
      <c r="P1203" t="s">
        <v>33</v>
      </c>
      <c r="Q1203">
        <v>2</v>
      </c>
      <c r="R1203" s="3">
        <f t="shared" si="108"/>
        <v>2999</v>
      </c>
      <c r="S1203" s="3">
        <f t="shared" si="109"/>
        <v>299.90000000000003</v>
      </c>
      <c r="T1203" s="3">
        <f t="shared" si="110"/>
        <v>2798.1</v>
      </c>
      <c r="U1203" s="3">
        <f t="shared" si="111"/>
        <v>698.80000000000018</v>
      </c>
      <c r="V1203" s="4">
        <f t="shared" si="112"/>
        <v>0.24974089560773388</v>
      </c>
      <c r="W1203" t="str">
        <f t="shared" si="113"/>
        <v>Jan</v>
      </c>
    </row>
    <row r="1204" spans="1:23" x14ac:dyDescent="0.25">
      <c r="A1204" t="s">
        <v>1434</v>
      </c>
      <c r="B1204" t="s">
        <v>24</v>
      </c>
      <c r="C1204" s="2">
        <v>45812.378472222219</v>
      </c>
      <c r="D1204" t="s">
        <v>105</v>
      </c>
      <c r="E1204" t="s">
        <v>106</v>
      </c>
      <c r="F1204" t="s">
        <v>37</v>
      </c>
      <c r="G1204" t="s">
        <v>107</v>
      </c>
      <c r="H1204">
        <v>2</v>
      </c>
      <c r="I1204" s="3">
        <v>1799</v>
      </c>
      <c r="J1204" s="4">
        <v>0.15</v>
      </c>
      <c r="K1204" s="3">
        <v>79</v>
      </c>
      <c r="L1204" t="s">
        <v>57</v>
      </c>
      <c r="M1204" t="s">
        <v>58</v>
      </c>
      <c r="N1204" t="s">
        <v>50</v>
      </c>
      <c r="O1204" t="s">
        <v>59</v>
      </c>
      <c r="P1204" t="s">
        <v>33</v>
      </c>
      <c r="R1204" s="3">
        <f t="shared" si="108"/>
        <v>3598</v>
      </c>
      <c r="S1204" s="3">
        <f t="shared" si="109"/>
        <v>539.69999999999993</v>
      </c>
      <c r="T1204" s="3">
        <f t="shared" si="110"/>
        <v>3137.3</v>
      </c>
      <c r="U1204" s="3">
        <f t="shared" si="111"/>
        <v>618.70000000000027</v>
      </c>
      <c r="V1204" s="4">
        <f t="shared" si="112"/>
        <v>0.19720779013801684</v>
      </c>
      <c r="W1204" t="str">
        <f t="shared" si="113"/>
        <v>Jun</v>
      </c>
    </row>
    <row r="1205" spans="1:23" x14ac:dyDescent="0.25">
      <c r="A1205" t="s">
        <v>353</v>
      </c>
      <c r="B1205" t="s">
        <v>354</v>
      </c>
      <c r="C1205" s="2">
        <v>46022.70416666667</v>
      </c>
      <c r="D1205" t="s">
        <v>169</v>
      </c>
      <c r="E1205" t="s">
        <v>170</v>
      </c>
      <c r="F1205" t="s">
        <v>98</v>
      </c>
      <c r="G1205" t="s">
        <v>171</v>
      </c>
      <c r="H1205">
        <v>4</v>
      </c>
      <c r="I1205" s="3">
        <v>799</v>
      </c>
      <c r="J1205" s="4">
        <v>0.05</v>
      </c>
      <c r="K1205" s="3">
        <v>0</v>
      </c>
      <c r="L1205" t="s">
        <v>83</v>
      </c>
      <c r="M1205" t="s">
        <v>84</v>
      </c>
      <c r="N1205" t="s">
        <v>71</v>
      </c>
      <c r="O1205" t="s">
        <v>59</v>
      </c>
      <c r="P1205" t="s">
        <v>33</v>
      </c>
      <c r="Q1205">
        <v>5</v>
      </c>
      <c r="R1205" s="3">
        <f t="shared" si="108"/>
        <v>3196</v>
      </c>
      <c r="S1205" s="3">
        <f t="shared" si="109"/>
        <v>159.80000000000001</v>
      </c>
      <c r="T1205" s="3">
        <f t="shared" si="110"/>
        <v>3036.2</v>
      </c>
      <c r="U1205" s="3">
        <f t="shared" si="111"/>
        <v>799</v>
      </c>
      <c r="V1205" s="4">
        <f t="shared" si="112"/>
        <v>0.26315789473684215</v>
      </c>
      <c r="W1205" t="str">
        <f t="shared" si="113"/>
        <v>Dec</v>
      </c>
    </row>
    <row r="1206" spans="1:23" x14ac:dyDescent="0.25">
      <c r="A1206" t="s">
        <v>1048</v>
      </c>
      <c r="B1206" t="s">
        <v>304</v>
      </c>
      <c r="C1206" s="2">
        <v>45679.979861111111</v>
      </c>
      <c r="D1206" t="s">
        <v>110</v>
      </c>
      <c r="E1206" t="s">
        <v>111</v>
      </c>
      <c r="F1206" t="s">
        <v>98</v>
      </c>
      <c r="G1206" t="s">
        <v>112</v>
      </c>
      <c r="H1206">
        <v>1</v>
      </c>
      <c r="I1206" s="3">
        <v>2999</v>
      </c>
      <c r="J1206" s="4">
        <v>0</v>
      </c>
      <c r="K1206" s="3">
        <v>0</v>
      </c>
      <c r="L1206" t="s">
        <v>83</v>
      </c>
      <c r="M1206" t="s">
        <v>84</v>
      </c>
      <c r="N1206" t="s">
        <v>102</v>
      </c>
      <c r="O1206" t="s">
        <v>51</v>
      </c>
      <c r="P1206" t="s">
        <v>33</v>
      </c>
      <c r="R1206" s="3">
        <f t="shared" si="108"/>
        <v>2999</v>
      </c>
      <c r="S1206" s="3">
        <f t="shared" si="109"/>
        <v>0</v>
      </c>
      <c r="T1206" s="3">
        <f t="shared" si="110"/>
        <v>2999</v>
      </c>
      <c r="U1206" s="3">
        <f t="shared" si="111"/>
        <v>899.70000000000027</v>
      </c>
      <c r="V1206" s="4">
        <f t="shared" si="112"/>
        <v>0.3000000000000001</v>
      </c>
      <c r="W1206" t="str">
        <f t="shared" si="113"/>
        <v>Jan</v>
      </c>
    </row>
    <row r="1207" spans="1:23" x14ac:dyDescent="0.25">
      <c r="A1207" t="s">
        <v>1423</v>
      </c>
      <c r="B1207" t="s">
        <v>707</v>
      </c>
      <c r="C1207" s="2">
        <v>45709.410416666673</v>
      </c>
      <c r="D1207" t="s">
        <v>105</v>
      </c>
      <c r="E1207" t="s">
        <v>106</v>
      </c>
      <c r="F1207" t="s">
        <v>37</v>
      </c>
      <c r="G1207" t="s">
        <v>107</v>
      </c>
      <c r="H1207">
        <v>3</v>
      </c>
      <c r="I1207" s="3">
        <v>1799</v>
      </c>
      <c r="J1207" s="4">
        <v>0.05</v>
      </c>
      <c r="K1207" s="3">
        <v>79</v>
      </c>
      <c r="L1207" t="s">
        <v>100</v>
      </c>
      <c r="M1207" t="s">
        <v>101</v>
      </c>
      <c r="N1207" t="s">
        <v>71</v>
      </c>
      <c r="O1207" t="s">
        <v>32</v>
      </c>
      <c r="P1207" t="s">
        <v>80</v>
      </c>
      <c r="Q1207">
        <v>3</v>
      </c>
      <c r="R1207" s="3">
        <f t="shared" si="108"/>
        <v>5397</v>
      </c>
      <c r="S1207" s="3">
        <f t="shared" si="109"/>
        <v>269.85000000000002</v>
      </c>
      <c r="T1207" s="3">
        <f t="shared" si="110"/>
        <v>5206.1499999999996</v>
      </c>
      <c r="U1207" s="3">
        <f t="shared" si="111"/>
        <v>1428.25</v>
      </c>
      <c r="V1207" s="4">
        <f t="shared" si="112"/>
        <v>0.27433900291001989</v>
      </c>
      <c r="W1207" t="str">
        <f t="shared" si="113"/>
        <v>Feb</v>
      </c>
    </row>
    <row r="1208" spans="1:23" x14ac:dyDescent="0.25">
      <c r="A1208" t="s">
        <v>371</v>
      </c>
      <c r="B1208" t="s">
        <v>372</v>
      </c>
      <c r="C1208" s="2">
        <v>45680.288888888892</v>
      </c>
      <c r="D1208" t="s">
        <v>90</v>
      </c>
      <c r="E1208" t="s">
        <v>91</v>
      </c>
      <c r="F1208" t="s">
        <v>37</v>
      </c>
      <c r="G1208" t="s">
        <v>92</v>
      </c>
      <c r="H1208">
        <v>1</v>
      </c>
      <c r="I1208" s="3">
        <v>3499</v>
      </c>
      <c r="J1208" s="4">
        <v>0.05</v>
      </c>
      <c r="K1208" s="3">
        <v>59</v>
      </c>
      <c r="L1208" t="s">
        <v>39</v>
      </c>
      <c r="M1208" t="s">
        <v>39</v>
      </c>
      <c r="N1208" t="s">
        <v>40</v>
      </c>
      <c r="O1208" t="s">
        <v>32</v>
      </c>
      <c r="P1208" t="s">
        <v>33</v>
      </c>
      <c r="Q1208">
        <v>4</v>
      </c>
      <c r="R1208" s="3">
        <f t="shared" si="108"/>
        <v>3499</v>
      </c>
      <c r="S1208" s="3">
        <f t="shared" si="109"/>
        <v>174.95000000000002</v>
      </c>
      <c r="T1208" s="3">
        <f t="shared" si="110"/>
        <v>3383.05</v>
      </c>
      <c r="U1208" s="3">
        <f t="shared" si="111"/>
        <v>933.75000000000045</v>
      </c>
      <c r="V1208" s="4">
        <f t="shared" si="112"/>
        <v>0.27600833567343092</v>
      </c>
      <c r="W1208" t="str">
        <f t="shared" si="113"/>
        <v>Jan</v>
      </c>
    </row>
    <row r="1209" spans="1:23" x14ac:dyDescent="0.25">
      <c r="A1209" t="s">
        <v>1225</v>
      </c>
      <c r="B1209" t="s">
        <v>43</v>
      </c>
      <c r="C1209" s="2">
        <v>45883.563888888893</v>
      </c>
      <c r="D1209" t="s">
        <v>96</v>
      </c>
      <c r="E1209" t="s">
        <v>97</v>
      </c>
      <c r="F1209" t="s">
        <v>98</v>
      </c>
      <c r="G1209" t="s">
        <v>99</v>
      </c>
      <c r="H1209">
        <v>1</v>
      </c>
      <c r="I1209" s="3">
        <v>1499</v>
      </c>
      <c r="J1209" s="4">
        <v>0.2</v>
      </c>
      <c r="K1209" s="3">
        <v>79</v>
      </c>
      <c r="L1209" t="s">
        <v>57</v>
      </c>
      <c r="M1209" t="s">
        <v>58</v>
      </c>
      <c r="N1209" t="s">
        <v>40</v>
      </c>
      <c r="O1209" t="s">
        <v>93</v>
      </c>
      <c r="P1209" t="s">
        <v>85</v>
      </c>
      <c r="R1209" s="3">
        <f t="shared" si="108"/>
        <v>1499</v>
      </c>
      <c r="S1209" s="3">
        <f t="shared" si="109"/>
        <v>299.8</v>
      </c>
      <c r="T1209" s="3">
        <f t="shared" si="110"/>
        <v>1278.2</v>
      </c>
      <c r="U1209" s="3">
        <f t="shared" si="111"/>
        <v>228.90000000000009</v>
      </c>
      <c r="V1209" s="4">
        <f t="shared" si="112"/>
        <v>0.17907995618838998</v>
      </c>
      <c r="W1209" t="str">
        <f t="shared" si="113"/>
        <v>Aug</v>
      </c>
    </row>
    <row r="1210" spans="1:23" x14ac:dyDescent="0.25">
      <c r="A1210" t="s">
        <v>1141</v>
      </c>
      <c r="B1210" t="s">
        <v>347</v>
      </c>
      <c r="C1210" s="2">
        <v>45708.42291666667</v>
      </c>
      <c r="D1210" t="s">
        <v>35</v>
      </c>
      <c r="E1210" t="s">
        <v>36</v>
      </c>
      <c r="F1210" t="s">
        <v>37</v>
      </c>
      <c r="G1210" t="s">
        <v>38</v>
      </c>
      <c r="H1210">
        <v>1</v>
      </c>
      <c r="I1210" s="3">
        <v>599</v>
      </c>
      <c r="J1210" s="4">
        <v>0.05</v>
      </c>
      <c r="K1210" s="3">
        <v>59</v>
      </c>
      <c r="L1210" t="s">
        <v>39</v>
      </c>
      <c r="M1210" t="s">
        <v>39</v>
      </c>
      <c r="N1210" t="s">
        <v>31</v>
      </c>
      <c r="O1210" t="s">
        <v>93</v>
      </c>
      <c r="P1210" t="s">
        <v>52</v>
      </c>
      <c r="Q1210">
        <v>2</v>
      </c>
      <c r="R1210" s="3">
        <f t="shared" si="108"/>
        <v>599</v>
      </c>
      <c r="S1210" s="3">
        <f t="shared" si="109"/>
        <v>29.950000000000003</v>
      </c>
      <c r="T1210" s="3">
        <f t="shared" si="110"/>
        <v>628.04999999999995</v>
      </c>
      <c r="U1210" s="3">
        <f t="shared" si="111"/>
        <v>208.75</v>
      </c>
      <c r="V1210" s="4">
        <f t="shared" si="112"/>
        <v>0.33237799538253326</v>
      </c>
      <c r="W1210" t="str">
        <f t="shared" si="113"/>
        <v>Feb</v>
      </c>
    </row>
    <row r="1211" spans="1:23" x14ac:dyDescent="0.25">
      <c r="A1211" t="s">
        <v>185</v>
      </c>
      <c r="B1211" t="s">
        <v>186</v>
      </c>
      <c r="C1211" s="2">
        <v>45916.578472222223</v>
      </c>
      <c r="D1211" t="s">
        <v>90</v>
      </c>
      <c r="E1211" t="s">
        <v>91</v>
      </c>
      <c r="F1211" t="s">
        <v>37</v>
      </c>
      <c r="G1211" t="s">
        <v>92</v>
      </c>
      <c r="H1211">
        <v>3</v>
      </c>
      <c r="I1211" s="3">
        <v>3499</v>
      </c>
      <c r="J1211" s="4">
        <v>0.1</v>
      </c>
      <c r="K1211" s="3">
        <v>49</v>
      </c>
      <c r="L1211" t="s">
        <v>125</v>
      </c>
      <c r="M1211" t="s">
        <v>126</v>
      </c>
      <c r="N1211" t="s">
        <v>40</v>
      </c>
      <c r="O1211" t="s">
        <v>51</v>
      </c>
      <c r="P1211" t="s">
        <v>85</v>
      </c>
      <c r="R1211" s="3">
        <f t="shared" si="108"/>
        <v>10497</v>
      </c>
      <c r="S1211" s="3">
        <f>IFERROR(R1211*J1211,"")</f>
        <v>1049.7</v>
      </c>
      <c r="T1211" s="3">
        <f t="shared" si="110"/>
        <v>9496.2999999999993</v>
      </c>
      <c r="U1211" s="3">
        <f>IFERROR(T1211-(R1211*70%),"")</f>
        <v>2148.3999999999996</v>
      </c>
      <c r="V1211" s="4">
        <f t="shared" si="112"/>
        <v>0.22623548118740983</v>
      </c>
      <c r="W1211" t="str">
        <f t="shared" si="113"/>
        <v>Sep</v>
      </c>
    </row>
    <row r="1212" spans="1:23" x14ac:dyDescent="0.25">
      <c r="A1212" t="s">
        <v>1548</v>
      </c>
      <c r="B1212" t="s">
        <v>993</v>
      </c>
      <c r="C1212" s="2">
        <v>45915.026388888888</v>
      </c>
      <c r="D1212" t="s">
        <v>55</v>
      </c>
      <c r="E1212" t="s">
        <v>56</v>
      </c>
      <c r="F1212" t="s">
        <v>37</v>
      </c>
      <c r="G1212" t="s">
        <v>38</v>
      </c>
      <c r="H1212">
        <v>4</v>
      </c>
      <c r="I1212" s="3">
        <v>2499</v>
      </c>
      <c r="J1212" s="4">
        <v>0</v>
      </c>
      <c r="K1212" s="3">
        <v>59</v>
      </c>
      <c r="L1212" t="s">
        <v>74</v>
      </c>
      <c r="M1212" t="s">
        <v>49</v>
      </c>
      <c r="N1212" t="s">
        <v>40</v>
      </c>
      <c r="O1212" t="s">
        <v>93</v>
      </c>
      <c r="P1212" t="s">
        <v>33</v>
      </c>
      <c r="R1212" s="3">
        <f>IFERROR(H1212*I1212,"")</f>
        <v>9996</v>
      </c>
      <c r="S1212" s="3">
        <f>IFERROR(R1212*J1212,"")</f>
        <v>0</v>
      </c>
      <c r="T1212" s="3">
        <f t="shared" si="110"/>
        <v>10055</v>
      </c>
      <c r="U1212" s="3">
        <f>IFERROR(T1212-(R1212*70%),"")</f>
        <v>3057.8</v>
      </c>
      <c r="V1212" s="4">
        <f t="shared" si="112"/>
        <v>0.30410740924912982</v>
      </c>
      <c r="W1212" t="str">
        <f t="shared" si="113"/>
        <v>Sep</v>
      </c>
    </row>
    <row r="1213" spans="1:23" x14ac:dyDescent="0.25">
      <c r="A1213" t="s">
        <v>330</v>
      </c>
      <c r="B1213" t="s">
        <v>175</v>
      </c>
      <c r="C1213" s="2">
        <v>45979.42291666667</v>
      </c>
      <c r="D1213" t="s">
        <v>44</v>
      </c>
      <c r="E1213" t="s">
        <v>45</v>
      </c>
      <c r="F1213" t="s">
        <v>46</v>
      </c>
      <c r="G1213" t="s">
        <v>47</v>
      </c>
      <c r="H1213">
        <v>1</v>
      </c>
      <c r="I1213" s="3">
        <v>1199</v>
      </c>
      <c r="J1213" s="4">
        <v>0</v>
      </c>
      <c r="K1213" s="3">
        <v>79</v>
      </c>
      <c r="L1213" t="s">
        <v>125</v>
      </c>
      <c r="M1213" t="s">
        <v>126</v>
      </c>
      <c r="N1213" t="s">
        <v>71</v>
      </c>
      <c r="O1213" t="s">
        <v>51</v>
      </c>
      <c r="P1213" t="s">
        <v>52</v>
      </c>
      <c r="Q1213">
        <v>5</v>
      </c>
      <c r="R1213" s="3">
        <f t="shared" si="108"/>
        <v>1199</v>
      </c>
      <c r="S1213" s="3">
        <f>IFERROR(R1213*J1213,"")</f>
        <v>0</v>
      </c>
      <c r="T1213" s="3">
        <f>IFERROR(R1213-S1213+K1213,"")</f>
        <v>1278</v>
      </c>
      <c r="U1213" s="3">
        <f>IFERROR(T1213-(R1213*70%),"")</f>
        <v>438.70000000000005</v>
      </c>
      <c r="V1213" s="4">
        <f>IFERROR(U1213/T1213,"")</f>
        <v>0.34327073552425669</v>
      </c>
      <c r="W1213" t="str">
        <f t="shared" si="113"/>
        <v>Nov</v>
      </c>
    </row>
  </sheetData>
  <autoFilter ref="A1:W1213"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324C3-39C1-4C3D-A01B-D5D296C0ABEB}">
  <dimension ref="A1:Y1201"/>
  <sheetViews>
    <sheetView zoomScale="90" zoomScaleNormal="90" workbookViewId="0"/>
  </sheetViews>
  <sheetFormatPr defaultRowHeight="15" x14ac:dyDescent="0.25"/>
  <cols>
    <col min="1" max="1" width="11.28515625" bestFit="1" customWidth="1"/>
    <col min="2" max="2" width="14.7109375" bestFit="1" customWidth="1"/>
    <col min="3" max="3" width="13.5703125" bestFit="1" customWidth="1"/>
    <col min="4" max="4" width="13" bestFit="1" customWidth="1"/>
    <col min="5" max="5" width="20.140625" bestFit="1" customWidth="1"/>
    <col min="6" max="6" width="15.42578125" bestFit="1" customWidth="1"/>
    <col min="7" max="7" width="15.5703125" bestFit="1" customWidth="1"/>
    <col min="8" max="8" width="11" bestFit="1" customWidth="1"/>
    <col min="9" max="9" width="12.5703125" bestFit="1" customWidth="1"/>
    <col min="10" max="10" width="13.5703125" bestFit="1" customWidth="1"/>
    <col min="11" max="11" width="16" bestFit="1" customWidth="1"/>
    <col min="12" max="12" width="11.7109375" bestFit="1" customWidth="1"/>
    <col min="13" max="13" width="13.140625" bestFit="1" customWidth="1"/>
    <col min="14" max="14" width="16.28515625" bestFit="1" customWidth="1"/>
    <col min="15" max="15" width="19.5703125" bestFit="1" customWidth="1"/>
    <col min="16" max="16" width="14.85546875" bestFit="1" customWidth="1"/>
    <col min="17" max="17" width="18.5703125" bestFit="1" customWidth="1"/>
    <col min="18" max="18" width="13.85546875" customWidth="1"/>
    <col min="19" max="19" width="16.140625" customWidth="1"/>
    <col min="20" max="20" width="12.42578125" customWidth="1"/>
    <col min="21" max="21" width="12.85546875" customWidth="1"/>
    <col min="22" max="22" width="13" style="7" customWidth="1"/>
    <col min="25" max="25" width="18.8554687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1619</v>
      </c>
      <c r="T1" t="s">
        <v>1620</v>
      </c>
      <c r="U1" t="s">
        <v>20</v>
      </c>
      <c r="V1" s="7" t="s">
        <v>1621</v>
      </c>
      <c r="W1" t="s">
        <v>22</v>
      </c>
    </row>
    <row r="2" spans="1:25" x14ac:dyDescent="0.25">
      <c r="A2" t="s">
        <v>23</v>
      </c>
      <c r="B2" t="s">
        <v>24</v>
      </c>
      <c r="C2" s="6">
        <v>45798</v>
      </c>
      <c r="D2" t="s">
        <v>25</v>
      </c>
      <c r="E2" t="s">
        <v>26</v>
      </c>
      <c r="F2" t="s">
        <v>27</v>
      </c>
      <c r="G2" t="s">
        <v>28</v>
      </c>
      <c r="H2">
        <v>1</v>
      </c>
      <c r="I2">
        <v>249</v>
      </c>
      <c r="J2">
        <v>0.2</v>
      </c>
      <c r="K2">
        <v>0</v>
      </c>
      <c r="L2" t="s">
        <v>29</v>
      </c>
      <c r="M2" t="s">
        <v>30</v>
      </c>
      <c r="N2" t="s">
        <v>31</v>
      </c>
      <c r="O2" t="s">
        <v>32</v>
      </c>
      <c r="P2" t="s">
        <v>33</v>
      </c>
      <c r="Q2">
        <v>4</v>
      </c>
      <c r="R2">
        <f>IFERROR(Table1_1[[#This Row],[Unit_Price]]*Table1_1[[#This Row],[Quantity]],"")</f>
        <v>249</v>
      </c>
      <c r="S2">
        <f>IFERROR(Table1_1[[#This Row],[Gross_Sales]]*Table1_1[[#This Row],[Discount_%]],"")</f>
        <v>49.800000000000004</v>
      </c>
      <c r="T2">
        <f>IFERROR(Table1_1[[#This Row],[Gross_Sales]]-Table1_1[[#This Row],[Discount_amount]]+Table1_1[[#This Row],[Shipping_Cost]],"")</f>
        <v>199.2</v>
      </c>
      <c r="U2">
        <f>IFERROR(Table1_1[[#This Row],[Net_Sale]]-(Table1_1[[#This Row],[Gross_Sales]]*70%),"")</f>
        <v>24.900000000000006</v>
      </c>
      <c r="V2" s="7">
        <f>IFERROR(Table1_1[[#This Row],[Profit]]/Table1_1[[#This Row],[Net_Sale]],"")</f>
        <v>0.12500000000000003</v>
      </c>
      <c r="W2" t="str">
        <f>TEXT(Table1_1[[#This Row],[Order_Date]],"mmm")</f>
        <v>May</v>
      </c>
      <c r="Y2" s="8" t="s">
        <v>1622</v>
      </c>
    </row>
    <row r="3" spans="1:25" x14ac:dyDescent="0.25">
      <c r="A3" t="s">
        <v>34</v>
      </c>
      <c r="B3" t="s">
        <v>24</v>
      </c>
      <c r="C3" s="6">
        <v>45777</v>
      </c>
      <c r="D3" t="s">
        <v>35</v>
      </c>
      <c r="E3" t="s">
        <v>36</v>
      </c>
      <c r="F3" t="s">
        <v>37</v>
      </c>
      <c r="G3" t="s">
        <v>38</v>
      </c>
      <c r="H3">
        <v>1</v>
      </c>
      <c r="I3">
        <v>599</v>
      </c>
      <c r="J3">
        <v>0.15</v>
      </c>
      <c r="K3">
        <v>49</v>
      </c>
      <c r="L3" t="s">
        <v>39</v>
      </c>
      <c r="M3" t="s">
        <v>39</v>
      </c>
      <c r="N3" t="s">
        <v>40</v>
      </c>
      <c r="O3" t="s">
        <v>41</v>
      </c>
      <c r="P3" t="s">
        <v>33</v>
      </c>
      <c r="Q3">
        <v>4</v>
      </c>
      <c r="R3">
        <f>IFERROR(Table1_1[[#This Row],[Unit_Price]]*Table1_1[[#This Row],[Quantity]],"")</f>
        <v>599</v>
      </c>
      <c r="S3">
        <f>IFERROR(Table1_1[[#This Row],[Gross_Sales]]*Table1_1[[#This Row],[Discount_%]],"")</f>
        <v>89.85</v>
      </c>
      <c r="T3">
        <f>IFERROR(Table1_1[[#This Row],[Gross_Sales]]-Table1_1[[#This Row],[Discount_amount]]+Table1_1[[#This Row],[Shipping_Cost]],"")</f>
        <v>558.15</v>
      </c>
      <c r="U3">
        <f>IFERROR(Table1_1[[#This Row],[Net_Sale]]-(Table1_1[[#This Row],[Gross_Sales]]*70%),"")</f>
        <v>138.85000000000002</v>
      </c>
      <c r="V3" s="7">
        <f>IFERROR(Table1_1[[#This Row],[Profit]]/Table1_1[[#This Row],[Net_Sale]],"")</f>
        <v>0.2487682522619368</v>
      </c>
      <c r="W3" t="str">
        <f>TEXT(Table1_1[[#This Row],[Order_Date]],"mmm")</f>
        <v>Apr</v>
      </c>
      <c r="Y3" t="str" cm="1">
        <f t="array" ref="Y3:Y25">TRANSPOSE(Table1_1[#Headers])</f>
        <v>Order_ID</v>
      </c>
    </row>
    <row r="4" spans="1:25" x14ac:dyDescent="0.25">
      <c r="A4" t="s">
        <v>42</v>
      </c>
      <c r="B4" t="s">
        <v>43</v>
      </c>
      <c r="C4" s="6">
        <v>45661</v>
      </c>
      <c r="D4" t="s">
        <v>44</v>
      </c>
      <c r="E4" t="s">
        <v>45</v>
      </c>
      <c r="F4" t="s">
        <v>46</v>
      </c>
      <c r="G4" t="s">
        <v>47</v>
      </c>
      <c r="H4">
        <v>3</v>
      </c>
      <c r="I4">
        <v>1199</v>
      </c>
      <c r="J4">
        <v>0.05</v>
      </c>
      <c r="K4">
        <v>59</v>
      </c>
      <c r="L4" t="s">
        <v>48</v>
      </c>
      <c r="M4" t="s">
        <v>49</v>
      </c>
      <c r="N4" t="s">
        <v>50</v>
      </c>
      <c r="O4" t="s">
        <v>51</v>
      </c>
      <c r="P4" t="s">
        <v>52</v>
      </c>
      <c r="Q4">
        <v>1</v>
      </c>
      <c r="R4">
        <f>IFERROR(Table1_1[[#This Row],[Unit_Price]]*Table1_1[[#This Row],[Quantity]],"")</f>
        <v>3597</v>
      </c>
      <c r="S4">
        <f>IFERROR(Table1_1[[#This Row],[Gross_Sales]]*Table1_1[[#This Row],[Discount_%]],"")</f>
        <v>179.85000000000002</v>
      </c>
      <c r="T4">
        <f>IFERROR(Table1_1[[#This Row],[Gross_Sales]]-Table1_1[[#This Row],[Discount_amount]]+Table1_1[[#This Row],[Shipping_Cost]],"")</f>
        <v>3476.15</v>
      </c>
      <c r="U4">
        <f>IFERROR(Table1_1[[#This Row],[Net_Sale]]-(Table1_1[[#This Row],[Gross_Sales]]*70%),"")</f>
        <v>958.25000000000045</v>
      </c>
      <c r="V4" s="7">
        <f>IFERROR(Table1_1[[#This Row],[Profit]]/Table1_1[[#This Row],[Net_Sale]],"")</f>
        <v>0.27566416869237531</v>
      </c>
      <c r="W4" t="str">
        <f>TEXT(Table1_1[[#This Row],[Order_Date]],"mmm")</f>
        <v>Jan</v>
      </c>
      <c r="Y4" t="str">
        <v>Customer_ID</v>
      </c>
    </row>
    <row r="5" spans="1:25" x14ac:dyDescent="0.25">
      <c r="A5" t="s">
        <v>53</v>
      </c>
      <c r="B5" t="s">
        <v>54</v>
      </c>
      <c r="C5" s="6">
        <v>45834</v>
      </c>
      <c r="D5" t="s">
        <v>55</v>
      </c>
      <c r="E5" t="s">
        <v>56</v>
      </c>
      <c r="F5" t="s">
        <v>37</v>
      </c>
      <c r="G5" t="s">
        <v>38</v>
      </c>
      <c r="H5">
        <v>1</v>
      </c>
      <c r="I5">
        <v>2499</v>
      </c>
      <c r="J5">
        <v>0.2</v>
      </c>
      <c r="K5">
        <v>79</v>
      </c>
      <c r="L5" t="s">
        <v>57</v>
      </c>
      <c r="M5" t="s">
        <v>58</v>
      </c>
      <c r="N5" t="s">
        <v>31</v>
      </c>
      <c r="O5" t="s">
        <v>59</v>
      </c>
      <c r="P5" t="s">
        <v>33</v>
      </c>
      <c r="Q5">
        <v>1</v>
      </c>
      <c r="R5">
        <f>IFERROR(Table1_1[[#This Row],[Unit_Price]]*Table1_1[[#This Row],[Quantity]],"")</f>
        <v>2499</v>
      </c>
      <c r="S5">
        <f>IFERROR(Table1_1[[#This Row],[Gross_Sales]]*Table1_1[[#This Row],[Discount_%]],"")</f>
        <v>499.8</v>
      </c>
      <c r="T5">
        <f>IFERROR(Table1_1[[#This Row],[Gross_Sales]]-Table1_1[[#This Row],[Discount_amount]]+Table1_1[[#This Row],[Shipping_Cost]],"")</f>
        <v>2078.1999999999998</v>
      </c>
      <c r="U5">
        <f>IFERROR(Table1_1[[#This Row],[Net_Sale]]-(Table1_1[[#This Row],[Gross_Sales]]*70%),"")</f>
        <v>328.89999999999986</v>
      </c>
      <c r="V5" s="7">
        <f>IFERROR(Table1_1[[#This Row],[Profit]]/Table1_1[[#This Row],[Net_Sale]],"")</f>
        <v>0.15826195746318925</v>
      </c>
      <c r="W5" t="str">
        <f>TEXT(Table1_1[[#This Row],[Order_Date]],"mmm")</f>
        <v>Jun</v>
      </c>
      <c r="Y5" t="str">
        <v>Order_Date</v>
      </c>
    </row>
    <row r="6" spans="1:25" x14ac:dyDescent="0.25">
      <c r="A6" t="s">
        <v>60</v>
      </c>
      <c r="B6" t="s">
        <v>61</v>
      </c>
      <c r="C6" s="6">
        <v>45974</v>
      </c>
      <c r="D6" t="s">
        <v>62</v>
      </c>
      <c r="E6" t="s">
        <v>63</v>
      </c>
      <c r="F6" t="s">
        <v>46</v>
      </c>
      <c r="G6" t="s">
        <v>64</v>
      </c>
      <c r="H6">
        <v>3</v>
      </c>
      <c r="I6">
        <v>699</v>
      </c>
      <c r="J6">
        <v>0.2</v>
      </c>
      <c r="K6">
        <v>0</v>
      </c>
      <c r="L6" t="s">
        <v>48</v>
      </c>
      <c r="M6" t="s">
        <v>49</v>
      </c>
      <c r="N6" t="s">
        <v>50</v>
      </c>
      <c r="O6" t="s">
        <v>51</v>
      </c>
      <c r="P6" t="s">
        <v>33</v>
      </c>
      <c r="Q6">
        <v>1</v>
      </c>
      <c r="R6">
        <f>IFERROR(Table1_1[[#This Row],[Unit_Price]]*Table1_1[[#This Row],[Quantity]],"")</f>
        <v>2097</v>
      </c>
      <c r="S6">
        <f>IFERROR(Table1_1[[#This Row],[Gross_Sales]]*Table1_1[[#This Row],[Discount_%]],"")</f>
        <v>419.40000000000003</v>
      </c>
      <c r="T6">
        <f>IFERROR(Table1_1[[#This Row],[Gross_Sales]]-Table1_1[[#This Row],[Discount_amount]]+Table1_1[[#This Row],[Shipping_Cost]],"")</f>
        <v>1677.6</v>
      </c>
      <c r="U6">
        <f>IFERROR(Table1_1[[#This Row],[Net_Sale]]-(Table1_1[[#This Row],[Gross_Sales]]*70%),"")</f>
        <v>209.70000000000005</v>
      </c>
      <c r="V6" s="7">
        <f>IFERROR(Table1_1[[#This Row],[Profit]]/Table1_1[[#This Row],[Net_Sale]],"")</f>
        <v>0.12500000000000003</v>
      </c>
      <c r="W6" t="str">
        <f>TEXT(Table1_1[[#This Row],[Order_Date]],"mmm")</f>
        <v>Nov</v>
      </c>
      <c r="Y6" t="str">
        <v>Product_ID</v>
      </c>
    </row>
    <row r="7" spans="1:25" x14ac:dyDescent="0.25">
      <c r="A7" t="s">
        <v>65</v>
      </c>
      <c r="B7" t="s">
        <v>66</v>
      </c>
      <c r="C7" s="6">
        <v>45890</v>
      </c>
      <c r="D7" t="s">
        <v>67</v>
      </c>
      <c r="E7" t="s">
        <v>68</v>
      </c>
      <c r="F7" t="s">
        <v>37</v>
      </c>
      <c r="G7" t="s">
        <v>38</v>
      </c>
      <c r="H7">
        <v>1</v>
      </c>
      <c r="I7">
        <v>2017</v>
      </c>
      <c r="J7">
        <v>0</v>
      </c>
      <c r="K7">
        <v>59</v>
      </c>
      <c r="L7" t="s">
        <v>29</v>
      </c>
      <c r="M7" t="s">
        <v>30</v>
      </c>
      <c r="N7" t="s">
        <v>50</v>
      </c>
      <c r="O7" t="s">
        <v>51</v>
      </c>
      <c r="P7" t="s">
        <v>33</v>
      </c>
      <c r="Q7">
        <v>3</v>
      </c>
      <c r="R7">
        <f>IFERROR(Table1_1[[#This Row],[Unit_Price]]*Table1_1[[#This Row],[Quantity]],"")</f>
        <v>2017</v>
      </c>
      <c r="S7">
        <f>IFERROR(Table1_1[[#This Row],[Gross_Sales]]*Table1_1[[#This Row],[Discount_%]],"")</f>
        <v>0</v>
      </c>
      <c r="T7">
        <f>IFERROR(Table1_1[[#This Row],[Gross_Sales]]-Table1_1[[#This Row],[Discount_amount]]+Table1_1[[#This Row],[Shipping_Cost]],"")</f>
        <v>2076</v>
      </c>
      <c r="U7">
        <f>IFERROR(Table1_1[[#This Row],[Net_Sale]]-(Table1_1[[#This Row],[Gross_Sales]]*70%),"")</f>
        <v>664.10000000000014</v>
      </c>
      <c r="V7" s="7">
        <f>IFERROR(Table1_1[[#This Row],[Profit]]/Table1_1[[#This Row],[Net_Sale]],"")</f>
        <v>0.31989402697495189</v>
      </c>
      <c r="W7" t="str">
        <f>TEXT(Table1_1[[#This Row],[Order_Date]],"mmm")</f>
        <v>Aug</v>
      </c>
      <c r="Y7" t="str">
        <v>Product_Name</v>
      </c>
    </row>
    <row r="8" spans="1:25" x14ac:dyDescent="0.25">
      <c r="A8" t="s">
        <v>69</v>
      </c>
      <c r="B8" t="s">
        <v>70</v>
      </c>
      <c r="C8" s="6">
        <v>45745</v>
      </c>
      <c r="D8" t="s">
        <v>25</v>
      </c>
      <c r="E8" t="s">
        <v>26</v>
      </c>
      <c r="F8" t="s">
        <v>27</v>
      </c>
      <c r="G8" t="s">
        <v>28</v>
      </c>
      <c r="H8">
        <v>2</v>
      </c>
      <c r="I8">
        <v>249</v>
      </c>
      <c r="J8">
        <v>0</v>
      </c>
      <c r="K8">
        <v>79</v>
      </c>
      <c r="L8" t="s">
        <v>29</v>
      </c>
      <c r="M8" t="s">
        <v>30</v>
      </c>
      <c r="N8" t="s">
        <v>71</v>
      </c>
      <c r="O8" t="s">
        <v>32</v>
      </c>
      <c r="P8" t="s">
        <v>33</v>
      </c>
      <c r="Q8">
        <v>2</v>
      </c>
      <c r="R8">
        <f>IFERROR(Table1_1[[#This Row],[Unit_Price]]*Table1_1[[#This Row],[Quantity]],"")</f>
        <v>498</v>
      </c>
      <c r="S8">
        <f>IFERROR(Table1_1[[#This Row],[Gross_Sales]]*Table1_1[[#This Row],[Discount_%]],"")</f>
        <v>0</v>
      </c>
      <c r="T8">
        <f>IFERROR(Table1_1[[#This Row],[Gross_Sales]]-Table1_1[[#This Row],[Discount_amount]]+Table1_1[[#This Row],[Shipping_Cost]],"")</f>
        <v>577</v>
      </c>
      <c r="U8">
        <f>IFERROR(Table1_1[[#This Row],[Net_Sale]]-(Table1_1[[#This Row],[Gross_Sales]]*70%),"")</f>
        <v>228.40000000000003</v>
      </c>
      <c r="V8" s="7">
        <f>IFERROR(Table1_1[[#This Row],[Profit]]/Table1_1[[#This Row],[Net_Sale]],"")</f>
        <v>0.39584055459272105</v>
      </c>
      <c r="W8" t="str">
        <f>TEXT(Table1_1[[#This Row],[Order_Date]],"mmm")</f>
        <v>Mar</v>
      </c>
      <c r="Y8" t="str">
        <v>Category</v>
      </c>
    </row>
    <row r="9" spans="1:25" x14ac:dyDescent="0.25">
      <c r="A9" t="s">
        <v>72</v>
      </c>
      <c r="B9" t="s">
        <v>73</v>
      </c>
      <c r="C9" s="6">
        <v>45686</v>
      </c>
      <c r="D9" t="s">
        <v>25</v>
      </c>
      <c r="E9" t="s">
        <v>26</v>
      </c>
      <c r="F9" t="s">
        <v>27</v>
      </c>
      <c r="G9" t="s">
        <v>28</v>
      </c>
      <c r="H9">
        <v>3</v>
      </c>
      <c r="I9">
        <v>249</v>
      </c>
      <c r="J9">
        <v>0.05</v>
      </c>
      <c r="K9">
        <v>79</v>
      </c>
      <c r="L9" t="s">
        <v>74</v>
      </c>
      <c r="M9" t="s">
        <v>49</v>
      </c>
      <c r="N9" t="s">
        <v>31</v>
      </c>
      <c r="O9" t="s">
        <v>41</v>
      </c>
      <c r="P9" t="s">
        <v>33</v>
      </c>
      <c r="Q9">
        <v>5</v>
      </c>
      <c r="R9">
        <f>IFERROR(Table1_1[[#This Row],[Unit_Price]]*Table1_1[[#This Row],[Quantity]],"")</f>
        <v>747</v>
      </c>
      <c r="S9">
        <f>IFERROR(Table1_1[[#This Row],[Gross_Sales]]*Table1_1[[#This Row],[Discount_%]],"")</f>
        <v>37.35</v>
      </c>
      <c r="T9">
        <f>IFERROR(Table1_1[[#This Row],[Gross_Sales]]-Table1_1[[#This Row],[Discount_amount]]+Table1_1[[#This Row],[Shipping_Cost]],"")</f>
        <v>788.65</v>
      </c>
      <c r="U9">
        <f>IFERROR(Table1_1[[#This Row],[Net_Sale]]-(Table1_1[[#This Row],[Gross_Sales]]*70%),"")</f>
        <v>265.75</v>
      </c>
      <c r="V9" s="7">
        <f>IFERROR(Table1_1[[#This Row],[Profit]]/Table1_1[[#This Row],[Net_Sale]],"")</f>
        <v>0.33696823686045774</v>
      </c>
      <c r="W9" t="str">
        <f>TEXT(Table1_1[[#This Row],[Order_Date]],"mmm")</f>
        <v>Jan</v>
      </c>
      <c r="Y9" t="str">
        <v>Sub_Category</v>
      </c>
    </row>
    <row r="10" spans="1:25" x14ac:dyDescent="0.25">
      <c r="A10" t="s">
        <v>75</v>
      </c>
      <c r="B10" t="s">
        <v>76</v>
      </c>
      <c r="C10" s="6">
        <v>45913</v>
      </c>
      <c r="D10" t="s">
        <v>77</v>
      </c>
      <c r="E10" t="s">
        <v>78</v>
      </c>
      <c r="F10" t="s">
        <v>79</v>
      </c>
      <c r="G10" t="s">
        <v>28</v>
      </c>
      <c r="H10">
        <v>1</v>
      </c>
      <c r="I10">
        <v>6499</v>
      </c>
      <c r="J10">
        <v>0.1</v>
      </c>
      <c r="K10">
        <v>49</v>
      </c>
      <c r="L10" t="s">
        <v>74</v>
      </c>
      <c r="M10" t="s">
        <v>49</v>
      </c>
      <c r="N10" t="s">
        <v>50</v>
      </c>
      <c r="O10" t="s">
        <v>41</v>
      </c>
      <c r="P10" t="s">
        <v>80</v>
      </c>
      <c r="Q10">
        <v>3</v>
      </c>
      <c r="R10">
        <f>IFERROR(Table1_1[[#This Row],[Unit_Price]]*Table1_1[[#This Row],[Quantity]],"")</f>
        <v>6499</v>
      </c>
      <c r="S10">
        <f>IFERROR(Table1_1[[#This Row],[Gross_Sales]]*Table1_1[[#This Row],[Discount_%]],"")</f>
        <v>649.90000000000009</v>
      </c>
      <c r="T10">
        <f>IFERROR(Table1_1[[#This Row],[Gross_Sales]]-Table1_1[[#This Row],[Discount_amount]]+Table1_1[[#This Row],[Shipping_Cost]],"")</f>
        <v>5898.1</v>
      </c>
      <c r="U10">
        <f>IFERROR(Table1_1[[#This Row],[Net_Sale]]-(Table1_1[[#This Row],[Gross_Sales]]*70%),"")</f>
        <v>1348.8000000000011</v>
      </c>
      <c r="V10" s="7">
        <f>IFERROR(Table1_1[[#This Row],[Profit]]/Table1_1[[#This Row],[Net_Sale]],"")</f>
        <v>0.2286838134314442</v>
      </c>
      <c r="W10" t="str">
        <f>TEXT(Table1_1[[#This Row],[Order_Date]],"mmm")</f>
        <v>Sep</v>
      </c>
      <c r="Y10" t="str">
        <v>Quantity</v>
      </c>
    </row>
    <row r="11" spans="1:25" x14ac:dyDescent="0.25">
      <c r="A11" t="s">
        <v>81</v>
      </c>
      <c r="B11" t="s">
        <v>82</v>
      </c>
      <c r="C11" s="6">
        <v>45957</v>
      </c>
      <c r="D11" t="s">
        <v>62</v>
      </c>
      <c r="E11" t="s">
        <v>63</v>
      </c>
      <c r="F11" t="s">
        <v>46</v>
      </c>
      <c r="G11" t="s">
        <v>64</v>
      </c>
      <c r="H11">
        <v>1</v>
      </c>
      <c r="I11">
        <v>699</v>
      </c>
      <c r="J11">
        <v>0.1</v>
      </c>
      <c r="K11">
        <v>59</v>
      </c>
      <c r="L11" t="s">
        <v>83</v>
      </c>
      <c r="M11" t="s">
        <v>84</v>
      </c>
      <c r="N11" t="s">
        <v>50</v>
      </c>
      <c r="O11" t="s">
        <v>32</v>
      </c>
      <c r="P11" t="s">
        <v>85</v>
      </c>
      <c r="Q11">
        <v>4</v>
      </c>
      <c r="R11">
        <f>IFERROR(Table1_1[[#This Row],[Unit_Price]]*Table1_1[[#This Row],[Quantity]],"")</f>
        <v>699</v>
      </c>
      <c r="S11">
        <f>IFERROR(Table1_1[[#This Row],[Gross_Sales]]*Table1_1[[#This Row],[Discount_%]],"")</f>
        <v>69.900000000000006</v>
      </c>
      <c r="T11">
        <f>IFERROR(Table1_1[[#This Row],[Gross_Sales]]-Table1_1[[#This Row],[Discount_amount]]+Table1_1[[#This Row],[Shipping_Cost]],"")</f>
        <v>688.1</v>
      </c>
      <c r="U11">
        <f>IFERROR(Table1_1[[#This Row],[Net_Sale]]-(Table1_1[[#This Row],[Gross_Sales]]*70%),"")</f>
        <v>198.80000000000007</v>
      </c>
      <c r="V11" s="7">
        <f>IFERROR(Table1_1[[#This Row],[Profit]]/Table1_1[[#This Row],[Net_Sale]],"")</f>
        <v>0.28891149542217709</v>
      </c>
      <c r="W11" t="str">
        <f>TEXT(Table1_1[[#This Row],[Order_Date]],"mmm")</f>
        <v>Oct</v>
      </c>
      <c r="Y11" t="str">
        <v>Unit_Price</v>
      </c>
    </row>
    <row r="12" spans="1:25" x14ac:dyDescent="0.25">
      <c r="A12" t="s">
        <v>86</v>
      </c>
      <c r="B12" t="s">
        <v>87</v>
      </c>
      <c r="C12" s="6">
        <v>45736</v>
      </c>
      <c r="D12" t="s">
        <v>55</v>
      </c>
      <c r="E12" t="s">
        <v>56</v>
      </c>
      <c r="F12" t="s">
        <v>37</v>
      </c>
      <c r="G12" t="s">
        <v>38</v>
      </c>
      <c r="H12">
        <v>3</v>
      </c>
      <c r="I12">
        <v>2499</v>
      </c>
      <c r="J12">
        <v>0.1</v>
      </c>
      <c r="K12">
        <v>99</v>
      </c>
      <c r="L12" t="s">
        <v>39</v>
      </c>
      <c r="M12" t="s">
        <v>39</v>
      </c>
      <c r="N12" t="s">
        <v>40</v>
      </c>
      <c r="O12" t="s">
        <v>59</v>
      </c>
      <c r="P12" t="s">
        <v>80</v>
      </c>
      <c r="Q12">
        <v>5</v>
      </c>
      <c r="R12">
        <f>IFERROR(Table1_1[[#This Row],[Unit_Price]]*Table1_1[[#This Row],[Quantity]],"")</f>
        <v>7497</v>
      </c>
      <c r="S12">
        <f>IFERROR(Table1_1[[#This Row],[Gross_Sales]]*Table1_1[[#This Row],[Discount_%]],"")</f>
        <v>749.7</v>
      </c>
      <c r="T12">
        <f>IFERROR(Table1_1[[#This Row],[Gross_Sales]]-Table1_1[[#This Row],[Discount_amount]]+Table1_1[[#This Row],[Shipping_Cost]],"")</f>
        <v>6846.3</v>
      </c>
      <c r="U12">
        <f>IFERROR(Table1_1[[#This Row],[Net_Sale]]-(Table1_1[[#This Row],[Gross_Sales]]*70%),"")</f>
        <v>1598.4000000000005</v>
      </c>
      <c r="V12" s="7">
        <f>IFERROR(Table1_1[[#This Row],[Profit]]/Table1_1[[#This Row],[Net_Sale]],"")</f>
        <v>0.23346917313001189</v>
      </c>
      <c r="W12" t="str">
        <f>TEXT(Table1_1[[#This Row],[Order_Date]],"mmm")</f>
        <v>Mar</v>
      </c>
      <c r="Y12" t="str">
        <v>Discount_%</v>
      </c>
    </row>
    <row r="13" spans="1:25" x14ac:dyDescent="0.25">
      <c r="A13" t="s">
        <v>88</v>
      </c>
      <c r="B13" t="s">
        <v>89</v>
      </c>
      <c r="C13" s="6">
        <v>45941</v>
      </c>
      <c r="D13" t="s">
        <v>90</v>
      </c>
      <c r="E13" t="s">
        <v>91</v>
      </c>
      <c r="F13" t="s">
        <v>37</v>
      </c>
      <c r="G13" t="s">
        <v>92</v>
      </c>
      <c r="H13">
        <v>1</v>
      </c>
      <c r="I13">
        <v>3499</v>
      </c>
      <c r="J13">
        <v>0</v>
      </c>
      <c r="K13">
        <v>99</v>
      </c>
      <c r="L13" t="s">
        <v>83</v>
      </c>
      <c r="M13" t="s">
        <v>84</v>
      </c>
      <c r="N13" t="s">
        <v>71</v>
      </c>
      <c r="O13" t="s">
        <v>93</v>
      </c>
      <c r="P13" t="s">
        <v>80</v>
      </c>
      <c r="Q13">
        <v>3</v>
      </c>
      <c r="R13">
        <f>IFERROR(Table1_1[[#This Row],[Unit_Price]]*Table1_1[[#This Row],[Quantity]],"")</f>
        <v>3499</v>
      </c>
      <c r="S13">
        <f>IFERROR(Table1_1[[#This Row],[Gross_Sales]]*Table1_1[[#This Row],[Discount_%]],"")</f>
        <v>0</v>
      </c>
      <c r="T13">
        <f>IFERROR(Table1_1[[#This Row],[Gross_Sales]]-Table1_1[[#This Row],[Discount_amount]]+Table1_1[[#This Row],[Shipping_Cost]],"")</f>
        <v>3598</v>
      </c>
      <c r="U13">
        <f>IFERROR(Table1_1[[#This Row],[Net_Sale]]-(Table1_1[[#This Row],[Gross_Sales]]*70%),"")</f>
        <v>1148.7000000000003</v>
      </c>
      <c r="V13" s="7">
        <f>IFERROR(Table1_1[[#This Row],[Profit]]/Table1_1[[#This Row],[Net_Sale]],"")</f>
        <v>0.31926070038910515</v>
      </c>
      <c r="W13" t="str">
        <f>TEXT(Table1_1[[#This Row],[Order_Date]],"mmm")</f>
        <v>Oct</v>
      </c>
      <c r="Y13" t="str">
        <v>Shipping_Cost</v>
      </c>
    </row>
    <row r="14" spans="1:25" x14ac:dyDescent="0.25">
      <c r="A14" t="s">
        <v>94</v>
      </c>
      <c r="B14" t="s">
        <v>95</v>
      </c>
      <c r="C14" s="6">
        <v>45792</v>
      </c>
      <c r="D14" t="s">
        <v>96</v>
      </c>
      <c r="E14" t="s">
        <v>97</v>
      </c>
      <c r="F14" t="s">
        <v>98</v>
      </c>
      <c r="G14" t="s">
        <v>99</v>
      </c>
      <c r="H14">
        <v>2</v>
      </c>
      <c r="I14">
        <v>1499</v>
      </c>
      <c r="J14">
        <v>0.15</v>
      </c>
      <c r="K14">
        <v>0</v>
      </c>
      <c r="L14" t="s">
        <v>100</v>
      </c>
      <c r="M14" t="s">
        <v>101</v>
      </c>
      <c r="N14" t="s">
        <v>102</v>
      </c>
      <c r="O14" t="s">
        <v>32</v>
      </c>
      <c r="P14" t="s">
        <v>33</v>
      </c>
      <c r="Q14">
        <v>2</v>
      </c>
      <c r="R14">
        <f>IFERROR(Table1_1[[#This Row],[Unit_Price]]*Table1_1[[#This Row],[Quantity]],"")</f>
        <v>2998</v>
      </c>
      <c r="S14">
        <f>IFERROR(Table1_1[[#This Row],[Gross_Sales]]*Table1_1[[#This Row],[Discount_%]],"")</f>
        <v>449.7</v>
      </c>
      <c r="T14">
        <f>IFERROR(Table1_1[[#This Row],[Gross_Sales]]-Table1_1[[#This Row],[Discount_amount]]+Table1_1[[#This Row],[Shipping_Cost]],"")</f>
        <v>2548.3000000000002</v>
      </c>
      <c r="U14">
        <f>IFERROR(Table1_1[[#This Row],[Net_Sale]]-(Table1_1[[#This Row],[Gross_Sales]]*70%),"")</f>
        <v>449.70000000000027</v>
      </c>
      <c r="V14" s="7">
        <f>IFERROR(Table1_1[[#This Row],[Profit]]/Table1_1[[#This Row],[Net_Sale]],"")</f>
        <v>0.17647058823529421</v>
      </c>
      <c r="W14" t="str">
        <f>TEXT(Table1_1[[#This Row],[Order_Date]],"mmm")</f>
        <v>May</v>
      </c>
      <c r="Y14" t="str">
        <v>City</v>
      </c>
    </row>
    <row r="15" spans="1:25" x14ac:dyDescent="0.25">
      <c r="A15" t="s">
        <v>103</v>
      </c>
      <c r="B15" t="s">
        <v>104</v>
      </c>
      <c r="C15" s="6">
        <v>45934</v>
      </c>
      <c r="D15" t="s">
        <v>105</v>
      </c>
      <c r="E15" t="s">
        <v>106</v>
      </c>
      <c r="F15" t="s">
        <v>37</v>
      </c>
      <c r="G15" t="s">
        <v>107</v>
      </c>
      <c r="H15">
        <v>3</v>
      </c>
      <c r="I15">
        <v>1799</v>
      </c>
      <c r="J15">
        <v>0.15</v>
      </c>
      <c r="K15">
        <v>59</v>
      </c>
      <c r="L15" t="s">
        <v>74</v>
      </c>
      <c r="M15" t="s">
        <v>49</v>
      </c>
      <c r="N15" t="s">
        <v>31</v>
      </c>
      <c r="O15" t="s">
        <v>93</v>
      </c>
      <c r="P15" t="s">
        <v>33</v>
      </c>
      <c r="Q15">
        <v>3</v>
      </c>
      <c r="R15">
        <f>IFERROR(Table1_1[[#This Row],[Unit_Price]]*Table1_1[[#This Row],[Quantity]],"")</f>
        <v>5397</v>
      </c>
      <c r="S15">
        <f>IFERROR(Table1_1[[#This Row],[Gross_Sales]]*Table1_1[[#This Row],[Discount_%]],"")</f>
        <v>809.55</v>
      </c>
      <c r="T15">
        <f>IFERROR(Table1_1[[#This Row],[Gross_Sales]]-Table1_1[[#This Row],[Discount_amount]]+Table1_1[[#This Row],[Shipping_Cost]],"")</f>
        <v>4646.45</v>
      </c>
      <c r="U15">
        <f>IFERROR(Table1_1[[#This Row],[Net_Sale]]-(Table1_1[[#This Row],[Gross_Sales]]*70%),"")</f>
        <v>868.55000000000018</v>
      </c>
      <c r="V15" s="7">
        <f>IFERROR(Table1_1[[#This Row],[Profit]]/Table1_1[[#This Row],[Net_Sale]],"")</f>
        <v>0.18692765444586731</v>
      </c>
      <c r="W15" t="str">
        <f>TEXT(Table1_1[[#This Row],[Order_Date]],"mmm")</f>
        <v>Oct</v>
      </c>
      <c r="Y15" t="str">
        <v>State</v>
      </c>
    </row>
    <row r="16" spans="1:25" x14ac:dyDescent="0.25">
      <c r="A16" t="s">
        <v>108</v>
      </c>
      <c r="B16" t="s">
        <v>109</v>
      </c>
      <c r="C16" s="6">
        <v>45948</v>
      </c>
      <c r="D16" t="s">
        <v>110</v>
      </c>
      <c r="E16" t="s">
        <v>111</v>
      </c>
      <c r="F16" t="s">
        <v>98</v>
      </c>
      <c r="G16" t="s">
        <v>112</v>
      </c>
      <c r="H16">
        <v>1</v>
      </c>
      <c r="I16">
        <v>2999</v>
      </c>
      <c r="J16">
        <v>0.1</v>
      </c>
      <c r="K16">
        <v>0</v>
      </c>
      <c r="L16" t="s">
        <v>113</v>
      </c>
      <c r="M16" t="s">
        <v>114</v>
      </c>
      <c r="N16" t="s">
        <v>50</v>
      </c>
      <c r="O16" t="s">
        <v>41</v>
      </c>
      <c r="P16" t="s">
        <v>80</v>
      </c>
      <c r="Q16">
        <v>3</v>
      </c>
      <c r="R16">
        <f>IFERROR(Table1_1[[#This Row],[Unit_Price]]*Table1_1[[#This Row],[Quantity]],"")</f>
        <v>2999</v>
      </c>
      <c r="S16">
        <f>IFERROR(Table1_1[[#This Row],[Gross_Sales]]*Table1_1[[#This Row],[Discount_%]],"")</f>
        <v>299.90000000000003</v>
      </c>
      <c r="T16">
        <f>IFERROR(Table1_1[[#This Row],[Gross_Sales]]-Table1_1[[#This Row],[Discount_amount]]+Table1_1[[#This Row],[Shipping_Cost]],"")</f>
        <v>2699.1</v>
      </c>
      <c r="U16">
        <f>IFERROR(Table1_1[[#This Row],[Net_Sale]]-(Table1_1[[#This Row],[Gross_Sales]]*70%),"")</f>
        <v>599.80000000000018</v>
      </c>
      <c r="V16" s="7">
        <f>IFERROR(Table1_1[[#This Row],[Profit]]/Table1_1[[#This Row],[Net_Sale]],"")</f>
        <v>0.22222222222222229</v>
      </c>
      <c r="W16" t="str">
        <f>TEXT(Table1_1[[#This Row],[Order_Date]],"mmm")</f>
        <v>Oct</v>
      </c>
      <c r="Y16" t="str">
        <v>Sales_Channel</v>
      </c>
    </row>
    <row r="17" spans="1:25" x14ac:dyDescent="0.25">
      <c r="A17" t="s">
        <v>115</v>
      </c>
      <c r="B17" t="s">
        <v>116</v>
      </c>
      <c r="C17" s="6">
        <v>45928</v>
      </c>
      <c r="D17" t="s">
        <v>90</v>
      </c>
      <c r="E17" t="s">
        <v>91</v>
      </c>
      <c r="F17" t="s">
        <v>37</v>
      </c>
      <c r="G17" t="s">
        <v>92</v>
      </c>
      <c r="H17">
        <v>1</v>
      </c>
      <c r="I17">
        <v>3499</v>
      </c>
      <c r="J17">
        <v>0.15</v>
      </c>
      <c r="K17">
        <v>49</v>
      </c>
      <c r="L17" t="s">
        <v>83</v>
      </c>
      <c r="M17" t="s">
        <v>84</v>
      </c>
      <c r="N17" t="s">
        <v>40</v>
      </c>
      <c r="O17" t="s">
        <v>51</v>
      </c>
      <c r="P17" t="s">
        <v>33</v>
      </c>
      <c r="Q17">
        <v>4</v>
      </c>
      <c r="R17">
        <f>IFERROR(Table1_1[[#This Row],[Unit_Price]]*Table1_1[[#This Row],[Quantity]],"")</f>
        <v>3499</v>
      </c>
      <c r="S17">
        <f>IFERROR(Table1_1[[#This Row],[Gross_Sales]]*Table1_1[[#This Row],[Discount_%]],"")</f>
        <v>524.85</v>
      </c>
      <c r="T17">
        <f>IFERROR(Table1_1[[#This Row],[Gross_Sales]]-Table1_1[[#This Row],[Discount_amount]]+Table1_1[[#This Row],[Shipping_Cost]],"")</f>
        <v>3023.15</v>
      </c>
      <c r="U17">
        <f>IFERROR(Table1_1[[#This Row],[Net_Sale]]-(Table1_1[[#This Row],[Gross_Sales]]*70%),"")</f>
        <v>573.85000000000036</v>
      </c>
      <c r="V17" s="7">
        <f>IFERROR(Table1_1[[#This Row],[Profit]]/Table1_1[[#This Row],[Net_Sale]],"")</f>
        <v>0.18981856672675862</v>
      </c>
      <c r="W17" t="str">
        <f>TEXT(Table1_1[[#This Row],[Order_Date]],"mmm")</f>
        <v>Sep</v>
      </c>
      <c r="Y17" t="str">
        <v>Payment_Method</v>
      </c>
    </row>
    <row r="18" spans="1:25" x14ac:dyDescent="0.25">
      <c r="A18" t="s">
        <v>117</v>
      </c>
      <c r="B18" t="s">
        <v>118</v>
      </c>
      <c r="C18" s="6">
        <v>45773</v>
      </c>
      <c r="D18" t="s">
        <v>62</v>
      </c>
      <c r="E18" t="s">
        <v>63</v>
      </c>
      <c r="F18" t="s">
        <v>46</v>
      </c>
      <c r="G18" t="s">
        <v>64</v>
      </c>
      <c r="H18">
        <v>1</v>
      </c>
      <c r="I18">
        <v>699</v>
      </c>
      <c r="J18">
        <v>0.15</v>
      </c>
      <c r="K18">
        <v>99</v>
      </c>
      <c r="L18" t="s">
        <v>119</v>
      </c>
      <c r="M18" t="s">
        <v>120</v>
      </c>
      <c r="N18" t="s">
        <v>102</v>
      </c>
      <c r="O18" t="s">
        <v>41</v>
      </c>
      <c r="P18" t="s">
        <v>33</v>
      </c>
      <c r="Q18">
        <v>1</v>
      </c>
      <c r="R18">
        <f>IFERROR(Table1_1[[#This Row],[Unit_Price]]*Table1_1[[#This Row],[Quantity]],"")</f>
        <v>699</v>
      </c>
      <c r="S18">
        <f>IFERROR(Table1_1[[#This Row],[Gross_Sales]]*Table1_1[[#This Row],[Discount_%]],"")</f>
        <v>104.85</v>
      </c>
      <c r="T18">
        <f>IFERROR(Table1_1[[#This Row],[Gross_Sales]]-Table1_1[[#This Row],[Discount_amount]]+Table1_1[[#This Row],[Shipping_Cost]],"")</f>
        <v>693.15</v>
      </c>
      <c r="U18">
        <f>IFERROR(Table1_1[[#This Row],[Net_Sale]]-(Table1_1[[#This Row],[Gross_Sales]]*70%),"")</f>
        <v>203.85000000000002</v>
      </c>
      <c r="V18" s="7">
        <f>IFERROR(Table1_1[[#This Row],[Profit]]/Table1_1[[#This Row],[Net_Sale]],"")</f>
        <v>0.29409218783813029</v>
      </c>
      <c r="W18" t="str">
        <f>TEXT(Table1_1[[#This Row],[Order_Date]],"mmm")</f>
        <v>Apr</v>
      </c>
      <c r="Y18" t="str">
        <v>Order_Status</v>
      </c>
    </row>
    <row r="19" spans="1:25" x14ac:dyDescent="0.25">
      <c r="A19" t="s">
        <v>121</v>
      </c>
      <c r="B19" t="s">
        <v>122</v>
      </c>
      <c r="C19" s="6">
        <v>45674</v>
      </c>
      <c r="D19" t="s">
        <v>55</v>
      </c>
      <c r="E19" t="s">
        <v>56</v>
      </c>
      <c r="F19" t="s">
        <v>37</v>
      </c>
      <c r="G19" t="s">
        <v>38</v>
      </c>
      <c r="H19">
        <v>1</v>
      </c>
      <c r="I19">
        <v>2499</v>
      </c>
      <c r="J19">
        <v>0</v>
      </c>
      <c r="K19">
        <v>59</v>
      </c>
      <c r="L19" t="s">
        <v>39</v>
      </c>
      <c r="M19" t="s">
        <v>39</v>
      </c>
      <c r="N19" t="s">
        <v>50</v>
      </c>
      <c r="O19" t="s">
        <v>32</v>
      </c>
      <c r="P19" t="s">
        <v>85</v>
      </c>
      <c r="Q19">
        <v>2</v>
      </c>
      <c r="R19">
        <f>IFERROR(Table1_1[[#This Row],[Unit_Price]]*Table1_1[[#This Row],[Quantity]],"")</f>
        <v>2499</v>
      </c>
      <c r="S19">
        <f>IFERROR(Table1_1[[#This Row],[Gross_Sales]]*Table1_1[[#This Row],[Discount_%]],"")</f>
        <v>0</v>
      </c>
      <c r="T19">
        <f>IFERROR(Table1_1[[#This Row],[Gross_Sales]]-Table1_1[[#This Row],[Discount_amount]]+Table1_1[[#This Row],[Shipping_Cost]],"")</f>
        <v>2558</v>
      </c>
      <c r="U19">
        <f>IFERROR(Table1_1[[#This Row],[Net_Sale]]-(Table1_1[[#This Row],[Gross_Sales]]*70%),"")</f>
        <v>808.7</v>
      </c>
      <c r="V19" s="7">
        <f>IFERROR(Table1_1[[#This Row],[Profit]]/Table1_1[[#This Row],[Net_Sale]],"")</f>
        <v>0.3161454261141517</v>
      </c>
      <c r="W19" t="str">
        <f>TEXT(Table1_1[[#This Row],[Order_Date]],"mmm")</f>
        <v>Jan</v>
      </c>
      <c r="Y19" t="str">
        <v>Customer_Rating</v>
      </c>
    </row>
    <row r="20" spans="1:25" x14ac:dyDescent="0.25">
      <c r="A20" t="s">
        <v>123</v>
      </c>
      <c r="B20" t="s">
        <v>124</v>
      </c>
      <c r="C20" s="6">
        <v>45782</v>
      </c>
      <c r="D20" t="s">
        <v>77</v>
      </c>
      <c r="E20" t="s">
        <v>78</v>
      </c>
      <c r="F20" t="s">
        <v>79</v>
      </c>
      <c r="G20" t="s">
        <v>28</v>
      </c>
      <c r="H20">
        <v>2</v>
      </c>
      <c r="I20">
        <v>6499</v>
      </c>
      <c r="J20">
        <v>0</v>
      </c>
      <c r="K20">
        <v>0</v>
      </c>
      <c r="L20" t="s">
        <v>125</v>
      </c>
      <c r="M20" t="s">
        <v>126</v>
      </c>
      <c r="N20" t="s">
        <v>40</v>
      </c>
      <c r="O20" t="s">
        <v>51</v>
      </c>
      <c r="P20" t="s">
        <v>52</v>
      </c>
      <c r="Q20">
        <v>4</v>
      </c>
      <c r="R20">
        <f>IFERROR(Table1_1[[#This Row],[Unit_Price]]*Table1_1[[#This Row],[Quantity]],"")</f>
        <v>12998</v>
      </c>
      <c r="S20">
        <f>IFERROR(Table1_1[[#This Row],[Gross_Sales]]*Table1_1[[#This Row],[Discount_%]],"")</f>
        <v>0</v>
      </c>
      <c r="T20">
        <f>IFERROR(Table1_1[[#This Row],[Gross_Sales]]-Table1_1[[#This Row],[Discount_amount]]+Table1_1[[#This Row],[Shipping_Cost]],"")</f>
        <v>12998</v>
      </c>
      <c r="U20">
        <f>IFERROR(Table1_1[[#This Row],[Net_Sale]]-(Table1_1[[#This Row],[Gross_Sales]]*70%),"")</f>
        <v>3899.4000000000015</v>
      </c>
      <c r="V20" s="7">
        <f>IFERROR(Table1_1[[#This Row],[Profit]]/Table1_1[[#This Row],[Net_Sale]],"")</f>
        <v>0.3000000000000001</v>
      </c>
      <c r="W20" t="str">
        <f>TEXT(Table1_1[[#This Row],[Order_Date]],"mmm")</f>
        <v>May</v>
      </c>
      <c r="Y20" t="str">
        <v>Gross_Sales</v>
      </c>
    </row>
    <row r="21" spans="1:25" x14ac:dyDescent="0.25">
      <c r="A21" t="s">
        <v>127</v>
      </c>
      <c r="B21" t="s">
        <v>128</v>
      </c>
      <c r="C21" s="6">
        <v>45685</v>
      </c>
      <c r="D21" t="s">
        <v>96</v>
      </c>
      <c r="E21" t="s">
        <v>97</v>
      </c>
      <c r="F21" t="s">
        <v>98</v>
      </c>
      <c r="G21" t="s">
        <v>99</v>
      </c>
      <c r="H21">
        <v>3</v>
      </c>
      <c r="I21">
        <v>1499</v>
      </c>
      <c r="J21">
        <v>0</v>
      </c>
      <c r="K21">
        <v>0</v>
      </c>
      <c r="L21" t="s">
        <v>119</v>
      </c>
      <c r="M21" t="s">
        <v>120</v>
      </c>
      <c r="N21" t="s">
        <v>71</v>
      </c>
      <c r="O21" t="s">
        <v>93</v>
      </c>
      <c r="P21" t="s">
        <v>80</v>
      </c>
      <c r="Q21">
        <v>2</v>
      </c>
      <c r="R21">
        <f>IFERROR(Table1_1[[#This Row],[Unit_Price]]*Table1_1[[#This Row],[Quantity]],"")</f>
        <v>4497</v>
      </c>
      <c r="S21">
        <f>IFERROR(Table1_1[[#This Row],[Gross_Sales]]*Table1_1[[#This Row],[Discount_%]],"")</f>
        <v>0</v>
      </c>
      <c r="T21">
        <f>IFERROR(Table1_1[[#This Row],[Gross_Sales]]-Table1_1[[#This Row],[Discount_amount]]+Table1_1[[#This Row],[Shipping_Cost]],"")</f>
        <v>4497</v>
      </c>
      <c r="U21">
        <f>IFERROR(Table1_1[[#This Row],[Net_Sale]]-(Table1_1[[#This Row],[Gross_Sales]]*70%),"")</f>
        <v>1349.1000000000004</v>
      </c>
      <c r="V21" s="7">
        <f>IFERROR(Table1_1[[#This Row],[Profit]]/Table1_1[[#This Row],[Net_Sale]],"")</f>
        <v>0.3000000000000001</v>
      </c>
      <c r="W21" t="str">
        <f>TEXT(Table1_1[[#This Row],[Order_Date]],"mmm")</f>
        <v>Jan</v>
      </c>
      <c r="Y21" t="str">
        <v>Discount_amount</v>
      </c>
    </row>
    <row r="22" spans="1:25" x14ac:dyDescent="0.25">
      <c r="A22" t="s">
        <v>129</v>
      </c>
      <c r="B22" t="s">
        <v>130</v>
      </c>
      <c r="C22" s="6">
        <v>45729</v>
      </c>
      <c r="D22" t="s">
        <v>67</v>
      </c>
      <c r="E22" t="s">
        <v>68</v>
      </c>
      <c r="F22" t="s">
        <v>37</v>
      </c>
      <c r="G22" t="s">
        <v>38</v>
      </c>
      <c r="H22">
        <v>2</v>
      </c>
      <c r="I22">
        <v>1299</v>
      </c>
      <c r="J22">
        <v>0.1</v>
      </c>
      <c r="K22">
        <v>49</v>
      </c>
      <c r="L22" t="s">
        <v>113</v>
      </c>
      <c r="M22" t="s">
        <v>114</v>
      </c>
      <c r="N22" t="s">
        <v>40</v>
      </c>
      <c r="O22" t="s">
        <v>32</v>
      </c>
      <c r="P22" t="s">
        <v>33</v>
      </c>
      <c r="Q22">
        <v>1</v>
      </c>
      <c r="R22">
        <f>IFERROR(Table1_1[[#This Row],[Unit_Price]]*Table1_1[[#This Row],[Quantity]],"")</f>
        <v>2598</v>
      </c>
      <c r="S22">
        <f>IFERROR(Table1_1[[#This Row],[Gross_Sales]]*Table1_1[[#This Row],[Discount_%]],"")</f>
        <v>259.8</v>
      </c>
      <c r="T22">
        <f>IFERROR(Table1_1[[#This Row],[Gross_Sales]]-Table1_1[[#This Row],[Discount_amount]]+Table1_1[[#This Row],[Shipping_Cost]],"")</f>
        <v>2387.1999999999998</v>
      </c>
      <c r="U22">
        <f>IFERROR(Table1_1[[#This Row],[Net_Sale]]-(Table1_1[[#This Row],[Gross_Sales]]*70%),"")</f>
        <v>568.59999999999991</v>
      </c>
      <c r="V22" s="7">
        <f>IFERROR(Table1_1[[#This Row],[Profit]]/Table1_1[[#This Row],[Net_Sale]],"")</f>
        <v>0.23818699731903484</v>
      </c>
      <c r="W22" t="str">
        <f>TEXT(Table1_1[[#This Row],[Order_Date]],"mmm")</f>
        <v>Mar</v>
      </c>
      <c r="Y22" t="str">
        <v>Net_Sale</v>
      </c>
    </row>
    <row r="23" spans="1:25" x14ac:dyDescent="0.25">
      <c r="A23" t="s">
        <v>131</v>
      </c>
      <c r="B23" t="s">
        <v>132</v>
      </c>
      <c r="C23" s="6">
        <v>45705</v>
      </c>
      <c r="D23" t="s">
        <v>35</v>
      </c>
      <c r="E23" t="s">
        <v>36</v>
      </c>
      <c r="F23" t="s">
        <v>37</v>
      </c>
      <c r="G23" t="s">
        <v>38</v>
      </c>
      <c r="H23">
        <v>3</v>
      </c>
      <c r="I23">
        <v>599</v>
      </c>
      <c r="J23">
        <v>0.1</v>
      </c>
      <c r="K23">
        <v>79</v>
      </c>
      <c r="L23" t="s">
        <v>83</v>
      </c>
      <c r="M23" t="s">
        <v>84</v>
      </c>
      <c r="N23" t="s">
        <v>40</v>
      </c>
      <c r="O23" t="s">
        <v>93</v>
      </c>
      <c r="P23" t="s">
        <v>52</v>
      </c>
      <c r="Q23">
        <v>2</v>
      </c>
      <c r="R23">
        <f>IFERROR(Table1_1[[#This Row],[Unit_Price]]*Table1_1[[#This Row],[Quantity]],"")</f>
        <v>1797</v>
      </c>
      <c r="S23">
        <f>IFERROR(Table1_1[[#This Row],[Gross_Sales]]*Table1_1[[#This Row],[Discount_%]],"")</f>
        <v>179.70000000000002</v>
      </c>
      <c r="T23">
        <f>IFERROR(Table1_1[[#This Row],[Gross_Sales]]-Table1_1[[#This Row],[Discount_amount]]+Table1_1[[#This Row],[Shipping_Cost]],"")</f>
        <v>1696.3</v>
      </c>
      <c r="U23">
        <f>IFERROR(Table1_1[[#This Row],[Net_Sale]]-(Table1_1[[#This Row],[Gross_Sales]]*70%),"")</f>
        <v>438.40000000000009</v>
      </c>
      <c r="V23" s="7">
        <f>IFERROR(Table1_1[[#This Row],[Profit]]/Table1_1[[#This Row],[Net_Sale]],"")</f>
        <v>0.25844485055709493</v>
      </c>
      <c r="W23" t="str">
        <f>TEXT(Table1_1[[#This Row],[Order_Date]],"mmm")</f>
        <v>Feb</v>
      </c>
      <c r="Y23" t="str">
        <v>Profit</v>
      </c>
    </row>
    <row r="24" spans="1:25" x14ac:dyDescent="0.25">
      <c r="A24" t="s">
        <v>133</v>
      </c>
      <c r="B24" t="s">
        <v>134</v>
      </c>
      <c r="C24" s="6">
        <v>45793</v>
      </c>
      <c r="D24" t="s">
        <v>96</v>
      </c>
      <c r="E24" t="s">
        <v>97</v>
      </c>
      <c r="F24" t="s">
        <v>98</v>
      </c>
      <c r="G24" t="s">
        <v>99</v>
      </c>
      <c r="H24">
        <v>5</v>
      </c>
      <c r="I24">
        <v>1499</v>
      </c>
      <c r="J24">
        <v>0.2</v>
      </c>
      <c r="K24">
        <v>99</v>
      </c>
      <c r="L24" t="s">
        <v>39</v>
      </c>
      <c r="M24" t="s">
        <v>39</v>
      </c>
      <c r="N24" t="s">
        <v>50</v>
      </c>
      <c r="O24" t="s">
        <v>41</v>
      </c>
      <c r="P24" t="s">
        <v>52</v>
      </c>
      <c r="Q24">
        <v>3</v>
      </c>
      <c r="R24">
        <f>IFERROR(Table1_1[[#This Row],[Unit_Price]]*Table1_1[[#This Row],[Quantity]],"")</f>
        <v>7495</v>
      </c>
      <c r="S24">
        <f>IFERROR(Table1_1[[#This Row],[Gross_Sales]]*Table1_1[[#This Row],[Discount_%]],"")</f>
        <v>1499</v>
      </c>
      <c r="T24">
        <f>IFERROR(Table1_1[[#This Row],[Gross_Sales]]-Table1_1[[#This Row],[Discount_amount]]+Table1_1[[#This Row],[Shipping_Cost]],"")</f>
        <v>6095</v>
      </c>
      <c r="U24">
        <f>IFERROR(Table1_1[[#This Row],[Net_Sale]]-(Table1_1[[#This Row],[Gross_Sales]]*70%),"")</f>
        <v>848.5</v>
      </c>
      <c r="V24" s="7">
        <f>IFERROR(Table1_1[[#This Row],[Profit]]/Table1_1[[#This Row],[Net_Sale]],"")</f>
        <v>0.13921246923707958</v>
      </c>
      <c r="W24" t="str">
        <f>TEXT(Table1_1[[#This Row],[Order_Date]],"mmm")</f>
        <v>May</v>
      </c>
      <c r="Y24" t="str">
        <v>Profit_Margin</v>
      </c>
    </row>
    <row r="25" spans="1:25" x14ac:dyDescent="0.25">
      <c r="A25" t="s">
        <v>135</v>
      </c>
      <c r="B25" t="s">
        <v>136</v>
      </c>
      <c r="C25" s="6">
        <v>45935</v>
      </c>
      <c r="D25" t="s">
        <v>67</v>
      </c>
      <c r="E25" t="s">
        <v>68</v>
      </c>
      <c r="F25" t="s">
        <v>37</v>
      </c>
      <c r="G25" t="s">
        <v>38</v>
      </c>
      <c r="H25">
        <v>2</v>
      </c>
      <c r="I25">
        <v>1299</v>
      </c>
      <c r="J25">
        <v>0</v>
      </c>
      <c r="K25">
        <v>0</v>
      </c>
      <c r="L25" t="s">
        <v>39</v>
      </c>
      <c r="M25" t="s">
        <v>39</v>
      </c>
      <c r="N25" t="s">
        <v>40</v>
      </c>
      <c r="O25" t="s">
        <v>32</v>
      </c>
      <c r="P25" t="s">
        <v>33</v>
      </c>
      <c r="Q25">
        <v>3</v>
      </c>
      <c r="R25">
        <f>IFERROR(Table1_1[[#This Row],[Unit_Price]]*Table1_1[[#This Row],[Quantity]],"")</f>
        <v>2598</v>
      </c>
      <c r="S25">
        <f>IFERROR(Table1_1[[#This Row],[Gross_Sales]]*Table1_1[[#This Row],[Discount_%]],"")</f>
        <v>0</v>
      </c>
      <c r="T25">
        <f>IFERROR(Table1_1[[#This Row],[Gross_Sales]]-Table1_1[[#This Row],[Discount_amount]]+Table1_1[[#This Row],[Shipping_Cost]],"")</f>
        <v>2598</v>
      </c>
      <c r="U25">
        <f>IFERROR(Table1_1[[#This Row],[Net_Sale]]-(Table1_1[[#This Row],[Gross_Sales]]*70%),"")</f>
        <v>779.40000000000009</v>
      </c>
      <c r="V25" s="7">
        <f>IFERROR(Table1_1[[#This Row],[Profit]]/Table1_1[[#This Row],[Net_Sale]],"")</f>
        <v>0.30000000000000004</v>
      </c>
      <c r="W25" t="str">
        <f>TEXT(Table1_1[[#This Row],[Order_Date]],"mmm")</f>
        <v>Oct</v>
      </c>
      <c r="Y25" t="str">
        <v>Month</v>
      </c>
    </row>
    <row r="26" spans="1:25" x14ac:dyDescent="0.25">
      <c r="A26" t="s">
        <v>137</v>
      </c>
      <c r="B26" t="s">
        <v>138</v>
      </c>
      <c r="C26" s="6">
        <v>45918</v>
      </c>
      <c r="D26" t="s">
        <v>62</v>
      </c>
      <c r="E26" t="s">
        <v>63</v>
      </c>
      <c r="F26" t="s">
        <v>46</v>
      </c>
      <c r="G26" t="s">
        <v>64</v>
      </c>
      <c r="H26">
        <v>1</v>
      </c>
      <c r="I26">
        <v>699</v>
      </c>
      <c r="J26">
        <v>0</v>
      </c>
      <c r="K26">
        <v>99</v>
      </c>
      <c r="L26" t="s">
        <v>100</v>
      </c>
      <c r="M26" t="s">
        <v>101</v>
      </c>
      <c r="N26" t="s">
        <v>50</v>
      </c>
      <c r="O26" t="s">
        <v>59</v>
      </c>
      <c r="P26" t="s">
        <v>33</v>
      </c>
      <c r="Q26">
        <v>1</v>
      </c>
      <c r="R26">
        <f>IFERROR(Table1_1[[#This Row],[Unit_Price]]*Table1_1[[#This Row],[Quantity]],"")</f>
        <v>699</v>
      </c>
      <c r="S26">
        <f>IFERROR(Table1_1[[#This Row],[Gross_Sales]]*Table1_1[[#This Row],[Discount_%]],"")</f>
        <v>0</v>
      </c>
      <c r="T26">
        <f>IFERROR(Table1_1[[#This Row],[Gross_Sales]]-Table1_1[[#This Row],[Discount_amount]]+Table1_1[[#This Row],[Shipping_Cost]],"")</f>
        <v>798</v>
      </c>
      <c r="U26">
        <f>IFERROR(Table1_1[[#This Row],[Net_Sale]]-(Table1_1[[#This Row],[Gross_Sales]]*70%),"")</f>
        <v>308.70000000000005</v>
      </c>
      <c r="V26" s="7">
        <f>IFERROR(Table1_1[[#This Row],[Profit]]/Table1_1[[#This Row],[Net_Sale]],"")</f>
        <v>0.38684210526315793</v>
      </c>
      <c r="W26" t="str">
        <f>TEXT(Table1_1[[#This Row],[Order_Date]],"mmm")</f>
        <v>Sep</v>
      </c>
    </row>
    <row r="27" spans="1:25" x14ac:dyDescent="0.25">
      <c r="A27" t="s">
        <v>139</v>
      </c>
      <c r="B27" t="s">
        <v>140</v>
      </c>
      <c r="C27" s="6">
        <v>45678</v>
      </c>
      <c r="D27" t="s">
        <v>44</v>
      </c>
      <c r="E27" t="s">
        <v>45</v>
      </c>
      <c r="F27" t="s">
        <v>46</v>
      </c>
      <c r="G27" t="s">
        <v>47</v>
      </c>
      <c r="H27">
        <v>2</v>
      </c>
      <c r="I27">
        <v>1199</v>
      </c>
      <c r="J27">
        <v>0.2</v>
      </c>
      <c r="K27">
        <v>99</v>
      </c>
      <c r="L27" t="s">
        <v>113</v>
      </c>
      <c r="M27" t="s">
        <v>114</v>
      </c>
      <c r="N27" t="s">
        <v>102</v>
      </c>
      <c r="O27" t="s">
        <v>51</v>
      </c>
      <c r="P27" t="s">
        <v>52</v>
      </c>
      <c r="Q27">
        <v>3</v>
      </c>
      <c r="R27">
        <f>IFERROR(Table1_1[[#This Row],[Unit_Price]]*Table1_1[[#This Row],[Quantity]],"")</f>
        <v>2398</v>
      </c>
      <c r="S27">
        <f>IFERROR(Table1_1[[#This Row],[Gross_Sales]]*Table1_1[[#This Row],[Discount_%]],"")</f>
        <v>479.6</v>
      </c>
      <c r="T27">
        <f>IFERROR(Table1_1[[#This Row],[Gross_Sales]]-Table1_1[[#This Row],[Discount_amount]]+Table1_1[[#This Row],[Shipping_Cost]],"")</f>
        <v>2017.4</v>
      </c>
      <c r="U27">
        <f>IFERROR(Table1_1[[#This Row],[Net_Sale]]-(Table1_1[[#This Row],[Gross_Sales]]*70%),"")</f>
        <v>338.80000000000018</v>
      </c>
      <c r="V27" s="7">
        <f>IFERROR(Table1_1[[#This Row],[Profit]]/Table1_1[[#This Row],[Net_Sale]],"")</f>
        <v>0.16793893129771001</v>
      </c>
      <c r="W27" t="str">
        <f>TEXT(Table1_1[[#This Row],[Order_Date]],"mmm")</f>
        <v>Jan</v>
      </c>
    </row>
    <row r="28" spans="1:25" x14ac:dyDescent="0.25">
      <c r="A28" t="s">
        <v>141</v>
      </c>
      <c r="B28" t="s">
        <v>142</v>
      </c>
      <c r="C28" s="6">
        <v>45860</v>
      </c>
      <c r="D28" t="s">
        <v>67</v>
      </c>
      <c r="E28" t="s">
        <v>68</v>
      </c>
      <c r="F28" t="s">
        <v>37</v>
      </c>
      <c r="G28" t="s">
        <v>38</v>
      </c>
      <c r="H28">
        <v>1</v>
      </c>
      <c r="I28">
        <v>1299</v>
      </c>
      <c r="J28">
        <v>0.05</v>
      </c>
      <c r="K28">
        <v>79</v>
      </c>
      <c r="L28" t="s">
        <v>74</v>
      </c>
      <c r="M28" t="s">
        <v>49</v>
      </c>
      <c r="N28" t="s">
        <v>31</v>
      </c>
      <c r="O28" t="s">
        <v>93</v>
      </c>
      <c r="P28" t="s">
        <v>80</v>
      </c>
      <c r="Q28">
        <v>4</v>
      </c>
      <c r="R28">
        <f>IFERROR(Table1_1[[#This Row],[Unit_Price]]*Table1_1[[#This Row],[Quantity]],"")</f>
        <v>1299</v>
      </c>
      <c r="S28">
        <f>IFERROR(Table1_1[[#This Row],[Gross_Sales]]*Table1_1[[#This Row],[Discount_%]],"")</f>
        <v>64.95</v>
      </c>
      <c r="T28">
        <f>IFERROR(Table1_1[[#This Row],[Gross_Sales]]-Table1_1[[#This Row],[Discount_amount]]+Table1_1[[#This Row],[Shipping_Cost]],"")</f>
        <v>1313.05</v>
      </c>
      <c r="U28">
        <f>IFERROR(Table1_1[[#This Row],[Net_Sale]]-(Table1_1[[#This Row],[Gross_Sales]]*70%),"")</f>
        <v>403.75</v>
      </c>
      <c r="V28" s="7">
        <f>IFERROR(Table1_1[[#This Row],[Profit]]/Table1_1[[#This Row],[Net_Sale]],"")</f>
        <v>0.30749019458512622</v>
      </c>
      <c r="W28" t="str">
        <f>TEXT(Table1_1[[#This Row],[Order_Date]],"mmm")</f>
        <v>Jul</v>
      </c>
    </row>
    <row r="29" spans="1:25" x14ac:dyDescent="0.25">
      <c r="A29" t="s">
        <v>143</v>
      </c>
      <c r="B29" t="s">
        <v>144</v>
      </c>
      <c r="C29" s="6">
        <v>45695</v>
      </c>
      <c r="D29" t="s">
        <v>44</v>
      </c>
      <c r="E29" t="s">
        <v>45</v>
      </c>
      <c r="F29" t="s">
        <v>46</v>
      </c>
      <c r="G29" t="s">
        <v>47</v>
      </c>
      <c r="H29">
        <v>5</v>
      </c>
      <c r="I29">
        <v>1199</v>
      </c>
      <c r="J29">
        <v>0.05</v>
      </c>
      <c r="K29">
        <v>49</v>
      </c>
      <c r="L29" t="s">
        <v>125</v>
      </c>
      <c r="M29" t="s">
        <v>126</v>
      </c>
      <c r="N29" t="s">
        <v>31</v>
      </c>
      <c r="O29" t="s">
        <v>41</v>
      </c>
      <c r="P29" t="s">
        <v>85</v>
      </c>
      <c r="Q29">
        <v>3</v>
      </c>
      <c r="R29">
        <f>IFERROR(Table1_1[[#This Row],[Unit_Price]]*Table1_1[[#This Row],[Quantity]],"")</f>
        <v>5995</v>
      </c>
      <c r="S29">
        <f>IFERROR(Table1_1[[#This Row],[Gross_Sales]]*Table1_1[[#This Row],[Discount_%]],"")</f>
        <v>299.75</v>
      </c>
      <c r="T29">
        <f>IFERROR(Table1_1[[#This Row],[Gross_Sales]]-Table1_1[[#This Row],[Discount_amount]]+Table1_1[[#This Row],[Shipping_Cost]],"")</f>
        <v>5744.25</v>
      </c>
      <c r="U29">
        <f>IFERROR(Table1_1[[#This Row],[Net_Sale]]-(Table1_1[[#This Row],[Gross_Sales]]*70%),"")</f>
        <v>1547.75</v>
      </c>
      <c r="V29" s="7">
        <f>IFERROR(Table1_1[[#This Row],[Profit]]/Table1_1[[#This Row],[Net_Sale]],"")</f>
        <v>0.26944335639987815</v>
      </c>
      <c r="W29" t="str">
        <f>TEXT(Table1_1[[#This Row],[Order_Date]],"mmm")</f>
        <v>Feb</v>
      </c>
    </row>
    <row r="30" spans="1:25" x14ac:dyDescent="0.25">
      <c r="A30" t="s">
        <v>145</v>
      </c>
      <c r="B30" t="s">
        <v>146</v>
      </c>
      <c r="C30" s="6">
        <v>45936</v>
      </c>
      <c r="D30" t="s">
        <v>110</v>
      </c>
      <c r="E30" t="s">
        <v>111</v>
      </c>
      <c r="F30" t="s">
        <v>98</v>
      </c>
      <c r="G30" t="s">
        <v>112</v>
      </c>
      <c r="H30">
        <v>1</v>
      </c>
      <c r="I30">
        <v>2999</v>
      </c>
      <c r="J30">
        <v>0.2</v>
      </c>
      <c r="K30">
        <v>99</v>
      </c>
      <c r="L30" t="s">
        <v>100</v>
      </c>
      <c r="M30" t="s">
        <v>101</v>
      </c>
      <c r="N30" t="s">
        <v>102</v>
      </c>
      <c r="O30" t="s">
        <v>51</v>
      </c>
      <c r="P30" t="s">
        <v>85</v>
      </c>
      <c r="Q30">
        <v>3</v>
      </c>
      <c r="R30">
        <f>IFERROR(Table1_1[[#This Row],[Unit_Price]]*Table1_1[[#This Row],[Quantity]],"")</f>
        <v>2999</v>
      </c>
      <c r="S30">
        <f>IFERROR(Table1_1[[#This Row],[Gross_Sales]]*Table1_1[[#This Row],[Discount_%]],"")</f>
        <v>599.80000000000007</v>
      </c>
      <c r="T30">
        <f>IFERROR(Table1_1[[#This Row],[Gross_Sales]]-Table1_1[[#This Row],[Discount_amount]]+Table1_1[[#This Row],[Shipping_Cost]],"")</f>
        <v>2498.1999999999998</v>
      </c>
      <c r="U30">
        <f>IFERROR(Table1_1[[#This Row],[Net_Sale]]-(Table1_1[[#This Row],[Gross_Sales]]*70%),"")</f>
        <v>398.90000000000009</v>
      </c>
      <c r="V30" s="7">
        <f>IFERROR(Table1_1[[#This Row],[Profit]]/Table1_1[[#This Row],[Net_Sale]],"")</f>
        <v>0.1596749659755024</v>
      </c>
      <c r="W30" t="str">
        <f>TEXT(Table1_1[[#This Row],[Order_Date]],"mmm")</f>
        <v>Oct</v>
      </c>
    </row>
    <row r="31" spans="1:25" x14ac:dyDescent="0.25">
      <c r="A31" t="s">
        <v>147</v>
      </c>
      <c r="B31" t="s">
        <v>148</v>
      </c>
      <c r="C31" s="6">
        <v>45712</v>
      </c>
      <c r="D31" t="s">
        <v>55</v>
      </c>
      <c r="E31" t="s">
        <v>56</v>
      </c>
      <c r="F31" t="s">
        <v>37</v>
      </c>
      <c r="G31" t="s">
        <v>38</v>
      </c>
      <c r="H31">
        <v>1</v>
      </c>
      <c r="I31">
        <v>2499</v>
      </c>
      <c r="J31">
        <v>0.05</v>
      </c>
      <c r="K31">
        <v>59</v>
      </c>
      <c r="L31" t="s">
        <v>100</v>
      </c>
      <c r="M31" t="s">
        <v>101</v>
      </c>
      <c r="N31" t="s">
        <v>71</v>
      </c>
      <c r="O31" t="s">
        <v>41</v>
      </c>
      <c r="P31" t="s">
        <v>33</v>
      </c>
      <c r="Q31">
        <v>3</v>
      </c>
      <c r="R31">
        <f>IFERROR(Table1_1[[#This Row],[Unit_Price]]*Table1_1[[#This Row],[Quantity]],"")</f>
        <v>2499</v>
      </c>
      <c r="S31">
        <f>IFERROR(Table1_1[[#This Row],[Gross_Sales]]*Table1_1[[#This Row],[Discount_%]],"")</f>
        <v>124.95</v>
      </c>
      <c r="T31">
        <f>IFERROR(Table1_1[[#This Row],[Gross_Sales]]-Table1_1[[#This Row],[Discount_amount]]+Table1_1[[#This Row],[Shipping_Cost]],"")</f>
        <v>2433.0500000000002</v>
      </c>
      <c r="U31">
        <f>IFERROR(Table1_1[[#This Row],[Net_Sale]]-(Table1_1[[#This Row],[Gross_Sales]]*70%),"")</f>
        <v>683.75000000000023</v>
      </c>
      <c r="V31" s="7">
        <f>IFERROR(Table1_1[[#This Row],[Profit]]/Table1_1[[#This Row],[Net_Sale]],"")</f>
        <v>0.28102587287560887</v>
      </c>
      <c r="W31" t="str">
        <f>TEXT(Table1_1[[#This Row],[Order_Date]],"mmm")</f>
        <v>Feb</v>
      </c>
    </row>
    <row r="32" spans="1:25" x14ac:dyDescent="0.25">
      <c r="A32" t="s">
        <v>149</v>
      </c>
      <c r="B32" t="s">
        <v>150</v>
      </c>
      <c r="C32" s="6">
        <v>45786</v>
      </c>
      <c r="D32" t="s">
        <v>25</v>
      </c>
      <c r="E32" t="s">
        <v>26</v>
      </c>
      <c r="F32" t="s">
        <v>27</v>
      </c>
      <c r="G32" t="s">
        <v>28</v>
      </c>
      <c r="H32">
        <v>2</v>
      </c>
      <c r="I32">
        <v>249</v>
      </c>
      <c r="J32">
        <v>0.1</v>
      </c>
      <c r="K32">
        <v>59</v>
      </c>
      <c r="L32" t="s">
        <v>48</v>
      </c>
      <c r="M32" t="s">
        <v>49</v>
      </c>
      <c r="N32" t="s">
        <v>31</v>
      </c>
      <c r="O32" t="s">
        <v>51</v>
      </c>
      <c r="P32" t="s">
        <v>80</v>
      </c>
      <c r="Q32">
        <v>3</v>
      </c>
      <c r="R32">
        <f>IFERROR(Table1_1[[#This Row],[Unit_Price]]*Table1_1[[#This Row],[Quantity]],"")</f>
        <v>498</v>
      </c>
      <c r="S32">
        <f>IFERROR(Table1_1[[#This Row],[Gross_Sales]]*Table1_1[[#This Row],[Discount_%]],"")</f>
        <v>49.800000000000004</v>
      </c>
      <c r="T32">
        <f>IFERROR(Table1_1[[#This Row],[Gross_Sales]]-Table1_1[[#This Row],[Discount_amount]]+Table1_1[[#This Row],[Shipping_Cost]],"")</f>
        <v>507.2</v>
      </c>
      <c r="U32">
        <f>IFERROR(Table1_1[[#This Row],[Net_Sale]]-(Table1_1[[#This Row],[Gross_Sales]]*70%),"")</f>
        <v>158.60000000000002</v>
      </c>
      <c r="V32" s="7">
        <f>IFERROR(Table1_1[[#This Row],[Profit]]/Table1_1[[#This Row],[Net_Sale]],"")</f>
        <v>0.31269716088328081</v>
      </c>
      <c r="W32" t="str">
        <f>TEXT(Table1_1[[#This Row],[Order_Date]],"mmm")</f>
        <v>May</v>
      </c>
    </row>
    <row r="33" spans="1:23" x14ac:dyDescent="0.25">
      <c r="A33" t="s">
        <v>151</v>
      </c>
      <c r="B33" t="s">
        <v>152</v>
      </c>
      <c r="C33" s="6">
        <v>45884</v>
      </c>
      <c r="D33" t="s">
        <v>105</v>
      </c>
      <c r="E33" t="s">
        <v>106</v>
      </c>
      <c r="F33" t="s">
        <v>37</v>
      </c>
      <c r="G33" t="s">
        <v>107</v>
      </c>
      <c r="H33">
        <v>1</v>
      </c>
      <c r="I33">
        <v>1799</v>
      </c>
      <c r="J33">
        <v>0.15</v>
      </c>
      <c r="K33">
        <v>0</v>
      </c>
      <c r="L33" t="s">
        <v>48</v>
      </c>
      <c r="M33" t="s">
        <v>49</v>
      </c>
      <c r="N33" t="s">
        <v>31</v>
      </c>
      <c r="O33" t="s">
        <v>41</v>
      </c>
      <c r="P33" t="s">
        <v>52</v>
      </c>
      <c r="Q33">
        <v>5</v>
      </c>
      <c r="R33">
        <f>IFERROR(Table1_1[[#This Row],[Unit_Price]]*Table1_1[[#This Row],[Quantity]],"")</f>
        <v>1799</v>
      </c>
      <c r="S33">
        <f>IFERROR(Table1_1[[#This Row],[Gross_Sales]]*Table1_1[[#This Row],[Discount_%]],"")</f>
        <v>269.84999999999997</v>
      </c>
      <c r="T33">
        <f>IFERROR(Table1_1[[#This Row],[Gross_Sales]]-Table1_1[[#This Row],[Discount_amount]]+Table1_1[[#This Row],[Shipping_Cost]],"")</f>
        <v>1529.15</v>
      </c>
      <c r="U33">
        <f>IFERROR(Table1_1[[#This Row],[Net_Sale]]-(Table1_1[[#This Row],[Gross_Sales]]*70%),"")</f>
        <v>269.85000000000014</v>
      </c>
      <c r="V33" s="7">
        <f>IFERROR(Table1_1[[#This Row],[Profit]]/Table1_1[[#This Row],[Net_Sale]],"")</f>
        <v>0.17647058823529418</v>
      </c>
      <c r="W33" t="str">
        <f>TEXT(Table1_1[[#This Row],[Order_Date]],"mmm")</f>
        <v>Aug</v>
      </c>
    </row>
    <row r="34" spans="1:23" x14ac:dyDescent="0.25">
      <c r="A34" t="s">
        <v>153</v>
      </c>
      <c r="B34" t="s">
        <v>154</v>
      </c>
      <c r="C34" s="6">
        <v>45733</v>
      </c>
      <c r="D34" t="s">
        <v>35</v>
      </c>
      <c r="E34" t="s">
        <v>36</v>
      </c>
      <c r="F34" t="s">
        <v>37</v>
      </c>
      <c r="G34" t="s">
        <v>38</v>
      </c>
      <c r="H34">
        <v>2</v>
      </c>
      <c r="I34">
        <v>599</v>
      </c>
      <c r="J34">
        <v>0.05</v>
      </c>
      <c r="K34">
        <v>59</v>
      </c>
      <c r="L34" t="s">
        <v>74</v>
      </c>
      <c r="M34" t="s">
        <v>49</v>
      </c>
      <c r="N34" t="s">
        <v>71</v>
      </c>
      <c r="O34" t="s">
        <v>41</v>
      </c>
      <c r="P34" t="s">
        <v>33</v>
      </c>
      <c r="Q34">
        <v>3</v>
      </c>
      <c r="R34">
        <f>IFERROR(Table1_1[[#This Row],[Unit_Price]]*Table1_1[[#This Row],[Quantity]],"")</f>
        <v>1198</v>
      </c>
      <c r="S34">
        <f>IFERROR(Table1_1[[#This Row],[Gross_Sales]]*Table1_1[[#This Row],[Discount_%]],"")</f>
        <v>59.900000000000006</v>
      </c>
      <c r="T34">
        <f>IFERROR(Table1_1[[#This Row],[Gross_Sales]]-Table1_1[[#This Row],[Discount_amount]]+Table1_1[[#This Row],[Shipping_Cost]],"")</f>
        <v>1197.0999999999999</v>
      </c>
      <c r="U34">
        <f>IFERROR(Table1_1[[#This Row],[Net_Sale]]-(Table1_1[[#This Row],[Gross_Sales]]*70%),"")</f>
        <v>358.5</v>
      </c>
      <c r="V34" s="7">
        <f>IFERROR(Table1_1[[#This Row],[Profit]]/Table1_1[[#This Row],[Net_Sale]],"")</f>
        <v>0.29947372817642637</v>
      </c>
      <c r="W34" t="str">
        <f>TEXT(Table1_1[[#This Row],[Order_Date]],"mmm")</f>
        <v>Mar</v>
      </c>
    </row>
    <row r="35" spans="1:23" x14ac:dyDescent="0.25">
      <c r="A35" t="s">
        <v>155</v>
      </c>
      <c r="B35" t="s">
        <v>156</v>
      </c>
      <c r="C35" s="6">
        <v>45944</v>
      </c>
      <c r="D35" t="s">
        <v>67</v>
      </c>
      <c r="E35" t="s">
        <v>68</v>
      </c>
      <c r="F35" t="s">
        <v>37</v>
      </c>
      <c r="G35" t="s">
        <v>38</v>
      </c>
      <c r="H35">
        <v>1</v>
      </c>
      <c r="I35">
        <v>1299</v>
      </c>
      <c r="J35">
        <v>0</v>
      </c>
      <c r="K35">
        <v>49</v>
      </c>
      <c r="L35" t="s">
        <v>29</v>
      </c>
      <c r="M35" t="s">
        <v>30</v>
      </c>
      <c r="N35" t="s">
        <v>50</v>
      </c>
      <c r="O35" t="s">
        <v>59</v>
      </c>
      <c r="P35" t="s">
        <v>80</v>
      </c>
      <c r="Q35">
        <v>1</v>
      </c>
      <c r="R35">
        <f>IFERROR(Table1_1[[#This Row],[Unit_Price]]*Table1_1[[#This Row],[Quantity]],"")</f>
        <v>1299</v>
      </c>
      <c r="S35">
        <f>IFERROR(Table1_1[[#This Row],[Gross_Sales]]*Table1_1[[#This Row],[Discount_%]],"")</f>
        <v>0</v>
      </c>
      <c r="T35">
        <f>IFERROR(Table1_1[[#This Row],[Gross_Sales]]-Table1_1[[#This Row],[Discount_amount]]+Table1_1[[#This Row],[Shipping_Cost]],"")</f>
        <v>1348</v>
      </c>
      <c r="U35">
        <f>IFERROR(Table1_1[[#This Row],[Net_Sale]]-(Table1_1[[#This Row],[Gross_Sales]]*70%),"")</f>
        <v>438.70000000000005</v>
      </c>
      <c r="V35" s="7">
        <f>IFERROR(Table1_1[[#This Row],[Profit]]/Table1_1[[#This Row],[Net_Sale]],"")</f>
        <v>0.32544510385756681</v>
      </c>
      <c r="W35" t="str">
        <f>TEXT(Table1_1[[#This Row],[Order_Date]],"mmm")</f>
        <v>Oct</v>
      </c>
    </row>
    <row r="36" spans="1:23" x14ac:dyDescent="0.25">
      <c r="A36" t="s">
        <v>157</v>
      </c>
      <c r="B36" t="s">
        <v>158</v>
      </c>
      <c r="C36" s="6">
        <v>45868</v>
      </c>
      <c r="D36" t="s">
        <v>105</v>
      </c>
      <c r="E36" t="s">
        <v>106</v>
      </c>
      <c r="F36" t="s">
        <v>37</v>
      </c>
      <c r="G36" t="s">
        <v>107</v>
      </c>
      <c r="H36">
        <v>3</v>
      </c>
      <c r="I36">
        <v>1799</v>
      </c>
      <c r="J36">
        <v>0</v>
      </c>
      <c r="K36">
        <v>59</v>
      </c>
      <c r="L36" t="s">
        <v>74</v>
      </c>
      <c r="M36" t="s">
        <v>49</v>
      </c>
      <c r="N36" t="s">
        <v>31</v>
      </c>
      <c r="O36" t="s">
        <v>59</v>
      </c>
      <c r="P36" t="s">
        <v>80</v>
      </c>
      <c r="Q36">
        <v>3</v>
      </c>
      <c r="R36">
        <f>IFERROR(Table1_1[[#This Row],[Unit_Price]]*Table1_1[[#This Row],[Quantity]],"")</f>
        <v>5397</v>
      </c>
      <c r="S36">
        <f>IFERROR(Table1_1[[#This Row],[Gross_Sales]]*Table1_1[[#This Row],[Discount_%]],"")</f>
        <v>0</v>
      </c>
      <c r="T36">
        <f>IFERROR(Table1_1[[#This Row],[Gross_Sales]]-Table1_1[[#This Row],[Discount_amount]]+Table1_1[[#This Row],[Shipping_Cost]],"")</f>
        <v>5456</v>
      </c>
      <c r="U36">
        <f>IFERROR(Table1_1[[#This Row],[Net_Sale]]-(Table1_1[[#This Row],[Gross_Sales]]*70%),"")</f>
        <v>1678.1000000000004</v>
      </c>
      <c r="V36" s="7">
        <f>IFERROR(Table1_1[[#This Row],[Profit]]/Table1_1[[#This Row],[Net_Sale]],"")</f>
        <v>0.30756964809384169</v>
      </c>
      <c r="W36" t="str">
        <f>TEXT(Table1_1[[#This Row],[Order_Date]],"mmm")</f>
        <v>Jul</v>
      </c>
    </row>
    <row r="37" spans="1:23" x14ac:dyDescent="0.25">
      <c r="A37" t="s">
        <v>159</v>
      </c>
      <c r="B37" t="s">
        <v>160</v>
      </c>
      <c r="C37" s="6">
        <v>45893</v>
      </c>
      <c r="D37" t="s">
        <v>35</v>
      </c>
      <c r="E37" t="s">
        <v>36</v>
      </c>
      <c r="F37" t="s">
        <v>37</v>
      </c>
      <c r="G37" t="s">
        <v>38</v>
      </c>
      <c r="H37">
        <v>1</v>
      </c>
      <c r="I37">
        <v>599</v>
      </c>
      <c r="J37">
        <v>0</v>
      </c>
      <c r="K37">
        <v>0</v>
      </c>
      <c r="L37" t="s">
        <v>119</v>
      </c>
      <c r="M37" t="s">
        <v>120</v>
      </c>
      <c r="N37" t="s">
        <v>40</v>
      </c>
      <c r="O37" t="s">
        <v>51</v>
      </c>
      <c r="P37" t="s">
        <v>33</v>
      </c>
      <c r="Q37">
        <v>3</v>
      </c>
      <c r="R37">
        <f>IFERROR(Table1_1[[#This Row],[Unit_Price]]*Table1_1[[#This Row],[Quantity]],"")</f>
        <v>599</v>
      </c>
      <c r="S37">
        <f>IFERROR(Table1_1[[#This Row],[Gross_Sales]]*Table1_1[[#This Row],[Discount_%]],"")</f>
        <v>0</v>
      </c>
      <c r="T37">
        <f>IFERROR(Table1_1[[#This Row],[Gross_Sales]]-Table1_1[[#This Row],[Discount_amount]]+Table1_1[[#This Row],[Shipping_Cost]],"")</f>
        <v>599</v>
      </c>
      <c r="U37">
        <f>IFERROR(Table1_1[[#This Row],[Net_Sale]]-(Table1_1[[#This Row],[Gross_Sales]]*70%),"")</f>
        <v>179.70000000000005</v>
      </c>
      <c r="V37" s="7">
        <f>IFERROR(Table1_1[[#This Row],[Profit]]/Table1_1[[#This Row],[Net_Sale]],"")</f>
        <v>0.3000000000000001</v>
      </c>
      <c r="W37" t="str">
        <f>TEXT(Table1_1[[#This Row],[Order_Date]],"mmm")</f>
        <v>Aug</v>
      </c>
    </row>
    <row r="38" spans="1:23" x14ac:dyDescent="0.25">
      <c r="A38" t="s">
        <v>161</v>
      </c>
      <c r="B38" t="s">
        <v>162</v>
      </c>
      <c r="C38" s="6">
        <v>45918</v>
      </c>
      <c r="D38" t="s">
        <v>55</v>
      </c>
      <c r="E38" t="s">
        <v>56</v>
      </c>
      <c r="F38" t="s">
        <v>37</v>
      </c>
      <c r="G38" t="s">
        <v>38</v>
      </c>
      <c r="H38">
        <v>1</v>
      </c>
      <c r="I38">
        <v>2499</v>
      </c>
      <c r="J38">
        <v>0.05</v>
      </c>
      <c r="K38">
        <v>0</v>
      </c>
      <c r="L38" t="s">
        <v>48</v>
      </c>
      <c r="M38" t="s">
        <v>49</v>
      </c>
      <c r="N38" t="s">
        <v>71</v>
      </c>
      <c r="O38" t="s">
        <v>41</v>
      </c>
      <c r="P38" t="s">
        <v>85</v>
      </c>
      <c r="Q38">
        <v>5</v>
      </c>
      <c r="R38">
        <f>IFERROR(Table1_1[[#This Row],[Unit_Price]]*Table1_1[[#This Row],[Quantity]],"")</f>
        <v>2499</v>
      </c>
      <c r="S38">
        <f>IFERROR(Table1_1[[#This Row],[Gross_Sales]]*Table1_1[[#This Row],[Discount_%]],"")</f>
        <v>124.95</v>
      </c>
      <c r="T38">
        <f>IFERROR(Table1_1[[#This Row],[Gross_Sales]]-Table1_1[[#This Row],[Discount_amount]]+Table1_1[[#This Row],[Shipping_Cost]],"")</f>
        <v>2374.0500000000002</v>
      </c>
      <c r="U38">
        <f>IFERROR(Table1_1[[#This Row],[Net_Sale]]-(Table1_1[[#This Row],[Gross_Sales]]*70%),"")</f>
        <v>624.75000000000023</v>
      </c>
      <c r="V38" s="7">
        <f>IFERROR(Table1_1[[#This Row],[Profit]]/Table1_1[[#This Row],[Net_Sale]],"")</f>
        <v>0.2631578947368422</v>
      </c>
      <c r="W38" t="str">
        <f>TEXT(Table1_1[[#This Row],[Order_Date]],"mmm")</f>
        <v>Sep</v>
      </c>
    </row>
    <row r="39" spans="1:23" x14ac:dyDescent="0.25">
      <c r="A39" t="s">
        <v>163</v>
      </c>
      <c r="B39" t="s">
        <v>164</v>
      </c>
      <c r="C39" s="6">
        <v>45880</v>
      </c>
      <c r="D39" t="s">
        <v>110</v>
      </c>
      <c r="E39" t="s">
        <v>111</v>
      </c>
      <c r="F39" t="s">
        <v>98</v>
      </c>
      <c r="G39" t="s">
        <v>112</v>
      </c>
      <c r="H39">
        <v>1</v>
      </c>
      <c r="I39">
        <v>2999</v>
      </c>
      <c r="J39">
        <v>0.1</v>
      </c>
      <c r="K39">
        <v>99</v>
      </c>
      <c r="L39" t="s">
        <v>39</v>
      </c>
      <c r="M39" t="s">
        <v>39</v>
      </c>
      <c r="N39" t="s">
        <v>31</v>
      </c>
      <c r="O39" t="s">
        <v>59</v>
      </c>
      <c r="P39" t="s">
        <v>33</v>
      </c>
      <c r="Q39">
        <v>5</v>
      </c>
      <c r="R39">
        <f>IFERROR(Table1_1[[#This Row],[Unit_Price]]*Table1_1[[#This Row],[Quantity]],"")</f>
        <v>2999</v>
      </c>
      <c r="S39">
        <f>IFERROR(Table1_1[[#This Row],[Gross_Sales]]*Table1_1[[#This Row],[Discount_%]],"")</f>
        <v>299.90000000000003</v>
      </c>
      <c r="T39">
        <f>IFERROR(Table1_1[[#This Row],[Gross_Sales]]-Table1_1[[#This Row],[Discount_amount]]+Table1_1[[#This Row],[Shipping_Cost]],"")</f>
        <v>2798.1</v>
      </c>
      <c r="U39">
        <f>IFERROR(Table1_1[[#This Row],[Net_Sale]]-(Table1_1[[#This Row],[Gross_Sales]]*70%),"")</f>
        <v>698.80000000000018</v>
      </c>
      <c r="V39" s="7">
        <f>IFERROR(Table1_1[[#This Row],[Profit]]/Table1_1[[#This Row],[Net_Sale]],"")</f>
        <v>0.24974089560773388</v>
      </c>
      <c r="W39" t="str">
        <f>TEXT(Table1_1[[#This Row],[Order_Date]],"mmm")</f>
        <v>Aug</v>
      </c>
    </row>
    <row r="40" spans="1:23" x14ac:dyDescent="0.25">
      <c r="A40" t="s">
        <v>165</v>
      </c>
      <c r="B40" t="s">
        <v>166</v>
      </c>
      <c r="C40" s="6">
        <v>45881</v>
      </c>
      <c r="D40" t="s">
        <v>67</v>
      </c>
      <c r="E40" t="s">
        <v>68</v>
      </c>
      <c r="F40" t="s">
        <v>37</v>
      </c>
      <c r="G40" t="s">
        <v>38</v>
      </c>
      <c r="H40">
        <v>1</v>
      </c>
      <c r="I40">
        <v>1299</v>
      </c>
      <c r="J40">
        <v>0.2</v>
      </c>
      <c r="K40">
        <v>49</v>
      </c>
      <c r="L40" t="s">
        <v>48</v>
      </c>
      <c r="M40" t="s">
        <v>49</v>
      </c>
      <c r="N40" t="s">
        <v>40</v>
      </c>
      <c r="O40" t="s">
        <v>93</v>
      </c>
      <c r="P40" t="s">
        <v>85</v>
      </c>
      <c r="Q40">
        <v>3</v>
      </c>
      <c r="R40">
        <f>IFERROR(Table1_1[[#This Row],[Unit_Price]]*Table1_1[[#This Row],[Quantity]],"")</f>
        <v>1299</v>
      </c>
      <c r="S40">
        <f>IFERROR(Table1_1[[#This Row],[Gross_Sales]]*Table1_1[[#This Row],[Discount_%]],"")</f>
        <v>259.8</v>
      </c>
      <c r="T40">
        <f>IFERROR(Table1_1[[#This Row],[Gross_Sales]]-Table1_1[[#This Row],[Discount_amount]]+Table1_1[[#This Row],[Shipping_Cost]],"")</f>
        <v>1088.2</v>
      </c>
      <c r="U40">
        <f>IFERROR(Table1_1[[#This Row],[Net_Sale]]-(Table1_1[[#This Row],[Gross_Sales]]*70%),"")</f>
        <v>178.90000000000009</v>
      </c>
      <c r="V40" s="7">
        <f>IFERROR(Table1_1[[#This Row],[Profit]]/Table1_1[[#This Row],[Net_Sale]],"")</f>
        <v>0.16439992648410226</v>
      </c>
      <c r="W40" t="str">
        <f>TEXT(Table1_1[[#This Row],[Order_Date]],"mmm")</f>
        <v>Aug</v>
      </c>
    </row>
    <row r="41" spans="1:23" x14ac:dyDescent="0.25">
      <c r="A41" t="s">
        <v>167</v>
      </c>
      <c r="B41" t="s">
        <v>168</v>
      </c>
      <c r="C41" s="6">
        <v>45721</v>
      </c>
      <c r="D41" t="s">
        <v>169</v>
      </c>
      <c r="E41" t="s">
        <v>170</v>
      </c>
      <c r="F41" t="s">
        <v>98</v>
      </c>
      <c r="G41" t="s">
        <v>171</v>
      </c>
      <c r="H41">
        <v>1</v>
      </c>
      <c r="I41">
        <v>799</v>
      </c>
      <c r="J41">
        <v>0.15</v>
      </c>
      <c r="K41">
        <v>59</v>
      </c>
      <c r="L41" t="s">
        <v>125</v>
      </c>
      <c r="M41" t="s">
        <v>126</v>
      </c>
      <c r="N41" t="s">
        <v>71</v>
      </c>
      <c r="O41" t="s">
        <v>59</v>
      </c>
      <c r="P41" t="s">
        <v>33</v>
      </c>
      <c r="Q41">
        <v>3</v>
      </c>
      <c r="R41">
        <f>IFERROR(Table1_1[[#This Row],[Unit_Price]]*Table1_1[[#This Row],[Quantity]],"")</f>
        <v>799</v>
      </c>
      <c r="S41">
        <f>IFERROR(Table1_1[[#This Row],[Gross_Sales]]*Table1_1[[#This Row],[Discount_%]],"")</f>
        <v>119.85</v>
      </c>
      <c r="T41">
        <f>IFERROR(Table1_1[[#This Row],[Gross_Sales]]-Table1_1[[#This Row],[Discount_amount]]+Table1_1[[#This Row],[Shipping_Cost]],"")</f>
        <v>738.15</v>
      </c>
      <c r="U41">
        <f>IFERROR(Table1_1[[#This Row],[Net_Sale]]-(Table1_1[[#This Row],[Gross_Sales]]*70%),"")</f>
        <v>178.85000000000002</v>
      </c>
      <c r="V41" s="7">
        <f>IFERROR(Table1_1[[#This Row],[Profit]]/Table1_1[[#This Row],[Net_Sale]],"")</f>
        <v>0.24229492650545287</v>
      </c>
      <c r="W41" t="str">
        <f>TEXT(Table1_1[[#This Row],[Order_Date]],"mmm")</f>
        <v>Mar</v>
      </c>
    </row>
    <row r="42" spans="1:23" x14ac:dyDescent="0.25">
      <c r="A42" t="s">
        <v>172</v>
      </c>
      <c r="B42" t="s">
        <v>173</v>
      </c>
      <c r="C42" s="6">
        <v>45873</v>
      </c>
      <c r="D42" t="s">
        <v>110</v>
      </c>
      <c r="E42" t="s">
        <v>111</v>
      </c>
      <c r="F42" t="s">
        <v>98</v>
      </c>
      <c r="G42" t="s">
        <v>112</v>
      </c>
      <c r="H42">
        <v>1</v>
      </c>
      <c r="I42">
        <v>2999</v>
      </c>
      <c r="J42">
        <v>0.2</v>
      </c>
      <c r="K42">
        <v>49</v>
      </c>
      <c r="L42" t="s">
        <v>83</v>
      </c>
      <c r="M42" t="s">
        <v>84</v>
      </c>
      <c r="N42" t="s">
        <v>71</v>
      </c>
      <c r="O42" t="s">
        <v>59</v>
      </c>
      <c r="P42" t="s">
        <v>80</v>
      </c>
      <c r="Q42">
        <v>5</v>
      </c>
      <c r="R42">
        <f>IFERROR(Table1_1[[#This Row],[Unit_Price]]*Table1_1[[#This Row],[Quantity]],"")</f>
        <v>2999</v>
      </c>
      <c r="S42">
        <f>IFERROR(Table1_1[[#This Row],[Gross_Sales]]*Table1_1[[#This Row],[Discount_%]],"")</f>
        <v>599.80000000000007</v>
      </c>
      <c r="T42">
        <f>IFERROR(Table1_1[[#This Row],[Gross_Sales]]-Table1_1[[#This Row],[Discount_amount]]+Table1_1[[#This Row],[Shipping_Cost]],"")</f>
        <v>2448.1999999999998</v>
      </c>
      <c r="U42">
        <f>IFERROR(Table1_1[[#This Row],[Net_Sale]]-(Table1_1[[#This Row],[Gross_Sales]]*70%),"")</f>
        <v>348.90000000000009</v>
      </c>
      <c r="V42" s="7">
        <f>IFERROR(Table1_1[[#This Row],[Profit]]/Table1_1[[#This Row],[Net_Sale]],"")</f>
        <v>0.1425128665958664</v>
      </c>
      <c r="W42" t="str">
        <f>TEXT(Table1_1[[#This Row],[Order_Date]],"mmm")</f>
        <v>Aug</v>
      </c>
    </row>
    <row r="43" spans="1:23" x14ac:dyDescent="0.25">
      <c r="A43" t="s">
        <v>174</v>
      </c>
      <c r="B43" t="s">
        <v>175</v>
      </c>
      <c r="C43" s="6">
        <v>45878</v>
      </c>
      <c r="D43" t="s">
        <v>35</v>
      </c>
      <c r="E43" t="s">
        <v>36</v>
      </c>
      <c r="F43" t="s">
        <v>37</v>
      </c>
      <c r="G43" t="s">
        <v>38</v>
      </c>
      <c r="H43">
        <v>1</v>
      </c>
      <c r="I43">
        <v>599</v>
      </c>
      <c r="J43">
        <v>0.05</v>
      </c>
      <c r="K43">
        <v>79</v>
      </c>
      <c r="L43" t="s">
        <v>48</v>
      </c>
      <c r="M43" t="s">
        <v>49</v>
      </c>
      <c r="N43" t="s">
        <v>40</v>
      </c>
      <c r="O43" t="s">
        <v>41</v>
      </c>
      <c r="P43" t="s">
        <v>80</v>
      </c>
      <c r="Q43">
        <v>5</v>
      </c>
      <c r="R43">
        <f>IFERROR(Table1_1[[#This Row],[Unit_Price]]*Table1_1[[#This Row],[Quantity]],"")</f>
        <v>599</v>
      </c>
      <c r="S43">
        <f>IFERROR(Table1_1[[#This Row],[Gross_Sales]]*Table1_1[[#This Row],[Discount_%]],"")</f>
        <v>29.950000000000003</v>
      </c>
      <c r="T43">
        <f>IFERROR(Table1_1[[#This Row],[Gross_Sales]]-Table1_1[[#This Row],[Discount_amount]]+Table1_1[[#This Row],[Shipping_Cost]],"")</f>
        <v>648.04999999999995</v>
      </c>
      <c r="U43">
        <f>IFERROR(Table1_1[[#This Row],[Net_Sale]]-(Table1_1[[#This Row],[Gross_Sales]]*70%),"")</f>
        <v>228.75</v>
      </c>
      <c r="V43" s="7">
        <f>IFERROR(Table1_1[[#This Row],[Profit]]/Table1_1[[#This Row],[Net_Sale]],"")</f>
        <v>0.35298202299205311</v>
      </c>
      <c r="W43" t="str">
        <f>TEXT(Table1_1[[#This Row],[Order_Date]],"mmm")</f>
        <v>Aug</v>
      </c>
    </row>
    <row r="44" spans="1:23" x14ac:dyDescent="0.25">
      <c r="A44" t="s">
        <v>176</v>
      </c>
      <c r="B44" t="s">
        <v>177</v>
      </c>
      <c r="C44" s="6">
        <v>45803</v>
      </c>
      <c r="D44" t="s">
        <v>90</v>
      </c>
      <c r="E44" t="s">
        <v>91</v>
      </c>
      <c r="F44" t="s">
        <v>37</v>
      </c>
      <c r="G44" t="s">
        <v>92</v>
      </c>
      <c r="H44">
        <v>2</v>
      </c>
      <c r="I44">
        <v>3499</v>
      </c>
      <c r="J44">
        <v>0.15</v>
      </c>
      <c r="K44">
        <v>59</v>
      </c>
      <c r="L44" t="s">
        <v>100</v>
      </c>
      <c r="M44" t="s">
        <v>101</v>
      </c>
      <c r="N44" t="s">
        <v>50</v>
      </c>
      <c r="O44" t="s">
        <v>51</v>
      </c>
      <c r="P44" t="s">
        <v>80</v>
      </c>
      <c r="Q44">
        <v>2</v>
      </c>
      <c r="R44">
        <f>IFERROR(Table1_1[[#This Row],[Unit_Price]]*Table1_1[[#This Row],[Quantity]],"")</f>
        <v>6998</v>
      </c>
      <c r="S44">
        <f>IFERROR(Table1_1[[#This Row],[Gross_Sales]]*Table1_1[[#This Row],[Discount_%]],"")</f>
        <v>1049.7</v>
      </c>
      <c r="T44">
        <f>IFERROR(Table1_1[[#This Row],[Gross_Sales]]-Table1_1[[#This Row],[Discount_amount]]+Table1_1[[#This Row],[Shipping_Cost]],"")</f>
        <v>6007.3</v>
      </c>
      <c r="U44">
        <f>IFERROR(Table1_1[[#This Row],[Net_Sale]]-(Table1_1[[#This Row],[Gross_Sales]]*70%),"")</f>
        <v>1108.7000000000007</v>
      </c>
      <c r="V44" s="7">
        <f>IFERROR(Table1_1[[#This Row],[Profit]]/Table1_1[[#This Row],[Net_Sale]],"")</f>
        <v>0.18455878680938204</v>
      </c>
      <c r="W44" t="str">
        <f>TEXT(Table1_1[[#This Row],[Order_Date]],"mmm")</f>
        <v>May</v>
      </c>
    </row>
    <row r="45" spans="1:23" x14ac:dyDescent="0.25">
      <c r="A45" t="s">
        <v>178</v>
      </c>
      <c r="B45" t="s">
        <v>179</v>
      </c>
      <c r="C45" s="6">
        <v>45783</v>
      </c>
      <c r="D45" t="s">
        <v>67</v>
      </c>
      <c r="E45" t="s">
        <v>68</v>
      </c>
      <c r="F45" t="s">
        <v>37</v>
      </c>
      <c r="G45" t="s">
        <v>38</v>
      </c>
      <c r="H45">
        <v>1</v>
      </c>
      <c r="I45">
        <v>1299</v>
      </c>
      <c r="J45">
        <v>0.1</v>
      </c>
      <c r="K45">
        <v>79</v>
      </c>
      <c r="L45" t="s">
        <v>100</v>
      </c>
      <c r="M45" t="s">
        <v>101</v>
      </c>
      <c r="N45" t="s">
        <v>50</v>
      </c>
      <c r="O45" t="s">
        <v>59</v>
      </c>
      <c r="P45" t="s">
        <v>33</v>
      </c>
      <c r="Q45">
        <v>4</v>
      </c>
      <c r="R45">
        <f>IFERROR(Table1_1[[#This Row],[Unit_Price]]*Table1_1[[#This Row],[Quantity]],"")</f>
        <v>1299</v>
      </c>
      <c r="S45">
        <f>IFERROR(Table1_1[[#This Row],[Gross_Sales]]*Table1_1[[#This Row],[Discount_%]],"")</f>
        <v>129.9</v>
      </c>
      <c r="T45">
        <f>IFERROR(Table1_1[[#This Row],[Gross_Sales]]-Table1_1[[#This Row],[Discount_amount]]+Table1_1[[#This Row],[Shipping_Cost]],"")</f>
        <v>1248.0999999999999</v>
      </c>
      <c r="U45">
        <f>IFERROR(Table1_1[[#This Row],[Net_Sale]]-(Table1_1[[#This Row],[Gross_Sales]]*70%),"")</f>
        <v>338.79999999999995</v>
      </c>
      <c r="V45" s="7">
        <f>IFERROR(Table1_1[[#This Row],[Profit]]/Table1_1[[#This Row],[Net_Sale]],"")</f>
        <v>0.27145260796410542</v>
      </c>
      <c r="W45" t="str">
        <f>TEXT(Table1_1[[#This Row],[Order_Date]],"mmm")</f>
        <v>May</v>
      </c>
    </row>
    <row r="46" spans="1:23" x14ac:dyDescent="0.25">
      <c r="A46" t="s">
        <v>180</v>
      </c>
      <c r="B46" t="s">
        <v>181</v>
      </c>
      <c r="C46" s="6">
        <v>46010</v>
      </c>
      <c r="D46" t="s">
        <v>96</v>
      </c>
      <c r="E46" t="s">
        <v>97</v>
      </c>
      <c r="F46" t="s">
        <v>98</v>
      </c>
      <c r="G46" t="s">
        <v>99</v>
      </c>
      <c r="H46">
        <v>1</v>
      </c>
      <c r="I46">
        <v>1499</v>
      </c>
      <c r="J46">
        <v>0.1</v>
      </c>
      <c r="K46">
        <v>49</v>
      </c>
      <c r="L46" t="s">
        <v>182</v>
      </c>
      <c r="M46" t="s">
        <v>114</v>
      </c>
      <c r="N46" t="s">
        <v>102</v>
      </c>
      <c r="O46" t="s">
        <v>59</v>
      </c>
      <c r="P46" t="s">
        <v>33</v>
      </c>
      <c r="Q46">
        <v>1</v>
      </c>
      <c r="R46">
        <f>IFERROR(Table1_1[[#This Row],[Unit_Price]]*Table1_1[[#This Row],[Quantity]],"")</f>
        <v>1499</v>
      </c>
      <c r="S46">
        <f>IFERROR(Table1_1[[#This Row],[Gross_Sales]]*Table1_1[[#This Row],[Discount_%]],"")</f>
        <v>149.9</v>
      </c>
      <c r="T46">
        <f>IFERROR(Table1_1[[#This Row],[Gross_Sales]]-Table1_1[[#This Row],[Discount_amount]]+Table1_1[[#This Row],[Shipping_Cost]],"")</f>
        <v>1398.1</v>
      </c>
      <c r="U46">
        <f>IFERROR(Table1_1[[#This Row],[Net_Sale]]-(Table1_1[[#This Row],[Gross_Sales]]*70%),"")</f>
        <v>348.79999999999995</v>
      </c>
      <c r="V46" s="7">
        <f>IFERROR(Table1_1[[#This Row],[Profit]]/Table1_1[[#This Row],[Net_Sale]],"")</f>
        <v>0.24948143909591586</v>
      </c>
      <c r="W46" t="str">
        <f>TEXT(Table1_1[[#This Row],[Order_Date]],"mmm")</f>
        <v>Dec</v>
      </c>
    </row>
    <row r="47" spans="1:23" x14ac:dyDescent="0.25">
      <c r="A47" t="s">
        <v>183</v>
      </c>
      <c r="B47" t="s">
        <v>184</v>
      </c>
      <c r="C47" s="6">
        <v>45720</v>
      </c>
      <c r="D47" t="s">
        <v>62</v>
      </c>
      <c r="E47" t="s">
        <v>63</v>
      </c>
      <c r="F47" t="s">
        <v>46</v>
      </c>
      <c r="G47" t="s">
        <v>64</v>
      </c>
      <c r="H47">
        <v>4</v>
      </c>
      <c r="I47">
        <v>699</v>
      </c>
      <c r="J47">
        <v>0.2</v>
      </c>
      <c r="K47">
        <v>99</v>
      </c>
      <c r="L47" t="s">
        <v>113</v>
      </c>
      <c r="M47" t="s">
        <v>114</v>
      </c>
      <c r="N47" t="s">
        <v>102</v>
      </c>
      <c r="O47" t="s">
        <v>51</v>
      </c>
      <c r="P47" t="s">
        <v>52</v>
      </c>
      <c r="Q47">
        <v>3</v>
      </c>
      <c r="R47">
        <f>IFERROR(Table1_1[[#This Row],[Unit_Price]]*Table1_1[[#This Row],[Quantity]],"")</f>
        <v>2796</v>
      </c>
      <c r="S47">
        <f>IFERROR(Table1_1[[#This Row],[Gross_Sales]]*Table1_1[[#This Row],[Discount_%]],"")</f>
        <v>559.20000000000005</v>
      </c>
      <c r="T47">
        <f>IFERROR(Table1_1[[#This Row],[Gross_Sales]]-Table1_1[[#This Row],[Discount_amount]]+Table1_1[[#This Row],[Shipping_Cost]],"")</f>
        <v>2335.8000000000002</v>
      </c>
      <c r="U47">
        <f>IFERROR(Table1_1[[#This Row],[Net_Sale]]-(Table1_1[[#This Row],[Gross_Sales]]*70%),"")</f>
        <v>378.60000000000036</v>
      </c>
      <c r="V47" s="7">
        <f>IFERROR(Table1_1[[#This Row],[Profit]]/Table1_1[[#This Row],[Net_Sale]],"")</f>
        <v>0.16208579501669679</v>
      </c>
      <c r="W47" t="str">
        <f>TEXT(Table1_1[[#This Row],[Order_Date]],"mmm")</f>
        <v>Mar</v>
      </c>
    </row>
    <row r="48" spans="1:23" x14ac:dyDescent="0.25">
      <c r="A48" t="s">
        <v>185</v>
      </c>
      <c r="B48" t="s">
        <v>186</v>
      </c>
      <c r="C48" s="6">
        <v>45916</v>
      </c>
      <c r="D48" t="s">
        <v>90</v>
      </c>
      <c r="E48" t="s">
        <v>91</v>
      </c>
      <c r="F48" t="s">
        <v>37</v>
      </c>
      <c r="G48" t="s">
        <v>92</v>
      </c>
      <c r="H48">
        <v>3</v>
      </c>
      <c r="I48">
        <v>3499</v>
      </c>
      <c r="J48">
        <v>0.1</v>
      </c>
      <c r="K48">
        <v>49</v>
      </c>
      <c r="L48" t="s">
        <v>125</v>
      </c>
      <c r="M48" t="s">
        <v>126</v>
      </c>
      <c r="N48" t="s">
        <v>40</v>
      </c>
      <c r="O48" t="s">
        <v>51</v>
      </c>
      <c r="P48" t="s">
        <v>85</v>
      </c>
      <c r="Q48">
        <v>3</v>
      </c>
      <c r="R48">
        <f>IFERROR(Table1_1[[#This Row],[Unit_Price]]*Table1_1[[#This Row],[Quantity]],"")</f>
        <v>10497</v>
      </c>
      <c r="S48">
        <f>IFERROR(Table1_1[[#This Row],[Gross_Sales]]*Table1_1[[#This Row],[Discount_%]],"")</f>
        <v>1049.7</v>
      </c>
      <c r="T48">
        <f>IFERROR(Table1_1[[#This Row],[Gross_Sales]]-Table1_1[[#This Row],[Discount_amount]]+Table1_1[[#This Row],[Shipping_Cost]],"")</f>
        <v>9496.2999999999993</v>
      </c>
      <c r="U48">
        <f>IFERROR(Table1_1[[#This Row],[Net_Sale]]-(Table1_1[[#This Row],[Gross_Sales]]*70%),"")</f>
        <v>2148.3999999999996</v>
      </c>
      <c r="V48" s="7">
        <f>IFERROR(Table1_1[[#This Row],[Profit]]/Table1_1[[#This Row],[Net_Sale]],"")</f>
        <v>0.22623548118740983</v>
      </c>
      <c r="W48" t="str">
        <f>TEXT(Table1_1[[#This Row],[Order_Date]],"mmm")</f>
        <v>Sep</v>
      </c>
    </row>
    <row r="49" spans="1:23" x14ac:dyDescent="0.25">
      <c r="A49" t="s">
        <v>187</v>
      </c>
      <c r="B49" t="s">
        <v>188</v>
      </c>
      <c r="C49" s="6">
        <v>45924</v>
      </c>
      <c r="D49" t="s">
        <v>67</v>
      </c>
      <c r="E49" t="s">
        <v>68</v>
      </c>
      <c r="F49" t="s">
        <v>37</v>
      </c>
      <c r="G49" t="s">
        <v>38</v>
      </c>
      <c r="H49">
        <v>3</v>
      </c>
      <c r="I49">
        <v>1299</v>
      </c>
      <c r="J49">
        <v>0.05</v>
      </c>
      <c r="K49">
        <v>79</v>
      </c>
      <c r="L49" t="s">
        <v>48</v>
      </c>
      <c r="M49" t="s">
        <v>49</v>
      </c>
      <c r="N49" t="s">
        <v>189</v>
      </c>
      <c r="O49" t="s">
        <v>41</v>
      </c>
      <c r="P49" t="s">
        <v>33</v>
      </c>
      <c r="Q49">
        <v>3</v>
      </c>
      <c r="R49">
        <f>IFERROR(Table1_1[[#This Row],[Unit_Price]]*Table1_1[[#This Row],[Quantity]],"")</f>
        <v>3897</v>
      </c>
      <c r="S49">
        <f>IFERROR(Table1_1[[#This Row],[Gross_Sales]]*Table1_1[[#This Row],[Discount_%]],"")</f>
        <v>194.85000000000002</v>
      </c>
      <c r="T49">
        <f>IFERROR(Table1_1[[#This Row],[Gross_Sales]]-Table1_1[[#This Row],[Discount_amount]]+Table1_1[[#This Row],[Shipping_Cost]],"")</f>
        <v>3781.15</v>
      </c>
      <c r="U49">
        <f>IFERROR(Table1_1[[#This Row],[Net_Sale]]-(Table1_1[[#This Row],[Gross_Sales]]*70%),"")</f>
        <v>1053.2500000000005</v>
      </c>
      <c r="V49" s="7">
        <f>IFERROR(Table1_1[[#This Row],[Profit]]/Table1_1[[#This Row],[Net_Sale]],"")</f>
        <v>0.27855282123163599</v>
      </c>
      <c r="W49" t="str">
        <f>TEXT(Table1_1[[#This Row],[Order_Date]],"mmm")</f>
        <v>Sep</v>
      </c>
    </row>
    <row r="50" spans="1:23" x14ac:dyDescent="0.25">
      <c r="A50" t="s">
        <v>190</v>
      </c>
      <c r="B50" t="s">
        <v>132</v>
      </c>
      <c r="C50" s="6">
        <v>45699</v>
      </c>
      <c r="D50" t="s">
        <v>169</v>
      </c>
      <c r="E50" t="s">
        <v>170</v>
      </c>
      <c r="F50" t="s">
        <v>98</v>
      </c>
      <c r="G50" t="s">
        <v>171</v>
      </c>
      <c r="H50">
        <v>3</v>
      </c>
      <c r="I50">
        <v>799</v>
      </c>
      <c r="J50">
        <v>0.1</v>
      </c>
      <c r="K50">
        <v>49</v>
      </c>
      <c r="L50" t="s">
        <v>74</v>
      </c>
      <c r="M50" t="s">
        <v>49</v>
      </c>
      <c r="N50" t="s">
        <v>31</v>
      </c>
      <c r="O50" t="s">
        <v>59</v>
      </c>
      <c r="P50" t="s">
        <v>33</v>
      </c>
      <c r="Q50">
        <v>4</v>
      </c>
      <c r="R50">
        <f>IFERROR(Table1_1[[#This Row],[Unit_Price]]*Table1_1[[#This Row],[Quantity]],"")</f>
        <v>2397</v>
      </c>
      <c r="S50">
        <f>IFERROR(Table1_1[[#This Row],[Gross_Sales]]*Table1_1[[#This Row],[Discount_%]],"")</f>
        <v>239.70000000000002</v>
      </c>
      <c r="T50">
        <f>IFERROR(Table1_1[[#This Row],[Gross_Sales]]-Table1_1[[#This Row],[Discount_amount]]+Table1_1[[#This Row],[Shipping_Cost]],"")</f>
        <v>2206.3000000000002</v>
      </c>
      <c r="U50">
        <f>IFERROR(Table1_1[[#This Row],[Net_Sale]]-(Table1_1[[#This Row],[Gross_Sales]]*70%),"")</f>
        <v>528.40000000000032</v>
      </c>
      <c r="V50" s="7">
        <f>IFERROR(Table1_1[[#This Row],[Profit]]/Table1_1[[#This Row],[Net_Sale]],"")</f>
        <v>0.23949598875946165</v>
      </c>
      <c r="W50" t="str">
        <f>TEXT(Table1_1[[#This Row],[Order_Date]],"mmm")</f>
        <v>Feb</v>
      </c>
    </row>
    <row r="51" spans="1:23" x14ac:dyDescent="0.25">
      <c r="A51" t="s">
        <v>191</v>
      </c>
      <c r="B51" t="s">
        <v>192</v>
      </c>
      <c r="C51" s="6">
        <v>45689</v>
      </c>
      <c r="D51" t="s">
        <v>169</v>
      </c>
      <c r="E51" t="s">
        <v>170</v>
      </c>
      <c r="F51" t="s">
        <v>98</v>
      </c>
      <c r="G51" t="s">
        <v>171</v>
      </c>
      <c r="H51">
        <v>2</v>
      </c>
      <c r="I51">
        <v>799</v>
      </c>
      <c r="J51">
        <v>0.1</v>
      </c>
      <c r="K51">
        <v>99</v>
      </c>
      <c r="L51" t="s">
        <v>83</v>
      </c>
      <c r="M51" t="s">
        <v>84</v>
      </c>
      <c r="N51" t="s">
        <v>102</v>
      </c>
      <c r="O51" t="s">
        <v>59</v>
      </c>
      <c r="P51" t="s">
        <v>52</v>
      </c>
      <c r="Q51">
        <v>4</v>
      </c>
      <c r="R51">
        <f>IFERROR(Table1_1[[#This Row],[Unit_Price]]*Table1_1[[#This Row],[Quantity]],"")</f>
        <v>1598</v>
      </c>
      <c r="S51">
        <f>IFERROR(Table1_1[[#This Row],[Gross_Sales]]*Table1_1[[#This Row],[Discount_%]],"")</f>
        <v>159.80000000000001</v>
      </c>
      <c r="T51">
        <f>IFERROR(Table1_1[[#This Row],[Gross_Sales]]-Table1_1[[#This Row],[Discount_amount]]+Table1_1[[#This Row],[Shipping_Cost]],"")</f>
        <v>1537.2</v>
      </c>
      <c r="U51">
        <f>IFERROR(Table1_1[[#This Row],[Net_Sale]]-(Table1_1[[#This Row],[Gross_Sales]]*70%),"")</f>
        <v>418.60000000000014</v>
      </c>
      <c r="V51" s="7">
        <f>IFERROR(Table1_1[[#This Row],[Profit]]/Table1_1[[#This Row],[Net_Sale]],"")</f>
        <v>0.2723132969034609</v>
      </c>
      <c r="W51" t="str">
        <f>TEXT(Table1_1[[#This Row],[Order_Date]],"mmm")</f>
        <v>Feb</v>
      </c>
    </row>
    <row r="52" spans="1:23" x14ac:dyDescent="0.25">
      <c r="A52" t="s">
        <v>194</v>
      </c>
      <c r="B52" t="s">
        <v>82</v>
      </c>
      <c r="C52" s="6">
        <v>45857</v>
      </c>
      <c r="D52" t="s">
        <v>35</v>
      </c>
      <c r="E52" t="s">
        <v>36</v>
      </c>
      <c r="F52" t="s">
        <v>37</v>
      </c>
      <c r="G52" t="s">
        <v>38</v>
      </c>
      <c r="H52">
        <v>1</v>
      </c>
      <c r="I52">
        <v>599</v>
      </c>
      <c r="J52">
        <v>0.2</v>
      </c>
      <c r="K52">
        <v>99</v>
      </c>
      <c r="L52" t="s">
        <v>74</v>
      </c>
      <c r="M52" t="s">
        <v>49</v>
      </c>
      <c r="N52" t="s">
        <v>40</v>
      </c>
      <c r="O52" t="s">
        <v>41</v>
      </c>
      <c r="P52" t="s">
        <v>80</v>
      </c>
      <c r="Q52">
        <v>3</v>
      </c>
      <c r="R52">
        <f>IFERROR(Table1_1[[#This Row],[Unit_Price]]*Table1_1[[#This Row],[Quantity]],"")</f>
        <v>599</v>
      </c>
      <c r="S52">
        <f>IFERROR(Table1_1[[#This Row],[Gross_Sales]]*Table1_1[[#This Row],[Discount_%]],"")</f>
        <v>119.80000000000001</v>
      </c>
      <c r="T52">
        <f>IFERROR(Table1_1[[#This Row],[Gross_Sales]]-Table1_1[[#This Row],[Discount_amount]]+Table1_1[[#This Row],[Shipping_Cost]],"")</f>
        <v>578.20000000000005</v>
      </c>
      <c r="U52">
        <f>IFERROR(Table1_1[[#This Row],[Net_Sale]]-(Table1_1[[#This Row],[Gross_Sales]]*70%),"")</f>
        <v>158.90000000000009</v>
      </c>
      <c r="V52" s="7">
        <f>IFERROR(Table1_1[[#This Row],[Profit]]/Table1_1[[#This Row],[Net_Sale]],"")</f>
        <v>0.27481840193704615</v>
      </c>
      <c r="W52" t="str">
        <f>TEXT(Table1_1[[#This Row],[Order_Date]],"mmm")</f>
        <v>Jul</v>
      </c>
    </row>
    <row r="53" spans="1:23" x14ac:dyDescent="0.25">
      <c r="A53" t="s">
        <v>195</v>
      </c>
      <c r="B53" t="s">
        <v>196</v>
      </c>
      <c r="C53" s="6">
        <v>45830</v>
      </c>
      <c r="D53" t="s">
        <v>96</v>
      </c>
      <c r="E53" t="s">
        <v>97</v>
      </c>
      <c r="F53" t="s">
        <v>98</v>
      </c>
      <c r="G53" t="s">
        <v>99</v>
      </c>
      <c r="H53">
        <v>1</v>
      </c>
      <c r="I53">
        <v>1499</v>
      </c>
      <c r="J53">
        <v>0.2</v>
      </c>
      <c r="K53">
        <v>49</v>
      </c>
      <c r="L53" t="s">
        <v>119</v>
      </c>
      <c r="M53" t="s">
        <v>120</v>
      </c>
      <c r="N53" t="s">
        <v>50</v>
      </c>
      <c r="O53" t="s">
        <v>32</v>
      </c>
      <c r="P53" t="s">
        <v>52</v>
      </c>
      <c r="Q53">
        <v>5</v>
      </c>
      <c r="R53">
        <f>IFERROR(Table1_1[[#This Row],[Unit_Price]]*Table1_1[[#This Row],[Quantity]],"")</f>
        <v>1499</v>
      </c>
      <c r="S53">
        <f>IFERROR(Table1_1[[#This Row],[Gross_Sales]]*Table1_1[[#This Row],[Discount_%]],"")</f>
        <v>299.8</v>
      </c>
      <c r="T53">
        <f>IFERROR(Table1_1[[#This Row],[Gross_Sales]]-Table1_1[[#This Row],[Discount_amount]]+Table1_1[[#This Row],[Shipping_Cost]],"")</f>
        <v>1248.2</v>
      </c>
      <c r="U53">
        <f>IFERROR(Table1_1[[#This Row],[Net_Sale]]-(Table1_1[[#This Row],[Gross_Sales]]*70%),"")</f>
        <v>198.90000000000009</v>
      </c>
      <c r="V53" s="7">
        <f>IFERROR(Table1_1[[#This Row],[Profit]]/Table1_1[[#This Row],[Net_Sale]],"")</f>
        <v>0.15934946322704702</v>
      </c>
      <c r="W53" t="str">
        <f>TEXT(Table1_1[[#This Row],[Order_Date]],"mmm")</f>
        <v>Jun</v>
      </c>
    </row>
    <row r="54" spans="1:23" x14ac:dyDescent="0.25">
      <c r="A54" t="s">
        <v>197</v>
      </c>
      <c r="B54" t="s">
        <v>198</v>
      </c>
      <c r="C54" s="6">
        <v>45997</v>
      </c>
      <c r="D54" t="s">
        <v>35</v>
      </c>
      <c r="E54" t="s">
        <v>36</v>
      </c>
      <c r="F54" t="s">
        <v>37</v>
      </c>
      <c r="G54" t="s">
        <v>38</v>
      </c>
      <c r="H54">
        <v>2</v>
      </c>
      <c r="I54">
        <v>599</v>
      </c>
      <c r="J54">
        <v>0.1</v>
      </c>
      <c r="K54">
        <v>49</v>
      </c>
      <c r="L54" t="s">
        <v>57</v>
      </c>
      <c r="M54" t="s">
        <v>58</v>
      </c>
      <c r="N54" t="s">
        <v>50</v>
      </c>
      <c r="O54" t="s">
        <v>93</v>
      </c>
      <c r="P54" t="s">
        <v>80</v>
      </c>
      <c r="Q54">
        <v>3</v>
      </c>
      <c r="R54">
        <f>IFERROR(Table1_1[[#This Row],[Unit_Price]]*Table1_1[[#This Row],[Quantity]],"")</f>
        <v>1198</v>
      </c>
      <c r="S54">
        <f>IFERROR(Table1_1[[#This Row],[Gross_Sales]]*Table1_1[[#This Row],[Discount_%]],"")</f>
        <v>119.80000000000001</v>
      </c>
      <c r="T54">
        <f>IFERROR(Table1_1[[#This Row],[Gross_Sales]]-Table1_1[[#This Row],[Discount_amount]]+Table1_1[[#This Row],[Shipping_Cost]],"")</f>
        <v>1127.2</v>
      </c>
      <c r="U54">
        <f>IFERROR(Table1_1[[#This Row],[Net_Sale]]-(Table1_1[[#This Row],[Gross_Sales]]*70%),"")</f>
        <v>288.60000000000014</v>
      </c>
      <c r="V54" s="7">
        <f>IFERROR(Table1_1[[#This Row],[Profit]]/Table1_1[[#This Row],[Net_Sale]],"")</f>
        <v>0.25603264726756575</v>
      </c>
      <c r="W54" t="str">
        <f>TEXT(Table1_1[[#This Row],[Order_Date]],"mmm")</f>
        <v>Dec</v>
      </c>
    </row>
    <row r="55" spans="1:23" x14ac:dyDescent="0.25">
      <c r="A55" t="s">
        <v>199</v>
      </c>
      <c r="B55" t="s">
        <v>200</v>
      </c>
      <c r="C55" s="6">
        <v>45825</v>
      </c>
      <c r="D55" t="s">
        <v>96</v>
      </c>
      <c r="E55" t="s">
        <v>97</v>
      </c>
      <c r="F55" t="s">
        <v>98</v>
      </c>
      <c r="G55" t="s">
        <v>99</v>
      </c>
      <c r="H55">
        <v>1</v>
      </c>
      <c r="I55">
        <v>1499</v>
      </c>
      <c r="J55">
        <v>0.05</v>
      </c>
      <c r="K55">
        <v>79</v>
      </c>
      <c r="L55" t="s">
        <v>74</v>
      </c>
      <c r="M55" t="s">
        <v>49</v>
      </c>
      <c r="N55" t="s">
        <v>31</v>
      </c>
      <c r="O55" t="s">
        <v>59</v>
      </c>
      <c r="P55" t="s">
        <v>52</v>
      </c>
      <c r="Q55">
        <v>1</v>
      </c>
      <c r="R55">
        <f>IFERROR(Table1_1[[#This Row],[Unit_Price]]*Table1_1[[#This Row],[Quantity]],"")</f>
        <v>1499</v>
      </c>
      <c r="S55">
        <f>IFERROR(Table1_1[[#This Row],[Gross_Sales]]*Table1_1[[#This Row],[Discount_%]],"")</f>
        <v>74.95</v>
      </c>
      <c r="T55">
        <f>IFERROR(Table1_1[[#This Row],[Gross_Sales]]-Table1_1[[#This Row],[Discount_amount]]+Table1_1[[#This Row],[Shipping_Cost]],"")</f>
        <v>1503.05</v>
      </c>
      <c r="U55">
        <f>IFERROR(Table1_1[[#This Row],[Net_Sale]]-(Table1_1[[#This Row],[Gross_Sales]]*70%),"")</f>
        <v>453.75</v>
      </c>
      <c r="V55" s="7">
        <f>IFERROR(Table1_1[[#This Row],[Profit]]/Table1_1[[#This Row],[Net_Sale]],"")</f>
        <v>0.30188616479824359</v>
      </c>
      <c r="W55" t="str">
        <f>TEXT(Table1_1[[#This Row],[Order_Date]],"mmm")</f>
        <v>Jun</v>
      </c>
    </row>
    <row r="56" spans="1:23" x14ac:dyDescent="0.25">
      <c r="A56" t="s">
        <v>201</v>
      </c>
      <c r="B56" t="s">
        <v>202</v>
      </c>
      <c r="C56" s="6">
        <v>45837</v>
      </c>
      <c r="D56" t="s">
        <v>77</v>
      </c>
      <c r="E56" t="s">
        <v>78</v>
      </c>
      <c r="F56" t="s">
        <v>79</v>
      </c>
      <c r="G56" t="s">
        <v>28</v>
      </c>
      <c r="H56">
        <v>1</v>
      </c>
      <c r="I56">
        <v>6499</v>
      </c>
      <c r="J56">
        <v>0.2</v>
      </c>
      <c r="K56">
        <v>0</v>
      </c>
      <c r="L56" t="s">
        <v>83</v>
      </c>
      <c r="M56" t="s">
        <v>84</v>
      </c>
      <c r="N56" t="s">
        <v>50</v>
      </c>
      <c r="O56" t="s">
        <v>41</v>
      </c>
      <c r="P56" t="s">
        <v>33</v>
      </c>
      <c r="Q56">
        <v>3</v>
      </c>
      <c r="R56">
        <f>IFERROR(Table1_1[[#This Row],[Unit_Price]]*Table1_1[[#This Row],[Quantity]],"")</f>
        <v>6499</v>
      </c>
      <c r="S56">
        <f>IFERROR(Table1_1[[#This Row],[Gross_Sales]]*Table1_1[[#This Row],[Discount_%]],"")</f>
        <v>1299.8000000000002</v>
      </c>
      <c r="T56">
        <f>IFERROR(Table1_1[[#This Row],[Gross_Sales]]-Table1_1[[#This Row],[Discount_amount]]+Table1_1[[#This Row],[Shipping_Cost]],"")</f>
        <v>5199.2</v>
      </c>
      <c r="U56">
        <f>IFERROR(Table1_1[[#This Row],[Net_Sale]]-(Table1_1[[#This Row],[Gross_Sales]]*70%),"")</f>
        <v>649.90000000000055</v>
      </c>
      <c r="V56" s="7">
        <f>IFERROR(Table1_1[[#This Row],[Profit]]/Table1_1[[#This Row],[Net_Sale]],"")</f>
        <v>0.12500000000000011</v>
      </c>
      <c r="W56" t="str">
        <f>TEXT(Table1_1[[#This Row],[Order_Date]],"mmm")</f>
        <v>Jun</v>
      </c>
    </row>
    <row r="57" spans="1:23" x14ac:dyDescent="0.25">
      <c r="A57" t="s">
        <v>203</v>
      </c>
      <c r="B57" t="s">
        <v>204</v>
      </c>
      <c r="C57" s="6">
        <v>45722</v>
      </c>
      <c r="D57" t="s">
        <v>35</v>
      </c>
      <c r="E57" t="s">
        <v>36</v>
      </c>
      <c r="F57" t="s">
        <v>37</v>
      </c>
      <c r="G57" t="s">
        <v>38</v>
      </c>
      <c r="H57">
        <v>1</v>
      </c>
      <c r="I57">
        <v>599</v>
      </c>
      <c r="J57">
        <v>0.15</v>
      </c>
      <c r="K57">
        <v>49</v>
      </c>
      <c r="L57" t="s">
        <v>125</v>
      </c>
      <c r="M57" t="s">
        <v>126</v>
      </c>
      <c r="N57" t="s">
        <v>71</v>
      </c>
      <c r="O57" t="s">
        <v>51</v>
      </c>
      <c r="P57" t="s">
        <v>33</v>
      </c>
      <c r="Q57">
        <v>2</v>
      </c>
      <c r="R57">
        <f>IFERROR(Table1_1[[#This Row],[Unit_Price]]*Table1_1[[#This Row],[Quantity]],"")</f>
        <v>599</v>
      </c>
      <c r="S57">
        <f>IFERROR(Table1_1[[#This Row],[Gross_Sales]]*Table1_1[[#This Row],[Discount_%]],"")</f>
        <v>89.85</v>
      </c>
      <c r="T57">
        <f>IFERROR(Table1_1[[#This Row],[Gross_Sales]]-Table1_1[[#This Row],[Discount_amount]]+Table1_1[[#This Row],[Shipping_Cost]],"")</f>
        <v>558.15</v>
      </c>
      <c r="U57">
        <f>IFERROR(Table1_1[[#This Row],[Net_Sale]]-(Table1_1[[#This Row],[Gross_Sales]]*70%),"")</f>
        <v>138.85000000000002</v>
      </c>
      <c r="V57" s="7">
        <f>IFERROR(Table1_1[[#This Row],[Profit]]/Table1_1[[#This Row],[Net_Sale]],"")</f>
        <v>0.2487682522619368</v>
      </c>
      <c r="W57" t="str">
        <f>TEXT(Table1_1[[#This Row],[Order_Date]],"mmm")</f>
        <v>Mar</v>
      </c>
    </row>
    <row r="58" spans="1:23" x14ac:dyDescent="0.25">
      <c r="A58" t="s">
        <v>205</v>
      </c>
      <c r="B58" t="s">
        <v>116</v>
      </c>
      <c r="C58" s="6">
        <v>45716</v>
      </c>
      <c r="D58" t="s">
        <v>44</v>
      </c>
      <c r="E58" t="s">
        <v>45</v>
      </c>
      <c r="F58" t="s">
        <v>46</v>
      </c>
      <c r="G58" t="s">
        <v>47</v>
      </c>
      <c r="H58">
        <v>4</v>
      </c>
      <c r="I58">
        <v>1199</v>
      </c>
      <c r="J58">
        <v>0.15</v>
      </c>
      <c r="K58">
        <v>0</v>
      </c>
      <c r="L58" t="s">
        <v>125</v>
      </c>
      <c r="M58" t="s">
        <v>126</v>
      </c>
      <c r="N58" t="s">
        <v>102</v>
      </c>
      <c r="O58" t="s">
        <v>59</v>
      </c>
      <c r="P58" t="s">
        <v>33</v>
      </c>
      <c r="Q58">
        <v>4</v>
      </c>
      <c r="R58">
        <f>IFERROR(Table1_1[[#This Row],[Unit_Price]]*Table1_1[[#This Row],[Quantity]],"")</f>
        <v>4796</v>
      </c>
      <c r="S58">
        <f>IFERROR(Table1_1[[#This Row],[Gross_Sales]]*Table1_1[[#This Row],[Discount_%]],"")</f>
        <v>719.4</v>
      </c>
      <c r="T58">
        <f>IFERROR(Table1_1[[#This Row],[Gross_Sales]]-Table1_1[[#This Row],[Discount_amount]]+Table1_1[[#This Row],[Shipping_Cost]],"")</f>
        <v>4076.6</v>
      </c>
      <c r="U58">
        <f>IFERROR(Table1_1[[#This Row],[Net_Sale]]-(Table1_1[[#This Row],[Gross_Sales]]*70%),"")</f>
        <v>719.40000000000009</v>
      </c>
      <c r="V58" s="7">
        <f>IFERROR(Table1_1[[#This Row],[Profit]]/Table1_1[[#This Row],[Net_Sale]],"")</f>
        <v>0.17647058823529416</v>
      </c>
      <c r="W58" t="str">
        <f>TEXT(Table1_1[[#This Row],[Order_Date]],"mmm")</f>
        <v>Feb</v>
      </c>
    </row>
    <row r="59" spans="1:23" x14ac:dyDescent="0.25">
      <c r="A59" t="s">
        <v>206</v>
      </c>
      <c r="B59" t="s">
        <v>207</v>
      </c>
      <c r="C59" s="6">
        <v>46011</v>
      </c>
      <c r="D59" t="s">
        <v>77</v>
      </c>
      <c r="E59" t="s">
        <v>78</v>
      </c>
      <c r="F59" t="s">
        <v>79</v>
      </c>
      <c r="G59" t="s">
        <v>28</v>
      </c>
      <c r="H59">
        <v>1</v>
      </c>
      <c r="I59">
        <v>6499</v>
      </c>
      <c r="J59">
        <v>0.2</v>
      </c>
      <c r="K59">
        <v>59</v>
      </c>
      <c r="L59" t="s">
        <v>113</v>
      </c>
      <c r="M59" t="s">
        <v>114</v>
      </c>
      <c r="N59" t="s">
        <v>102</v>
      </c>
      <c r="O59" t="s">
        <v>93</v>
      </c>
      <c r="P59" t="s">
        <v>33</v>
      </c>
      <c r="Q59">
        <v>3</v>
      </c>
      <c r="R59">
        <f>IFERROR(Table1_1[[#This Row],[Unit_Price]]*Table1_1[[#This Row],[Quantity]],"")</f>
        <v>6499</v>
      </c>
      <c r="S59">
        <f>IFERROR(Table1_1[[#This Row],[Gross_Sales]]*Table1_1[[#This Row],[Discount_%]],"")</f>
        <v>1299.8000000000002</v>
      </c>
      <c r="T59">
        <f>IFERROR(Table1_1[[#This Row],[Gross_Sales]]-Table1_1[[#This Row],[Discount_amount]]+Table1_1[[#This Row],[Shipping_Cost]],"")</f>
        <v>5258.2</v>
      </c>
      <c r="U59">
        <f>IFERROR(Table1_1[[#This Row],[Net_Sale]]-(Table1_1[[#This Row],[Gross_Sales]]*70%),"")</f>
        <v>708.90000000000055</v>
      </c>
      <c r="V59" s="7">
        <f>IFERROR(Table1_1[[#This Row],[Profit]]/Table1_1[[#This Row],[Net_Sale]],"")</f>
        <v>0.13481799855463858</v>
      </c>
      <c r="W59" t="str">
        <f>TEXT(Table1_1[[#This Row],[Order_Date]],"mmm")</f>
        <v>Dec</v>
      </c>
    </row>
    <row r="60" spans="1:23" x14ac:dyDescent="0.25">
      <c r="A60" t="s">
        <v>208</v>
      </c>
      <c r="B60" t="s">
        <v>104</v>
      </c>
      <c r="C60" s="6">
        <v>45693</v>
      </c>
      <c r="D60" t="s">
        <v>62</v>
      </c>
      <c r="E60" t="s">
        <v>63</v>
      </c>
      <c r="F60" t="s">
        <v>46</v>
      </c>
      <c r="G60" t="s">
        <v>64</v>
      </c>
      <c r="H60">
        <v>2</v>
      </c>
      <c r="I60">
        <v>699</v>
      </c>
      <c r="J60">
        <v>0</v>
      </c>
      <c r="K60">
        <v>79</v>
      </c>
      <c r="L60" t="s">
        <v>57</v>
      </c>
      <c r="M60" t="s">
        <v>58</v>
      </c>
      <c r="N60" t="s">
        <v>31</v>
      </c>
      <c r="O60" t="s">
        <v>59</v>
      </c>
      <c r="P60" t="s">
        <v>33</v>
      </c>
      <c r="Q60">
        <v>3</v>
      </c>
      <c r="R60">
        <f>IFERROR(Table1_1[[#This Row],[Unit_Price]]*Table1_1[[#This Row],[Quantity]],"")</f>
        <v>1398</v>
      </c>
      <c r="S60">
        <f>IFERROR(Table1_1[[#This Row],[Gross_Sales]]*Table1_1[[#This Row],[Discount_%]],"")</f>
        <v>0</v>
      </c>
      <c r="T60">
        <f>IFERROR(Table1_1[[#This Row],[Gross_Sales]]-Table1_1[[#This Row],[Discount_amount]]+Table1_1[[#This Row],[Shipping_Cost]],"")</f>
        <v>1477</v>
      </c>
      <c r="U60">
        <f>IFERROR(Table1_1[[#This Row],[Net_Sale]]-(Table1_1[[#This Row],[Gross_Sales]]*70%),"")</f>
        <v>498.40000000000009</v>
      </c>
      <c r="V60" s="7">
        <f>IFERROR(Table1_1[[#This Row],[Profit]]/Table1_1[[#This Row],[Net_Sale]],"")</f>
        <v>0.3374407582938389</v>
      </c>
      <c r="W60" t="str">
        <f>TEXT(Table1_1[[#This Row],[Order_Date]],"mmm")</f>
        <v>Feb</v>
      </c>
    </row>
    <row r="61" spans="1:23" x14ac:dyDescent="0.25">
      <c r="A61" t="s">
        <v>210</v>
      </c>
      <c r="B61" t="s">
        <v>211</v>
      </c>
      <c r="C61" s="6">
        <v>45880</v>
      </c>
      <c r="D61" t="s">
        <v>25</v>
      </c>
      <c r="E61" t="s">
        <v>26</v>
      </c>
      <c r="F61" t="s">
        <v>27</v>
      </c>
      <c r="G61" t="s">
        <v>28</v>
      </c>
      <c r="H61">
        <v>2</v>
      </c>
      <c r="I61">
        <v>249</v>
      </c>
      <c r="J61">
        <v>0.2</v>
      </c>
      <c r="K61">
        <v>59</v>
      </c>
      <c r="L61" t="s">
        <v>119</v>
      </c>
      <c r="M61" t="s">
        <v>120</v>
      </c>
      <c r="N61" t="s">
        <v>40</v>
      </c>
      <c r="O61" t="s">
        <v>59</v>
      </c>
      <c r="P61" t="s">
        <v>85</v>
      </c>
      <c r="Q61">
        <v>4</v>
      </c>
      <c r="R61">
        <f>IFERROR(Table1_1[[#This Row],[Unit_Price]]*Table1_1[[#This Row],[Quantity]],"")</f>
        <v>498</v>
      </c>
      <c r="S61">
        <f>IFERROR(Table1_1[[#This Row],[Gross_Sales]]*Table1_1[[#This Row],[Discount_%]],"")</f>
        <v>99.600000000000009</v>
      </c>
      <c r="T61">
        <f>IFERROR(Table1_1[[#This Row],[Gross_Sales]]-Table1_1[[#This Row],[Discount_amount]]+Table1_1[[#This Row],[Shipping_Cost]],"")</f>
        <v>457.4</v>
      </c>
      <c r="U61">
        <f>IFERROR(Table1_1[[#This Row],[Net_Sale]]-(Table1_1[[#This Row],[Gross_Sales]]*70%),"")</f>
        <v>108.80000000000001</v>
      </c>
      <c r="V61" s="7">
        <f>IFERROR(Table1_1[[#This Row],[Profit]]/Table1_1[[#This Row],[Net_Sale]],"")</f>
        <v>0.23786620026235247</v>
      </c>
      <c r="W61" t="str">
        <f>TEXT(Table1_1[[#This Row],[Order_Date]],"mmm")</f>
        <v>Aug</v>
      </c>
    </row>
    <row r="62" spans="1:23" x14ac:dyDescent="0.25">
      <c r="A62" t="s">
        <v>212</v>
      </c>
      <c r="B62" t="s">
        <v>173</v>
      </c>
      <c r="C62" s="6">
        <v>45783</v>
      </c>
      <c r="D62" t="s">
        <v>77</v>
      </c>
      <c r="E62" t="s">
        <v>78</v>
      </c>
      <c r="F62" t="s">
        <v>79</v>
      </c>
      <c r="G62" t="s">
        <v>28</v>
      </c>
      <c r="H62">
        <v>1</v>
      </c>
      <c r="I62">
        <v>6499</v>
      </c>
      <c r="J62">
        <v>0</v>
      </c>
      <c r="K62">
        <v>79</v>
      </c>
      <c r="L62" t="s">
        <v>125</v>
      </c>
      <c r="M62" t="s">
        <v>126</v>
      </c>
      <c r="N62" t="s">
        <v>102</v>
      </c>
      <c r="O62" t="s">
        <v>59</v>
      </c>
      <c r="P62" t="s">
        <v>52</v>
      </c>
      <c r="Q62">
        <v>3</v>
      </c>
      <c r="R62">
        <f>IFERROR(Table1_1[[#This Row],[Unit_Price]]*Table1_1[[#This Row],[Quantity]],"")</f>
        <v>6499</v>
      </c>
      <c r="S62">
        <f>IFERROR(Table1_1[[#This Row],[Gross_Sales]]*Table1_1[[#This Row],[Discount_%]],"")</f>
        <v>0</v>
      </c>
      <c r="T62">
        <f>IFERROR(Table1_1[[#This Row],[Gross_Sales]]-Table1_1[[#This Row],[Discount_amount]]+Table1_1[[#This Row],[Shipping_Cost]],"")</f>
        <v>6578</v>
      </c>
      <c r="U62">
        <f>IFERROR(Table1_1[[#This Row],[Net_Sale]]-(Table1_1[[#This Row],[Gross_Sales]]*70%),"")</f>
        <v>2028.7000000000007</v>
      </c>
      <c r="V62" s="7">
        <f>IFERROR(Table1_1[[#This Row],[Profit]]/Table1_1[[#This Row],[Net_Sale]],"")</f>
        <v>0.30840681058072372</v>
      </c>
      <c r="W62" t="str">
        <f>TEXT(Table1_1[[#This Row],[Order_Date]],"mmm")</f>
        <v>May</v>
      </c>
    </row>
    <row r="63" spans="1:23" x14ac:dyDescent="0.25">
      <c r="A63" t="s">
        <v>213</v>
      </c>
      <c r="B63" t="s">
        <v>214</v>
      </c>
      <c r="C63" s="6">
        <v>45751</v>
      </c>
      <c r="D63" t="s">
        <v>35</v>
      </c>
      <c r="E63" t="s">
        <v>36</v>
      </c>
      <c r="F63" t="s">
        <v>37</v>
      </c>
      <c r="G63" t="s">
        <v>38</v>
      </c>
      <c r="H63">
        <v>3</v>
      </c>
      <c r="I63">
        <v>599</v>
      </c>
      <c r="J63">
        <v>0.05</v>
      </c>
      <c r="K63">
        <v>59</v>
      </c>
      <c r="L63" t="s">
        <v>119</v>
      </c>
      <c r="M63" t="s">
        <v>120</v>
      </c>
      <c r="N63" t="s">
        <v>102</v>
      </c>
      <c r="O63" t="s">
        <v>51</v>
      </c>
      <c r="P63" t="s">
        <v>33</v>
      </c>
      <c r="Q63">
        <v>5</v>
      </c>
      <c r="R63">
        <f>IFERROR(Table1_1[[#This Row],[Unit_Price]]*Table1_1[[#This Row],[Quantity]],"")</f>
        <v>1797</v>
      </c>
      <c r="S63">
        <f>IFERROR(Table1_1[[#This Row],[Gross_Sales]]*Table1_1[[#This Row],[Discount_%]],"")</f>
        <v>89.850000000000009</v>
      </c>
      <c r="T63">
        <f>IFERROR(Table1_1[[#This Row],[Gross_Sales]]-Table1_1[[#This Row],[Discount_amount]]+Table1_1[[#This Row],[Shipping_Cost]],"")</f>
        <v>1766.15</v>
      </c>
      <c r="U63">
        <f>IFERROR(Table1_1[[#This Row],[Net_Sale]]-(Table1_1[[#This Row],[Gross_Sales]]*70%),"")</f>
        <v>508.25000000000023</v>
      </c>
      <c r="V63" s="7">
        <f>IFERROR(Table1_1[[#This Row],[Profit]]/Table1_1[[#This Row],[Net_Sale]],"")</f>
        <v>0.28777283922656638</v>
      </c>
      <c r="W63" t="str">
        <f>TEXT(Table1_1[[#This Row],[Order_Date]],"mmm")</f>
        <v>Apr</v>
      </c>
    </row>
    <row r="64" spans="1:23" x14ac:dyDescent="0.25">
      <c r="A64" t="s">
        <v>215</v>
      </c>
      <c r="B64" t="s">
        <v>216</v>
      </c>
      <c r="C64" s="6">
        <v>45701</v>
      </c>
      <c r="D64" t="s">
        <v>35</v>
      </c>
      <c r="E64" t="s">
        <v>36</v>
      </c>
      <c r="F64" t="s">
        <v>37</v>
      </c>
      <c r="G64" t="s">
        <v>38</v>
      </c>
      <c r="H64">
        <v>4</v>
      </c>
      <c r="I64">
        <v>599</v>
      </c>
      <c r="J64">
        <v>0.1</v>
      </c>
      <c r="K64">
        <v>99</v>
      </c>
      <c r="L64" t="s">
        <v>83</v>
      </c>
      <c r="M64" t="s">
        <v>84</v>
      </c>
      <c r="N64" t="s">
        <v>40</v>
      </c>
      <c r="O64" t="s">
        <v>59</v>
      </c>
      <c r="P64" t="s">
        <v>52</v>
      </c>
      <c r="Q64">
        <v>4</v>
      </c>
      <c r="R64">
        <f>IFERROR(Table1_1[[#This Row],[Unit_Price]]*Table1_1[[#This Row],[Quantity]],"")</f>
        <v>2396</v>
      </c>
      <c r="S64">
        <f>IFERROR(Table1_1[[#This Row],[Gross_Sales]]*Table1_1[[#This Row],[Discount_%]],"")</f>
        <v>239.60000000000002</v>
      </c>
      <c r="T64">
        <f>IFERROR(Table1_1[[#This Row],[Gross_Sales]]-Table1_1[[#This Row],[Discount_amount]]+Table1_1[[#This Row],[Shipping_Cost]],"")</f>
        <v>2255.4</v>
      </c>
      <c r="U64">
        <f>IFERROR(Table1_1[[#This Row],[Net_Sale]]-(Table1_1[[#This Row],[Gross_Sales]]*70%),"")</f>
        <v>578.20000000000027</v>
      </c>
      <c r="V64" s="7">
        <f>IFERROR(Table1_1[[#This Row],[Profit]]/Table1_1[[#This Row],[Net_Sale]],"")</f>
        <v>0.25636250775915592</v>
      </c>
      <c r="W64" t="str">
        <f>TEXT(Table1_1[[#This Row],[Order_Date]],"mmm")</f>
        <v>Feb</v>
      </c>
    </row>
    <row r="65" spans="1:23" x14ac:dyDescent="0.25">
      <c r="A65" t="s">
        <v>217</v>
      </c>
      <c r="B65" t="s">
        <v>218</v>
      </c>
      <c r="C65" s="6">
        <v>45865</v>
      </c>
      <c r="D65" t="s">
        <v>35</v>
      </c>
      <c r="E65" t="s">
        <v>36</v>
      </c>
      <c r="F65" t="s">
        <v>37</v>
      </c>
      <c r="G65" t="s">
        <v>38</v>
      </c>
      <c r="H65">
        <v>1</v>
      </c>
      <c r="I65">
        <v>599</v>
      </c>
      <c r="J65">
        <v>0.2</v>
      </c>
      <c r="K65">
        <v>99</v>
      </c>
      <c r="L65" t="s">
        <v>29</v>
      </c>
      <c r="M65" t="s">
        <v>30</v>
      </c>
      <c r="N65" t="s">
        <v>40</v>
      </c>
      <c r="O65" t="s">
        <v>32</v>
      </c>
      <c r="P65" t="s">
        <v>33</v>
      </c>
      <c r="Q65">
        <v>5</v>
      </c>
      <c r="R65">
        <f>IFERROR(Table1_1[[#This Row],[Unit_Price]]*Table1_1[[#This Row],[Quantity]],"")</f>
        <v>599</v>
      </c>
      <c r="S65">
        <f>IFERROR(Table1_1[[#This Row],[Gross_Sales]]*Table1_1[[#This Row],[Discount_%]],"")</f>
        <v>119.80000000000001</v>
      </c>
      <c r="T65">
        <f>IFERROR(Table1_1[[#This Row],[Gross_Sales]]-Table1_1[[#This Row],[Discount_amount]]+Table1_1[[#This Row],[Shipping_Cost]],"")</f>
        <v>578.20000000000005</v>
      </c>
      <c r="U65">
        <f>IFERROR(Table1_1[[#This Row],[Net_Sale]]-(Table1_1[[#This Row],[Gross_Sales]]*70%),"")</f>
        <v>158.90000000000009</v>
      </c>
      <c r="V65" s="7">
        <f>IFERROR(Table1_1[[#This Row],[Profit]]/Table1_1[[#This Row],[Net_Sale]],"")</f>
        <v>0.27481840193704615</v>
      </c>
      <c r="W65" t="str">
        <f>TEXT(Table1_1[[#This Row],[Order_Date]],"mmm")</f>
        <v>Jul</v>
      </c>
    </row>
    <row r="66" spans="1:23" x14ac:dyDescent="0.25">
      <c r="A66" t="s">
        <v>219</v>
      </c>
      <c r="B66" t="s">
        <v>220</v>
      </c>
      <c r="C66" s="6">
        <v>45939</v>
      </c>
      <c r="D66" t="s">
        <v>169</v>
      </c>
      <c r="E66" t="s">
        <v>170</v>
      </c>
      <c r="F66" t="s">
        <v>98</v>
      </c>
      <c r="G66" t="s">
        <v>171</v>
      </c>
      <c r="H66">
        <v>5</v>
      </c>
      <c r="I66">
        <v>799</v>
      </c>
      <c r="J66">
        <v>0.1</v>
      </c>
      <c r="K66">
        <v>59</v>
      </c>
      <c r="L66" t="s">
        <v>57</v>
      </c>
      <c r="M66" t="s">
        <v>58</v>
      </c>
      <c r="N66" t="s">
        <v>71</v>
      </c>
      <c r="O66" t="s">
        <v>41</v>
      </c>
      <c r="P66" t="s">
        <v>80</v>
      </c>
      <c r="Q66">
        <v>1</v>
      </c>
      <c r="R66">
        <f>IFERROR(Table1_1[[#This Row],[Unit_Price]]*Table1_1[[#This Row],[Quantity]],"")</f>
        <v>3995</v>
      </c>
      <c r="S66">
        <f>IFERROR(Table1_1[[#This Row],[Gross_Sales]]*Table1_1[[#This Row],[Discount_%]],"")</f>
        <v>399.5</v>
      </c>
      <c r="T66">
        <f>IFERROR(Table1_1[[#This Row],[Gross_Sales]]-Table1_1[[#This Row],[Discount_amount]]+Table1_1[[#This Row],[Shipping_Cost]],"")</f>
        <v>3654.5</v>
      </c>
      <c r="U66">
        <f>IFERROR(Table1_1[[#This Row],[Net_Sale]]-(Table1_1[[#This Row],[Gross_Sales]]*70%),"")</f>
        <v>858</v>
      </c>
      <c r="V66" s="7">
        <f>IFERROR(Table1_1[[#This Row],[Profit]]/Table1_1[[#This Row],[Net_Sale]],"")</f>
        <v>0.23477903954029278</v>
      </c>
      <c r="W66" t="str">
        <f>TEXT(Table1_1[[#This Row],[Order_Date]],"mmm")</f>
        <v>Oct</v>
      </c>
    </row>
    <row r="67" spans="1:23" x14ac:dyDescent="0.25">
      <c r="A67" t="s">
        <v>221</v>
      </c>
      <c r="B67" t="s">
        <v>222</v>
      </c>
      <c r="C67" s="6">
        <v>45932</v>
      </c>
      <c r="D67" t="s">
        <v>77</v>
      </c>
      <c r="E67" t="s">
        <v>78</v>
      </c>
      <c r="F67" t="s">
        <v>79</v>
      </c>
      <c r="G67" t="s">
        <v>28</v>
      </c>
      <c r="H67">
        <v>1</v>
      </c>
      <c r="I67">
        <v>6499</v>
      </c>
      <c r="J67">
        <v>0</v>
      </c>
      <c r="K67">
        <v>79</v>
      </c>
      <c r="L67" t="s">
        <v>113</v>
      </c>
      <c r="M67" t="s">
        <v>114</v>
      </c>
      <c r="N67" t="s">
        <v>102</v>
      </c>
      <c r="O67" t="s">
        <v>32</v>
      </c>
      <c r="P67" t="s">
        <v>33</v>
      </c>
      <c r="Q67">
        <v>5</v>
      </c>
      <c r="R67">
        <f>IFERROR(Table1_1[[#This Row],[Unit_Price]]*Table1_1[[#This Row],[Quantity]],"")</f>
        <v>6499</v>
      </c>
      <c r="S67">
        <f>IFERROR(Table1_1[[#This Row],[Gross_Sales]]*Table1_1[[#This Row],[Discount_%]],"")</f>
        <v>0</v>
      </c>
      <c r="T67">
        <f>IFERROR(Table1_1[[#This Row],[Gross_Sales]]-Table1_1[[#This Row],[Discount_amount]]+Table1_1[[#This Row],[Shipping_Cost]],"")</f>
        <v>6578</v>
      </c>
      <c r="U67">
        <f>IFERROR(Table1_1[[#This Row],[Net_Sale]]-(Table1_1[[#This Row],[Gross_Sales]]*70%),"")</f>
        <v>2028.7000000000007</v>
      </c>
      <c r="V67" s="7">
        <f>IFERROR(Table1_1[[#This Row],[Profit]]/Table1_1[[#This Row],[Net_Sale]],"")</f>
        <v>0.30840681058072372</v>
      </c>
      <c r="W67" t="str">
        <f>TEXT(Table1_1[[#This Row],[Order_Date]],"mmm")</f>
        <v>Oct</v>
      </c>
    </row>
    <row r="68" spans="1:23" x14ac:dyDescent="0.25">
      <c r="A68" t="s">
        <v>223</v>
      </c>
      <c r="B68" t="s">
        <v>224</v>
      </c>
      <c r="C68" s="6">
        <v>45809</v>
      </c>
      <c r="D68" t="s">
        <v>110</v>
      </c>
      <c r="E68" t="s">
        <v>111</v>
      </c>
      <c r="F68" t="s">
        <v>98</v>
      </c>
      <c r="G68" t="s">
        <v>112</v>
      </c>
      <c r="H68">
        <v>3</v>
      </c>
      <c r="I68">
        <v>2999</v>
      </c>
      <c r="J68">
        <v>0.05</v>
      </c>
      <c r="K68">
        <v>0</v>
      </c>
      <c r="L68" t="s">
        <v>29</v>
      </c>
      <c r="M68" t="s">
        <v>30</v>
      </c>
      <c r="N68" t="s">
        <v>50</v>
      </c>
      <c r="O68" t="s">
        <v>51</v>
      </c>
      <c r="P68" t="s">
        <v>33</v>
      </c>
      <c r="Q68">
        <v>1</v>
      </c>
      <c r="R68">
        <f>IFERROR(Table1_1[[#This Row],[Unit_Price]]*Table1_1[[#This Row],[Quantity]],"")</f>
        <v>8997</v>
      </c>
      <c r="S68">
        <f>IFERROR(Table1_1[[#This Row],[Gross_Sales]]*Table1_1[[#This Row],[Discount_%]],"")</f>
        <v>449.85</v>
      </c>
      <c r="T68">
        <f>IFERROR(Table1_1[[#This Row],[Gross_Sales]]-Table1_1[[#This Row],[Discount_amount]]+Table1_1[[#This Row],[Shipping_Cost]],"")</f>
        <v>8547.15</v>
      </c>
      <c r="U68">
        <f>IFERROR(Table1_1[[#This Row],[Net_Sale]]-(Table1_1[[#This Row],[Gross_Sales]]*70%),"")</f>
        <v>2249.25</v>
      </c>
      <c r="V68" s="7">
        <f>IFERROR(Table1_1[[#This Row],[Profit]]/Table1_1[[#This Row],[Net_Sale]],"")</f>
        <v>0.26315789473684209</v>
      </c>
      <c r="W68" t="str">
        <f>TEXT(Table1_1[[#This Row],[Order_Date]],"mmm")</f>
        <v>Jun</v>
      </c>
    </row>
    <row r="69" spans="1:23" x14ac:dyDescent="0.25">
      <c r="A69" t="s">
        <v>225</v>
      </c>
      <c r="B69" t="s">
        <v>226</v>
      </c>
      <c r="C69" s="6">
        <v>45722</v>
      </c>
      <c r="D69" t="s">
        <v>35</v>
      </c>
      <c r="E69" t="s">
        <v>36</v>
      </c>
      <c r="F69" t="s">
        <v>37</v>
      </c>
      <c r="G69" t="s">
        <v>38</v>
      </c>
      <c r="H69">
        <v>1</v>
      </c>
      <c r="I69">
        <v>599</v>
      </c>
      <c r="J69">
        <v>0</v>
      </c>
      <c r="K69">
        <v>0</v>
      </c>
      <c r="L69" t="s">
        <v>83</v>
      </c>
      <c r="M69" t="s">
        <v>84</v>
      </c>
      <c r="N69" t="s">
        <v>71</v>
      </c>
      <c r="O69" t="s">
        <v>59</v>
      </c>
      <c r="P69" t="s">
        <v>52</v>
      </c>
      <c r="Q69">
        <v>4</v>
      </c>
      <c r="R69">
        <f>IFERROR(Table1_1[[#This Row],[Unit_Price]]*Table1_1[[#This Row],[Quantity]],"")</f>
        <v>599</v>
      </c>
      <c r="S69">
        <f>IFERROR(Table1_1[[#This Row],[Gross_Sales]]*Table1_1[[#This Row],[Discount_%]],"")</f>
        <v>0</v>
      </c>
      <c r="T69">
        <f>IFERROR(Table1_1[[#This Row],[Gross_Sales]]-Table1_1[[#This Row],[Discount_amount]]+Table1_1[[#This Row],[Shipping_Cost]],"")</f>
        <v>599</v>
      </c>
      <c r="U69">
        <f>IFERROR(Table1_1[[#This Row],[Net_Sale]]-(Table1_1[[#This Row],[Gross_Sales]]*70%),"")</f>
        <v>179.70000000000005</v>
      </c>
      <c r="V69" s="7">
        <f>IFERROR(Table1_1[[#This Row],[Profit]]/Table1_1[[#This Row],[Net_Sale]],"")</f>
        <v>0.3000000000000001</v>
      </c>
      <c r="W69" t="str">
        <f>TEXT(Table1_1[[#This Row],[Order_Date]],"mmm")</f>
        <v>Mar</v>
      </c>
    </row>
    <row r="70" spans="1:23" x14ac:dyDescent="0.25">
      <c r="A70" t="s">
        <v>227</v>
      </c>
      <c r="B70" t="s">
        <v>228</v>
      </c>
      <c r="C70" s="6">
        <v>45684</v>
      </c>
      <c r="D70" t="s">
        <v>90</v>
      </c>
      <c r="E70" t="s">
        <v>91</v>
      </c>
      <c r="F70" t="s">
        <v>37</v>
      </c>
      <c r="G70" t="s">
        <v>92</v>
      </c>
      <c r="H70">
        <v>1</v>
      </c>
      <c r="I70">
        <v>3499</v>
      </c>
      <c r="J70">
        <v>0</v>
      </c>
      <c r="K70">
        <v>0</v>
      </c>
      <c r="L70" t="s">
        <v>74</v>
      </c>
      <c r="M70" t="s">
        <v>49</v>
      </c>
      <c r="N70" t="s">
        <v>40</v>
      </c>
      <c r="O70" t="s">
        <v>93</v>
      </c>
      <c r="P70" t="s">
        <v>52</v>
      </c>
      <c r="Q70">
        <v>5</v>
      </c>
      <c r="R70">
        <f>IFERROR(Table1_1[[#This Row],[Unit_Price]]*Table1_1[[#This Row],[Quantity]],"")</f>
        <v>3499</v>
      </c>
      <c r="S70">
        <f>IFERROR(Table1_1[[#This Row],[Gross_Sales]]*Table1_1[[#This Row],[Discount_%]],"")</f>
        <v>0</v>
      </c>
      <c r="T70">
        <f>IFERROR(Table1_1[[#This Row],[Gross_Sales]]-Table1_1[[#This Row],[Discount_amount]]+Table1_1[[#This Row],[Shipping_Cost]],"")</f>
        <v>3499</v>
      </c>
      <c r="U70">
        <f>IFERROR(Table1_1[[#This Row],[Net_Sale]]-(Table1_1[[#This Row],[Gross_Sales]]*70%),"")</f>
        <v>1049.7000000000003</v>
      </c>
      <c r="V70" s="7">
        <f>IFERROR(Table1_1[[#This Row],[Profit]]/Table1_1[[#This Row],[Net_Sale]],"")</f>
        <v>0.3000000000000001</v>
      </c>
      <c r="W70" t="str">
        <f>TEXT(Table1_1[[#This Row],[Order_Date]],"mmm")</f>
        <v>Jan</v>
      </c>
    </row>
    <row r="71" spans="1:23" x14ac:dyDescent="0.25">
      <c r="A71" t="s">
        <v>229</v>
      </c>
      <c r="B71" t="s">
        <v>230</v>
      </c>
      <c r="C71" s="6">
        <v>45946</v>
      </c>
      <c r="D71" t="s">
        <v>25</v>
      </c>
      <c r="E71" t="s">
        <v>26</v>
      </c>
      <c r="F71" t="s">
        <v>27</v>
      </c>
      <c r="G71" t="s">
        <v>28</v>
      </c>
      <c r="H71">
        <v>1</v>
      </c>
      <c r="I71">
        <v>249</v>
      </c>
      <c r="J71">
        <v>0</v>
      </c>
      <c r="K71">
        <v>99</v>
      </c>
      <c r="L71" t="s">
        <v>39</v>
      </c>
      <c r="M71" t="s">
        <v>39</v>
      </c>
      <c r="N71" t="s">
        <v>102</v>
      </c>
      <c r="O71" t="s">
        <v>32</v>
      </c>
      <c r="P71" t="s">
        <v>33</v>
      </c>
      <c r="Q71">
        <v>3</v>
      </c>
      <c r="R71">
        <f>IFERROR(Table1_1[[#This Row],[Unit_Price]]*Table1_1[[#This Row],[Quantity]],"")</f>
        <v>249</v>
      </c>
      <c r="S71">
        <f>IFERROR(Table1_1[[#This Row],[Gross_Sales]]*Table1_1[[#This Row],[Discount_%]],"")</f>
        <v>0</v>
      </c>
      <c r="T71">
        <f>IFERROR(Table1_1[[#This Row],[Gross_Sales]]-Table1_1[[#This Row],[Discount_amount]]+Table1_1[[#This Row],[Shipping_Cost]],"")</f>
        <v>348</v>
      </c>
      <c r="U71">
        <f>IFERROR(Table1_1[[#This Row],[Net_Sale]]-(Table1_1[[#This Row],[Gross_Sales]]*70%),"")</f>
        <v>173.70000000000002</v>
      </c>
      <c r="V71" s="7">
        <f>IFERROR(Table1_1[[#This Row],[Profit]]/Table1_1[[#This Row],[Net_Sale]],"")</f>
        <v>0.49913793103448278</v>
      </c>
      <c r="W71" t="str">
        <f>TEXT(Table1_1[[#This Row],[Order_Date]],"mmm")</f>
        <v>Oct</v>
      </c>
    </row>
    <row r="72" spans="1:23" x14ac:dyDescent="0.25">
      <c r="A72" t="s">
        <v>231</v>
      </c>
      <c r="B72" t="s">
        <v>232</v>
      </c>
      <c r="C72" s="6">
        <v>45852</v>
      </c>
      <c r="D72" t="s">
        <v>44</v>
      </c>
      <c r="E72" t="s">
        <v>45</v>
      </c>
      <c r="F72" t="s">
        <v>46</v>
      </c>
      <c r="G72" t="s">
        <v>47</v>
      </c>
      <c r="H72">
        <v>3</v>
      </c>
      <c r="I72">
        <v>1199</v>
      </c>
      <c r="J72">
        <v>0.05</v>
      </c>
      <c r="K72">
        <v>99</v>
      </c>
      <c r="L72" t="s">
        <v>113</v>
      </c>
      <c r="M72" t="s">
        <v>114</v>
      </c>
      <c r="N72" t="s">
        <v>71</v>
      </c>
      <c r="O72" t="s">
        <v>32</v>
      </c>
      <c r="P72" t="s">
        <v>52</v>
      </c>
      <c r="Q72">
        <v>5</v>
      </c>
      <c r="R72">
        <f>IFERROR(Table1_1[[#This Row],[Unit_Price]]*Table1_1[[#This Row],[Quantity]],"")</f>
        <v>3597</v>
      </c>
      <c r="S72">
        <f>IFERROR(Table1_1[[#This Row],[Gross_Sales]]*Table1_1[[#This Row],[Discount_%]],"")</f>
        <v>179.85000000000002</v>
      </c>
      <c r="T72">
        <f>IFERROR(Table1_1[[#This Row],[Gross_Sales]]-Table1_1[[#This Row],[Discount_amount]]+Table1_1[[#This Row],[Shipping_Cost]],"")</f>
        <v>3516.15</v>
      </c>
      <c r="U72">
        <f>IFERROR(Table1_1[[#This Row],[Net_Sale]]-(Table1_1[[#This Row],[Gross_Sales]]*70%),"")</f>
        <v>998.25000000000045</v>
      </c>
      <c r="V72" s="7">
        <f>IFERROR(Table1_1[[#This Row],[Profit]]/Table1_1[[#This Row],[Net_Sale]],"")</f>
        <v>0.28390427029563597</v>
      </c>
      <c r="W72" t="str">
        <f>TEXT(Table1_1[[#This Row],[Order_Date]],"mmm")</f>
        <v>Jul</v>
      </c>
    </row>
    <row r="73" spans="1:23" x14ac:dyDescent="0.25">
      <c r="A73" t="s">
        <v>233</v>
      </c>
      <c r="B73" t="s">
        <v>234</v>
      </c>
      <c r="C73" s="6">
        <v>45708</v>
      </c>
      <c r="D73" t="s">
        <v>35</v>
      </c>
      <c r="E73" t="s">
        <v>36</v>
      </c>
      <c r="F73" t="s">
        <v>37</v>
      </c>
      <c r="G73" t="s">
        <v>38</v>
      </c>
      <c r="H73">
        <v>4</v>
      </c>
      <c r="I73">
        <v>599</v>
      </c>
      <c r="J73">
        <v>0.05</v>
      </c>
      <c r="K73">
        <v>0</v>
      </c>
      <c r="L73" t="s">
        <v>125</v>
      </c>
      <c r="M73" t="s">
        <v>126</v>
      </c>
      <c r="N73" t="s">
        <v>50</v>
      </c>
      <c r="O73" t="s">
        <v>41</v>
      </c>
      <c r="P73" t="s">
        <v>33</v>
      </c>
      <c r="Q73">
        <v>5</v>
      </c>
      <c r="R73">
        <f>IFERROR(Table1_1[[#This Row],[Unit_Price]]*Table1_1[[#This Row],[Quantity]],"")</f>
        <v>2396</v>
      </c>
      <c r="S73">
        <f>IFERROR(Table1_1[[#This Row],[Gross_Sales]]*Table1_1[[#This Row],[Discount_%]],"")</f>
        <v>119.80000000000001</v>
      </c>
      <c r="T73">
        <f>IFERROR(Table1_1[[#This Row],[Gross_Sales]]-Table1_1[[#This Row],[Discount_amount]]+Table1_1[[#This Row],[Shipping_Cost]],"")</f>
        <v>2276.1999999999998</v>
      </c>
      <c r="U73">
        <f>IFERROR(Table1_1[[#This Row],[Net_Sale]]-(Table1_1[[#This Row],[Gross_Sales]]*70%),"")</f>
        <v>599</v>
      </c>
      <c r="V73" s="7">
        <f>IFERROR(Table1_1[[#This Row],[Profit]]/Table1_1[[#This Row],[Net_Sale]],"")</f>
        <v>0.26315789473684215</v>
      </c>
      <c r="W73" t="str">
        <f>TEXT(Table1_1[[#This Row],[Order_Date]],"mmm")</f>
        <v>Feb</v>
      </c>
    </row>
    <row r="74" spans="1:23" x14ac:dyDescent="0.25">
      <c r="A74" t="s">
        <v>235</v>
      </c>
      <c r="B74" t="s">
        <v>236</v>
      </c>
      <c r="C74" s="6">
        <v>45888</v>
      </c>
      <c r="D74" t="s">
        <v>55</v>
      </c>
      <c r="E74" t="s">
        <v>56</v>
      </c>
      <c r="F74" t="s">
        <v>37</v>
      </c>
      <c r="G74" t="s">
        <v>38</v>
      </c>
      <c r="H74">
        <v>1</v>
      </c>
      <c r="I74">
        <v>2499</v>
      </c>
      <c r="J74">
        <v>0.05</v>
      </c>
      <c r="K74">
        <v>0</v>
      </c>
      <c r="L74" t="s">
        <v>100</v>
      </c>
      <c r="M74" t="s">
        <v>101</v>
      </c>
      <c r="N74" t="s">
        <v>71</v>
      </c>
      <c r="O74" t="s">
        <v>51</v>
      </c>
      <c r="P74" t="s">
        <v>52</v>
      </c>
      <c r="Q74">
        <v>3</v>
      </c>
      <c r="R74">
        <f>IFERROR(Table1_1[[#This Row],[Unit_Price]]*Table1_1[[#This Row],[Quantity]],"")</f>
        <v>2499</v>
      </c>
      <c r="S74">
        <f>IFERROR(Table1_1[[#This Row],[Gross_Sales]]*Table1_1[[#This Row],[Discount_%]],"")</f>
        <v>124.95</v>
      </c>
      <c r="T74">
        <f>IFERROR(Table1_1[[#This Row],[Gross_Sales]]-Table1_1[[#This Row],[Discount_amount]]+Table1_1[[#This Row],[Shipping_Cost]],"")</f>
        <v>2374.0500000000002</v>
      </c>
      <c r="U74">
        <f>IFERROR(Table1_1[[#This Row],[Net_Sale]]-(Table1_1[[#This Row],[Gross_Sales]]*70%),"")</f>
        <v>624.75000000000023</v>
      </c>
      <c r="V74" s="7">
        <f>IFERROR(Table1_1[[#This Row],[Profit]]/Table1_1[[#This Row],[Net_Sale]],"")</f>
        <v>0.2631578947368422</v>
      </c>
      <c r="W74" t="str">
        <f>TEXT(Table1_1[[#This Row],[Order_Date]],"mmm")</f>
        <v>Aug</v>
      </c>
    </row>
    <row r="75" spans="1:23" x14ac:dyDescent="0.25">
      <c r="A75" t="s">
        <v>237</v>
      </c>
      <c r="B75" t="s">
        <v>238</v>
      </c>
      <c r="C75" s="6">
        <v>45793</v>
      </c>
      <c r="D75" t="s">
        <v>90</v>
      </c>
      <c r="E75" t="s">
        <v>91</v>
      </c>
      <c r="F75" t="s">
        <v>37</v>
      </c>
      <c r="G75" t="s">
        <v>92</v>
      </c>
      <c r="H75">
        <v>2</v>
      </c>
      <c r="I75">
        <v>3499</v>
      </c>
      <c r="J75">
        <v>0</v>
      </c>
      <c r="K75">
        <v>79</v>
      </c>
      <c r="L75" t="s">
        <v>29</v>
      </c>
      <c r="M75" t="s">
        <v>30</v>
      </c>
      <c r="N75" t="s">
        <v>102</v>
      </c>
      <c r="O75" t="s">
        <v>41</v>
      </c>
      <c r="P75" t="s">
        <v>80</v>
      </c>
      <c r="Q75">
        <v>3</v>
      </c>
      <c r="R75">
        <f>IFERROR(Table1_1[[#This Row],[Unit_Price]]*Table1_1[[#This Row],[Quantity]],"")</f>
        <v>6998</v>
      </c>
      <c r="S75">
        <f>IFERROR(Table1_1[[#This Row],[Gross_Sales]]*Table1_1[[#This Row],[Discount_%]],"")</f>
        <v>0</v>
      </c>
      <c r="T75">
        <f>IFERROR(Table1_1[[#This Row],[Gross_Sales]]-Table1_1[[#This Row],[Discount_amount]]+Table1_1[[#This Row],[Shipping_Cost]],"")</f>
        <v>7077</v>
      </c>
      <c r="U75">
        <f>IFERROR(Table1_1[[#This Row],[Net_Sale]]-(Table1_1[[#This Row],[Gross_Sales]]*70%),"")</f>
        <v>2178.4000000000005</v>
      </c>
      <c r="V75" s="7">
        <f>IFERROR(Table1_1[[#This Row],[Profit]]/Table1_1[[#This Row],[Net_Sale]],"")</f>
        <v>0.30781404549950553</v>
      </c>
      <c r="W75" t="str">
        <f>TEXT(Table1_1[[#This Row],[Order_Date]],"mmm")</f>
        <v>May</v>
      </c>
    </row>
    <row r="76" spans="1:23" x14ac:dyDescent="0.25">
      <c r="A76" t="s">
        <v>239</v>
      </c>
      <c r="B76" t="s">
        <v>240</v>
      </c>
      <c r="C76" s="6">
        <v>45694</v>
      </c>
      <c r="D76" t="s">
        <v>105</v>
      </c>
      <c r="E76" t="s">
        <v>106</v>
      </c>
      <c r="F76" t="s">
        <v>37</v>
      </c>
      <c r="G76" t="s">
        <v>107</v>
      </c>
      <c r="H76">
        <v>3</v>
      </c>
      <c r="I76">
        <v>1799</v>
      </c>
      <c r="J76">
        <v>0.15</v>
      </c>
      <c r="K76">
        <v>99</v>
      </c>
      <c r="L76" t="s">
        <v>48</v>
      </c>
      <c r="M76" t="s">
        <v>49</v>
      </c>
      <c r="N76" t="s">
        <v>40</v>
      </c>
      <c r="O76" t="s">
        <v>93</v>
      </c>
      <c r="P76" t="s">
        <v>33</v>
      </c>
      <c r="Q76">
        <v>4</v>
      </c>
      <c r="R76">
        <f>IFERROR(Table1_1[[#This Row],[Unit_Price]]*Table1_1[[#This Row],[Quantity]],"")</f>
        <v>5397</v>
      </c>
      <c r="S76">
        <f>IFERROR(Table1_1[[#This Row],[Gross_Sales]]*Table1_1[[#This Row],[Discount_%]],"")</f>
        <v>809.55</v>
      </c>
      <c r="T76">
        <f>IFERROR(Table1_1[[#This Row],[Gross_Sales]]-Table1_1[[#This Row],[Discount_amount]]+Table1_1[[#This Row],[Shipping_Cost]],"")</f>
        <v>4686.45</v>
      </c>
      <c r="U76">
        <f>IFERROR(Table1_1[[#This Row],[Net_Sale]]-(Table1_1[[#This Row],[Gross_Sales]]*70%),"")</f>
        <v>908.55000000000018</v>
      </c>
      <c r="V76" s="7">
        <f>IFERROR(Table1_1[[#This Row],[Profit]]/Table1_1[[#This Row],[Net_Sale]],"")</f>
        <v>0.19386742630349202</v>
      </c>
      <c r="W76" t="str">
        <f>TEXT(Table1_1[[#This Row],[Order_Date]],"mmm")</f>
        <v>Feb</v>
      </c>
    </row>
    <row r="77" spans="1:23" x14ac:dyDescent="0.25">
      <c r="A77" t="s">
        <v>241</v>
      </c>
      <c r="B77" t="s">
        <v>154</v>
      </c>
      <c r="C77" s="6">
        <v>45797</v>
      </c>
      <c r="D77" t="s">
        <v>77</v>
      </c>
      <c r="E77" t="s">
        <v>78</v>
      </c>
      <c r="F77" t="s">
        <v>79</v>
      </c>
      <c r="G77" t="s">
        <v>28</v>
      </c>
      <c r="H77">
        <v>2</v>
      </c>
      <c r="I77">
        <v>6499</v>
      </c>
      <c r="J77">
        <v>0.1</v>
      </c>
      <c r="K77">
        <v>0</v>
      </c>
      <c r="L77" t="s">
        <v>48</v>
      </c>
      <c r="M77" t="s">
        <v>49</v>
      </c>
      <c r="N77" t="s">
        <v>40</v>
      </c>
      <c r="O77" t="s">
        <v>51</v>
      </c>
      <c r="P77" t="s">
        <v>52</v>
      </c>
      <c r="Q77">
        <v>5</v>
      </c>
      <c r="R77">
        <f>IFERROR(Table1_1[[#This Row],[Unit_Price]]*Table1_1[[#This Row],[Quantity]],"")</f>
        <v>12998</v>
      </c>
      <c r="S77">
        <f>IFERROR(Table1_1[[#This Row],[Gross_Sales]]*Table1_1[[#This Row],[Discount_%]],"")</f>
        <v>1299.8000000000002</v>
      </c>
      <c r="T77">
        <f>IFERROR(Table1_1[[#This Row],[Gross_Sales]]-Table1_1[[#This Row],[Discount_amount]]+Table1_1[[#This Row],[Shipping_Cost]],"")</f>
        <v>11698.2</v>
      </c>
      <c r="U77">
        <f>IFERROR(Table1_1[[#This Row],[Net_Sale]]-(Table1_1[[#This Row],[Gross_Sales]]*70%),"")</f>
        <v>2599.6000000000022</v>
      </c>
      <c r="V77" s="7">
        <f>IFERROR(Table1_1[[#This Row],[Profit]]/Table1_1[[#This Row],[Net_Sale]],"")</f>
        <v>0.2222222222222224</v>
      </c>
      <c r="W77" t="str">
        <f>TEXT(Table1_1[[#This Row],[Order_Date]],"mmm")</f>
        <v>May</v>
      </c>
    </row>
    <row r="78" spans="1:23" x14ac:dyDescent="0.25">
      <c r="A78" t="s">
        <v>242</v>
      </c>
      <c r="B78" t="s">
        <v>243</v>
      </c>
      <c r="C78" s="6">
        <v>46003</v>
      </c>
      <c r="D78" t="s">
        <v>110</v>
      </c>
      <c r="E78" t="s">
        <v>111</v>
      </c>
      <c r="F78" t="s">
        <v>98</v>
      </c>
      <c r="G78" t="s">
        <v>112</v>
      </c>
      <c r="H78">
        <v>1</v>
      </c>
      <c r="I78">
        <v>2999</v>
      </c>
      <c r="J78">
        <v>0.2</v>
      </c>
      <c r="K78">
        <v>59</v>
      </c>
      <c r="L78" t="s">
        <v>39</v>
      </c>
      <c r="M78" t="s">
        <v>39</v>
      </c>
      <c r="N78" t="s">
        <v>31</v>
      </c>
      <c r="O78" t="s">
        <v>41</v>
      </c>
      <c r="P78" t="s">
        <v>33</v>
      </c>
      <c r="Q78">
        <v>4</v>
      </c>
      <c r="R78">
        <f>IFERROR(Table1_1[[#This Row],[Unit_Price]]*Table1_1[[#This Row],[Quantity]],"")</f>
        <v>2999</v>
      </c>
      <c r="S78">
        <f>IFERROR(Table1_1[[#This Row],[Gross_Sales]]*Table1_1[[#This Row],[Discount_%]],"")</f>
        <v>599.80000000000007</v>
      </c>
      <c r="T78">
        <f>IFERROR(Table1_1[[#This Row],[Gross_Sales]]-Table1_1[[#This Row],[Discount_amount]]+Table1_1[[#This Row],[Shipping_Cost]],"")</f>
        <v>2458.1999999999998</v>
      </c>
      <c r="U78">
        <f>IFERROR(Table1_1[[#This Row],[Net_Sale]]-(Table1_1[[#This Row],[Gross_Sales]]*70%),"")</f>
        <v>358.90000000000009</v>
      </c>
      <c r="V78" s="7">
        <f>IFERROR(Table1_1[[#This Row],[Profit]]/Table1_1[[#This Row],[Net_Sale]],"")</f>
        <v>0.14600113904482959</v>
      </c>
      <c r="W78" t="str">
        <f>TEXT(Table1_1[[#This Row],[Order_Date]],"mmm")</f>
        <v>Dec</v>
      </c>
    </row>
    <row r="79" spans="1:23" x14ac:dyDescent="0.25">
      <c r="A79" t="s">
        <v>244</v>
      </c>
      <c r="B79" t="s">
        <v>245</v>
      </c>
      <c r="C79" s="6">
        <v>45750</v>
      </c>
      <c r="D79" t="s">
        <v>62</v>
      </c>
      <c r="E79" t="s">
        <v>63</v>
      </c>
      <c r="F79" t="s">
        <v>46</v>
      </c>
      <c r="G79" t="s">
        <v>64</v>
      </c>
      <c r="H79">
        <v>4</v>
      </c>
      <c r="I79">
        <v>699</v>
      </c>
      <c r="J79">
        <v>0.1</v>
      </c>
      <c r="K79">
        <v>0</v>
      </c>
      <c r="L79" t="s">
        <v>119</v>
      </c>
      <c r="M79" t="s">
        <v>120</v>
      </c>
      <c r="N79" t="s">
        <v>71</v>
      </c>
      <c r="O79" t="s">
        <v>59</v>
      </c>
      <c r="P79" t="s">
        <v>80</v>
      </c>
      <c r="Q79">
        <v>3</v>
      </c>
      <c r="R79">
        <f>IFERROR(Table1_1[[#This Row],[Unit_Price]]*Table1_1[[#This Row],[Quantity]],"")</f>
        <v>2796</v>
      </c>
      <c r="S79">
        <f>IFERROR(Table1_1[[#This Row],[Gross_Sales]]*Table1_1[[#This Row],[Discount_%]],"")</f>
        <v>279.60000000000002</v>
      </c>
      <c r="T79">
        <f>IFERROR(Table1_1[[#This Row],[Gross_Sales]]-Table1_1[[#This Row],[Discount_amount]]+Table1_1[[#This Row],[Shipping_Cost]],"")</f>
        <v>2516.4</v>
      </c>
      <c r="U79">
        <f>IFERROR(Table1_1[[#This Row],[Net_Sale]]-(Table1_1[[#This Row],[Gross_Sales]]*70%),"")</f>
        <v>559.20000000000027</v>
      </c>
      <c r="V79" s="7">
        <f>IFERROR(Table1_1[[#This Row],[Profit]]/Table1_1[[#This Row],[Net_Sale]],"")</f>
        <v>0.22222222222222232</v>
      </c>
      <c r="W79" t="str">
        <f>TEXT(Table1_1[[#This Row],[Order_Date]],"mmm")</f>
        <v>Apr</v>
      </c>
    </row>
    <row r="80" spans="1:23" x14ac:dyDescent="0.25">
      <c r="A80" t="s">
        <v>246</v>
      </c>
      <c r="B80" t="s">
        <v>247</v>
      </c>
      <c r="C80" s="6">
        <v>45826</v>
      </c>
      <c r="D80" t="s">
        <v>169</v>
      </c>
      <c r="E80" t="s">
        <v>170</v>
      </c>
      <c r="F80" t="s">
        <v>98</v>
      </c>
      <c r="G80" t="s">
        <v>171</v>
      </c>
      <c r="H80">
        <v>3</v>
      </c>
      <c r="I80">
        <v>799</v>
      </c>
      <c r="J80">
        <v>0.05</v>
      </c>
      <c r="K80">
        <v>79</v>
      </c>
      <c r="L80" t="s">
        <v>29</v>
      </c>
      <c r="M80" t="s">
        <v>30</v>
      </c>
      <c r="N80" t="s">
        <v>31</v>
      </c>
      <c r="O80" t="s">
        <v>59</v>
      </c>
      <c r="P80" t="s">
        <v>52</v>
      </c>
      <c r="Q80">
        <v>1</v>
      </c>
      <c r="R80">
        <f>IFERROR(Table1_1[[#This Row],[Unit_Price]]*Table1_1[[#This Row],[Quantity]],"")</f>
        <v>2397</v>
      </c>
      <c r="S80">
        <f>IFERROR(Table1_1[[#This Row],[Gross_Sales]]*Table1_1[[#This Row],[Discount_%]],"")</f>
        <v>119.85000000000001</v>
      </c>
      <c r="T80">
        <f>IFERROR(Table1_1[[#This Row],[Gross_Sales]]-Table1_1[[#This Row],[Discount_amount]]+Table1_1[[#This Row],[Shipping_Cost]],"")</f>
        <v>2356.15</v>
      </c>
      <c r="U80">
        <f>IFERROR(Table1_1[[#This Row],[Net_Sale]]-(Table1_1[[#This Row],[Gross_Sales]]*70%),"")</f>
        <v>678.25000000000023</v>
      </c>
      <c r="V80" s="7">
        <f>IFERROR(Table1_1[[#This Row],[Profit]]/Table1_1[[#This Row],[Net_Sale]],"")</f>
        <v>0.28786367591197515</v>
      </c>
      <c r="W80" t="str">
        <f>TEXT(Table1_1[[#This Row],[Order_Date]],"mmm")</f>
        <v>Jun</v>
      </c>
    </row>
    <row r="81" spans="1:23" x14ac:dyDescent="0.25">
      <c r="A81" t="s">
        <v>248</v>
      </c>
      <c r="B81" t="s">
        <v>198</v>
      </c>
      <c r="C81" s="6">
        <v>45864</v>
      </c>
      <c r="D81" t="s">
        <v>169</v>
      </c>
      <c r="E81" t="s">
        <v>170</v>
      </c>
      <c r="F81" t="s">
        <v>98</v>
      </c>
      <c r="G81" t="s">
        <v>171</v>
      </c>
      <c r="H81">
        <v>1</v>
      </c>
      <c r="I81">
        <v>799</v>
      </c>
      <c r="J81">
        <v>0.2</v>
      </c>
      <c r="K81">
        <v>99</v>
      </c>
      <c r="L81" t="s">
        <v>48</v>
      </c>
      <c r="M81" t="s">
        <v>49</v>
      </c>
      <c r="N81" t="s">
        <v>40</v>
      </c>
      <c r="O81" t="s">
        <v>93</v>
      </c>
      <c r="P81" t="s">
        <v>33</v>
      </c>
      <c r="Q81">
        <v>2</v>
      </c>
      <c r="R81">
        <f>IFERROR(Table1_1[[#This Row],[Unit_Price]]*Table1_1[[#This Row],[Quantity]],"")</f>
        <v>799</v>
      </c>
      <c r="S81">
        <f>IFERROR(Table1_1[[#This Row],[Gross_Sales]]*Table1_1[[#This Row],[Discount_%]],"")</f>
        <v>159.80000000000001</v>
      </c>
      <c r="T81">
        <f>IFERROR(Table1_1[[#This Row],[Gross_Sales]]-Table1_1[[#This Row],[Discount_amount]]+Table1_1[[#This Row],[Shipping_Cost]],"")</f>
        <v>738.2</v>
      </c>
      <c r="U81">
        <f>IFERROR(Table1_1[[#This Row],[Net_Sale]]-(Table1_1[[#This Row],[Gross_Sales]]*70%),"")</f>
        <v>178.90000000000009</v>
      </c>
      <c r="V81" s="7">
        <f>IFERROR(Table1_1[[#This Row],[Profit]]/Table1_1[[#This Row],[Net_Sale]],"")</f>
        <v>0.24234624762936885</v>
      </c>
      <c r="W81" t="str">
        <f>TEXT(Table1_1[[#This Row],[Order_Date]],"mmm")</f>
        <v>Jul</v>
      </c>
    </row>
    <row r="82" spans="1:23" x14ac:dyDescent="0.25">
      <c r="A82" t="s">
        <v>249</v>
      </c>
      <c r="B82" t="s">
        <v>247</v>
      </c>
      <c r="C82" s="6">
        <v>45913</v>
      </c>
      <c r="D82" t="s">
        <v>62</v>
      </c>
      <c r="E82" t="s">
        <v>63</v>
      </c>
      <c r="F82" t="s">
        <v>46</v>
      </c>
      <c r="G82" t="s">
        <v>64</v>
      </c>
      <c r="H82">
        <v>2</v>
      </c>
      <c r="I82">
        <v>699</v>
      </c>
      <c r="J82">
        <v>0</v>
      </c>
      <c r="K82">
        <v>59</v>
      </c>
      <c r="L82" t="s">
        <v>74</v>
      </c>
      <c r="M82" t="s">
        <v>49</v>
      </c>
      <c r="N82" t="s">
        <v>50</v>
      </c>
      <c r="O82" t="s">
        <v>51</v>
      </c>
      <c r="P82" t="s">
        <v>33</v>
      </c>
      <c r="Q82">
        <v>4</v>
      </c>
      <c r="R82">
        <f>IFERROR(Table1_1[[#This Row],[Unit_Price]]*Table1_1[[#This Row],[Quantity]],"")</f>
        <v>1398</v>
      </c>
      <c r="S82">
        <f>IFERROR(Table1_1[[#This Row],[Gross_Sales]]*Table1_1[[#This Row],[Discount_%]],"")</f>
        <v>0</v>
      </c>
      <c r="T82">
        <f>IFERROR(Table1_1[[#This Row],[Gross_Sales]]-Table1_1[[#This Row],[Discount_amount]]+Table1_1[[#This Row],[Shipping_Cost]],"")</f>
        <v>1457</v>
      </c>
      <c r="U82">
        <f>IFERROR(Table1_1[[#This Row],[Net_Sale]]-(Table1_1[[#This Row],[Gross_Sales]]*70%),"")</f>
        <v>478.40000000000009</v>
      </c>
      <c r="V82" s="7">
        <f>IFERROR(Table1_1[[#This Row],[Profit]]/Table1_1[[#This Row],[Net_Sale]],"")</f>
        <v>0.32834591626630066</v>
      </c>
      <c r="W82" t="str">
        <f>TEXT(Table1_1[[#This Row],[Order_Date]],"mmm")</f>
        <v>Sep</v>
      </c>
    </row>
    <row r="83" spans="1:23" x14ac:dyDescent="0.25">
      <c r="A83" t="s">
        <v>250</v>
      </c>
      <c r="B83" t="s">
        <v>116</v>
      </c>
      <c r="C83" s="6">
        <v>45980</v>
      </c>
      <c r="D83" t="s">
        <v>77</v>
      </c>
      <c r="E83" t="s">
        <v>78</v>
      </c>
      <c r="F83" t="s">
        <v>79</v>
      </c>
      <c r="G83" t="s">
        <v>28</v>
      </c>
      <c r="H83">
        <v>1</v>
      </c>
      <c r="I83">
        <v>6499</v>
      </c>
      <c r="J83">
        <v>0.2</v>
      </c>
      <c r="K83">
        <v>49</v>
      </c>
      <c r="L83" t="s">
        <v>119</v>
      </c>
      <c r="M83" t="s">
        <v>120</v>
      </c>
      <c r="N83" t="s">
        <v>102</v>
      </c>
      <c r="O83" t="s">
        <v>93</v>
      </c>
      <c r="P83" t="s">
        <v>33</v>
      </c>
      <c r="Q83">
        <v>5</v>
      </c>
      <c r="R83">
        <f>IFERROR(Table1_1[[#This Row],[Unit_Price]]*Table1_1[[#This Row],[Quantity]],"")</f>
        <v>6499</v>
      </c>
      <c r="S83">
        <f>IFERROR(Table1_1[[#This Row],[Gross_Sales]]*Table1_1[[#This Row],[Discount_%]],"")</f>
        <v>1299.8000000000002</v>
      </c>
      <c r="T83">
        <f>IFERROR(Table1_1[[#This Row],[Gross_Sales]]-Table1_1[[#This Row],[Discount_amount]]+Table1_1[[#This Row],[Shipping_Cost]],"")</f>
        <v>5248.2</v>
      </c>
      <c r="U83">
        <f>IFERROR(Table1_1[[#This Row],[Net_Sale]]-(Table1_1[[#This Row],[Gross_Sales]]*70%),"")</f>
        <v>698.90000000000055</v>
      </c>
      <c r="V83" s="7">
        <f>IFERROR(Table1_1[[#This Row],[Profit]]/Table1_1[[#This Row],[Net_Sale]],"")</f>
        <v>0.13316946762699602</v>
      </c>
      <c r="W83" t="str">
        <f>TEXT(Table1_1[[#This Row],[Order_Date]],"mmm")</f>
        <v>Nov</v>
      </c>
    </row>
    <row r="84" spans="1:23" x14ac:dyDescent="0.25">
      <c r="A84" t="s">
        <v>251</v>
      </c>
      <c r="B84" t="s">
        <v>252</v>
      </c>
      <c r="C84" s="6">
        <v>45716</v>
      </c>
      <c r="D84" t="s">
        <v>96</v>
      </c>
      <c r="E84" t="s">
        <v>97</v>
      </c>
      <c r="F84" t="s">
        <v>98</v>
      </c>
      <c r="G84" t="s">
        <v>99</v>
      </c>
      <c r="H84">
        <v>1</v>
      </c>
      <c r="I84">
        <v>1499</v>
      </c>
      <c r="J84">
        <v>0</v>
      </c>
      <c r="K84">
        <v>79</v>
      </c>
      <c r="L84" t="s">
        <v>29</v>
      </c>
      <c r="M84" t="s">
        <v>30</v>
      </c>
      <c r="N84" t="s">
        <v>253</v>
      </c>
      <c r="O84" t="s">
        <v>51</v>
      </c>
      <c r="P84" t="s">
        <v>80</v>
      </c>
      <c r="Q84">
        <v>4</v>
      </c>
      <c r="R84">
        <f>IFERROR(Table1_1[[#This Row],[Unit_Price]]*Table1_1[[#This Row],[Quantity]],"")</f>
        <v>1499</v>
      </c>
      <c r="S84">
        <f>IFERROR(Table1_1[[#This Row],[Gross_Sales]]*Table1_1[[#This Row],[Discount_%]],"")</f>
        <v>0</v>
      </c>
      <c r="T84">
        <f>IFERROR(Table1_1[[#This Row],[Gross_Sales]]-Table1_1[[#This Row],[Discount_amount]]+Table1_1[[#This Row],[Shipping_Cost]],"")</f>
        <v>1578</v>
      </c>
      <c r="U84">
        <f>IFERROR(Table1_1[[#This Row],[Net_Sale]]-(Table1_1[[#This Row],[Gross_Sales]]*70%),"")</f>
        <v>528.70000000000005</v>
      </c>
      <c r="V84" s="7">
        <f>IFERROR(Table1_1[[#This Row],[Profit]]/Table1_1[[#This Row],[Net_Sale]],"")</f>
        <v>0.33504435994930293</v>
      </c>
      <c r="W84" t="str">
        <f>TEXT(Table1_1[[#This Row],[Order_Date]],"mmm")</f>
        <v>Feb</v>
      </c>
    </row>
    <row r="85" spans="1:23" x14ac:dyDescent="0.25">
      <c r="A85" t="s">
        <v>254</v>
      </c>
      <c r="B85" t="s">
        <v>255</v>
      </c>
      <c r="C85" s="6">
        <v>45940</v>
      </c>
      <c r="D85" t="s">
        <v>90</v>
      </c>
      <c r="E85" t="s">
        <v>91</v>
      </c>
      <c r="F85" t="s">
        <v>37</v>
      </c>
      <c r="G85" t="s">
        <v>92</v>
      </c>
      <c r="H85">
        <v>1</v>
      </c>
      <c r="I85">
        <v>3499</v>
      </c>
      <c r="J85">
        <v>0.15</v>
      </c>
      <c r="K85">
        <v>99</v>
      </c>
      <c r="L85" t="s">
        <v>119</v>
      </c>
      <c r="M85" t="s">
        <v>120</v>
      </c>
      <c r="N85" t="s">
        <v>31</v>
      </c>
      <c r="O85" t="s">
        <v>51</v>
      </c>
      <c r="P85" t="s">
        <v>33</v>
      </c>
      <c r="Q85">
        <v>3</v>
      </c>
      <c r="R85">
        <f>IFERROR(Table1_1[[#This Row],[Unit_Price]]*Table1_1[[#This Row],[Quantity]],"")</f>
        <v>3499</v>
      </c>
      <c r="S85">
        <f>IFERROR(Table1_1[[#This Row],[Gross_Sales]]*Table1_1[[#This Row],[Discount_%]],"")</f>
        <v>524.85</v>
      </c>
      <c r="T85">
        <f>IFERROR(Table1_1[[#This Row],[Gross_Sales]]-Table1_1[[#This Row],[Discount_amount]]+Table1_1[[#This Row],[Shipping_Cost]],"")</f>
        <v>3073.15</v>
      </c>
      <c r="U85">
        <f>IFERROR(Table1_1[[#This Row],[Net_Sale]]-(Table1_1[[#This Row],[Gross_Sales]]*70%),"")</f>
        <v>623.85000000000036</v>
      </c>
      <c r="V85" s="7">
        <f>IFERROR(Table1_1[[#This Row],[Profit]]/Table1_1[[#This Row],[Net_Sale]],"")</f>
        <v>0.2030001789694614</v>
      </c>
      <c r="W85" t="str">
        <f>TEXT(Table1_1[[#This Row],[Order_Date]],"mmm")</f>
        <v>Oct</v>
      </c>
    </row>
    <row r="86" spans="1:23" x14ac:dyDescent="0.25">
      <c r="A86" t="s">
        <v>256</v>
      </c>
      <c r="B86" t="s">
        <v>257</v>
      </c>
      <c r="C86" s="6">
        <v>45917</v>
      </c>
      <c r="D86" t="s">
        <v>96</v>
      </c>
      <c r="E86" t="s">
        <v>97</v>
      </c>
      <c r="F86" t="s">
        <v>98</v>
      </c>
      <c r="G86" t="s">
        <v>99</v>
      </c>
      <c r="H86">
        <v>1</v>
      </c>
      <c r="I86">
        <v>1499</v>
      </c>
      <c r="J86">
        <v>0.05</v>
      </c>
      <c r="K86">
        <v>59</v>
      </c>
      <c r="L86" t="s">
        <v>74</v>
      </c>
      <c r="M86" t="s">
        <v>49</v>
      </c>
      <c r="N86" t="s">
        <v>40</v>
      </c>
      <c r="O86" t="s">
        <v>41</v>
      </c>
      <c r="P86" t="s">
        <v>33</v>
      </c>
      <c r="Q86">
        <v>4</v>
      </c>
      <c r="R86">
        <f>IFERROR(Table1_1[[#This Row],[Unit_Price]]*Table1_1[[#This Row],[Quantity]],"")</f>
        <v>1499</v>
      </c>
      <c r="S86">
        <f>IFERROR(Table1_1[[#This Row],[Gross_Sales]]*Table1_1[[#This Row],[Discount_%]],"")</f>
        <v>74.95</v>
      </c>
      <c r="T86">
        <f>IFERROR(Table1_1[[#This Row],[Gross_Sales]]-Table1_1[[#This Row],[Discount_amount]]+Table1_1[[#This Row],[Shipping_Cost]],"")</f>
        <v>1483.05</v>
      </c>
      <c r="U86">
        <f>IFERROR(Table1_1[[#This Row],[Net_Sale]]-(Table1_1[[#This Row],[Gross_Sales]]*70%),"")</f>
        <v>433.75</v>
      </c>
      <c r="V86" s="7">
        <f>IFERROR(Table1_1[[#This Row],[Profit]]/Table1_1[[#This Row],[Net_Sale]],"")</f>
        <v>0.2924715956980547</v>
      </c>
      <c r="W86" t="str">
        <f>TEXT(Table1_1[[#This Row],[Order_Date]],"mmm")</f>
        <v>Sep</v>
      </c>
    </row>
    <row r="87" spans="1:23" x14ac:dyDescent="0.25">
      <c r="A87" t="s">
        <v>258</v>
      </c>
      <c r="B87" t="s">
        <v>259</v>
      </c>
      <c r="C87" s="6">
        <v>45940</v>
      </c>
      <c r="D87" t="s">
        <v>62</v>
      </c>
      <c r="E87" t="s">
        <v>63</v>
      </c>
      <c r="F87" t="s">
        <v>46</v>
      </c>
      <c r="G87" t="s">
        <v>64</v>
      </c>
      <c r="H87">
        <v>1</v>
      </c>
      <c r="I87">
        <v>699</v>
      </c>
      <c r="J87">
        <v>0.05</v>
      </c>
      <c r="K87">
        <v>49</v>
      </c>
      <c r="L87" t="s">
        <v>119</v>
      </c>
      <c r="M87" t="s">
        <v>120</v>
      </c>
      <c r="N87" t="s">
        <v>102</v>
      </c>
      <c r="O87" t="s">
        <v>59</v>
      </c>
      <c r="P87" t="s">
        <v>52</v>
      </c>
      <c r="Q87">
        <v>2</v>
      </c>
      <c r="R87">
        <f>IFERROR(Table1_1[[#This Row],[Unit_Price]]*Table1_1[[#This Row],[Quantity]],"")</f>
        <v>699</v>
      </c>
      <c r="S87">
        <f>IFERROR(Table1_1[[#This Row],[Gross_Sales]]*Table1_1[[#This Row],[Discount_%]],"")</f>
        <v>34.950000000000003</v>
      </c>
      <c r="T87">
        <f>IFERROR(Table1_1[[#This Row],[Gross_Sales]]-Table1_1[[#This Row],[Discount_amount]]+Table1_1[[#This Row],[Shipping_Cost]],"")</f>
        <v>713.05</v>
      </c>
      <c r="U87">
        <f>IFERROR(Table1_1[[#This Row],[Net_Sale]]-(Table1_1[[#This Row],[Gross_Sales]]*70%),"")</f>
        <v>223.75</v>
      </c>
      <c r="V87" s="7">
        <f>IFERROR(Table1_1[[#This Row],[Profit]]/Table1_1[[#This Row],[Net_Sale]],"")</f>
        <v>0.31379286165065567</v>
      </c>
      <c r="W87" t="str">
        <f>TEXT(Table1_1[[#This Row],[Order_Date]],"mmm")</f>
        <v>Oct</v>
      </c>
    </row>
    <row r="88" spans="1:23" x14ac:dyDescent="0.25">
      <c r="A88" t="s">
        <v>260</v>
      </c>
      <c r="B88" t="s">
        <v>261</v>
      </c>
      <c r="C88" s="6">
        <v>45900</v>
      </c>
      <c r="D88" t="s">
        <v>96</v>
      </c>
      <c r="E88" t="s">
        <v>97</v>
      </c>
      <c r="F88" t="s">
        <v>98</v>
      </c>
      <c r="G88" t="s">
        <v>99</v>
      </c>
      <c r="H88">
        <v>1</v>
      </c>
      <c r="I88">
        <v>1499</v>
      </c>
      <c r="J88">
        <v>0.1</v>
      </c>
      <c r="K88">
        <v>49</v>
      </c>
      <c r="L88" t="s">
        <v>39</v>
      </c>
      <c r="M88" t="s">
        <v>39</v>
      </c>
      <c r="N88" t="s">
        <v>31</v>
      </c>
      <c r="O88" t="s">
        <v>41</v>
      </c>
      <c r="P88" t="s">
        <v>52</v>
      </c>
      <c r="Q88">
        <v>5</v>
      </c>
      <c r="R88">
        <f>IFERROR(Table1_1[[#This Row],[Unit_Price]]*Table1_1[[#This Row],[Quantity]],"")</f>
        <v>1499</v>
      </c>
      <c r="S88">
        <f>IFERROR(Table1_1[[#This Row],[Gross_Sales]]*Table1_1[[#This Row],[Discount_%]],"")</f>
        <v>149.9</v>
      </c>
      <c r="T88">
        <f>IFERROR(Table1_1[[#This Row],[Gross_Sales]]-Table1_1[[#This Row],[Discount_amount]]+Table1_1[[#This Row],[Shipping_Cost]],"")</f>
        <v>1398.1</v>
      </c>
      <c r="U88">
        <f>IFERROR(Table1_1[[#This Row],[Net_Sale]]-(Table1_1[[#This Row],[Gross_Sales]]*70%),"")</f>
        <v>348.79999999999995</v>
      </c>
      <c r="V88" s="7">
        <f>IFERROR(Table1_1[[#This Row],[Profit]]/Table1_1[[#This Row],[Net_Sale]],"")</f>
        <v>0.24948143909591586</v>
      </c>
      <c r="W88" t="str">
        <f>TEXT(Table1_1[[#This Row],[Order_Date]],"mmm")</f>
        <v>Aug</v>
      </c>
    </row>
    <row r="89" spans="1:23" x14ac:dyDescent="0.25">
      <c r="A89" t="s">
        <v>262</v>
      </c>
      <c r="B89" t="s">
        <v>168</v>
      </c>
      <c r="C89" s="6">
        <v>45883</v>
      </c>
      <c r="D89" t="s">
        <v>44</v>
      </c>
      <c r="E89" t="s">
        <v>45</v>
      </c>
      <c r="F89" t="s">
        <v>46</v>
      </c>
      <c r="G89" t="s">
        <v>47</v>
      </c>
      <c r="H89">
        <v>3</v>
      </c>
      <c r="I89">
        <v>1199</v>
      </c>
      <c r="J89">
        <v>0</v>
      </c>
      <c r="K89">
        <v>49</v>
      </c>
      <c r="L89" t="s">
        <v>74</v>
      </c>
      <c r="M89" t="s">
        <v>49</v>
      </c>
      <c r="N89" t="s">
        <v>50</v>
      </c>
      <c r="O89" t="s">
        <v>93</v>
      </c>
      <c r="P89" t="s">
        <v>52</v>
      </c>
      <c r="Q89">
        <v>4</v>
      </c>
      <c r="R89">
        <f>IFERROR(Table1_1[[#This Row],[Unit_Price]]*Table1_1[[#This Row],[Quantity]],"")</f>
        <v>3597</v>
      </c>
      <c r="S89">
        <f>IFERROR(Table1_1[[#This Row],[Gross_Sales]]*Table1_1[[#This Row],[Discount_%]],"")</f>
        <v>0</v>
      </c>
      <c r="T89">
        <f>IFERROR(Table1_1[[#This Row],[Gross_Sales]]-Table1_1[[#This Row],[Discount_amount]]+Table1_1[[#This Row],[Shipping_Cost]],"")</f>
        <v>3646</v>
      </c>
      <c r="U89">
        <f>IFERROR(Table1_1[[#This Row],[Net_Sale]]-(Table1_1[[#This Row],[Gross_Sales]]*70%),"")</f>
        <v>1128.1000000000004</v>
      </c>
      <c r="V89" s="7">
        <f>IFERROR(Table1_1[[#This Row],[Profit]]/Table1_1[[#This Row],[Net_Sale]],"")</f>
        <v>0.30940756993966001</v>
      </c>
      <c r="W89" t="str">
        <f>TEXT(Table1_1[[#This Row],[Order_Date]],"mmm")</f>
        <v>Aug</v>
      </c>
    </row>
    <row r="90" spans="1:23" x14ac:dyDescent="0.25">
      <c r="A90" t="s">
        <v>263</v>
      </c>
      <c r="B90" t="s">
        <v>70</v>
      </c>
      <c r="C90" s="6">
        <v>45861</v>
      </c>
      <c r="D90" t="s">
        <v>110</v>
      </c>
      <c r="E90" t="s">
        <v>111</v>
      </c>
      <c r="F90" t="s">
        <v>98</v>
      </c>
      <c r="G90" t="s">
        <v>112</v>
      </c>
      <c r="H90">
        <v>2</v>
      </c>
      <c r="I90">
        <v>2999</v>
      </c>
      <c r="J90">
        <v>0.2</v>
      </c>
      <c r="K90">
        <v>99</v>
      </c>
      <c r="L90" t="s">
        <v>74</v>
      </c>
      <c r="M90" t="s">
        <v>49</v>
      </c>
      <c r="N90" t="s">
        <v>71</v>
      </c>
      <c r="O90" t="s">
        <v>59</v>
      </c>
      <c r="P90" t="s">
        <v>33</v>
      </c>
      <c r="Q90">
        <v>3</v>
      </c>
      <c r="R90">
        <f>IFERROR(Table1_1[[#This Row],[Unit_Price]]*Table1_1[[#This Row],[Quantity]],"")</f>
        <v>5998</v>
      </c>
      <c r="S90">
        <f>IFERROR(Table1_1[[#This Row],[Gross_Sales]]*Table1_1[[#This Row],[Discount_%]],"")</f>
        <v>1199.6000000000001</v>
      </c>
      <c r="T90">
        <f>IFERROR(Table1_1[[#This Row],[Gross_Sales]]-Table1_1[[#This Row],[Discount_amount]]+Table1_1[[#This Row],[Shipping_Cost]],"")</f>
        <v>4897.3999999999996</v>
      </c>
      <c r="U90">
        <f>IFERROR(Table1_1[[#This Row],[Net_Sale]]-(Table1_1[[#This Row],[Gross_Sales]]*70%),"")</f>
        <v>698.80000000000018</v>
      </c>
      <c r="V90" s="7">
        <f>IFERROR(Table1_1[[#This Row],[Profit]]/Table1_1[[#This Row],[Net_Sale]],"")</f>
        <v>0.14268795687507663</v>
      </c>
      <c r="W90" t="str">
        <f>TEXT(Table1_1[[#This Row],[Order_Date]],"mmm")</f>
        <v>Jul</v>
      </c>
    </row>
    <row r="91" spans="1:23" x14ac:dyDescent="0.25">
      <c r="A91" t="s">
        <v>264</v>
      </c>
      <c r="B91" t="s">
        <v>265</v>
      </c>
      <c r="C91" s="6">
        <v>45778</v>
      </c>
      <c r="D91" t="s">
        <v>62</v>
      </c>
      <c r="E91" t="s">
        <v>63</v>
      </c>
      <c r="F91" t="s">
        <v>46</v>
      </c>
      <c r="G91" t="s">
        <v>64</v>
      </c>
      <c r="H91">
        <v>2</v>
      </c>
      <c r="I91">
        <v>699</v>
      </c>
      <c r="J91">
        <v>0</v>
      </c>
      <c r="K91">
        <v>0</v>
      </c>
      <c r="L91" t="s">
        <v>39</v>
      </c>
      <c r="M91" t="s">
        <v>39</v>
      </c>
      <c r="N91" t="s">
        <v>31</v>
      </c>
      <c r="O91" t="s">
        <v>93</v>
      </c>
      <c r="P91" t="s">
        <v>33</v>
      </c>
      <c r="Q91">
        <v>4</v>
      </c>
      <c r="R91">
        <f>IFERROR(Table1_1[[#This Row],[Unit_Price]]*Table1_1[[#This Row],[Quantity]],"")</f>
        <v>1398</v>
      </c>
      <c r="S91">
        <f>IFERROR(Table1_1[[#This Row],[Gross_Sales]]*Table1_1[[#This Row],[Discount_%]],"")</f>
        <v>0</v>
      </c>
      <c r="T91">
        <f>IFERROR(Table1_1[[#This Row],[Gross_Sales]]-Table1_1[[#This Row],[Discount_amount]]+Table1_1[[#This Row],[Shipping_Cost]],"")</f>
        <v>1398</v>
      </c>
      <c r="U91">
        <f>IFERROR(Table1_1[[#This Row],[Net_Sale]]-(Table1_1[[#This Row],[Gross_Sales]]*70%),"")</f>
        <v>419.40000000000009</v>
      </c>
      <c r="V91" s="7">
        <f>IFERROR(Table1_1[[#This Row],[Profit]]/Table1_1[[#This Row],[Net_Sale]],"")</f>
        <v>0.30000000000000004</v>
      </c>
      <c r="W91" t="str">
        <f>TEXT(Table1_1[[#This Row],[Order_Date]],"mmm")</f>
        <v>May</v>
      </c>
    </row>
    <row r="92" spans="1:23" x14ac:dyDescent="0.25">
      <c r="A92" t="s">
        <v>266</v>
      </c>
      <c r="B92" t="s">
        <v>267</v>
      </c>
      <c r="C92" s="6">
        <v>45681</v>
      </c>
      <c r="D92" t="s">
        <v>105</v>
      </c>
      <c r="E92" t="s">
        <v>106</v>
      </c>
      <c r="F92" t="s">
        <v>37</v>
      </c>
      <c r="G92" t="s">
        <v>107</v>
      </c>
      <c r="H92">
        <v>4</v>
      </c>
      <c r="I92">
        <v>1799</v>
      </c>
      <c r="J92">
        <v>0.05</v>
      </c>
      <c r="K92">
        <v>59</v>
      </c>
      <c r="L92" t="s">
        <v>48</v>
      </c>
      <c r="M92" t="s">
        <v>49</v>
      </c>
      <c r="N92" t="s">
        <v>40</v>
      </c>
      <c r="O92" t="s">
        <v>41</v>
      </c>
      <c r="P92" t="s">
        <v>33</v>
      </c>
      <c r="Q92">
        <v>2</v>
      </c>
      <c r="R92">
        <f>IFERROR(Table1_1[[#This Row],[Unit_Price]]*Table1_1[[#This Row],[Quantity]],"")</f>
        <v>7196</v>
      </c>
      <c r="S92">
        <f>IFERROR(Table1_1[[#This Row],[Gross_Sales]]*Table1_1[[#This Row],[Discount_%]],"")</f>
        <v>359.8</v>
      </c>
      <c r="T92">
        <f>IFERROR(Table1_1[[#This Row],[Gross_Sales]]-Table1_1[[#This Row],[Discount_amount]]+Table1_1[[#This Row],[Shipping_Cost]],"")</f>
        <v>6895.2</v>
      </c>
      <c r="U92">
        <f>IFERROR(Table1_1[[#This Row],[Net_Sale]]-(Table1_1[[#This Row],[Gross_Sales]]*70%),"")</f>
        <v>1858</v>
      </c>
      <c r="V92" s="7">
        <f>IFERROR(Table1_1[[#This Row],[Profit]]/Table1_1[[#This Row],[Net_Sale]],"")</f>
        <v>0.26946281471168348</v>
      </c>
      <c r="W92" t="str">
        <f>TEXT(Table1_1[[#This Row],[Order_Date]],"mmm")</f>
        <v>Jan</v>
      </c>
    </row>
    <row r="93" spans="1:23" x14ac:dyDescent="0.25">
      <c r="A93" t="s">
        <v>268</v>
      </c>
      <c r="B93" t="s">
        <v>216</v>
      </c>
      <c r="C93" s="6">
        <v>45750</v>
      </c>
      <c r="D93" t="s">
        <v>62</v>
      </c>
      <c r="E93" t="s">
        <v>63</v>
      </c>
      <c r="F93" t="s">
        <v>46</v>
      </c>
      <c r="G93" t="s">
        <v>64</v>
      </c>
      <c r="H93">
        <v>2</v>
      </c>
      <c r="I93">
        <v>699</v>
      </c>
      <c r="J93">
        <v>0.15</v>
      </c>
      <c r="K93">
        <v>79</v>
      </c>
      <c r="L93" t="s">
        <v>57</v>
      </c>
      <c r="M93" t="s">
        <v>58</v>
      </c>
      <c r="N93" t="s">
        <v>40</v>
      </c>
      <c r="O93" t="s">
        <v>32</v>
      </c>
      <c r="P93" t="s">
        <v>33</v>
      </c>
      <c r="Q93">
        <v>2</v>
      </c>
      <c r="R93">
        <f>IFERROR(Table1_1[[#This Row],[Unit_Price]]*Table1_1[[#This Row],[Quantity]],"")</f>
        <v>1398</v>
      </c>
      <c r="S93">
        <f>IFERROR(Table1_1[[#This Row],[Gross_Sales]]*Table1_1[[#This Row],[Discount_%]],"")</f>
        <v>209.7</v>
      </c>
      <c r="T93">
        <f>IFERROR(Table1_1[[#This Row],[Gross_Sales]]-Table1_1[[#This Row],[Discount_amount]]+Table1_1[[#This Row],[Shipping_Cost]],"")</f>
        <v>1267.3</v>
      </c>
      <c r="U93">
        <f>IFERROR(Table1_1[[#This Row],[Net_Sale]]-(Table1_1[[#This Row],[Gross_Sales]]*70%),"")</f>
        <v>288.70000000000005</v>
      </c>
      <c r="V93" s="7">
        <f>IFERROR(Table1_1[[#This Row],[Profit]]/Table1_1[[#This Row],[Net_Sale]],"")</f>
        <v>0.22780714905705046</v>
      </c>
      <c r="W93" t="str">
        <f>TEXT(Table1_1[[#This Row],[Order_Date]],"mmm")</f>
        <v>Apr</v>
      </c>
    </row>
    <row r="94" spans="1:23" x14ac:dyDescent="0.25">
      <c r="A94" t="s">
        <v>269</v>
      </c>
      <c r="B94" t="s">
        <v>24</v>
      </c>
      <c r="C94" s="6">
        <v>45893</v>
      </c>
      <c r="D94" t="s">
        <v>67</v>
      </c>
      <c r="E94" t="s">
        <v>68</v>
      </c>
      <c r="F94" t="s">
        <v>37</v>
      </c>
      <c r="G94" t="s">
        <v>38</v>
      </c>
      <c r="H94">
        <v>2</v>
      </c>
      <c r="I94">
        <v>1299</v>
      </c>
      <c r="J94">
        <v>0.1</v>
      </c>
      <c r="K94">
        <v>59</v>
      </c>
      <c r="L94" t="s">
        <v>119</v>
      </c>
      <c r="M94" t="s">
        <v>120</v>
      </c>
      <c r="N94" t="s">
        <v>50</v>
      </c>
      <c r="O94" t="s">
        <v>93</v>
      </c>
      <c r="P94" t="s">
        <v>33</v>
      </c>
      <c r="Q94">
        <v>4</v>
      </c>
      <c r="R94">
        <f>IFERROR(Table1_1[[#This Row],[Unit_Price]]*Table1_1[[#This Row],[Quantity]],"")</f>
        <v>2598</v>
      </c>
      <c r="S94">
        <f>IFERROR(Table1_1[[#This Row],[Gross_Sales]]*Table1_1[[#This Row],[Discount_%]],"")</f>
        <v>259.8</v>
      </c>
      <c r="T94">
        <f>IFERROR(Table1_1[[#This Row],[Gross_Sales]]-Table1_1[[#This Row],[Discount_amount]]+Table1_1[[#This Row],[Shipping_Cost]],"")</f>
        <v>2397.1999999999998</v>
      </c>
      <c r="U94">
        <f>IFERROR(Table1_1[[#This Row],[Net_Sale]]-(Table1_1[[#This Row],[Gross_Sales]]*70%),"")</f>
        <v>578.59999999999991</v>
      </c>
      <c r="V94" s="7">
        <f>IFERROR(Table1_1[[#This Row],[Profit]]/Table1_1[[#This Row],[Net_Sale]],"")</f>
        <v>0.24136492574670446</v>
      </c>
      <c r="W94" t="str">
        <f>TEXT(Table1_1[[#This Row],[Order_Date]],"mmm")</f>
        <v>Aug</v>
      </c>
    </row>
    <row r="95" spans="1:23" x14ac:dyDescent="0.25">
      <c r="A95" t="s">
        <v>270</v>
      </c>
      <c r="B95" t="s">
        <v>271</v>
      </c>
      <c r="C95" s="6">
        <v>45875</v>
      </c>
      <c r="D95" t="s">
        <v>169</v>
      </c>
      <c r="E95" t="s">
        <v>170</v>
      </c>
      <c r="F95" t="s">
        <v>98</v>
      </c>
      <c r="G95" t="s">
        <v>171</v>
      </c>
      <c r="H95">
        <v>1</v>
      </c>
      <c r="I95">
        <v>799</v>
      </c>
      <c r="J95">
        <v>0.05</v>
      </c>
      <c r="K95">
        <v>49</v>
      </c>
      <c r="L95" t="s">
        <v>125</v>
      </c>
      <c r="M95" t="s">
        <v>126</v>
      </c>
      <c r="N95" t="s">
        <v>272</v>
      </c>
      <c r="O95" t="s">
        <v>93</v>
      </c>
      <c r="P95" t="s">
        <v>52</v>
      </c>
      <c r="Q95">
        <v>2</v>
      </c>
      <c r="R95">
        <f>IFERROR(Table1_1[[#This Row],[Unit_Price]]*Table1_1[[#This Row],[Quantity]],"")</f>
        <v>799</v>
      </c>
      <c r="S95">
        <f>IFERROR(Table1_1[[#This Row],[Gross_Sales]]*Table1_1[[#This Row],[Discount_%]],"")</f>
        <v>39.950000000000003</v>
      </c>
      <c r="T95">
        <f>IFERROR(Table1_1[[#This Row],[Gross_Sales]]-Table1_1[[#This Row],[Discount_amount]]+Table1_1[[#This Row],[Shipping_Cost]],"")</f>
        <v>808.05</v>
      </c>
      <c r="U95">
        <f>IFERROR(Table1_1[[#This Row],[Net_Sale]]-(Table1_1[[#This Row],[Gross_Sales]]*70%),"")</f>
        <v>248.75</v>
      </c>
      <c r="V95" s="7">
        <f>IFERROR(Table1_1[[#This Row],[Profit]]/Table1_1[[#This Row],[Net_Sale]],"")</f>
        <v>0.3078398613947157</v>
      </c>
      <c r="W95" t="str">
        <f>TEXT(Table1_1[[#This Row],[Order_Date]],"mmm")</f>
        <v>Aug</v>
      </c>
    </row>
    <row r="96" spans="1:23" x14ac:dyDescent="0.25">
      <c r="A96" t="s">
        <v>273</v>
      </c>
      <c r="B96" t="s">
        <v>274</v>
      </c>
      <c r="C96" s="6">
        <v>45809</v>
      </c>
      <c r="D96" t="s">
        <v>96</v>
      </c>
      <c r="E96" t="s">
        <v>97</v>
      </c>
      <c r="F96" t="s">
        <v>98</v>
      </c>
      <c r="G96" t="s">
        <v>99</v>
      </c>
      <c r="H96">
        <v>1</v>
      </c>
      <c r="I96">
        <v>1499</v>
      </c>
      <c r="J96">
        <v>0.2</v>
      </c>
      <c r="K96">
        <v>79</v>
      </c>
      <c r="L96" t="s">
        <v>125</v>
      </c>
      <c r="M96" t="s">
        <v>126</v>
      </c>
      <c r="N96" t="s">
        <v>31</v>
      </c>
      <c r="O96" t="s">
        <v>32</v>
      </c>
      <c r="P96" t="s">
        <v>33</v>
      </c>
      <c r="Q96">
        <v>3</v>
      </c>
      <c r="R96">
        <f>IFERROR(Table1_1[[#This Row],[Unit_Price]]*Table1_1[[#This Row],[Quantity]],"")</f>
        <v>1499</v>
      </c>
      <c r="S96">
        <f>IFERROR(Table1_1[[#This Row],[Gross_Sales]]*Table1_1[[#This Row],[Discount_%]],"")</f>
        <v>299.8</v>
      </c>
      <c r="T96">
        <f>IFERROR(Table1_1[[#This Row],[Gross_Sales]]-Table1_1[[#This Row],[Discount_amount]]+Table1_1[[#This Row],[Shipping_Cost]],"")</f>
        <v>1278.2</v>
      </c>
      <c r="U96">
        <f>IFERROR(Table1_1[[#This Row],[Net_Sale]]-(Table1_1[[#This Row],[Gross_Sales]]*70%),"")</f>
        <v>228.90000000000009</v>
      </c>
      <c r="V96" s="7">
        <f>IFERROR(Table1_1[[#This Row],[Profit]]/Table1_1[[#This Row],[Net_Sale]],"")</f>
        <v>0.17907995618838998</v>
      </c>
      <c r="W96" t="str">
        <f>TEXT(Table1_1[[#This Row],[Order_Date]],"mmm")</f>
        <v>Jun</v>
      </c>
    </row>
    <row r="97" spans="1:23" x14ac:dyDescent="0.25">
      <c r="A97" t="s">
        <v>275</v>
      </c>
      <c r="B97" t="s">
        <v>82</v>
      </c>
      <c r="C97" s="6">
        <v>45912</v>
      </c>
      <c r="D97" t="s">
        <v>25</v>
      </c>
      <c r="E97" t="s">
        <v>26</v>
      </c>
      <c r="F97" t="s">
        <v>27</v>
      </c>
      <c r="G97" t="s">
        <v>28</v>
      </c>
      <c r="H97">
        <v>4</v>
      </c>
      <c r="I97">
        <v>249</v>
      </c>
      <c r="J97">
        <v>0.15</v>
      </c>
      <c r="K97">
        <v>59</v>
      </c>
      <c r="L97" t="s">
        <v>39</v>
      </c>
      <c r="M97" t="s">
        <v>39</v>
      </c>
      <c r="N97" t="s">
        <v>50</v>
      </c>
      <c r="O97" t="s">
        <v>32</v>
      </c>
      <c r="P97" t="s">
        <v>33</v>
      </c>
      <c r="Q97">
        <v>3</v>
      </c>
      <c r="R97">
        <f>IFERROR(Table1_1[[#This Row],[Unit_Price]]*Table1_1[[#This Row],[Quantity]],"")</f>
        <v>996</v>
      </c>
      <c r="S97">
        <f>IFERROR(Table1_1[[#This Row],[Gross_Sales]]*Table1_1[[#This Row],[Discount_%]],"")</f>
        <v>149.4</v>
      </c>
      <c r="T97">
        <f>IFERROR(Table1_1[[#This Row],[Gross_Sales]]-Table1_1[[#This Row],[Discount_amount]]+Table1_1[[#This Row],[Shipping_Cost]],"")</f>
        <v>905.6</v>
      </c>
      <c r="U97">
        <f>IFERROR(Table1_1[[#This Row],[Net_Sale]]-(Table1_1[[#This Row],[Gross_Sales]]*70%),"")</f>
        <v>208.40000000000009</v>
      </c>
      <c r="V97" s="7">
        <f>IFERROR(Table1_1[[#This Row],[Profit]]/Table1_1[[#This Row],[Net_Sale]],"")</f>
        <v>0.23012367491166086</v>
      </c>
      <c r="W97" t="str">
        <f>TEXT(Table1_1[[#This Row],[Order_Date]],"mmm")</f>
        <v>Sep</v>
      </c>
    </row>
    <row r="98" spans="1:23" x14ac:dyDescent="0.25">
      <c r="A98" t="s">
        <v>276</v>
      </c>
      <c r="B98" t="s">
        <v>257</v>
      </c>
      <c r="C98" s="6">
        <v>45979</v>
      </c>
      <c r="D98" t="s">
        <v>25</v>
      </c>
      <c r="E98" t="s">
        <v>26</v>
      </c>
      <c r="F98" t="s">
        <v>27</v>
      </c>
      <c r="G98" t="s">
        <v>28</v>
      </c>
      <c r="H98">
        <v>2</v>
      </c>
      <c r="I98">
        <v>249</v>
      </c>
      <c r="J98">
        <v>0.1</v>
      </c>
      <c r="K98">
        <v>0</v>
      </c>
      <c r="L98" t="s">
        <v>100</v>
      </c>
      <c r="M98" t="s">
        <v>101</v>
      </c>
      <c r="N98" t="s">
        <v>71</v>
      </c>
      <c r="O98" t="s">
        <v>41</v>
      </c>
      <c r="P98" t="s">
        <v>33</v>
      </c>
      <c r="Q98">
        <v>1</v>
      </c>
      <c r="R98">
        <f>IFERROR(Table1_1[[#This Row],[Unit_Price]]*Table1_1[[#This Row],[Quantity]],"")</f>
        <v>498</v>
      </c>
      <c r="S98">
        <f>IFERROR(Table1_1[[#This Row],[Gross_Sales]]*Table1_1[[#This Row],[Discount_%]],"")</f>
        <v>49.800000000000004</v>
      </c>
      <c r="T98">
        <f>IFERROR(Table1_1[[#This Row],[Gross_Sales]]-Table1_1[[#This Row],[Discount_amount]]+Table1_1[[#This Row],[Shipping_Cost]],"")</f>
        <v>448.2</v>
      </c>
      <c r="U98">
        <f>IFERROR(Table1_1[[#This Row],[Net_Sale]]-(Table1_1[[#This Row],[Gross_Sales]]*70%),"")</f>
        <v>99.600000000000023</v>
      </c>
      <c r="V98" s="7">
        <f>IFERROR(Table1_1[[#This Row],[Profit]]/Table1_1[[#This Row],[Net_Sale]],"")</f>
        <v>0.22222222222222227</v>
      </c>
      <c r="W98" t="str">
        <f>TEXT(Table1_1[[#This Row],[Order_Date]],"mmm")</f>
        <v>Nov</v>
      </c>
    </row>
    <row r="99" spans="1:23" x14ac:dyDescent="0.25">
      <c r="A99" t="s">
        <v>277</v>
      </c>
      <c r="B99" t="s">
        <v>278</v>
      </c>
      <c r="C99" s="6">
        <v>45747</v>
      </c>
      <c r="D99" t="s">
        <v>110</v>
      </c>
      <c r="E99" t="s">
        <v>111</v>
      </c>
      <c r="F99" t="s">
        <v>98</v>
      </c>
      <c r="G99" t="s">
        <v>112</v>
      </c>
      <c r="H99">
        <v>2</v>
      </c>
      <c r="I99">
        <v>2999</v>
      </c>
      <c r="J99">
        <v>0.05</v>
      </c>
      <c r="K99">
        <v>99</v>
      </c>
      <c r="L99" t="s">
        <v>74</v>
      </c>
      <c r="M99" t="s">
        <v>49</v>
      </c>
      <c r="N99" t="s">
        <v>71</v>
      </c>
      <c r="O99" t="s">
        <v>41</v>
      </c>
      <c r="P99" t="s">
        <v>85</v>
      </c>
      <c r="Q99">
        <v>3</v>
      </c>
      <c r="R99">
        <f>IFERROR(Table1_1[[#This Row],[Unit_Price]]*Table1_1[[#This Row],[Quantity]],"")</f>
        <v>5998</v>
      </c>
      <c r="S99">
        <f>IFERROR(Table1_1[[#This Row],[Gross_Sales]]*Table1_1[[#This Row],[Discount_%]],"")</f>
        <v>299.90000000000003</v>
      </c>
      <c r="T99">
        <f>IFERROR(Table1_1[[#This Row],[Gross_Sales]]-Table1_1[[#This Row],[Discount_amount]]+Table1_1[[#This Row],[Shipping_Cost]],"")</f>
        <v>5797.1</v>
      </c>
      <c r="U99">
        <f>IFERROR(Table1_1[[#This Row],[Net_Sale]]-(Table1_1[[#This Row],[Gross_Sales]]*70%),"")</f>
        <v>1598.5000000000009</v>
      </c>
      <c r="V99" s="7">
        <f>IFERROR(Table1_1[[#This Row],[Profit]]/Table1_1[[#This Row],[Net_Sale]],"")</f>
        <v>0.27574131893532988</v>
      </c>
      <c r="W99" t="str">
        <f>TEXT(Table1_1[[#This Row],[Order_Date]],"mmm")</f>
        <v>Mar</v>
      </c>
    </row>
    <row r="100" spans="1:23" x14ac:dyDescent="0.25">
      <c r="A100" t="s">
        <v>279</v>
      </c>
      <c r="B100" t="s">
        <v>280</v>
      </c>
      <c r="C100" s="6">
        <v>45831</v>
      </c>
      <c r="D100" t="s">
        <v>90</v>
      </c>
      <c r="E100" t="s">
        <v>91</v>
      </c>
      <c r="F100" t="s">
        <v>37</v>
      </c>
      <c r="G100" t="s">
        <v>92</v>
      </c>
      <c r="H100">
        <v>2</v>
      </c>
      <c r="I100">
        <v>3499</v>
      </c>
      <c r="J100">
        <v>0</v>
      </c>
      <c r="K100">
        <v>49</v>
      </c>
      <c r="L100" t="s">
        <v>48</v>
      </c>
      <c r="M100" t="s">
        <v>49</v>
      </c>
      <c r="N100" t="s">
        <v>102</v>
      </c>
      <c r="O100" t="s">
        <v>51</v>
      </c>
      <c r="P100" t="s">
        <v>33</v>
      </c>
      <c r="Q100">
        <v>1</v>
      </c>
      <c r="R100">
        <f>IFERROR(Table1_1[[#This Row],[Unit_Price]]*Table1_1[[#This Row],[Quantity]],"")</f>
        <v>6998</v>
      </c>
      <c r="S100">
        <f>IFERROR(Table1_1[[#This Row],[Gross_Sales]]*Table1_1[[#This Row],[Discount_%]],"")</f>
        <v>0</v>
      </c>
      <c r="T100">
        <f>IFERROR(Table1_1[[#This Row],[Gross_Sales]]-Table1_1[[#This Row],[Discount_amount]]+Table1_1[[#This Row],[Shipping_Cost]],"")</f>
        <v>7047</v>
      </c>
      <c r="U100">
        <f>IFERROR(Table1_1[[#This Row],[Net_Sale]]-(Table1_1[[#This Row],[Gross_Sales]]*70%),"")</f>
        <v>2148.4000000000005</v>
      </c>
      <c r="V100" s="7">
        <f>IFERROR(Table1_1[[#This Row],[Profit]]/Table1_1[[#This Row],[Net_Sale]],"")</f>
        <v>0.30486731942670647</v>
      </c>
      <c r="W100" t="str">
        <f>TEXT(Table1_1[[#This Row],[Order_Date]],"mmm")</f>
        <v>Jun</v>
      </c>
    </row>
    <row r="101" spans="1:23" x14ac:dyDescent="0.25">
      <c r="A101" t="s">
        <v>281</v>
      </c>
      <c r="B101" t="s">
        <v>136</v>
      </c>
      <c r="C101" s="6">
        <v>45721</v>
      </c>
      <c r="D101" t="s">
        <v>96</v>
      </c>
      <c r="E101" t="s">
        <v>97</v>
      </c>
      <c r="F101" t="s">
        <v>98</v>
      </c>
      <c r="G101" t="s">
        <v>99</v>
      </c>
      <c r="H101">
        <v>1</v>
      </c>
      <c r="I101">
        <v>1499</v>
      </c>
      <c r="J101">
        <v>0.2</v>
      </c>
      <c r="K101">
        <v>59</v>
      </c>
      <c r="L101" t="s">
        <v>39</v>
      </c>
      <c r="M101" t="s">
        <v>39</v>
      </c>
      <c r="N101" t="s">
        <v>40</v>
      </c>
      <c r="O101" t="s">
        <v>51</v>
      </c>
      <c r="P101" t="s">
        <v>80</v>
      </c>
      <c r="Q101">
        <v>1</v>
      </c>
      <c r="R101">
        <f>IFERROR(Table1_1[[#This Row],[Unit_Price]]*Table1_1[[#This Row],[Quantity]],"")</f>
        <v>1499</v>
      </c>
      <c r="S101">
        <f>IFERROR(Table1_1[[#This Row],[Gross_Sales]]*Table1_1[[#This Row],[Discount_%]],"")</f>
        <v>299.8</v>
      </c>
      <c r="T101">
        <f>IFERROR(Table1_1[[#This Row],[Gross_Sales]]-Table1_1[[#This Row],[Discount_amount]]+Table1_1[[#This Row],[Shipping_Cost]],"")</f>
        <v>1258.2</v>
      </c>
      <c r="U101">
        <f>IFERROR(Table1_1[[#This Row],[Net_Sale]]-(Table1_1[[#This Row],[Gross_Sales]]*70%),"")</f>
        <v>208.90000000000009</v>
      </c>
      <c r="V101" s="7">
        <f>IFERROR(Table1_1[[#This Row],[Profit]]/Table1_1[[#This Row],[Net_Sale]],"")</f>
        <v>0.16603083770465751</v>
      </c>
      <c r="W101" t="str">
        <f>TEXT(Table1_1[[#This Row],[Order_Date]],"mmm")</f>
        <v>Mar</v>
      </c>
    </row>
    <row r="102" spans="1:23" x14ac:dyDescent="0.25">
      <c r="A102" t="s">
        <v>282</v>
      </c>
      <c r="B102" t="s">
        <v>283</v>
      </c>
      <c r="C102" s="6">
        <v>45975</v>
      </c>
      <c r="D102" t="s">
        <v>25</v>
      </c>
      <c r="E102" t="s">
        <v>26</v>
      </c>
      <c r="F102" t="s">
        <v>27</v>
      </c>
      <c r="G102" t="s">
        <v>28</v>
      </c>
      <c r="H102">
        <v>2</v>
      </c>
      <c r="I102">
        <v>249</v>
      </c>
      <c r="J102">
        <v>0</v>
      </c>
      <c r="K102">
        <v>0</v>
      </c>
      <c r="L102" t="s">
        <v>113</v>
      </c>
      <c r="M102" t="s">
        <v>114</v>
      </c>
      <c r="N102" t="s">
        <v>71</v>
      </c>
      <c r="O102" t="s">
        <v>59</v>
      </c>
      <c r="P102" t="s">
        <v>85</v>
      </c>
      <c r="Q102">
        <v>1</v>
      </c>
      <c r="R102">
        <f>IFERROR(Table1_1[[#This Row],[Unit_Price]]*Table1_1[[#This Row],[Quantity]],"")</f>
        <v>498</v>
      </c>
      <c r="S102">
        <f>IFERROR(Table1_1[[#This Row],[Gross_Sales]]*Table1_1[[#This Row],[Discount_%]],"")</f>
        <v>0</v>
      </c>
      <c r="T102">
        <f>IFERROR(Table1_1[[#This Row],[Gross_Sales]]-Table1_1[[#This Row],[Discount_amount]]+Table1_1[[#This Row],[Shipping_Cost]],"")</f>
        <v>498</v>
      </c>
      <c r="U102">
        <f>IFERROR(Table1_1[[#This Row],[Net_Sale]]-(Table1_1[[#This Row],[Gross_Sales]]*70%),"")</f>
        <v>149.40000000000003</v>
      </c>
      <c r="V102" s="7">
        <f>IFERROR(Table1_1[[#This Row],[Profit]]/Table1_1[[#This Row],[Net_Sale]],"")</f>
        <v>0.30000000000000004</v>
      </c>
      <c r="W102" t="str">
        <f>TEXT(Table1_1[[#This Row],[Order_Date]],"mmm")</f>
        <v>Nov</v>
      </c>
    </row>
    <row r="103" spans="1:23" x14ac:dyDescent="0.25">
      <c r="A103" t="s">
        <v>284</v>
      </c>
      <c r="B103" t="s">
        <v>255</v>
      </c>
      <c r="C103" s="6">
        <v>45813</v>
      </c>
      <c r="D103" t="s">
        <v>105</v>
      </c>
      <c r="E103" t="s">
        <v>106</v>
      </c>
      <c r="F103" t="s">
        <v>37</v>
      </c>
      <c r="G103" t="s">
        <v>107</v>
      </c>
      <c r="H103">
        <v>4</v>
      </c>
      <c r="I103">
        <v>1799</v>
      </c>
      <c r="J103">
        <v>0</v>
      </c>
      <c r="K103">
        <v>99</v>
      </c>
      <c r="L103" t="s">
        <v>285</v>
      </c>
      <c r="M103" t="s">
        <v>39</v>
      </c>
      <c r="N103" t="s">
        <v>40</v>
      </c>
      <c r="O103" t="s">
        <v>59</v>
      </c>
      <c r="P103" t="s">
        <v>33</v>
      </c>
      <c r="Q103">
        <v>3</v>
      </c>
      <c r="R103">
        <f>IFERROR(Table1_1[[#This Row],[Unit_Price]]*Table1_1[[#This Row],[Quantity]],"")</f>
        <v>7196</v>
      </c>
      <c r="S103">
        <f>IFERROR(Table1_1[[#This Row],[Gross_Sales]]*Table1_1[[#This Row],[Discount_%]],"")</f>
        <v>0</v>
      </c>
      <c r="T103">
        <f>IFERROR(Table1_1[[#This Row],[Gross_Sales]]-Table1_1[[#This Row],[Discount_amount]]+Table1_1[[#This Row],[Shipping_Cost]],"")</f>
        <v>7295</v>
      </c>
      <c r="U103">
        <f>IFERROR(Table1_1[[#This Row],[Net_Sale]]-(Table1_1[[#This Row],[Gross_Sales]]*70%),"")</f>
        <v>2257.8000000000002</v>
      </c>
      <c r="V103" s="7">
        <f>IFERROR(Table1_1[[#This Row],[Profit]]/Table1_1[[#This Row],[Net_Sale]],"")</f>
        <v>0.30949965729952023</v>
      </c>
      <c r="W103" t="str">
        <f>TEXT(Table1_1[[#This Row],[Order_Date]],"mmm")</f>
        <v>Jun</v>
      </c>
    </row>
    <row r="104" spans="1:23" x14ac:dyDescent="0.25">
      <c r="A104" t="s">
        <v>286</v>
      </c>
      <c r="B104" t="s">
        <v>287</v>
      </c>
      <c r="C104" s="6">
        <v>45737</v>
      </c>
      <c r="D104" t="s">
        <v>25</v>
      </c>
      <c r="E104" t="s">
        <v>26</v>
      </c>
      <c r="F104" t="s">
        <v>27</v>
      </c>
      <c r="G104" t="s">
        <v>28</v>
      </c>
      <c r="H104">
        <v>1</v>
      </c>
      <c r="I104">
        <v>249</v>
      </c>
      <c r="J104">
        <v>0.1</v>
      </c>
      <c r="K104">
        <v>99</v>
      </c>
      <c r="L104" t="s">
        <v>83</v>
      </c>
      <c r="M104" t="s">
        <v>84</v>
      </c>
      <c r="N104" t="s">
        <v>71</v>
      </c>
      <c r="O104" t="s">
        <v>93</v>
      </c>
      <c r="P104" t="s">
        <v>33</v>
      </c>
      <c r="Q104">
        <v>3</v>
      </c>
      <c r="R104">
        <f>IFERROR(Table1_1[[#This Row],[Unit_Price]]*Table1_1[[#This Row],[Quantity]],"")</f>
        <v>249</v>
      </c>
      <c r="S104">
        <f>IFERROR(Table1_1[[#This Row],[Gross_Sales]]*Table1_1[[#This Row],[Discount_%]],"")</f>
        <v>24.900000000000002</v>
      </c>
      <c r="T104">
        <f>IFERROR(Table1_1[[#This Row],[Gross_Sales]]-Table1_1[[#This Row],[Discount_amount]]+Table1_1[[#This Row],[Shipping_Cost]],"")</f>
        <v>323.10000000000002</v>
      </c>
      <c r="U104">
        <f>IFERROR(Table1_1[[#This Row],[Net_Sale]]-(Table1_1[[#This Row],[Gross_Sales]]*70%),"")</f>
        <v>148.80000000000004</v>
      </c>
      <c r="V104" s="7">
        <f>IFERROR(Table1_1[[#This Row],[Profit]]/Table1_1[[#This Row],[Net_Sale]],"")</f>
        <v>0.46053853296193137</v>
      </c>
      <c r="W104" t="str">
        <f>TEXT(Table1_1[[#This Row],[Order_Date]],"mmm")</f>
        <v>Mar</v>
      </c>
    </row>
    <row r="105" spans="1:23" x14ac:dyDescent="0.25">
      <c r="A105" t="s">
        <v>288</v>
      </c>
      <c r="B105" t="s">
        <v>289</v>
      </c>
      <c r="C105" s="6">
        <v>45778</v>
      </c>
      <c r="D105" t="s">
        <v>169</v>
      </c>
      <c r="E105" t="s">
        <v>170</v>
      </c>
      <c r="F105" t="s">
        <v>98</v>
      </c>
      <c r="G105" t="s">
        <v>171</v>
      </c>
      <c r="H105">
        <v>1</v>
      </c>
      <c r="I105">
        <v>799</v>
      </c>
      <c r="J105">
        <v>0.05</v>
      </c>
      <c r="K105">
        <v>99</v>
      </c>
      <c r="L105" t="s">
        <v>113</v>
      </c>
      <c r="M105" t="s">
        <v>114</v>
      </c>
      <c r="N105" t="s">
        <v>31</v>
      </c>
      <c r="O105" t="s">
        <v>59</v>
      </c>
      <c r="P105" t="s">
        <v>80</v>
      </c>
      <c r="Q105">
        <v>3</v>
      </c>
      <c r="R105">
        <f>IFERROR(Table1_1[[#This Row],[Unit_Price]]*Table1_1[[#This Row],[Quantity]],"")</f>
        <v>799</v>
      </c>
      <c r="S105">
        <f>IFERROR(Table1_1[[#This Row],[Gross_Sales]]*Table1_1[[#This Row],[Discount_%]],"")</f>
        <v>39.950000000000003</v>
      </c>
      <c r="T105">
        <f>IFERROR(Table1_1[[#This Row],[Gross_Sales]]-Table1_1[[#This Row],[Discount_amount]]+Table1_1[[#This Row],[Shipping_Cost]],"")</f>
        <v>858.05</v>
      </c>
      <c r="U105">
        <f>IFERROR(Table1_1[[#This Row],[Net_Sale]]-(Table1_1[[#This Row],[Gross_Sales]]*70%),"")</f>
        <v>298.75</v>
      </c>
      <c r="V105" s="7">
        <f>IFERROR(Table1_1[[#This Row],[Profit]]/Table1_1[[#This Row],[Net_Sale]],"")</f>
        <v>0.3481731833809219</v>
      </c>
      <c r="W105" t="str">
        <f>TEXT(Table1_1[[#This Row],[Order_Date]],"mmm")</f>
        <v>May</v>
      </c>
    </row>
    <row r="106" spans="1:23" x14ac:dyDescent="0.25">
      <c r="A106" t="s">
        <v>290</v>
      </c>
      <c r="B106" t="s">
        <v>192</v>
      </c>
      <c r="C106" s="6">
        <v>45890</v>
      </c>
      <c r="D106" t="s">
        <v>67</v>
      </c>
      <c r="E106" t="s">
        <v>68</v>
      </c>
      <c r="F106" t="s">
        <v>37</v>
      </c>
      <c r="G106" t="s">
        <v>38</v>
      </c>
      <c r="H106">
        <v>4</v>
      </c>
      <c r="I106">
        <v>1299</v>
      </c>
      <c r="J106">
        <v>0.2</v>
      </c>
      <c r="K106">
        <v>99</v>
      </c>
      <c r="L106" t="s">
        <v>29</v>
      </c>
      <c r="M106" t="s">
        <v>30</v>
      </c>
      <c r="N106" t="s">
        <v>31</v>
      </c>
      <c r="O106" t="s">
        <v>51</v>
      </c>
      <c r="P106" t="s">
        <v>33</v>
      </c>
      <c r="Q106">
        <v>2</v>
      </c>
      <c r="R106">
        <f>IFERROR(Table1_1[[#This Row],[Unit_Price]]*Table1_1[[#This Row],[Quantity]],"")</f>
        <v>5196</v>
      </c>
      <c r="S106">
        <f>IFERROR(Table1_1[[#This Row],[Gross_Sales]]*Table1_1[[#This Row],[Discount_%]],"")</f>
        <v>1039.2</v>
      </c>
      <c r="T106">
        <f>IFERROR(Table1_1[[#This Row],[Gross_Sales]]-Table1_1[[#This Row],[Discount_amount]]+Table1_1[[#This Row],[Shipping_Cost]],"")</f>
        <v>4255.8</v>
      </c>
      <c r="U106">
        <f>IFERROR(Table1_1[[#This Row],[Net_Sale]]-(Table1_1[[#This Row],[Gross_Sales]]*70%),"")</f>
        <v>618.60000000000036</v>
      </c>
      <c r="V106" s="7">
        <f>IFERROR(Table1_1[[#This Row],[Profit]]/Table1_1[[#This Row],[Net_Sale]],"")</f>
        <v>0.14535457493303264</v>
      </c>
      <c r="W106" t="str">
        <f>TEXT(Table1_1[[#This Row],[Order_Date]],"mmm")</f>
        <v>Aug</v>
      </c>
    </row>
    <row r="107" spans="1:23" x14ac:dyDescent="0.25">
      <c r="A107" t="s">
        <v>291</v>
      </c>
      <c r="B107" t="s">
        <v>292</v>
      </c>
      <c r="C107" s="6">
        <v>45941</v>
      </c>
      <c r="D107" t="s">
        <v>105</v>
      </c>
      <c r="E107" t="s">
        <v>106</v>
      </c>
      <c r="F107" t="s">
        <v>37</v>
      </c>
      <c r="G107" t="s">
        <v>107</v>
      </c>
      <c r="H107">
        <v>1</v>
      </c>
      <c r="I107">
        <v>1799</v>
      </c>
      <c r="J107">
        <v>0</v>
      </c>
      <c r="K107">
        <v>59</v>
      </c>
      <c r="L107" t="s">
        <v>125</v>
      </c>
      <c r="M107" t="s">
        <v>126</v>
      </c>
      <c r="N107" t="s">
        <v>102</v>
      </c>
      <c r="O107" t="s">
        <v>93</v>
      </c>
      <c r="P107" t="s">
        <v>33</v>
      </c>
      <c r="Q107">
        <v>3</v>
      </c>
      <c r="R107">
        <f>IFERROR(Table1_1[[#This Row],[Unit_Price]]*Table1_1[[#This Row],[Quantity]],"")</f>
        <v>1799</v>
      </c>
      <c r="S107">
        <f>IFERROR(Table1_1[[#This Row],[Gross_Sales]]*Table1_1[[#This Row],[Discount_%]],"")</f>
        <v>0</v>
      </c>
      <c r="T107">
        <f>IFERROR(Table1_1[[#This Row],[Gross_Sales]]-Table1_1[[#This Row],[Discount_amount]]+Table1_1[[#This Row],[Shipping_Cost]],"")</f>
        <v>1858</v>
      </c>
      <c r="U107">
        <f>IFERROR(Table1_1[[#This Row],[Net_Sale]]-(Table1_1[[#This Row],[Gross_Sales]]*70%),"")</f>
        <v>598.70000000000005</v>
      </c>
      <c r="V107" s="7">
        <f>IFERROR(Table1_1[[#This Row],[Profit]]/Table1_1[[#This Row],[Net_Sale]],"")</f>
        <v>0.32222820236813782</v>
      </c>
      <c r="W107" t="str">
        <f>TEXT(Table1_1[[#This Row],[Order_Date]],"mmm")</f>
        <v>Oct</v>
      </c>
    </row>
    <row r="108" spans="1:23" x14ac:dyDescent="0.25">
      <c r="A108" t="s">
        <v>293</v>
      </c>
      <c r="B108" t="s">
        <v>289</v>
      </c>
      <c r="C108" s="6">
        <v>45747</v>
      </c>
      <c r="D108" t="s">
        <v>105</v>
      </c>
      <c r="E108" t="s">
        <v>106</v>
      </c>
      <c r="F108" t="s">
        <v>37</v>
      </c>
      <c r="G108" t="s">
        <v>107</v>
      </c>
      <c r="H108">
        <v>2</v>
      </c>
      <c r="I108">
        <v>1799</v>
      </c>
      <c r="J108">
        <v>0</v>
      </c>
      <c r="K108">
        <v>0</v>
      </c>
      <c r="L108" t="s">
        <v>100</v>
      </c>
      <c r="M108" t="s">
        <v>101</v>
      </c>
      <c r="N108" t="s">
        <v>50</v>
      </c>
      <c r="O108" t="s">
        <v>32</v>
      </c>
      <c r="P108" t="s">
        <v>33</v>
      </c>
      <c r="Q108">
        <v>3</v>
      </c>
      <c r="R108">
        <f>IFERROR(Table1_1[[#This Row],[Unit_Price]]*Table1_1[[#This Row],[Quantity]],"")</f>
        <v>3598</v>
      </c>
      <c r="S108">
        <f>IFERROR(Table1_1[[#This Row],[Gross_Sales]]*Table1_1[[#This Row],[Discount_%]],"")</f>
        <v>0</v>
      </c>
      <c r="T108">
        <f>IFERROR(Table1_1[[#This Row],[Gross_Sales]]-Table1_1[[#This Row],[Discount_amount]]+Table1_1[[#This Row],[Shipping_Cost]],"")</f>
        <v>3598</v>
      </c>
      <c r="U108">
        <f>IFERROR(Table1_1[[#This Row],[Net_Sale]]-(Table1_1[[#This Row],[Gross_Sales]]*70%),"")</f>
        <v>1079.4000000000001</v>
      </c>
      <c r="V108" s="7">
        <f>IFERROR(Table1_1[[#This Row],[Profit]]/Table1_1[[#This Row],[Net_Sale]],"")</f>
        <v>0.30000000000000004</v>
      </c>
      <c r="W108" t="str">
        <f>TEXT(Table1_1[[#This Row],[Order_Date]],"mmm")</f>
        <v>Mar</v>
      </c>
    </row>
    <row r="109" spans="1:23" x14ac:dyDescent="0.25">
      <c r="A109" t="s">
        <v>294</v>
      </c>
      <c r="B109" t="s">
        <v>186</v>
      </c>
      <c r="C109" s="6">
        <v>45722</v>
      </c>
      <c r="D109" t="s">
        <v>35</v>
      </c>
      <c r="E109" t="s">
        <v>36</v>
      </c>
      <c r="F109" t="s">
        <v>37</v>
      </c>
      <c r="G109" t="s">
        <v>38</v>
      </c>
      <c r="H109">
        <v>1</v>
      </c>
      <c r="I109">
        <v>599</v>
      </c>
      <c r="J109">
        <v>0</v>
      </c>
      <c r="K109">
        <v>0</v>
      </c>
      <c r="L109" t="s">
        <v>100</v>
      </c>
      <c r="M109" t="s">
        <v>101</v>
      </c>
      <c r="N109" t="s">
        <v>40</v>
      </c>
      <c r="O109" t="s">
        <v>51</v>
      </c>
      <c r="P109" t="s">
        <v>85</v>
      </c>
      <c r="Q109">
        <v>5</v>
      </c>
      <c r="R109">
        <f>IFERROR(Table1_1[[#This Row],[Unit_Price]]*Table1_1[[#This Row],[Quantity]],"")</f>
        <v>599</v>
      </c>
      <c r="S109">
        <f>IFERROR(Table1_1[[#This Row],[Gross_Sales]]*Table1_1[[#This Row],[Discount_%]],"")</f>
        <v>0</v>
      </c>
      <c r="T109">
        <f>IFERROR(Table1_1[[#This Row],[Gross_Sales]]-Table1_1[[#This Row],[Discount_amount]]+Table1_1[[#This Row],[Shipping_Cost]],"")</f>
        <v>599</v>
      </c>
      <c r="U109">
        <f>IFERROR(Table1_1[[#This Row],[Net_Sale]]-(Table1_1[[#This Row],[Gross_Sales]]*70%),"")</f>
        <v>179.70000000000005</v>
      </c>
      <c r="V109" s="7">
        <f>IFERROR(Table1_1[[#This Row],[Profit]]/Table1_1[[#This Row],[Net_Sale]],"")</f>
        <v>0.3000000000000001</v>
      </c>
      <c r="W109" t="str">
        <f>TEXT(Table1_1[[#This Row],[Order_Date]],"mmm")</f>
        <v>Mar</v>
      </c>
    </row>
    <row r="110" spans="1:23" x14ac:dyDescent="0.25">
      <c r="A110" t="s">
        <v>295</v>
      </c>
      <c r="B110" t="s">
        <v>296</v>
      </c>
      <c r="C110" s="6">
        <v>45771</v>
      </c>
      <c r="D110" t="s">
        <v>44</v>
      </c>
      <c r="E110" t="s">
        <v>45</v>
      </c>
      <c r="F110" t="s">
        <v>46</v>
      </c>
      <c r="G110" t="s">
        <v>47</v>
      </c>
      <c r="H110">
        <v>2</v>
      </c>
      <c r="I110">
        <v>1199</v>
      </c>
      <c r="J110">
        <v>0.2</v>
      </c>
      <c r="K110">
        <v>99</v>
      </c>
      <c r="L110" t="s">
        <v>29</v>
      </c>
      <c r="M110" t="s">
        <v>30</v>
      </c>
      <c r="N110" t="s">
        <v>40</v>
      </c>
      <c r="O110" t="s">
        <v>93</v>
      </c>
      <c r="P110" t="s">
        <v>80</v>
      </c>
      <c r="Q110">
        <v>1</v>
      </c>
      <c r="R110">
        <f>IFERROR(Table1_1[[#This Row],[Unit_Price]]*Table1_1[[#This Row],[Quantity]],"")</f>
        <v>2398</v>
      </c>
      <c r="S110">
        <f>IFERROR(Table1_1[[#This Row],[Gross_Sales]]*Table1_1[[#This Row],[Discount_%]],"")</f>
        <v>479.6</v>
      </c>
      <c r="T110">
        <f>IFERROR(Table1_1[[#This Row],[Gross_Sales]]-Table1_1[[#This Row],[Discount_amount]]+Table1_1[[#This Row],[Shipping_Cost]],"")</f>
        <v>2017.4</v>
      </c>
      <c r="U110">
        <f>IFERROR(Table1_1[[#This Row],[Net_Sale]]-(Table1_1[[#This Row],[Gross_Sales]]*70%),"")</f>
        <v>338.80000000000018</v>
      </c>
      <c r="V110" s="7">
        <f>IFERROR(Table1_1[[#This Row],[Profit]]/Table1_1[[#This Row],[Net_Sale]],"")</f>
        <v>0.16793893129771001</v>
      </c>
      <c r="W110" t="str">
        <f>TEXT(Table1_1[[#This Row],[Order_Date]],"mmm")</f>
        <v>Apr</v>
      </c>
    </row>
    <row r="111" spans="1:23" x14ac:dyDescent="0.25">
      <c r="A111" t="s">
        <v>297</v>
      </c>
      <c r="B111" t="s">
        <v>298</v>
      </c>
      <c r="C111" s="6">
        <v>45713</v>
      </c>
      <c r="D111" t="s">
        <v>90</v>
      </c>
      <c r="E111" t="s">
        <v>91</v>
      </c>
      <c r="F111" t="s">
        <v>37</v>
      </c>
      <c r="G111" t="s">
        <v>92</v>
      </c>
      <c r="H111">
        <v>1</v>
      </c>
      <c r="I111">
        <v>3499</v>
      </c>
      <c r="J111">
        <v>0</v>
      </c>
      <c r="K111">
        <v>0</v>
      </c>
      <c r="L111" t="s">
        <v>57</v>
      </c>
      <c r="M111" t="s">
        <v>58</v>
      </c>
      <c r="N111" t="s">
        <v>102</v>
      </c>
      <c r="O111" t="s">
        <v>41</v>
      </c>
      <c r="P111" t="s">
        <v>52</v>
      </c>
      <c r="Q111">
        <v>1</v>
      </c>
      <c r="R111">
        <f>IFERROR(Table1_1[[#This Row],[Unit_Price]]*Table1_1[[#This Row],[Quantity]],"")</f>
        <v>3499</v>
      </c>
      <c r="S111">
        <f>IFERROR(Table1_1[[#This Row],[Gross_Sales]]*Table1_1[[#This Row],[Discount_%]],"")</f>
        <v>0</v>
      </c>
      <c r="T111">
        <f>IFERROR(Table1_1[[#This Row],[Gross_Sales]]-Table1_1[[#This Row],[Discount_amount]]+Table1_1[[#This Row],[Shipping_Cost]],"")</f>
        <v>3499</v>
      </c>
      <c r="U111">
        <f>IFERROR(Table1_1[[#This Row],[Net_Sale]]-(Table1_1[[#This Row],[Gross_Sales]]*70%),"")</f>
        <v>1049.7000000000003</v>
      </c>
      <c r="V111" s="7">
        <f>IFERROR(Table1_1[[#This Row],[Profit]]/Table1_1[[#This Row],[Net_Sale]],"")</f>
        <v>0.3000000000000001</v>
      </c>
      <c r="W111" t="str">
        <f>TEXT(Table1_1[[#This Row],[Order_Date]],"mmm")</f>
        <v>Feb</v>
      </c>
    </row>
    <row r="112" spans="1:23" x14ac:dyDescent="0.25">
      <c r="A112" t="s">
        <v>299</v>
      </c>
      <c r="B112" t="s">
        <v>300</v>
      </c>
      <c r="C112" s="6">
        <v>45957</v>
      </c>
      <c r="D112" t="s">
        <v>105</v>
      </c>
      <c r="E112" t="s">
        <v>106</v>
      </c>
      <c r="F112" t="s">
        <v>37</v>
      </c>
      <c r="G112" t="s">
        <v>107</v>
      </c>
      <c r="H112">
        <v>2</v>
      </c>
      <c r="I112">
        <v>1799</v>
      </c>
      <c r="J112">
        <v>0.1</v>
      </c>
      <c r="K112">
        <v>99</v>
      </c>
      <c r="L112" t="s">
        <v>48</v>
      </c>
      <c r="M112" t="s">
        <v>49</v>
      </c>
      <c r="N112" t="s">
        <v>71</v>
      </c>
      <c r="O112" t="s">
        <v>59</v>
      </c>
      <c r="P112" t="s">
        <v>33</v>
      </c>
      <c r="Q112">
        <v>5</v>
      </c>
      <c r="R112">
        <f>IFERROR(Table1_1[[#This Row],[Unit_Price]]*Table1_1[[#This Row],[Quantity]],"")</f>
        <v>3598</v>
      </c>
      <c r="S112">
        <f>IFERROR(Table1_1[[#This Row],[Gross_Sales]]*Table1_1[[#This Row],[Discount_%]],"")</f>
        <v>359.8</v>
      </c>
      <c r="T112">
        <f>IFERROR(Table1_1[[#This Row],[Gross_Sales]]-Table1_1[[#This Row],[Discount_amount]]+Table1_1[[#This Row],[Shipping_Cost]],"")</f>
        <v>3337.2</v>
      </c>
      <c r="U112">
        <f>IFERROR(Table1_1[[#This Row],[Net_Sale]]-(Table1_1[[#This Row],[Gross_Sales]]*70%),"")</f>
        <v>818.59999999999991</v>
      </c>
      <c r="V112" s="7">
        <f>IFERROR(Table1_1[[#This Row],[Profit]]/Table1_1[[#This Row],[Net_Sale]],"")</f>
        <v>0.24529545726956728</v>
      </c>
      <c r="W112" t="str">
        <f>TEXT(Table1_1[[#This Row],[Order_Date]],"mmm")</f>
        <v>Oct</v>
      </c>
    </row>
    <row r="113" spans="1:23" x14ac:dyDescent="0.25">
      <c r="A113" t="s">
        <v>301</v>
      </c>
      <c r="B113" t="s">
        <v>302</v>
      </c>
      <c r="C113" s="6">
        <v>46017</v>
      </c>
      <c r="D113" t="s">
        <v>44</v>
      </c>
      <c r="E113" t="s">
        <v>45</v>
      </c>
      <c r="F113" t="s">
        <v>46</v>
      </c>
      <c r="G113" t="s">
        <v>47</v>
      </c>
      <c r="H113">
        <v>1</v>
      </c>
      <c r="I113">
        <v>1199</v>
      </c>
      <c r="J113">
        <v>0.2</v>
      </c>
      <c r="K113">
        <v>99</v>
      </c>
      <c r="L113" t="s">
        <v>57</v>
      </c>
      <c r="M113" t="s">
        <v>58</v>
      </c>
      <c r="N113" t="s">
        <v>272</v>
      </c>
      <c r="O113" t="s">
        <v>59</v>
      </c>
      <c r="P113" t="s">
        <v>80</v>
      </c>
      <c r="Q113">
        <v>2</v>
      </c>
      <c r="R113">
        <f>IFERROR(Table1_1[[#This Row],[Unit_Price]]*Table1_1[[#This Row],[Quantity]],"")</f>
        <v>1199</v>
      </c>
      <c r="S113">
        <f>IFERROR(Table1_1[[#This Row],[Gross_Sales]]*Table1_1[[#This Row],[Discount_%]],"")</f>
        <v>239.8</v>
      </c>
      <c r="T113">
        <f>IFERROR(Table1_1[[#This Row],[Gross_Sales]]-Table1_1[[#This Row],[Discount_amount]]+Table1_1[[#This Row],[Shipping_Cost]],"")</f>
        <v>1058.2</v>
      </c>
      <c r="U113">
        <f>IFERROR(Table1_1[[#This Row],[Net_Sale]]-(Table1_1[[#This Row],[Gross_Sales]]*70%),"")</f>
        <v>218.90000000000009</v>
      </c>
      <c r="V113" s="7">
        <f>IFERROR(Table1_1[[#This Row],[Profit]]/Table1_1[[#This Row],[Net_Sale]],"")</f>
        <v>0.20686070686070693</v>
      </c>
      <c r="W113" t="str">
        <f>TEXT(Table1_1[[#This Row],[Order_Date]],"mmm")</f>
        <v>Dec</v>
      </c>
    </row>
    <row r="114" spans="1:23" x14ac:dyDescent="0.25">
      <c r="A114" t="s">
        <v>303</v>
      </c>
      <c r="B114" t="s">
        <v>304</v>
      </c>
      <c r="C114" s="6">
        <v>45862</v>
      </c>
      <c r="D114" t="s">
        <v>96</v>
      </c>
      <c r="E114" t="s">
        <v>97</v>
      </c>
      <c r="F114" t="s">
        <v>98</v>
      </c>
      <c r="G114" t="s">
        <v>99</v>
      </c>
      <c r="H114">
        <v>3</v>
      </c>
      <c r="I114">
        <v>1499</v>
      </c>
      <c r="J114">
        <v>0</v>
      </c>
      <c r="K114">
        <v>79</v>
      </c>
      <c r="L114" t="s">
        <v>74</v>
      </c>
      <c r="M114" t="s">
        <v>49</v>
      </c>
      <c r="N114" t="s">
        <v>71</v>
      </c>
      <c r="O114" t="s">
        <v>51</v>
      </c>
      <c r="P114" t="s">
        <v>33</v>
      </c>
      <c r="Q114">
        <v>2</v>
      </c>
      <c r="R114">
        <f>IFERROR(Table1_1[[#This Row],[Unit_Price]]*Table1_1[[#This Row],[Quantity]],"")</f>
        <v>4497</v>
      </c>
      <c r="S114">
        <f>IFERROR(Table1_1[[#This Row],[Gross_Sales]]*Table1_1[[#This Row],[Discount_%]],"")</f>
        <v>0</v>
      </c>
      <c r="T114">
        <f>IFERROR(Table1_1[[#This Row],[Gross_Sales]]-Table1_1[[#This Row],[Discount_amount]]+Table1_1[[#This Row],[Shipping_Cost]],"")</f>
        <v>4576</v>
      </c>
      <c r="U114">
        <f>IFERROR(Table1_1[[#This Row],[Net_Sale]]-(Table1_1[[#This Row],[Gross_Sales]]*70%),"")</f>
        <v>1428.1000000000004</v>
      </c>
      <c r="V114" s="7">
        <f>IFERROR(Table1_1[[#This Row],[Profit]]/Table1_1[[#This Row],[Net_Sale]],"")</f>
        <v>0.3120847902097903</v>
      </c>
      <c r="W114" t="str">
        <f>TEXT(Table1_1[[#This Row],[Order_Date]],"mmm")</f>
        <v>Jul</v>
      </c>
    </row>
    <row r="115" spans="1:23" x14ac:dyDescent="0.25">
      <c r="A115" t="s">
        <v>305</v>
      </c>
      <c r="B115" t="s">
        <v>306</v>
      </c>
      <c r="C115" s="6">
        <v>45701</v>
      </c>
      <c r="D115" t="s">
        <v>25</v>
      </c>
      <c r="E115" t="s">
        <v>26</v>
      </c>
      <c r="F115" t="s">
        <v>27</v>
      </c>
      <c r="G115" t="s">
        <v>28</v>
      </c>
      <c r="H115">
        <v>1</v>
      </c>
      <c r="I115">
        <v>249</v>
      </c>
      <c r="J115">
        <v>0.2</v>
      </c>
      <c r="K115">
        <v>59</v>
      </c>
      <c r="L115" t="s">
        <v>119</v>
      </c>
      <c r="M115" t="s">
        <v>120</v>
      </c>
      <c r="N115" t="s">
        <v>102</v>
      </c>
      <c r="O115" t="s">
        <v>93</v>
      </c>
      <c r="P115" t="s">
        <v>33</v>
      </c>
      <c r="Q115">
        <v>5</v>
      </c>
      <c r="R115">
        <f>IFERROR(Table1_1[[#This Row],[Unit_Price]]*Table1_1[[#This Row],[Quantity]],"")</f>
        <v>249</v>
      </c>
      <c r="S115">
        <f>IFERROR(Table1_1[[#This Row],[Gross_Sales]]*Table1_1[[#This Row],[Discount_%]],"")</f>
        <v>49.800000000000004</v>
      </c>
      <c r="T115">
        <f>IFERROR(Table1_1[[#This Row],[Gross_Sales]]-Table1_1[[#This Row],[Discount_amount]]+Table1_1[[#This Row],[Shipping_Cost]],"")</f>
        <v>258.2</v>
      </c>
      <c r="U115">
        <f>IFERROR(Table1_1[[#This Row],[Net_Sale]]-(Table1_1[[#This Row],[Gross_Sales]]*70%),"")</f>
        <v>83.9</v>
      </c>
      <c r="V115" s="7">
        <f>IFERROR(Table1_1[[#This Row],[Profit]]/Table1_1[[#This Row],[Net_Sale]],"")</f>
        <v>0.32494190549961272</v>
      </c>
      <c r="W115" t="str">
        <f>TEXT(Table1_1[[#This Row],[Order_Date]],"mmm")</f>
        <v>Feb</v>
      </c>
    </row>
    <row r="116" spans="1:23" x14ac:dyDescent="0.25">
      <c r="A116" t="s">
        <v>307</v>
      </c>
      <c r="B116" t="s">
        <v>240</v>
      </c>
      <c r="C116" s="6">
        <v>45720</v>
      </c>
      <c r="D116" t="s">
        <v>62</v>
      </c>
      <c r="E116" t="s">
        <v>63</v>
      </c>
      <c r="F116" t="s">
        <v>46</v>
      </c>
      <c r="G116" t="s">
        <v>64</v>
      </c>
      <c r="H116">
        <v>1</v>
      </c>
      <c r="I116">
        <v>699</v>
      </c>
      <c r="J116">
        <v>0.1</v>
      </c>
      <c r="K116">
        <v>0</v>
      </c>
      <c r="L116" t="s">
        <v>83</v>
      </c>
      <c r="M116" t="s">
        <v>84</v>
      </c>
      <c r="N116" t="s">
        <v>102</v>
      </c>
      <c r="O116" t="s">
        <v>51</v>
      </c>
      <c r="P116" t="s">
        <v>80</v>
      </c>
      <c r="Q116">
        <v>3</v>
      </c>
      <c r="R116">
        <f>IFERROR(Table1_1[[#This Row],[Unit_Price]]*Table1_1[[#This Row],[Quantity]],"")</f>
        <v>699</v>
      </c>
      <c r="S116">
        <f>IFERROR(Table1_1[[#This Row],[Gross_Sales]]*Table1_1[[#This Row],[Discount_%]],"")</f>
        <v>69.900000000000006</v>
      </c>
      <c r="T116">
        <f>IFERROR(Table1_1[[#This Row],[Gross_Sales]]-Table1_1[[#This Row],[Discount_amount]]+Table1_1[[#This Row],[Shipping_Cost]],"")</f>
        <v>629.1</v>
      </c>
      <c r="U116">
        <f>IFERROR(Table1_1[[#This Row],[Net_Sale]]-(Table1_1[[#This Row],[Gross_Sales]]*70%),"")</f>
        <v>139.80000000000007</v>
      </c>
      <c r="V116" s="7">
        <f>IFERROR(Table1_1[[#This Row],[Profit]]/Table1_1[[#This Row],[Net_Sale]],"")</f>
        <v>0.22222222222222232</v>
      </c>
      <c r="W116" t="str">
        <f>TEXT(Table1_1[[#This Row],[Order_Date]],"mmm")</f>
        <v>Mar</v>
      </c>
    </row>
    <row r="117" spans="1:23" x14ac:dyDescent="0.25">
      <c r="A117" t="s">
        <v>308</v>
      </c>
      <c r="B117" t="s">
        <v>309</v>
      </c>
      <c r="C117" s="6">
        <v>45737</v>
      </c>
      <c r="D117" t="s">
        <v>55</v>
      </c>
      <c r="E117" t="s">
        <v>56</v>
      </c>
      <c r="F117" t="s">
        <v>37</v>
      </c>
      <c r="G117" t="s">
        <v>38</v>
      </c>
      <c r="H117">
        <v>2</v>
      </c>
      <c r="I117">
        <v>2499</v>
      </c>
      <c r="J117">
        <v>0</v>
      </c>
      <c r="K117">
        <v>59</v>
      </c>
      <c r="L117" t="s">
        <v>125</v>
      </c>
      <c r="M117" t="s">
        <v>126</v>
      </c>
      <c r="N117" t="s">
        <v>71</v>
      </c>
      <c r="O117" t="s">
        <v>93</v>
      </c>
      <c r="P117" t="s">
        <v>33</v>
      </c>
      <c r="Q117">
        <v>3</v>
      </c>
      <c r="R117">
        <f>IFERROR(Table1_1[[#This Row],[Unit_Price]]*Table1_1[[#This Row],[Quantity]],"")</f>
        <v>4998</v>
      </c>
      <c r="S117">
        <f>IFERROR(Table1_1[[#This Row],[Gross_Sales]]*Table1_1[[#This Row],[Discount_%]],"")</f>
        <v>0</v>
      </c>
      <c r="T117">
        <f>IFERROR(Table1_1[[#This Row],[Gross_Sales]]-Table1_1[[#This Row],[Discount_amount]]+Table1_1[[#This Row],[Shipping_Cost]],"")</f>
        <v>5057</v>
      </c>
      <c r="U117">
        <f>IFERROR(Table1_1[[#This Row],[Net_Sale]]-(Table1_1[[#This Row],[Gross_Sales]]*70%),"")</f>
        <v>1558.4</v>
      </c>
      <c r="V117" s="7">
        <f>IFERROR(Table1_1[[#This Row],[Profit]]/Table1_1[[#This Row],[Net_Sale]],"")</f>
        <v>0.30816689736998221</v>
      </c>
      <c r="W117" t="str">
        <f>TEXT(Table1_1[[#This Row],[Order_Date]],"mmm")</f>
        <v>Mar</v>
      </c>
    </row>
    <row r="118" spans="1:23" x14ac:dyDescent="0.25">
      <c r="A118" t="s">
        <v>310</v>
      </c>
      <c r="B118" t="s">
        <v>311</v>
      </c>
      <c r="C118" s="6">
        <v>45877</v>
      </c>
      <c r="D118" t="s">
        <v>110</v>
      </c>
      <c r="E118" t="s">
        <v>111</v>
      </c>
      <c r="F118" t="s">
        <v>98</v>
      </c>
      <c r="G118" t="s">
        <v>112</v>
      </c>
      <c r="H118">
        <v>1</v>
      </c>
      <c r="I118">
        <v>2999</v>
      </c>
      <c r="J118">
        <v>0.15</v>
      </c>
      <c r="K118">
        <v>99</v>
      </c>
      <c r="L118" t="s">
        <v>125</v>
      </c>
      <c r="M118" t="s">
        <v>126</v>
      </c>
      <c r="N118" t="s">
        <v>102</v>
      </c>
      <c r="O118" t="s">
        <v>51</v>
      </c>
      <c r="P118" t="s">
        <v>85</v>
      </c>
      <c r="Q118">
        <v>1</v>
      </c>
      <c r="R118">
        <f>IFERROR(Table1_1[[#This Row],[Unit_Price]]*Table1_1[[#This Row],[Quantity]],"")</f>
        <v>2999</v>
      </c>
      <c r="S118">
        <f>IFERROR(Table1_1[[#This Row],[Gross_Sales]]*Table1_1[[#This Row],[Discount_%]],"")</f>
        <v>449.84999999999997</v>
      </c>
      <c r="T118">
        <f>IFERROR(Table1_1[[#This Row],[Gross_Sales]]-Table1_1[[#This Row],[Discount_amount]]+Table1_1[[#This Row],[Shipping_Cost]],"")</f>
        <v>2648.15</v>
      </c>
      <c r="U118">
        <f>IFERROR(Table1_1[[#This Row],[Net_Sale]]-(Table1_1[[#This Row],[Gross_Sales]]*70%),"")</f>
        <v>548.85000000000036</v>
      </c>
      <c r="V118" s="7">
        <f>IFERROR(Table1_1[[#This Row],[Profit]]/Table1_1[[#This Row],[Net_Sale]],"")</f>
        <v>0.20725789702244976</v>
      </c>
      <c r="W118" t="str">
        <f>TEXT(Table1_1[[#This Row],[Order_Date]],"mmm")</f>
        <v>Aug</v>
      </c>
    </row>
    <row r="119" spans="1:23" x14ac:dyDescent="0.25">
      <c r="A119" t="s">
        <v>312</v>
      </c>
      <c r="B119" t="s">
        <v>140</v>
      </c>
      <c r="C119" s="6">
        <v>45816</v>
      </c>
      <c r="D119" t="s">
        <v>105</v>
      </c>
      <c r="E119" t="s">
        <v>106</v>
      </c>
      <c r="F119" t="s">
        <v>37</v>
      </c>
      <c r="G119" t="s">
        <v>107</v>
      </c>
      <c r="H119">
        <v>2</v>
      </c>
      <c r="I119">
        <v>1799</v>
      </c>
      <c r="J119">
        <v>0</v>
      </c>
      <c r="K119">
        <v>49</v>
      </c>
      <c r="L119" t="s">
        <v>48</v>
      </c>
      <c r="M119" t="s">
        <v>49</v>
      </c>
      <c r="N119" t="s">
        <v>40</v>
      </c>
      <c r="O119" t="s">
        <v>93</v>
      </c>
      <c r="P119" t="s">
        <v>33</v>
      </c>
      <c r="Q119">
        <v>2</v>
      </c>
      <c r="R119">
        <f>IFERROR(Table1_1[[#This Row],[Unit_Price]]*Table1_1[[#This Row],[Quantity]],"")</f>
        <v>3598</v>
      </c>
      <c r="S119">
        <f>IFERROR(Table1_1[[#This Row],[Gross_Sales]]*Table1_1[[#This Row],[Discount_%]],"")</f>
        <v>0</v>
      </c>
      <c r="T119">
        <f>IFERROR(Table1_1[[#This Row],[Gross_Sales]]-Table1_1[[#This Row],[Discount_amount]]+Table1_1[[#This Row],[Shipping_Cost]],"")</f>
        <v>3647</v>
      </c>
      <c r="U119">
        <f>IFERROR(Table1_1[[#This Row],[Net_Sale]]-(Table1_1[[#This Row],[Gross_Sales]]*70%),"")</f>
        <v>1128.4000000000001</v>
      </c>
      <c r="V119" s="7">
        <f>IFERROR(Table1_1[[#This Row],[Profit]]/Table1_1[[#This Row],[Net_Sale]],"")</f>
        <v>0.30940499040307107</v>
      </c>
      <c r="W119" t="str">
        <f>TEXT(Table1_1[[#This Row],[Order_Date]],"mmm")</f>
        <v>Jun</v>
      </c>
    </row>
    <row r="120" spans="1:23" x14ac:dyDescent="0.25">
      <c r="A120" t="s">
        <v>313</v>
      </c>
      <c r="B120" t="s">
        <v>234</v>
      </c>
      <c r="C120" s="6">
        <v>45929</v>
      </c>
      <c r="D120" t="s">
        <v>77</v>
      </c>
      <c r="E120" t="s">
        <v>78</v>
      </c>
      <c r="F120" t="s">
        <v>79</v>
      </c>
      <c r="G120" t="s">
        <v>28</v>
      </c>
      <c r="H120">
        <v>1</v>
      </c>
      <c r="I120">
        <v>6499</v>
      </c>
      <c r="J120">
        <v>0.1</v>
      </c>
      <c r="K120">
        <v>59</v>
      </c>
      <c r="L120" t="s">
        <v>39</v>
      </c>
      <c r="M120" t="s">
        <v>39</v>
      </c>
      <c r="N120" t="s">
        <v>71</v>
      </c>
      <c r="O120" t="s">
        <v>51</v>
      </c>
      <c r="P120" t="s">
        <v>52</v>
      </c>
      <c r="Q120">
        <v>3</v>
      </c>
      <c r="R120">
        <f>IFERROR(Table1_1[[#This Row],[Unit_Price]]*Table1_1[[#This Row],[Quantity]],"")</f>
        <v>6499</v>
      </c>
      <c r="S120">
        <f>IFERROR(Table1_1[[#This Row],[Gross_Sales]]*Table1_1[[#This Row],[Discount_%]],"")</f>
        <v>649.90000000000009</v>
      </c>
      <c r="T120">
        <f>IFERROR(Table1_1[[#This Row],[Gross_Sales]]-Table1_1[[#This Row],[Discount_amount]]+Table1_1[[#This Row],[Shipping_Cost]],"")</f>
        <v>5908.1</v>
      </c>
      <c r="U120">
        <f>IFERROR(Table1_1[[#This Row],[Net_Sale]]-(Table1_1[[#This Row],[Gross_Sales]]*70%),"")</f>
        <v>1358.8000000000011</v>
      </c>
      <c r="V120" s="7">
        <f>IFERROR(Table1_1[[#This Row],[Profit]]/Table1_1[[#This Row],[Net_Sale]],"")</f>
        <v>0.22998933667338078</v>
      </c>
      <c r="W120" t="str">
        <f>TEXT(Table1_1[[#This Row],[Order_Date]],"mmm")</f>
        <v>Sep</v>
      </c>
    </row>
    <row r="121" spans="1:23" x14ac:dyDescent="0.25">
      <c r="A121" t="s">
        <v>314</v>
      </c>
      <c r="B121" t="s">
        <v>315</v>
      </c>
      <c r="C121" s="6">
        <v>45684</v>
      </c>
      <c r="D121" t="s">
        <v>169</v>
      </c>
      <c r="E121" t="s">
        <v>170</v>
      </c>
      <c r="F121" t="s">
        <v>98</v>
      </c>
      <c r="G121" t="s">
        <v>171</v>
      </c>
      <c r="H121">
        <v>2</v>
      </c>
      <c r="I121">
        <v>799</v>
      </c>
      <c r="J121">
        <v>0</v>
      </c>
      <c r="K121">
        <v>0</v>
      </c>
      <c r="L121" t="s">
        <v>125</v>
      </c>
      <c r="M121" t="s">
        <v>126</v>
      </c>
      <c r="N121" t="s">
        <v>40</v>
      </c>
      <c r="O121" t="s">
        <v>59</v>
      </c>
      <c r="P121" t="s">
        <v>85</v>
      </c>
      <c r="Q121">
        <v>4</v>
      </c>
      <c r="R121">
        <f>IFERROR(Table1_1[[#This Row],[Unit_Price]]*Table1_1[[#This Row],[Quantity]],"")</f>
        <v>1598</v>
      </c>
      <c r="S121">
        <f>IFERROR(Table1_1[[#This Row],[Gross_Sales]]*Table1_1[[#This Row],[Discount_%]],"")</f>
        <v>0</v>
      </c>
      <c r="T121">
        <f>IFERROR(Table1_1[[#This Row],[Gross_Sales]]-Table1_1[[#This Row],[Discount_amount]]+Table1_1[[#This Row],[Shipping_Cost]],"")</f>
        <v>1598</v>
      </c>
      <c r="U121">
        <f>IFERROR(Table1_1[[#This Row],[Net_Sale]]-(Table1_1[[#This Row],[Gross_Sales]]*70%),"")</f>
        <v>479.40000000000009</v>
      </c>
      <c r="V121" s="7">
        <f>IFERROR(Table1_1[[#This Row],[Profit]]/Table1_1[[#This Row],[Net_Sale]],"")</f>
        <v>0.30000000000000004</v>
      </c>
      <c r="W121" t="str">
        <f>TEXT(Table1_1[[#This Row],[Order_Date]],"mmm")</f>
        <v>Jan</v>
      </c>
    </row>
    <row r="122" spans="1:23" x14ac:dyDescent="0.25">
      <c r="A122" t="s">
        <v>316</v>
      </c>
      <c r="B122" t="s">
        <v>317</v>
      </c>
      <c r="C122" s="6">
        <v>45768</v>
      </c>
      <c r="D122" t="s">
        <v>44</v>
      </c>
      <c r="E122" t="s">
        <v>45</v>
      </c>
      <c r="F122" t="s">
        <v>46</v>
      </c>
      <c r="G122" t="s">
        <v>47</v>
      </c>
      <c r="H122">
        <v>1</v>
      </c>
      <c r="I122">
        <v>1199</v>
      </c>
      <c r="J122">
        <v>0.1</v>
      </c>
      <c r="K122">
        <v>0</v>
      </c>
      <c r="L122" t="s">
        <v>119</v>
      </c>
      <c r="M122" t="s">
        <v>120</v>
      </c>
      <c r="N122" t="s">
        <v>102</v>
      </c>
      <c r="O122" t="s">
        <v>59</v>
      </c>
      <c r="P122" t="s">
        <v>33</v>
      </c>
      <c r="Q122">
        <v>5</v>
      </c>
      <c r="R122">
        <f>IFERROR(Table1_1[[#This Row],[Unit_Price]]*Table1_1[[#This Row],[Quantity]],"")</f>
        <v>1199</v>
      </c>
      <c r="S122">
        <f>IFERROR(Table1_1[[#This Row],[Gross_Sales]]*Table1_1[[#This Row],[Discount_%]],"")</f>
        <v>119.9</v>
      </c>
      <c r="T122">
        <f>IFERROR(Table1_1[[#This Row],[Gross_Sales]]-Table1_1[[#This Row],[Discount_amount]]+Table1_1[[#This Row],[Shipping_Cost]],"")</f>
        <v>1079.0999999999999</v>
      </c>
      <c r="U122">
        <f>IFERROR(Table1_1[[#This Row],[Net_Sale]]-(Table1_1[[#This Row],[Gross_Sales]]*70%),"")</f>
        <v>239.79999999999995</v>
      </c>
      <c r="V122" s="7">
        <f>IFERROR(Table1_1[[#This Row],[Profit]]/Table1_1[[#This Row],[Net_Sale]],"")</f>
        <v>0.22222222222222221</v>
      </c>
      <c r="W122" t="str">
        <f>TEXT(Table1_1[[#This Row],[Order_Date]],"mmm")</f>
        <v>Apr</v>
      </c>
    </row>
    <row r="123" spans="1:23" x14ac:dyDescent="0.25">
      <c r="A123" t="s">
        <v>318</v>
      </c>
      <c r="B123" t="s">
        <v>319</v>
      </c>
      <c r="C123" s="6">
        <v>45860</v>
      </c>
      <c r="D123" t="s">
        <v>25</v>
      </c>
      <c r="E123" t="s">
        <v>26</v>
      </c>
      <c r="F123" t="s">
        <v>27</v>
      </c>
      <c r="G123" t="s">
        <v>28</v>
      </c>
      <c r="H123">
        <v>1</v>
      </c>
      <c r="I123">
        <v>249</v>
      </c>
      <c r="J123">
        <v>0</v>
      </c>
      <c r="K123">
        <v>59</v>
      </c>
      <c r="L123" t="s">
        <v>48</v>
      </c>
      <c r="M123" t="s">
        <v>49</v>
      </c>
      <c r="N123" t="s">
        <v>50</v>
      </c>
      <c r="O123" t="s">
        <v>51</v>
      </c>
      <c r="P123" t="s">
        <v>33</v>
      </c>
      <c r="Q123">
        <v>3</v>
      </c>
      <c r="R123">
        <f>IFERROR(Table1_1[[#This Row],[Unit_Price]]*Table1_1[[#This Row],[Quantity]],"")</f>
        <v>249</v>
      </c>
      <c r="S123">
        <f>IFERROR(Table1_1[[#This Row],[Gross_Sales]]*Table1_1[[#This Row],[Discount_%]],"")</f>
        <v>0</v>
      </c>
      <c r="T123">
        <f>IFERROR(Table1_1[[#This Row],[Gross_Sales]]-Table1_1[[#This Row],[Discount_amount]]+Table1_1[[#This Row],[Shipping_Cost]],"")</f>
        <v>308</v>
      </c>
      <c r="U123">
        <f>IFERROR(Table1_1[[#This Row],[Net_Sale]]-(Table1_1[[#This Row],[Gross_Sales]]*70%),"")</f>
        <v>133.70000000000002</v>
      </c>
      <c r="V123" s="7">
        <f>IFERROR(Table1_1[[#This Row],[Profit]]/Table1_1[[#This Row],[Net_Sale]],"")</f>
        <v>0.43409090909090914</v>
      </c>
      <c r="W123" t="str">
        <f>TEXT(Table1_1[[#This Row],[Order_Date]],"mmm")</f>
        <v>Jul</v>
      </c>
    </row>
    <row r="124" spans="1:23" x14ac:dyDescent="0.25">
      <c r="A124" t="s">
        <v>320</v>
      </c>
      <c r="B124" t="s">
        <v>278</v>
      </c>
      <c r="C124" s="6">
        <v>45878</v>
      </c>
      <c r="D124" t="s">
        <v>169</v>
      </c>
      <c r="E124" t="s">
        <v>170</v>
      </c>
      <c r="F124" t="s">
        <v>98</v>
      </c>
      <c r="G124" t="s">
        <v>171</v>
      </c>
      <c r="H124">
        <v>1</v>
      </c>
      <c r="I124">
        <v>799</v>
      </c>
      <c r="J124">
        <v>0.15</v>
      </c>
      <c r="K124">
        <v>49</v>
      </c>
      <c r="L124" t="s">
        <v>29</v>
      </c>
      <c r="M124" t="s">
        <v>30</v>
      </c>
      <c r="N124" t="s">
        <v>102</v>
      </c>
      <c r="O124" t="s">
        <v>51</v>
      </c>
      <c r="P124" t="s">
        <v>52</v>
      </c>
      <c r="Q124">
        <v>1</v>
      </c>
      <c r="R124">
        <f>IFERROR(Table1_1[[#This Row],[Unit_Price]]*Table1_1[[#This Row],[Quantity]],"")</f>
        <v>799</v>
      </c>
      <c r="S124">
        <f>IFERROR(Table1_1[[#This Row],[Gross_Sales]]*Table1_1[[#This Row],[Discount_%]],"")</f>
        <v>119.85</v>
      </c>
      <c r="T124">
        <f>IFERROR(Table1_1[[#This Row],[Gross_Sales]]-Table1_1[[#This Row],[Discount_amount]]+Table1_1[[#This Row],[Shipping_Cost]],"")</f>
        <v>728.15</v>
      </c>
      <c r="U124">
        <f>IFERROR(Table1_1[[#This Row],[Net_Sale]]-(Table1_1[[#This Row],[Gross_Sales]]*70%),"")</f>
        <v>168.85000000000002</v>
      </c>
      <c r="V124" s="7">
        <f>IFERROR(Table1_1[[#This Row],[Profit]]/Table1_1[[#This Row],[Net_Sale]],"")</f>
        <v>0.23188903385291496</v>
      </c>
      <c r="W124" t="str">
        <f>TEXT(Table1_1[[#This Row],[Order_Date]],"mmm")</f>
        <v>Aug</v>
      </c>
    </row>
    <row r="125" spans="1:23" x14ac:dyDescent="0.25">
      <c r="A125" t="s">
        <v>321</v>
      </c>
      <c r="B125" t="s">
        <v>226</v>
      </c>
      <c r="C125" s="6">
        <v>45893</v>
      </c>
      <c r="D125" t="s">
        <v>96</v>
      </c>
      <c r="E125" t="s">
        <v>97</v>
      </c>
      <c r="F125" t="s">
        <v>98</v>
      </c>
      <c r="G125" t="s">
        <v>99</v>
      </c>
      <c r="H125">
        <v>1</v>
      </c>
      <c r="I125">
        <v>1499</v>
      </c>
      <c r="J125">
        <v>0.15</v>
      </c>
      <c r="K125">
        <v>79</v>
      </c>
      <c r="L125" t="s">
        <v>39</v>
      </c>
      <c r="M125" t="s">
        <v>39</v>
      </c>
      <c r="N125" t="s">
        <v>40</v>
      </c>
      <c r="O125" t="s">
        <v>59</v>
      </c>
      <c r="P125" t="s">
        <v>33</v>
      </c>
      <c r="Q125">
        <v>3</v>
      </c>
      <c r="R125">
        <f>IFERROR(Table1_1[[#This Row],[Unit_Price]]*Table1_1[[#This Row],[Quantity]],"")</f>
        <v>1499</v>
      </c>
      <c r="S125">
        <f>IFERROR(Table1_1[[#This Row],[Gross_Sales]]*Table1_1[[#This Row],[Discount_%]],"")</f>
        <v>224.85</v>
      </c>
      <c r="T125">
        <f>IFERROR(Table1_1[[#This Row],[Gross_Sales]]-Table1_1[[#This Row],[Discount_amount]]+Table1_1[[#This Row],[Shipping_Cost]],"")</f>
        <v>1353.15</v>
      </c>
      <c r="U125">
        <f>IFERROR(Table1_1[[#This Row],[Net_Sale]]-(Table1_1[[#This Row],[Gross_Sales]]*70%),"")</f>
        <v>303.85000000000014</v>
      </c>
      <c r="V125" s="7">
        <f>IFERROR(Table1_1[[#This Row],[Profit]]/Table1_1[[#This Row],[Net_Sale]],"")</f>
        <v>0.22455012378524192</v>
      </c>
      <c r="W125" t="str">
        <f>TEXT(Table1_1[[#This Row],[Order_Date]],"mmm")</f>
        <v>Aug</v>
      </c>
    </row>
    <row r="126" spans="1:23" x14ac:dyDescent="0.25">
      <c r="A126" t="s">
        <v>322</v>
      </c>
      <c r="B126" t="s">
        <v>323</v>
      </c>
      <c r="C126" s="6">
        <v>45824</v>
      </c>
      <c r="D126" t="s">
        <v>55</v>
      </c>
      <c r="E126" t="s">
        <v>56</v>
      </c>
      <c r="F126" t="s">
        <v>37</v>
      </c>
      <c r="G126" t="s">
        <v>38</v>
      </c>
      <c r="H126">
        <v>1</v>
      </c>
      <c r="I126">
        <v>2499</v>
      </c>
      <c r="J126">
        <v>0.1</v>
      </c>
      <c r="K126">
        <v>59</v>
      </c>
      <c r="L126" t="s">
        <v>57</v>
      </c>
      <c r="M126" t="s">
        <v>58</v>
      </c>
      <c r="N126" t="s">
        <v>40</v>
      </c>
      <c r="O126" t="s">
        <v>93</v>
      </c>
      <c r="P126" t="s">
        <v>85</v>
      </c>
      <c r="Q126">
        <v>2</v>
      </c>
      <c r="R126">
        <f>IFERROR(Table1_1[[#This Row],[Unit_Price]]*Table1_1[[#This Row],[Quantity]],"")</f>
        <v>2499</v>
      </c>
      <c r="S126">
        <f>IFERROR(Table1_1[[#This Row],[Gross_Sales]]*Table1_1[[#This Row],[Discount_%]],"")</f>
        <v>249.9</v>
      </c>
      <c r="T126">
        <f>IFERROR(Table1_1[[#This Row],[Gross_Sales]]-Table1_1[[#This Row],[Discount_amount]]+Table1_1[[#This Row],[Shipping_Cost]],"")</f>
        <v>2308.1</v>
      </c>
      <c r="U126">
        <f>IFERROR(Table1_1[[#This Row],[Net_Sale]]-(Table1_1[[#This Row],[Gross_Sales]]*70%),"")</f>
        <v>558.79999999999995</v>
      </c>
      <c r="V126" s="7">
        <f>IFERROR(Table1_1[[#This Row],[Profit]]/Table1_1[[#This Row],[Net_Sale]],"")</f>
        <v>0.24210389497855378</v>
      </c>
      <c r="W126" t="str">
        <f>TEXT(Table1_1[[#This Row],[Order_Date]],"mmm")</f>
        <v>Jun</v>
      </c>
    </row>
    <row r="127" spans="1:23" x14ac:dyDescent="0.25">
      <c r="A127" t="s">
        <v>324</v>
      </c>
      <c r="B127" t="s">
        <v>325</v>
      </c>
      <c r="C127" s="6">
        <v>45698</v>
      </c>
      <c r="D127" t="s">
        <v>96</v>
      </c>
      <c r="E127" t="s">
        <v>97</v>
      </c>
      <c r="F127" t="s">
        <v>98</v>
      </c>
      <c r="G127" t="s">
        <v>99</v>
      </c>
      <c r="H127">
        <v>1</v>
      </c>
      <c r="I127">
        <v>1499</v>
      </c>
      <c r="J127">
        <v>0.2</v>
      </c>
      <c r="K127">
        <v>59</v>
      </c>
      <c r="L127" t="s">
        <v>125</v>
      </c>
      <c r="M127" t="s">
        <v>126</v>
      </c>
      <c r="N127" t="s">
        <v>71</v>
      </c>
      <c r="O127" t="s">
        <v>41</v>
      </c>
      <c r="P127" t="s">
        <v>33</v>
      </c>
      <c r="Q127">
        <v>1</v>
      </c>
      <c r="R127">
        <f>IFERROR(Table1_1[[#This Row],[Unit_Price]]*Table1_1[[#This Row],[Quantity]],"")</f>
        <v>1499</v>
      </c>
      <c r="S127">
        <f>IFERROR(Table1_1[[#This Row],[Gross_Sales]]*Table1_1[[#This Row],[Discount_%]],"")</f>
        <v>299.8</v>
      </c>
      <c r="T127">
        <f>IFERROR(Table1_1[[#This Row],[Gross_Sales]]-Table1_1[[#This Row],[Discount_amount]]+Table1_1[[#This Row],[Shipping_Cost]],"")</f>
        <v>1258.2</v>
      </c>
      <c r="U127">
        <f>IFERROR(Table1_1[[#This Row],[Net_Sale]]-(Table1_1[[#This Row],[Gross_Sales]]*70%),"")</f>
        <v>208.90000000000009</v>
      </c>
      <c r="V127" s="7">
        <f>IFERROR(Table1_1[[#This Row],[Profit]]/Table1_1[[#This Row],[Net_Sale]],"")</f>
        <v>0.16603083770465751</v>
      </c>
      <c r="W127" t="str">
        <f>TEXT(Table1_1[[#This Row],[Order_Date]],"mmm")</f>
        <v>Feb</v>
      </c>
    </row>
    <row r="128" spans="1:23" x14ac:dyDescent="0.25">
      <c r="A128" t="s">
        <v>326</v>
      </c>
      <c r="B128" t="s">
        <v>327</v>
      </c>
      <c r="C128" s="6">
        <v>45757</v>
      </c>
      <c r="D128" t="s">
        <v>62</v>
      </c>
      <c r="E128" t="s">
        <v>63</v>
      </c>
      <c r="F128" t="s">
        <v>46</v>
      </c>
      <c r="G128" t="s">
        <v>64</v>
      </c>
      <c r="H128">
        <v>2</v>
      </c>
      <c r="I128">
        <v>699</v>
      </c>
      <c r="J128">
        <v>0.2</v>
      </c>
      <c r="K128">
        <v>49</v>
      </c>
      <c r="L128" t="s">
        <v>29</v>
      </c>
      <c r="M128" t="s">
        <v>30</v>
      </c>
      <c r="N128" t="s">
        <v>31</v>
      </c>
      <c r="O128" t="s">
        <v>41</v>
      </c>
      <c r="P128" t="s">
        <v>80</v>
      </c>
      <c r="Q128">
        <v>3</v>
      </c>
      <c r="R128">
        <f>IFERROR(Table1_1[[#This Row],[Unit_Price]]*Table1_1[[#This Row],[Quantity]],"")</f>
        <v>1398</v>
      </c>
      <c r="S128">
        <f>IFERROR(Table1_1[[#This Row],[Gross_Sales]]*Table1_1[[#This Row],[Discount_%]],"")</f>
        <v>279.60000000000002</v>
      </c>
      <c r="T128">
        <f>IFERROR(Table1_1[[#This Row],[Gross_Sales]]-Table1_1[[#This Row],[Discount_amount]]+Table1_1[[#This Row],[Shipping_Cost]],"")</f>
        <v>1167.4000000000001</v>
      </c>
      <c r="U128">
        <f>IFERROR(Table1_1[[#This Row],[Net_Sale]]-(Table1_1[[#This Row],[Gross_Sales]]*70%),"")</f>
        <v>188.80000000000018</v>
      </c>
      <c r="V128" s="7">
        <f>IFERROR(Table1_1[[#This Row],[Profit]]/Table1_1[[#This Row],[Net_Sale]],"")</f>
        <v>0.16172691451087903</v>
      </c>
      <c r="W128" t="str">
        <f>TEXT(Table1_1[[#This Row],[Order_Date]],"mmm")</f>
        <v>Apr</v>
      </c>
    </row>
    <row r="129" spans="1:23" x14ac:dyDescent="0.25">
      <c r="A129" t="s">
        <v>328</v>
      </c>
      <c r="B129" t="s">
        <v>329</v>
      </c>
      <c r="C129" s="6">
        <v>45993</v>
      </c>
      <c r="D129" t="s">
        <v>67</v>
      </c>
      <c r="E129" t="s">
        <v>68</v>
      </c>
      <c r="F129" t="s">
        <v>37</v>
      </c>
      <c r="G129" t="s">
        <v>38</v>
      </c>
      <c r="H129">
        <v>2</v>
      </c>
      <c r="I129">
        <v>1299</v>
      </c>
      <c r="J129">
        <v>0.1</v>
      </c>
      <c r="K129">
        <v>79</v>
      </c>
      <c r="L129" t="s">
        <v>100</v>
      </c>
      <c r="M129" t="s">
        <v>101</v>
      </c>
      <c r="N129" t="s">
        <v>102</v>
      </c>
      <c r="O129" t="s">
        <v>59</v>
      </c>
      <c r="P129" t="s">
        <v>80</v>
      </c>
      <c r="Q129">
        <v>3</v>
      </c>
      <c r="R129">
        <f>IFERROR(Table1_1[[#This Row],[Unit_Price]]*Table1_1[[#This Row],[Quantity]],"")</f>
        <v>2598</v>
      </c>
      <c r="S129">
        <f>IFERROR(Table1_1[[#This Row],[Gross_Sales]]*Table1_1[[#This Row],[Discount_%]],"")</f>
        <v>259.8</v>
      </c>
      <c r="T129">
        <f>IFERROR(Table1_1[[#This Row],[Gross_Sales]]-Table1_1[[#This Row],[Discount_amount]]+Table1_1[[#This Row],[Shipping_Cost]],"")</f>
        <v>2417.1999999999998</v>
      </c>
      <c r="U129">
        <f>IFERROR(Table1_1[[#This Row],[Net_Sale]]-(Table1_1[[#This Row],[Gross_Sales]]*70%),"")</f>
        <v>598.59999999999991</v>
      </c>
      <c r="V129" s="7">
        <f>IFERROR(Table1_1[[#This Row],[Profit]]/Table1_1[[#This Row],[Net_Sale]],"")</f>
        <v>0.24764189971868275</v>
      </c>
      <c r="W129" t="str">
        <f>TEXT(Table1_1[[#This Row],[Order_Date]],"mmm")</f>
        <v>Dec</v>
      </c>
    </row>
    <row r="130" spans="1:23" x14ac:dyDescent="0.25">
      <c r="A130" t="s">
        <v>330</v>
      </c>
      <c r="B130" t="s">
        <v>175</v>
      </c>
      <c r="C130" s="6">
        <v>45979</v>
      </c>
      <c r="D130" t="s">
        <v>44</v>
      </c>
      <c r="E130" t="s">
        <v>45</v>
      </c>
      <c r="F130" t="s">
        <v>46</v>
      </c>
      <c r="G130" t="s">
        <v>47</v>
      </c>
      <c r="H130">
        <v>1</v>
      </c>
      <c r="I130">
        <v>1199</v>
      </c>
      <c r="J130">
        <v>0</v>
      </c>
      <c r="K130">
        <v>79</v>
      </c>
      <c r="L130" t="s">
        <v>125</v>
      </c>
      <c r="M130" t="s">
        <v>126</v>
      </c>
      <c r="N130" t="s">
        <v>71</v>
      </c>
      <c r="O130" t="s">
        <v>51</v>
      </c>
      <c r="P130" t="s">
        <v>52</v>
      </c>
      <c r="Q130">
        <v>5</v>
      </c>
      <c r="R130">
        <f>IFERROR(Table1_1[[#This Row],[Unit_Price]]*Table1_1[[#This Row],[Quantity]],"")</f>
        <v>1199</v>
      </c>
      <c r="S130">
        <f>IFERROR(Table1_1[[#This Row],[Gross_Sales]]*Table1_1[[#This Row],[Discount_%]],"")</f>
        <v>0</v>
      </c>
      <c r="T130">
        <f>IFERROR(Table1_1[[#This Row],[Gross_Sales]]-Table1_1[[#This Row],[Discount_amount]]+Table1_1[[#This Row],[Shipping_Cost]],"")</f>
        <v>1278</v>
      </c>
      <c r="U130">
        <f>IFERROR(Table1_1[[#This Row],[Net_Sale]]-(Table1_1[[#This Row],[Gross_Sales]]*70%),"")</f>
        <v>438.70000000000005</v>
      </c>
      <c r="V130" s="7">
        <f>IFERROR(Table1_1[[#This Row],[Profit]]/Table1_1[[#This Row],[Net_Sale]],"")</f>
        <v>0.34327073552425669</v>
      </c>
      <c r="W130" t="str">
        <f>TEXT(Table1_1[[#This Row],[Order_Date]],"mmm")</f>
        <v>Nov</v>
      </c>
    </row>
    <row r="131" spans="1:23" x14ac:dyDescent="0.25">
      <c r="A131" t="s">
        <v>331</v>
      </c>
      <c r="B131" t="s">
        <v>332</v>
      </c>
      <c r="C131" s="6">
        <v>45816</v>
      </c>
      <c r="D131" t="s">
        <v>35</v>
      </c>
      <c r="E131" t="s">
        <v>36</v>
      </c>
      <c r="F131" t="s">
        <v>37</v>
      </c>
      <c r="G131" t="s">
        <v>38</v>
      </c>
      <c r="H131">
        <v>2</v>
      </c>
      <c r="I131">
        <v>599</v>
      </c>
      <c r="J131">
        <v>0</v>
      </c>
      <c r="K131">
        <v>59</v>
      </c>
      <c r="L131" t="s">
        <v>74</v>
      </c>
      <c r="M131" t="s">
        <v>49</v>
      </c>
      <c r="N131" t="s">
        <v>31</v>
      </c>
      <c r="O131" t="s">
        <v>93</v>
      </c>
      <c r="P131" t="s">
        <v>33</v>
      </c>
      <c r="Q131">
        <v>5</v>
      </c>
      <c r="R131">
        <f>IFERROR(Table1_1[[#This Row],[Unit_Price]]*Table1_1[[#This Row],[Quantity]],"")</f>
        <v>1198</v>
      </c>
      <c r="S131">
        <f>IFERROR(Table1_1[[#This Row],[Gross_Sales]]*Table1_1[[#This Row],[Discount_%]],"")</f>
        <v>0</v>
      </c>
      <c r="T131">
        <f>IFERROR(Table1_1[[#This Row],[Gross_Sales]]-Table1_1[[#This Row],[Discount_amount]]+Table1_1[[#This Row],[Shipping_Cost]],"")</f>
        <v>1257</v>
      </c>
      <c r="U131">
        <f>IFERROR(Table1_1[[#This Row],[Net_Sale]]-(Table1_1[[#This Row],[Gross_Sales]]*70%),"")</f>
        <v>418.40000000000009</v>
      </c>
      <c r="V131" s="7">
        <f>IFERROR(Table1_1[[#This Row],[Profit]]/Table1_1[[#This Row],[Net_Sale]],"")</f>
        <v>0.33285600636435964</v>
      </c>
      <c r="W131" t="str">
        <f>TEXT(Table1_1[[#This Row],[Order_Date]],"mmm")</f>
        <v>Jun</v>
      </c>
    </row>
    <row r="132" spans="1:23" x14ac:dyDescent="0.25">
      <c r="A132" t="s">
        <v>333</v>
      </c>
      <c r="B132" t="s">
        <v>334</v>
      </c>
      <c r="C132" s="6">
        <v>45955</v>
      </c>
      <c r="D132" t="s">
        <v>44</v>
      </c>
      <c r="E132" t="s">
        <v>45</v>
      </c>
      <c r="F132" t="s">
        <v>46</v>
      </c>
      <c r="G132" t="s">
        <v>47</v>
      </c>
      <c r="H132">
        <v>1</v>
      </c>
      <c r="I132">
        <v>1199</v>
      </c>
      <c r="J132">
        <v>0</v>
      </c>
      <c r="K132">
        <v>79</v>
      </c>
      <c r="L132" t="s">
        <v>83</v>
      </c>
      <c r="M132" t="s">
        <v>84</v>
      </c>
      <c r="N132" t="s">
        <v>50</v>
      </c>
      <c r="O132" t="s">
        <v>51</v>
      </c>
      <c r="P132" t="s">
        <v>80</v>
      </c>
      <c r="Q132">
        <v>5</v>
      </c>
      <c r="R132">
        <f>IFERROR(Table1_1[[#This Row],[Unit_Price]]*Table1_1[[#This Row],[Quantity]],"")</f>
        <v>1199</v>
      </c>
      <c r="S132">
        <f>IFERROR(Table1_1[[#This Row],[Gross_Sales]]*Table1_1[[#This Row],[Discount_%]],"")</f>
        <v>0</v>
      </c>
      <c r="T132">
        <f>IFERROR(Table1_1[[#This Row],[Gross_Sales]]-Table1_1[[#This Row],[Discount_amount]]+Table1_1[[#This Row],[Shipping_Cost]],"")</f>
        <v>1278</v>
      </c>
      <c r="U132">
        <f>IFERROR(Table1_1[[#This Row],[Net_Sale]]-(Table1_1[[#This Row],[Gross_Sales]]*70%),"")</f>
        <v>438.70000000000005</v>
      </c>
      <c r="V132" s="7">
        <f>IFERROR(Table1_1[[#This Row],[Profit]]/Table1_1[[#This Row],[Net_Sale]],"")</f>
        <v>0.34327073552425669</v>
      </c>
      <c r="W132" t="str">
        <f>TEXT(Table1_1[[#This Row],[Order_Date]],"mmm")</f>
        <v>Oct</v>
      </c>
    </row>
    <row r="133" spans="1:23" x14ac:dyDescent="0.25">
      <c r="A133" t="s">
        <v>335</v>
      </c>
      <c r="B133" t="s">
        <v>336</v>
      </c>
      <c r="C133" s="6">
        <v>45689</v>
      </c>
      <c r="D133" t="s">
        <v>90</v>
      </c>
      <c r="E133" t="s">
        <v>91</v>
      </c>
      <c r="F133" t="s">
        <v>37</v>
      </c>
      <c r="G133" t="s">
        <v>92</v>
      </c>
      <c r="H133">
        <v>1</v>
      </c>
      <c r="I133">
        <v>3499</v>
      </c>
      <c r="J133">
        <v>0.2</v>
      </c>
      <c r="K133">
        <v>0</v>
      </c>
      <c r="L133" t="s">
        <v>83</v>
      </c>
      <c r="M133" t="s">
        <v>84</v>
      </c>
      <c r="N133" t="s">
        <v>50</v>
      </c>
      <c r="O133" t="s">
        <v>93</v>
      </c>
      <c r="P133" t="s">
        <v>33</v>
      </c>
      <c r="Q133">
        <v>2</v>
      </c>
      <c r="R133">
        <f>IFERROR(Table1_1[[#This Row],[Unit_Price]]*Table1_1[[#This Row],[Quantity]],"")</f>
        <v>3499</v>
      </c>
      <c r="S133">
        <f>IFERROR(Table1_1[[#This Row],[Gross_Sales]]*Table1_1[[#This Row],[Discount_%]],"")</f>
        <v>699.80000000000007</v>
      </c>
      <c r="T133">
        <f>IFERROR(Table1_1[[#This Row],[Gross_Sales]]-Table1_1[[#This Row],[Discount_amount]]+Table1_1[[#This Row],[Shipping_Cost]],"")</f>
        <v>2799.2</v>
      </c>
      <c r="U133">
        <f>IFERROR(Table1_1[[#This Row],[Net_Sale]]-(Table1_1[[#This Row],[Gross_Sales]]*70%),"")</f>
        <v>349.90000000000009</v>
      </c>
      <c r="V133" s="7">
        <f>IFERROR(Table1_1[[#This Row],[Profit]]/Table1_1[[#This Row],[Net_Sale]],"")</f>
        <v>0.12500000000000003</v>
      </c>
      <c r="W133" t="str">
        <f>TEXT(Table1_1[[#This Row],[Order_Date]],"mmm")</f>
        <v>Feb</v>
      </c>
    </row>
    <row r="134" spans="1:23" x14ac:dyDescent="0.25">
      <c r="A134" t="s">
        <v>337</v>
      </c>
      <c r="B134" t="s">
        <v>338</v>
      </c>
      <c r="C134" s="6">
        <v>45926</v>
      </c>
      <c r="D134" t="s">
        <v>77</v>
      </c>
      <c r="E134" t="s">
        <v>78</v>
      </c>
      <c r="F134" t="s">
        <v>79</v>
      </c>
      <c r="G134" t="s">
        <v>28</v>
      </c>
      <c r="H134">
        <v>5</v>
      </c>
      <c r="I134">
        <v>6499</v>
      </c>
      <c r="J134">
        <v>0.05</v>
      </c>
      <c r="K134">
        <v>59</v>
      </c>
      <c r="L134" t="s">
        <v>119</v>
      </c>
      <c r="M134" t="s">
        <v>120</v>
      </c>
      <c r="N134" t="s">
        <v>40</v>
      </c>
      <c r="O134" t="s">
        <v>59</v>
      </c>
      <c r="P134" t="s">
        <v>33</v>
      </c>
      <c r="Q134">
        <v>3</v>
      </c>
      <c r="R134">
        <f>IFERROR(Table1_1[[#This Row],[Unit_Price]]*Table1_1[[#This Row],[Quantity]],"")</f>
        <v>32495</v>
      </c>
      <c r="S134">
        <f>IFERROR(Table1_1[[#This Row],[Gross_Sales]]*Table1_1[[#This Row],[Discount_%]],"")</f>
        <v>1624.75</v>
      </c>
      <c r="T134">
        <f>IFERROR(Table1_1[[#This Row],[Gross_Sales]]-Table1_1[[#This Row],[Discount_amount]]+Table1_1[[#This Row],[Shipping_Cost]],"")</f>
        <v>30929.25</v>
      </c>
      <c r="U134">
        <f>IFERROR(Table1_1[[#This Row],[Net_Sale]]-(Table1_1[[#This Row],[Gross_Sales]]*70%),"")</f>
        <v>8182.75</v>
      </c>
      <c r="V134" s="7">
        <f>IFERROR(Table1_1[[#This Row],[Profit]]/Table1_1[[#This Row],[Net_Sale]],"")</f>
        <v>0.26456347955414372</v>
      </c>
      <c r="W134" t="str">
        <f>TEXT(Table1_1[[#This Row],[Order_Date]],"mmm")</f>
        <v>Sep</v>
      </c>
    </row>
    <row r="135" spans="1:23" x14ac:dyDescent="0.25">
      <c r="A135" t="s">
        <v>339</v>
      </c>
      <c r="B135" t="s">
        <v>340</v>
      </c>
      <c r="C135" s="6">
        <v>45981</v>
      </c>
      <c r="D135" t="s">
        <v>169</v>
      </c>
      <c r="E135" t="s">
        <v>170</v>
      </c>
      <c r="F135" t="s">
        <v>98</v>
      </c>
      <c r="G135" t="s">
        <v>171</v>
      </c>
      <c r="H135">
        <v>1</v>
      </c>
      <c r="I135">
        <v>799</v>
      </c>
      <c r="J135">
        <v>0.05</v>
      </c>
      <c r="K135">
        <v>0</v>
      </c>
      <c r="L135" t="s">
        <v>125</v>
      </c>
      <c r="M135" t="s">
        <v>126</v>
      </c>
      <c r="N135" t="s">
        <v>40</v>
      </c>
      <c r="O135" t="s">
        <v>51</v>
      </c>
      <c r="P135" t="s">
        <v>33</v>
      </c>
      <c r="Q135">
        <v>3</v>
      </c>
      <c r="R135">
        <f>IFERROR(Table1_1[[#This Row],[Unit_Price]]*Table1_1[[#This Row],[Quantity]],"")</f>
        <v>799</v>
      </c>
      <c r="S135">
        <f>IFERROR(Table1_1[[#This Row],[Gross_Sales]]*Table1_1[[#This Row],[Discount_%]],"")</f>
        <v>39.950000000000003</v>
      </c>
      <c r="T135">
        <f>IFERROR(Table1_1[[#This Row],[Gross_Sales]]-Table1_1[[#This Row],[Discount_amount]]+Table1_1[[#This Row],[Shipping_Cost]],"")</f>
        <v>759.05</v>
      </c>
      <c r="U135">
        <f>IFERROR(Table1_1[[#This Row],[Net_Sale]]-(Table1_1[[#This Row],[Gross_Sales]]*70%),"")</f>
        <v>199.75</v>
      </c>
      <c r="V135" s="7">
        <f>IFERROR(Table1_1[[#This Row],[Profit]]/Table1_1[[#This Row],[Net_Sale]],"")</f>
        <v>0.26315789473684215</v>
      </c>
      <c r="W135" t="str">
        <f>TEXT(Table1_1[[#This Row],[Order_Date]],"mmm")</f>
        <v>Nov</v>
      </c>
    </row>
    <row r="136" spans="1:23" x14ac:dyDescent="0.25">
      <c r="A136" t="s">
        <v>341</v>
      </c>
      <c r="B136" t="s">
        <v>342</v>
      </c>
      <c r="C136" s="6">
        <v>45828</v>
      </c>
      <c r="D136" t="s">
        <v>77</v>
      </c>
      <c r="E136" t="s">
        <v>78</v>
      </c>
      <c r="F136" t="s">
        <v>79</v>
      </c>
      <c r="G136" t="s">
        <v>28</v>
      </c>
      <c r="H136">
        <v>3</v>
      </c>
      <c r="I136">
        <v>6499</v>
      </c>
      <c r="J136">
        <v>0</v>
      </c>
      <c r="K136">
        <v>59</v>
      </c>
      <c r="L136" t="s">
        <v>125</v>
      </c>
      <c r="M136" t="s">
        <v>126</v>
      </c>
      <c r="N136" t="s">
        <v>40</v>
      </c>
      <c r="O136" t="s">
        <v>41</v>
      </c>
      <c r="P136" t="s">
        <v>80</v>
      </c>
      <c r="Q136">
        <v>5</v>
      </c>
      <c r="R136">
        <f>IFERROR(Table1_1[[#This Row],[Unit_Price]]*Table1_1[[#This Row],[Quantity]],"")</f>
        <v>19497</v>
      </c>
      <c r="S136">
        <f>IFERROR(Table1_1[[#This Row],[Gross_Sales]]*Table1_1[[#This Row],[Discount_%]],"")</f>
        <v>0</v>
      </c>
      <c r="T136">
        <f>IFERROR(Table1_1[[#This Row],[Gross_Sales]]-Table1_1[[#This Row],[Discount_amount]]+Table1_1[[#This Row],[Shipping_Cost]],"")</f>
        <v>19556</v>
      </c>
      <c r="U136">
        <f>IFERROR(Table1_1[[#This Row],[Net_Sale]]-(Table1_1[[#This Row],[Gross_Sales]]*70%),"")</f>
        <v>5908.1</v>
      </c>
      <c r="V136" s="7">
        <f>IFERROR(Table1_1[[#This Row],[Profit]]/Table1_1[[#This Row],[Net_Sale]],"")</f>
        <v>0.30211188382082227</v>
      </c>
      <c r="W136" t="str">
        <f>TEXT(Table1_1[[#This Row],[Order_Date]],"mmm")</f>
        <v>Jun</v>
      </c>
    </row>
    <row r="137" spans="1:23" x14ac:dyDescent="0.25">
      <c r="A137" t="s">
        <v>343</v>
      </c>
      <c r="B137" t="s">
        <v>177</v>
      </c>
      <c r="C137" s="6">
        <v>45850</v>
      </c>
      <c r="D137" t="s">
        <v>77</v>
      </c>
      <c r="E137" t="s">
        <v>78</v>
      </c>
      <c r="F137" t="s">
        <v>79</v>
      </c>
      <c r="G137" t="s">
        <v>28</v>
      </c>
      <c r="H137">
        <v>1</v>
      </c>
      <c r="I137">
        <v>6499</v>
      </c>
      <c r="J137">
        <v>0</v>
      </c>
      <c r="K137">
        <v>99</v>
      </c>
      <c r="L137" t="s">
        <v>29</v>
      </c>
      <c r="M137" t="s">
        <v>30</v>
      </c>
      <c r="N137" t="s">
        <v>40</v>
      </c>
      <c r="O137" t="s">
        <v>32</v>
      </c>
      <c r="P137" t="s">
        <v>33</v>
      </c>
      <c r="Q137">
        <v>3</v>
      </c>
      <c r="R137">
        <f>IFERROR(Table1_1[[#This Row],[Unit_Price]]*Table1_1[[#This Row],[Quantity]],"")</f>
        <v>6499</v>
      </c>
      <c r="S137">
        <f>IFERROR(Table1_1[[#This Row],[Gross_Sales]]*Table1_1[[#This Row],[Discount_%]],"")</f>
        <v>0</v>
      </c>
      <c r="T137">
        <f>IFERROR(Table1_1[[#This Row],[Gross_Sales]]-Table1_1[[#This Row],[Discount_amount]]+Table1_1[[#This Row],[Shipping_Cost]],"")</f>
        <v>6598</v>
      </c>
      <c r="U137">
        <f>IFERROR(Table1_1[[#This Row],[Net_Sale]]-(Table1_1[[#This Row],[Gross_Sales]]*70%),"")</f>
        <v>2048.7000000000007</v>
      </c>
      <c r="V137" s="7">
        <f>IFERROR(Table1_1[[#This Row],[Profit]]/Table1_1[[#This Row],[Net_Sale]],"")</f>
        <v>0.31050318278266154</v>
      </c>
      <c r="W137" t="str">
        <f>TEXT(Table1_1[[#This Row],[Order_Date]],"mmm")</f>
        <v>Jul</v>
      </c>
    </row>
    <row r="138" spans="1:23" x14ac:dyDescent="0.25">
      <c r="A138" t="s">
        <v>344</v>
      </c>
      <c r="B138" t="s">
        <v>345</v>
      </c>
      <c r="C138" s="6">
        <v>45767</v>
      </c>
      <c r="D138" t="s">
        <v>35</v>
      </c>
      <c r="E138" t="s">
        <v>36</v>
      </c>
      <c r="F138" t="s">
        <v>37</v>
      </c>
      <c r="G138" t="s">
        <v>38</v>
      </c>
      <c r="H138">
        <v>1</v>
      </c>
      <c r="I138">
        <v>599</v>
      </c>
      <c r="J138">
        <v>0</v>
      </c>
      <c r="K138">
        <v>49</v>
      </c>
      <c r="L138" t="s">
        <v>74</v>
      </c>
      <c r="M138" t="s">
        <v>49</v>
      </c>
      <c r="N138" t="s">
        <v>50</v>
      </c>
      <c r="O138" t="s">
        <v>93</v>
      </c>
      <c r="P138" t="s">
        <v>52</v>
      </c>
      <c r="Q138">
        <v>3</v>
      </c>
      <c r="R138">
        <f>IFERROR(Table1_1[[#This Row],[Unit_Price]]*Table1_1[[#This Row],[Quantity]],"")</f>
        <v>599</v>
      </c>
      <c r="S138">
        <f>IFERROR(Table1_1[[#This Row],[Gross_Sales]]*Table1_1[[#This Row],[Discount_%]],"")</f>
        <v>0</v>
      </c>
      <c r="T138">
        <f>IFERROR(Table1_1[[#This Row],[Gross_Sales]]-Table1_1[[#This Row],[Discount_amount]]+Table1_1[[#This Row],[Shipping_Cost]],"")</f>
        <v>648</v>
      </c>
      <c r="U138">
        <f>IFERROR(Table1_1[[#This Row],[Net_Sale]]-(Table1_1[[#This Row],[Gross_Sales]]*70%),"")</f>
        <v>228.70000000000005</v>
      </c>
      <c r="V138" s="7">
        <f>IFERROR(Table1_1[[#This Row],[Profit]]/Table1_1[[#This Row],[Net_Sale]],"")</f>
        <v>0.35293209876543219</v>
      </c>
      <c r="W138" t="str">
        <f>TEXT(Table1_1[[#This Row],[Order_Date]],"mmm")</f>
        <v>Apr</v>
      </c>
    </row>
    <row r="139" spans="1:23" x14ac:dyDescent="0.25">
      <c r="A139" t="s">
        <v>346</v>
      </c>
      <c r="B139" t="s">
        <v>347</v>
      </c>
      <c r="C139" s="6">
        <v>45927</v>
      </c>
      <c r="D139" t="s">
        <v>55</v>
      </c>
      <c r="E139" t="s">
        <v>56</v>
      </c>
      <c r="F139" t="s">
        <v>37</v>
      </c>
      <c r="G139" t="s">
        <v>38</v>
      </c>
      <c r="H139">
        <v>3</v>
      </c>
      <c r="I139">
        <v>2499</v>
      </c>
      <c r="J139">
        <v>0.15</v>
      </c>
      <c r="K139">
        <v>49</v>
      </c>
      <c r="L139" t="s">
        <v>83</v>
      </c>
      <c r="M139" t="s">
        <v>84</v>
      </c>
      <c r="N139" t="s">
        <v>50</v>
      </c>
      <c r="O139" t="s">
        <v>41</v>
      </c>
      <c r="P139" t="s">
        <v>33</v>
      </c>
      <c r="Q139">
        <v>2</v>
      </c>
      <c r="R139">
        <f>IFERROR(Table1_1[[#This Row],[Unit_Price]]*Table1_1[[#This Row],[Quantity]],"")</f>
        <v>7497</v>
      </c>
      <c r="S139">
        <f>IFERROR(Table1_1[[#This Row],[Gross_Sales]]*Table1_1[[#This Row],[Discount_%]],"")</f>
        <v>1124.55</v>
      </c>
      <c r="T139">
        <f>IFERROR(Table1_1[[#This Row],[Gross_Sales]]-Table1_1[[#This Row],[Discount_amount]]+Table1_1[[#This Row],[Shipping_Cost]],"")</f>
        <v>6421.45</v>
      </c>
      <c r="U139">
        <f>IFERROR(Table1_1[[#This Row],[Net_Sale]]-(Table1_1[[#This Row],[Gross_Sales]]*70%),"")</f>
        <v>1173.5500000000002</v>
      </c>
      <c r="V139" s="7">
        <f>IFERROR(Table1_1[[#This Row],[Profit]]/Table1_1[[#This Row],[Net_Sale]],"")</f>
        <v>0.18275467378863033</v>
      </c>
      <c r="W139" t="str">
        <f>TEXT(Table1_1[[#This Row],[Order_Date]],"mmm")</f>
        <v>Sep</v>
      </c>
    </row>
    <row r="140" spans="1:23" x14ac:dyDescent="0.25">
      <c r="A140" t="s">
        <v>348</v>
      </c>
      <c r="B140" t="s">
        <v>349</v>
      </c>
      <c r="C140" s="6">
        <v>45742</v>
      </c>
      <c r="D140" t="s">
        <v>77</v>
      </c>
      <c r="E140" t="s">
        <v>78</v>
      </c>
      <c r="F140" t="s">
        <v>79</v>
      </c>
      <c r="G140" t="s">
        <v>28</v>
      </c>
      <c r="H140">
        <v>3</v>
      </c>
      <c r="I140">
        <v>6499</v>
      </c>
      <c r="J140">
        <v>0.1</v>
      </c>
      <c r="K140">
        <v>59</v>
      </c>
      <c r="L140" t="s">
        <v>125</v>
      </c>
      <c r="M140" t="s">
        <v>126</v>
      </c>
      <c r="N140" t="s">
        <v>40</v>
      </c>
      <c r="O140" t="s">
        <v>32</v>
      </c>
      <c r="P140" t="s">
        <v>33</v>
      </c>
      <c r="Q140">
        <v>3</v>
      </c>
      <c r="R140">
        <f>IFERROR(Table1_1[[#This Row],[Unit_Price]]*Table1_1[[#This Row],[Quantity]],"")</f>
        <v>19497</v>
      </c>
      <c r="S140">
        <f>IFERROR(Table1_1[[#This Row],[Gross_Sales]]*Table1_1[[#This Row],[Discount_%]],"")</f>
        <v>1949.7</v>
      </c>
      <c r="T140">
        <f>IFERROR(Table1_1[[#This Row],[Gross_Sales]]-Table1_1[[#This Row],[Discount_amount]]+Table1_1[[#This Row],[Shipping_Cost]],"")</f>
        <v>17606.3</v>
      </c>
      <c r="U140">
        <f>IFERROR(Table1_1[[#This Row],[Net_Sale]]-(Table1_1[[#This Row],[Gross_Sales]]*70%),"")</f>
        <v>3958.3999999999996</v>
      </c>
      <c r="V140" s="7">
        <f>IFERROR(Table1_1[[#This Row],[Profit]]/Table1_1[[#This Row],[Net_Sale]],"")</f>
        <v>0.22482861248530356</v>
      </c>
      <c r="W140" t="str">
        <f>TEXT(Table1_1[[#This Row],[Order_Date]],"mmm")</f>
        <v>Mar</v>
      </c>
    </row>
    <row r="141" spans="1:23" x14ac:dyDescent="0.25">
      <c r="A141" t="s">
        <v>350</v>
      </c>
      <c r="B141" t="s">
        <v>334</v>
      </c>
      <c r="C141" s="6">
        <v>45780</v>
      </c>
      <c r="D141" t="s">
        <v>77</v>
      </c>
      <c r="E141" t="s">
        <v>78</v>
      </c>
      <c r="F141" t="s">
        <v>79</v>
      </c>
      <c r="G141" t="s">
        <v>28</v>
      </c>
      <c r="H141">
        <v>1</v>
      </c>
      <c r="I141">
        <v>6499</v>
      </c>
      <c r="J141">
        <v>0</v>
      </c>
      <c r="K141">
        <v>59</v>
      </c>
      <c r="L141" t="s">
        <v>119</v>
      </c>
      <c r="M141" t="s">
        <v>120</v>
      </c>
      <c r="N141" t="s">
        <v>40</v>
      </c>
      <c r="O141" t="s">
        <v>59</v>
      </c>
      <c r="P141" t="s">
        <v>52</v>
      </c>
      <c r="Q141">
        <v>3</v>
      </c>
      <c r="R141">
        <f>IFERROR(Table1_1[[#This Row],[Unit_Price]]*Table1_1[[#This Row],[Quantity]],"")</f>
        <v>6499</v>
      </c>
      <c r="S141">
        <f>IFERROR(Table1_1[[#This Row],[Gross_Sales]]*Table1_1[[#This Row],[Discount_%]],"")</f>
        <v>0</v>
      </c>
      <c r="T141">
        <f>IFERROR(Table1_1[[#This Row],[Gross_Sales]]-Table1_1[[#This Row],[Discount_amount]]+Table1_1[[#This Row],[Shipping_Cost]],"")</f>
        <v>6558</v>
      </c>
      <c r="U141">
        <f>IFERROR(Table1_1[[#This Row],[Net_Sale]]-(Table1_1[[#This Row],[Gross_Sales]]*70%),"")</f>
        <v>2008.7000000000007</v>
      </c>
      <c r="V141" s="7">
        <f>IFERROR(Table1_1[[#This Row],[Profit]]/Table1_1[[#This Row],[Net_Sale]],"")</f>
        <v>0.30629765172308643</v>
      </c>
      <c r="W141" t="str">
        <f>TEXT(Table1_1[[#This Row],[Order_Date]],"mmm")</f>
        <v>May</v>
      </c>
    </row>
    <row r="142" spans="1:23" x14ac:dyDescent="0.25">
      <c r="A142" t="s">
        <v>351</v>
      </c>
      <c r="B142" t="s">
        <v>352</v>
      </c>
      <c r="C142" s="6">
        <v>45872</v>
      </c>
      <c r="D142" t="s">
        <v>110</v>
      </c>
      <c r="E142" t="s">
        <v>111</v>
      </c>
      <c r="F142" t="s">
        <v>98</v>
      </c>
      <c r="G142" t="s">
        <v>112</v>
      </c>
      <c r="H142">
        <v>2</v>
      </c>
      <c r="I142">
        <v>2999</v>
      </c>
      <c r="J142">
        <v>0.15</v>
      </c>
      <c r="K142">
        <v>49</v>
      </c>
      <c r="L142" t="s">
        <v>57</v>
      </c>
      <c r="M142" t="s">
        <v>58</v>
      </c>
      <c r="N142" t="s">
        <v>31</v>
      </c>
      <c r="O142" t="s">
        <v>59</v>
      </c>
      <c r="P142" t="s">
        <v>33</v>
      </c>
      <c r="Q142">
        <v>3</v>
      </c>
      <c r="R142">
        <f>IFERROR(Table1_1[[#This Row],[Unit_Price]]*Table1_1[[#This Row],[Quantity]],"")</f>
        <v>5998</v>
      </c>
      <c r="S142">
        <f>IFERROR(Table1_1[[#This Row],[Gross_Sales]]*Table1_1[[#This Row],[Discount_%]],"")</f>
        <v>899.69999999999993</v>
      </c>
      <c r="T142">
        <f>IFERROR(Table1_1[[#This Row],[Gross_Sales]]-Table1_1[[#This Row],[Discount_amount]]+Table1_1[[#This Row],[Shipping_Cost]],"")</f>
        <v>5147.3</v>
      </c>
      <c r="U142">
        <f>IFERROR(Table1_1[[#This Row],[Net_Sale]]-(Table1_1[[#This Row],[Gross_Sales]]*70%),"")</f>
        <v>948.70000000000073</v>
      </c>
      <c r="V142" s="7">
        <f>IFERROR(Table1_1[[#This Row],[Profit]]/Table1_1[[#This Row],[Net_Sale]],"")</f>
        <v>0.1843102208925069</v>
      </c>
      <c r="W142" t="str">
        <f>TEXT(Table1_1[[#This Row],[Order_Date]],"mmm")</f>
        <v>Aug</v>
      </c>
    </row>
    <row r="143" spans="1:23" x14ac:dyDescent="0.25">
      <c r="A143" t="s">
        <v>353</v>
      </c>
      <c r="B143" t="s">
        <v>354</v>
      </c>
      <c r="C143" s="6">
        <v>46022</v>
      </c>
      <c r="D143" t="s">
        <v>169</v>
      </c>
      <c r="E143" t="s">
        <v>170</v>
      </c>
      <c r="F143" t="s">
        <v>98</v>
      </c>
      <c r="G143" t="s">
        <v>171</v>
      </c>
      <c r="H143">
        <v>4</v>
      </c>
      <c r="I143">
        <v>799</v>
      </c>
      <c r="J143">
        <v>0.05</v>
      </c>
      <c r="K143">
        <v>0</v>
      </c>
      <c r="L143" t="s">
        <v>83</v>
      </c>
      <c r="M143" t="s">
        <v>84</v>
      </c>
      <c r="N143" t="s">
        <v>71</v>
      </c>
      <c r="O143" t="s">
        <v>59</v>
      </c>
      <c r="P143" t="s">
        <v>33</v>
      </c>
      <c r="Q143">
        <v>5</v>
      </c>
      <c r="R143">
        <f>IFERROR(Table1_1[[#This Row],[Unit_Price]]*Table1_1[[#This Row],[Quantity]],"")</f>
        <v>3196</v>
      </c>
      <c r="S143">
        <f>IFERROR(Table1_1[[#This Row],[Gross_Sales]]*Table1_1[[#This Row],[Discount_%]],"")</f>
        <v>159.80000000000001</v>
      </c>
      <c r="T143">
        <f>IFERROR(Table1_1[[#This Row],[Gross_Sales]]-Table1_1[[#This Row],[Discount_amount]]+Table1_1[[#This Row],[Shipping_Cost]],"")</f>
        <v>3036.2</v>
      </c>
      <c r="U143">
        <f>IFERROR(Table1_1[[#This Row],[Net_Sale]]-(Table1_1[[#This Row],[Gross_Sales]]*70%),"")</f>
        <v>799</v>
      </c>
      <c r="V143" s="7">
        <f>IFERROR(Table1_1[[#This Row],[Profit]]/Table1_1[[#This Row],[Net_Sale]],"")</f>
        <v>0.26315789473684215</v>
      </c>
      <c r="W143" t="str">
        <f>TEXT(Table1_1[[#This Row],[Order_Date]],"mmm")</f>
        <v>Dec</v>
      </c>
    </row>
    <row r="144" spans="1:23" x14ac:dyDescent="0.25">
      <c r="A144" t="s">
        <v>355</v>
      </c>
      <c r="B144" t="s">
        <v>356</v>
      </c>
      <c r="C144" s="6">
        <v>45771</v>
      </c>
      <c r="D144" t="s">
        <v>105</v>
      </c>
      <c r="E144" t="s">
        <v>106</v>
      </c>
      <c r="F144" t="s">
        <v>37</v>
      </c>
      <c r="G144" t="s">
        <v>107</v>
      </c>
      <c r="H144">
        <v>1</v>
      </c>
      <c r="I144">
        <v>1799</v>
      </c>
      <c r="J144">
        <v>0</v>
      </c>
      <c r="K144">
        <v>79</v>
      </c>
      <c r="L144" t="s">
        <v>57</v>
      </c>
      <c r="M144" t="s">
        <v>58</v>
      </c>
      <c r="N144" t="s">
        <v>40</v>
      </c>
      <c r="O144" t="s">
        <v>32</v>
      </c>
      <c r="P144" t="s">
        <v>33</v>
      </c>
      <c r="Q144">
        <v>3</v>
      </c>
      <c r="R144">
        <f>IFERROR(Table1_1[[#This Row],[Unit_Price]]*Table1_1[[#This Row],[Quantity]],"")</f>
        <v>1799</v>
      </c>
      <c r="S144">
        <f>IFERROR(Table1_1[[#This Row],[Gross_Sales]]*Table1_1[[#This Row],[Discount_%]],"")</f>
        <v>0</v>
      </c>
      <c r="T144">
        <f>IFERROR(Table1_1[[#This Row],[Gross_Sales]]-Table1_1[[#This Row],[Discount_amount]]+Table1_1[[#This Row],[Shipping_Cost]],"")</f>
        <v>1878</v>
      </c>
      <c r="U144">
        <f>IFERROR(Table1_1[[#This Row],[Net_Sale]]-(Table1_1[[#This Row],[Gross_Sales]]*70%),"")</f>
        <v>618.70000000000005</v>
      </c>
      <c r="V144" s="7">
        <f>IFERROR(Table1_1[[#This Row],[Profit]]/Table1_1[[#This Row],[Net_Sale]],"")</f>
        <v>0.32944621938232166</v>
      </c>
      <c r="W144" t="str">
        <f>TEXT(Table1_1[[#This Row],[Order_Date]],"mmm")</f>
        <v>Apr</v>
      </c>
    </row>
    <row r="145" spans="1:23" x14ac:dyDescent="0.25">
      <c r="A145" t="s">
        <v>357</v>
      </c>
      <c r="B145" t="s">
        <v>358</v>
      </c>
      <c r="C145" s="6">
        <v>45849</v>
      </c>
      <c r="D145" t="s">
        <v>67</v>
      </c>
      <c r="E145" t="s">
        <v>68</v>
      </c>
      <c r="F145" t="s">
        <v>37</v>
      </c>
      <c r="G145" t="s">
        <v>38</v>
      </c>
      <c r="H145">
        <v>5</v>
      </c>
      <c r="I145">
        <v>1299</v>
      </c>
      <c r="J145">
        <v>0</v>
      </c>
      <c r="K145">
        <v>59</v>
      </c>
      <c r="L145" t="s">
        <v>57</v>
      </c>
      <c r="M145" t="s">
        <v>58</v>
      </c>
      <c r="N145" t="s">
        <v>50</v>
      </c>
      <c r="O145" t="s">
        <v>93</v>
      </c>
      <c r="P145" t="s">
        <v>33</v>
      </c>
      <c r="Q145">
        <v>3</v>
      </c>
      <c r="R145">
        <f>IFERROR(Table1_1[[#This Row],[Unit_Price]]*Table1_1[[#This Row],[Quantity]],"")</f>
        <v>6495</v>
      </c>
      <c r="S145">
        <f>IFERROR(Table1_1[[#This Row],[Gross_Sales]]*Table1_1[[#This Row],[Discount_%]],"")</f>
        <v>0</v>
      </c>
      <c r="T145">
        <f>IFERROR(Table1_1[[#This Row],[Gross_Sales]]-Table1_1[[#This Row],[Discount_amount]]+Table1_1[[#This Row],[Shipping_Cost]],"")</f>
        <v>6554</v>
      </c>
      <c r="U145">
        <f>IFERROR(Table1_1[[#This Row],[Net_Sale]]-(Table1_1[[#This Row],[Gross_Sales]]*70%),"")</f>
        <v>2007.5</v>
      </c>
      <c r="V145" s="7">
        <f>IFERROR(Table1_1[[#This Row],[Profit]]/Table1_1[[#This Row],[Net_Sale]],"")</f>
        <v>0.30630149527006406</v>
      </c>
      <c r="W145" t="str">
        <f>TEXT(Table1_1[[#This Row],[Order_Date]],"mmm")</f>
        <v>Jul</v>
      </c>
    </row>
    <row r="146" spans="1:23" x14ac:dyDescent="0.25">
      <c r="A146" t="s">
        <v>359</v>
      </c>
      <c r="B146" t="s">
        <v>360</v>
      </c>
      <c r="C146" s="6">
        <v>45898</v>
      </c>
      <c r="D146" t="s">
        <v>90</v>
      </c>
      <c r="E146" t="s">
        <v>91</v>
      </c>
      <c r="F146" t="s">
        <v>37</v>
      </c>
      <c r="G146" t="s">
        <v>92</v>
      </c>
      <c r="H146">
        <v>3</v>
      </c>
      <c r="I146">
        <v>3499</v>
      </c>
      <c r="J146">
        <v>0</v>
      </c>
      <c r="K146">
        <v>0</v>
      </c>
      <c r="L146" t="s">
        <v>100</v>
      </c>
      <c r="M146" t="s">
        <v>101</v>
      </c>
      <c r="N146" t="s">
        <v>50</v>
      </c>
      <c r="O146" t="s">
        <v>41</v>
      </c>
      <c r="P146" t="s">
        <v>33</v>
      </c>
      <c r="Q146">
        <v>5</v>
      </c>
      <c r="R146">
        <f>IFERROR(Table1_1[[#This Row],[Unit_Price]]*Table1_1[[#This Row],[Quantity]],"")</f>
        <v>10497</v>
      </c>
      <c r="S146">
        <f>IFERROR(Table1_1[[#This Row],[Gross_Sales]]*Table1_1[[#This Row],[Discount_%]],"")</f>
        <v>0</v>
      </c>
      <c r="T146">
        <f>IFERROR(Table1_1[[#This Row],[Gross_Sales]]-Table1_1[[#This Row],[Discount_amount]]+Table1_1[[#This Row],[Shipping_Cost]],"")</f>
        <v>10497</v>
      </c>
      <c r="U146">
        <f>IFERROR(Table1_1[[#This Row],[Net_Sale]]-(Table1_1[[#This Row],[Gross_Sales]]*70%),"")</f>
        <v>3149.1000000000004</v>
      </c>
      <c r="V146" s="7">
        <f>IFERROR(Table1_1[[#This Row],[Profit]]/Table1_1[[#This Row],[Net_Sale]],"")</f>
        <v>0.30000000000000004</v>
      </c>
      <c r="W146" t="str">
        <f>TEXT(Table1_1[[#This Row],[Order_Date]],"mmm")</f>
        <v>Aug</v>
      </c>
    </row>
    <row r="147" spans="1:23" x14ac:dyDescent="0.25">
      <c r="A147" t="s">
        <v>361</v>
      </c>
      <c r="B147" t="s">
        <v>259</v>
      </c>
      <c r="C147" s="6">
        <v>45714</v>
      </c>
      <c r="D147" t="s">
        <v>77</v>
      </c>
      <c r="E147" t="s">
        <v>78</v>
      </c>
      <c r="F147" t="s">
        <v>79</v>
      </c>
      <c r="G147" t="s">
        <v>28</v>
      </c>
      <c r="H147">
        <v>2</v>
      </c>
      <c r="I147">
        <v>6499</v>
      </c>
      <c r="J147">
        <v>0</v>
      </c>
      <c r="K147">
        <v>0</v>
      </c>
      <c r="L147" t="s">
        <v>125</v>
      </c>
      <c r="M147" t="s">
        <v>126</v>
      </c>
      <c r="N147" t="s">
        <v>40</v>
      </c>
      <c r="O147" t="s">
        <v>32</v>
      </c>
      <c r="P147" t="s">
        <v>33</v>
      </c>
      <c r="Q147">
        <v>4</v>
      </c>
      <c r="R147">
        <f>IFERROR(Table1_1[[#This Row],[Unit_Price]]*Table1_1[[#This Row],[Quantity]],"")</f>
        <v>12998</v>
      </c>
      <c r="S147">
        <f>IFERROR(Table1_1[[#This Row],[Gross_Sales]]*Table1_1[[#This Row],[Discount_%]],"")</f>
        <v>0</v>
      </c>
      <c r="T147">
        <f>IFERROR(Table1_1[[#This Row],[Gross_Sales]]-Table1_1[[#This Row],[Discount_amount]]+Table1_1[[#This Row],[Shipping_Cost]],"")</f>
        <v>12998</v>
      </c>
      <c r="U147">
        <f>IFERROR(Table1_1[[#This Row],[Net_Sale]]-(Table1_1[[#This Row],[Gross_Sales]]*70%),"")</f>
        <v>3899.4000000000015</v>
      </c>
      <c r="V147" s="7">
        <f>IFERROR(Table1_1[[#This Row],[Profit]]/Table1_1[[#This Row],[Net_Sale]],"")</f>
        <v>0.3000000000000001</v>
      </c>
      <c r="W147" t="str">
        <f>TEXT(Table1_1[[#This Row],[Order_Date]],"mmm")</f>
        <v>Feb</v>
      </c>
    </row>
    <row r="148" spans="1:23" x14ac:dyDescent="0.25">
      <c r="A148" t="s">
        <v>362</v>
      </c>
      <c r="B148" t="s">
        <v>179</v>
      </c>
      <c r="C148" s="6">
        <v>45913</v>
      </c>
      <c r="D148" t="s">
        <v>55</v>
      </c>
      <c r="E148" t="s">
        <v>56</v>
      </c>
      <c r="F148" t="s">
        <v>37</v>
      </c>
      <c r="G148" t="s">
        <v>38</v>
      </c>
      <c r="H148">
        <v>3</v>
      </c>
      <c r="I148">
        <v>2499</v>
      </c>
      <c r="J148">
        <v>0.2</v>
      </c>
      <c r="K148">
        <v>99</v>
      </c>
      <c r="L148" t="s">
        <v>29</v>
      </c>
      <c r="M148" t="s">
        <v>30</v>
      </c>
      <c r="N148" t="s">
        <v>50</v>
      </c>
      <c r="O148" t="s">
        <v>41</v>
      </c>
      <c r="P148" t="s">
        <v>33</v>
      </c>
      <c r="Q148">
        <v>3</v>
      </c>
      <c r="R148">
        <f>IFERROR(Table1_1[[#This Row],[Unit_Price]]*Table1_1[[#This Row],[Quantity]],"")</f>
        <v>7497</v>
      </c>
      <c r="S148">
        <f>IFERROR(Table1_1[[#This Row],[Gross_Sales]]*Table1_1[[#This Row],[Discount_%]],"")</f>
        <v>1499.4</v>
      </c>
      <c r="T148">
        <f>IFERROR(Table1_1[[#This Row],[Gross_Sales]]-Table1_1[[#This Row],[Discount_amount]]+Table1_1[[#This Row],[Shipping_Cost]],"")</f>
        <v>6096.6</v>
      </c>
      <c r="U148">
        <f>IFERROR(Table1_1[[#This Row],[Net_Sale]]-(Table1_1[[#This Row],[Gross_Sales]]*70%),"")</f>
        <v>848.70000000000073</v>
      </c>
      <c r="V148" s="7">
        <f>IFERROR(Table1_1[[#This Row],[Profit]]/Table1_1[[#This Row],[Net_Sale]],"")</f>
        <v>0.13920873929731337</v>
      </c>
      <c r="W148" t="str">
        <f>TEXT(Table1_1[[#This Row],[Order_Date]],"mmm")</f>
        <v>Sep</v>
      </c>
    </row>
    <row r="149" spans="1:23" x14ac:dyDescent="0.25">
      <c r="A149" t="s">
        <v>363</v>
      </c>
      <c r="B149" t="s">
        <v>364</v>
      </c>
      <c r="C149" s="6">
        <v>45781</v>
      </c>
      <c r="D149" t="s">
        <v>96</v>
      </c>
      <c r="E149" t="s">
        <v>97</v>
      </c>
      <c r="F149" t="s">
        <v>98</v>
      </c>
      <c r="G149" t="s">
        <v>99</v>
      </c>
      <c r="H149">
        <v>2</v>
      </c>
      <c r="I149">
        <v>1499</v>
      </c>
      <c r="J149">
        <v>0.2</v>
      </c>
      <c r="K149">
        <v>0</v>
      </c>
      <c r="L149" t="s">
        <v>39</v>
      </c>
      <c r="M149" t="s">
        <v>39</v>
      </c>
      <c r="N149" t="s">
        <v>71</v>
      </c>
      <c r="O149" t="s">
        <v>93</v>
      </c>
      <c r="P149" t="s">
        <v>33</v>
      </c>
      <c r="Q149">
        <v>5</v>
      </c>
      <c r="R149">
        <f>IFERROR(Table1_1[[#This Row],[Unit_Price]]*Table1_1[[#This Row],[Quantity]],"")</f>
        <v>2998</v>
      </c>
      <c r="S149">
        <f>IFERROR(Table1_1[[#This Row],[Gross_Sales]]*Table1_1[[#This Row],[Discount_%]],"")</f>
        <v>599.6</v>
      </c>
      <c r="T149">
        <f>IFERROR(Table1_1[[#This Row],[Gross_Sales]]-Table1_1[[#This Row],[Discount_amount]]+Table1_1[[#This Row],[Shipping_Cost]],"")</f>
        <v>2398.4</v>
      </c>
      <c r="U149">
        <f>IFERROR(Table1_1[[#This Row],[Net_Sale]]-(Table1_1[[#This Row],[Gross_Sales]]*70%),"")</f>
        <v>299.80000000000018</v>
      </c>
      <c r="V149" s="7">
        <f>IFERROR(Table1_1[[#This Row],[Profit]]/Table1_1[[#This Row],[Net_Sale]],"")</f>
        <v>0.12500000000000008</v>
      </c>
      <c r="W149" t="str">
        <f>TEXT(Table1_1[[#This Row],[Order_Date]],"mmm")</f>
        <v>May</v>
      </c>
    </row>
    <row r="150" spans="1:23" x14ac:dyDescent="0.25">
      <c r="A150" t="s">
        <v>365</v>
      </c>
      <c r="B150" t="s">
        <v>366</v>
      </c>
      <c r="C150" s="6">
        <v>45917</v>
      </c>
      <c r="D150" t="s">
        <v>62</v>
      </c>
      <c r="E150" t="s">
        <v>63</v>
      </c>
      <c r="F150" t="s">
        <v>46</v>
      </c>
      <c r="G150" t="s">
        <v>64</v>
      </c>
      <c r="H150">
        <v>3</v>
      </c>
      <c r="I150">
        <v>699</v>
      </c>
      <c r="J150">
        <v>0.1</v>
      </c>
      <c r="K150">
        <v>0</v>
      </c>
      <c r="L150" t="s">
        <v>83</v>
      </c>
      <c r="M150" t="s">
        <v>84</v>
      </c>
      <c r="N150" t="s">
        <v>71</v>
      </c>
      <c r="O150" t="s">
        <v>51</v>
      </c>
      <c r="P150" t="s">
        <v>52</v>
      </c>
      <c r="Q150">
        <v>3</v>
      </c>
      <c r="R150">
        <f>IFERROR(Table1_1[[#This Row],[Unit_Price]]*Table1_1[[#This Row],[Quantity]],"")</f>
        <v>2097</v>
      </c>
      <c r="S150">
        <f>IFERROR(Table1_1[[#This Row],[Gross_Sales]]*Table1_1[[#This Row],[Discount_%]],"")</f>
        <v>209.70000000000002</v>
      </c>
      <c r="T150">
        <f>IFERROR(Table1_1[[#This Row],[Gross_Sales]]-Table1_1[[#This Row],[Discount_amount]]+Table1_1[[#This Row],[Shipping_Cost]],"")</f>
        <v>1887.3</v>
      </c>
      <c r="U150">
        <f>IFERROR(Table1_1[[#This Row],[Net_Sale]]-(Table1_1[[#This Row],[Gross_Sales]]*70%),"")</f>
        <v>419.40000000000009</v>
      </c>
      <c r="V150" s="7">
        <f>IFERROR(Table1_1[[#This Row],[Profit]]/Table1_1[[#This Row],[Net_Sale]],"")</f>
        <v>0.22222222222222227</v>
      </c>
      <c r="W150" t="str">
        <f>TEXT(Table1_1[[#This Row],[Order_Date]],"mmm")</f>
        <v>Sep</v>
      </c>
    </row>
    <row r="151" spans="1:23" x14ac:dyDescent="0.25">
      <c r="A151" t="s">
        <v>367</v>
      </c>
      <c r="B151" t="s">
        <v>368</v>
      </c>
      <c r="C151" s="6">
        <v>45834</v>
      </c>
      <c r="D151" t="s">
        <v>35</v>
      </c>
      <c r="E151" t="s">
        <v>36</v>
      </c>
      <c r="F151" t="s">
        <v>37</v>
      </c>
      <c r="G151" t="s">
        <v>38</v>
      </c>
      <c r="H151">
        <v>3</v>
      </c>
      <c r="I151">
        <v>599</v>
      </c>
      <c r="J151">
        <v>0.2</v>
      </c>
      <c r="K151">
        <v>0</v>
      </c>
      <c r="L151" t="s">
        <v>74</v>
      </c>
      <c r="M151" t="s">
        <v>49</v>
      </c>
      <c r="N151" t="s">
        <v>71</v>
      </c>
      <c r="O151" t="s">
        <v>41</v>
      </c>
      <c r="P151" t="s">
        <v>80</v>
      </c>
      <c r="Q151">
        <v>1</v>
      </c>
      <c r="R151">
        <f>IFERROR(Table1_1[[#This Row],[Unit_Price]]*Table1_1[[#This Row],[Quantity]],"")</f>
        <v>1797</v>
      </c>
      <c r="S151">
        <f>IFERROR(Table1_1[[#This Row],[Gross_Sales]]*Table1_1[[#This Row],[Discount_%]],"")</f>
        <v>359.40000000000003</v>
      </c>
      <c r="T151">
        <f>IFERROR(Table1_1[[#This Row],[Gross_Sales]]-Table1_1[[#This Row],[Discount_amount]]+Table1_1[[#This Row],[Shipping_Cost]],"")</f>
        <v>1437.6</v>
      </c>
      <c r="U151">
        <f>IFERROR(Table1_1[[#This Row],[Net_Sale]]-(Table1_1[[#This Row],[Gross_Sales]]*70%),"")</f>
        <v>179.70000000000005</v>
      </c>
      <c r="V151" s="7">
        <f>IFERROR(Table1_1[[#This Row],[Profit]]/Table1_1[[#This Row],[Net_Sale]],"")</f>
        <v>0.12500000000000003</v>
      </c>
      <c r="W151" t="str">
        <f>TEXT(Table1_1[[#This Row],[Order_Date]],"mmm")</f>
        <v>Jun</v>
      </c>
    </row>
    <row r="152" spans="1:23" x14ac:dyDescent="0.25">
      <c r="A152" t="s">
        <v>369</v>
      </c>
      <c r="B152" t="s">
        <v>370</v>
      </c>
      <c r="C152" s="6">
        <v>45987</v>
      </c>
      <c r="D152" t="s">
        <v>169</v>
      </c>
      <c r="E152" t="s">
        <v>170</v>
      </c>
      <c r="F152" t="s">
        <v>98</v>
      </c>
      <c r="G152" t="s">
        <v>171</v>
      </c>
      <c r="H152">
        <v>1</v>
      </c>
      <c r="I152">
        <v>799</v>
      </c>
      <c r="J152">
        <v>0.1</v>
      </c>
      <c r="K152">
        <v>79</v>
      </c>
      <c r="L152" t="s">
        <v>83</v>
      </c>
      <c r="M152" t="s">
        <v>84</v>
      </c>
      <c r="N152" t="s">
        <v>50</v>
      </c>
      <c r="O152" t="s">
        <v>93</v>
      </c>
      <c r="P152" t="s">
        <v>80</v>
      </c>
      <c r="Q152">
        <v>3</v>
      </c>
      <c r="R152">
        <f>IFERROR(Table1_1[[#This Row],[Unit_Price]]*Table1_1[[#This Row],[Quantity]],"")</f>
        <v>799</v>
      </c>
      <c r="S152">
        <f>IFERROR(Table1_1[[#This Row],[Gross_Sales]]*Table1_1[[#This Row],[Discount_%]],"")</f>
        <v>79.900000000000006</v>
      </c>
      <c r="T152">
        <f>IFERROR(Table1_1[[#This Row],[Gross_Sales]]-Table1_1[[#This Row],[Discount_amount]]+Table1_1[[#This Row],[Shipping_Cost]],"")</f>
        <v>798.1</v>
      </c>
      <c r="U152">
        <f>IFERROR(Table1_1[[#This Row],[Net_Sale]]-(Table1_1[[#This Row],[Gross_Sales]]*70%),"")</f>
        <v>238.80000000000007</v>
      </c>
      <c r="V152" s="7">
        <f>IFERROR(Table1_1[[#This Row],[Profit]]/Table1_1[[#This Row],[Net_Sale]],"")</f>
        <v>0.29921062523493303</v>
      </c>
      <c r="W152" t="str">
        <f>TEXT(Table1_1[[#This Row],[Order_Date]],"mmm")</f>
        <v>Nov</v>
      </c>
    </row>
    <row r="153" spans="1:23" x14ac:dyDescent="0.25">
      <c r="A153" t="s">
        <v>371</v>
      </c>
      <c r="B153" t="s">
        <v>372</v>
      </c>
      <c r="C153" s="6">
        <v>45680</v>
      </c>
      <c r="D153" t="s">
        <v>90</v>
      </c>
      <c r="E153" t="s">
        <v>91</v>
      </c>
      <c r="F153" t="s">
        <v>37</v>
      </c>
      <c r="G153" t="s">
        <v>92</v>
      </c>
      <c r="H153">
        <v>1</v>
      </c>
      <c r="I153">
        <v>3499</v>
      </c>
      <c r="J153">
        <v>0.05</v>
      </c>
      <c r="K153">
        <v>59</v>
      </c>
      <c r="L153" t="s">
        <v>39</v>
      </c>
      <c r="M153" t="s">
        <v>39</v>
      </c>
      <c r="N153" t="s">
        <v>40</v>
      </c>
      <c r="O153" t="s">
        <v>32</v>
      </c>
      <c r="P153" t="s">
        <v>33</v>
      </c>
      <c r="Q153">
        <v>4</v>
      </c>
      <c r="R153">
        <f>IFERROR(Table1_1[[#This Row],[Unit_Price]]*Table1_1[[#This Row],[Quantity]],"")</f>
        <v>3499</v>
      </c>
      <c r="S153">
        <f>IFERROR(Table1_1[[#This Row],[Gross_Sales]]*Table1_1[[#This Row],[Discount_%]],"")</f>
        <v>174.95000000000002</v>
      </c>
      <c r="T153">
        <f>IFERROR(Table1_1[[#This Row],[Gross_Sales]]-Table1_1[[#This Row],[Discount_amount]]+Table1_1[[#This Row],[Shipping_Cost]],"")</f>
        <v>3383.05</v>
      </c>
      <c r="U153">
        <f>IFERROR(Table1_1[[#This Row],[Net_Sale]]-(Table1_1[[#This Row],[Gross_Sales]]*70%),"")</f>
        <v>933.75000000000045</v>
      </c>
      <c r="V153" s="7">
        <f>IFERROR(Table1_1[[#This Row],[Profit]]/Table1_1[[#This Row],[Net_Sale]],"")</f>
        <v>0.27600833567343092</v>
      </c>
      <c r="W153" t="str">
        <f>TEXT(Table1_1[[#This Row],[Order_Date]],"mmm")</f>
        <v>Jan</v>
      </c>
    </row>
    <row r="154" spans="1:23" x14ac:dyDescent="0.25">
      <c r="A154" t="s">
        <v>373</v>
      </c>
      <c r="B154" t="s">
        <v>315</v>
      </c>
      <c r="C154" s="6">
        <v>45755</v>
      </c>
      <c r="D154" t="s">
        <v>110</v>
      </c>
      <c r="E154" t="s">
        <v>111</v>
      </c>
      <c r="F154" t="s">
        <v>98</v>
      </c>
      <c r="G154" t="s">
        <v>112</v>
      </c>
      <c r="H154">
        <v>3</v>
      </c>
      <c r="I154">
        <v>2999</v>
      </c>
      <c r="J154">
        <v>0.2</v>
      </c>
      <c r="K154">
        <v>59</v>
      </c>
      <c r="L154" t="s">
        <v>39</v>
      </c>
      <c r="M154" t="s">
        <v>39</v>
      </c>
      <c r="N154" t="s">
        <v>31</v>
      </c>
      <c r="O154" t="s">
        <v>51</v>
      </c>
      <c r="P154" t="s">
        <v>33</v>
      </c>
      <c r="Q154">
        <v>4</v>
      </c>
      <c r="R154">
        <f>IFERROR(Table1_1[[#This Row],[Unit_Price]]*Table1_1[[#This Row],[Quantity]],"")</f>
        <v>8997</v>
      </c>
      <c r="S154">
        <f>IFERROR(Table1_1[[#This Row],[Gross_Sales]]*Table1_1[[#This Row],[Discount_%]],"")</f>
        <v>1799.4</v>
      </c>
      <c r="T154">
        <f>IFERROR(Table1_1[[#This Row],[Gross_Sales]]-Table1_1[[#This Row],[Discount_amount]]+Table1_1[[#This Row],[Shipping_Cost]],"")</f>
        <v>7256.6</v>
      </c>
      <c r="U154">
        <f>IFERROR(Table1_1[[#This Row],[Net_Sale]]-(Table1_1[[#This Row],[Gross_Sales]]*70%),"")</f>
        <v>958.70000000000073</v>
      </c>
      <c r="V154" s="7">
        <f>IFERROR(Table1_1[[#This Row],[Profit]]/Table1_1[[#This Row],[Net_Sale]],"")</f>
        <v>0.13211421326792172</v>
      </c>
      <c r="W154" t="str">
        <f>TEXT(Table1_1[[#This Row],[Order_Date]],"mmm")</f>
        <v>Apr</v>
      </c>
    </row>
    <row r="155" spans="1:23" x14ac:dyDescent="0.25">
      <c r="A155" t="s">
        <v>374</v>
      </c>
      <c r="B155" t="s">
        <v>218</v>
      </c>
      <c r="C155" s="6">
        <v>45855</v>
      </c>
      <c r="D155" t="s">
        <v>96</v>
      </c>
      <c r="E155" t="s">
        <v>97</v>
      </c>
      <c r="F155" t="s">
        <v>98</v>
      </c>
      <c r="G155" t="s">
        <v>99</v>
      </c>
      <c r="H155">
        <v>3</v>
      </c>
      <c r="I155">
        <v>1499</v>
      </c>
      <c r="J155">
        <v>0.2</v>
      </c>
      <c r="K155">
        <v>79</v>
      </c>
      <c r="L155" t="s">
        <v>119</v>
      </c>
      <c r="M155" t="s">
        <v>120</v>
      </c>
      <c r="N155" t="s">
        <v>102</v>
      </c>
      <c r="O155" t="s">
        <v>51</v>
      </c>
      <c r="P155" t="s">
        <v>52</v>
      </c>
      <c r="Q155">
        <v>3</v>
      </c>
      <c r="R155">
        <f>IFERROR(Table1_1[[#This Row],[Unit_Price]]*Table1_1[[#This Row],[Quantity]],"")</f>
        <v>4497</v>
      </c>
      <c r="S155">
        <f>IFERROR(Table1_1[[#This Row],[Gross_Sales]]*Table1_1[[#This Row],[Discount_%]],"")</f>
        <v>899.40000000000009</v>
      </c>
      <c r="T155">
        <f>IFERROR(Table1_1[[#This Row],[Gross_Sales]]-Table1_1[[#This Row],[Discount_amount]]+Table1_1[[#This Row],[Shipping_Cost]],"")</f>
        <v>3676.6</v>
      </c>
      <c r="U155">
        <f>IFERROR(Table1_1[[#This Row],[Net_Sale]]-(Table1_1[[#This Row],[Gross_Sales]]*70%),"")</f>
        <v>528.70000000000027</v>
      </c>
      <c r="V155" s="7">
        <f>IFERROR(Table1_1[[#This Row],[Profit]]/Table1_1[[#This Row],[Net_Sale]],"")</f>
        <v>0.1438013381928957</v>
      </c>
      <c r="W155" t="str">
        <f>TEXT(Table1_1[[#This Row],[Order_Date]],"mmm")</f>
        <v>Jul</v>
      </c>
    </row>
    <row r="156" spans="1:23" x14ac:dyDescent="0.25">
      <c r="A156" t="s">
        <v>375</v>
      </c>
      <c r="B156" t="s">
        <v>376</v>
      </c>
      <c r="C156" s="6">
        <v>45966</v>
      </c>
      <c r="D156" t="s">
        <v>55</v>
      </c>
      <c r="E156" t="s">
        <v>56</v>
      </c>
      <c r="F156" t="s">
        <v>37</v>
      </c>
      <c r="G156" t="s">
        <v>38</v>
      </c>
      <c r="H156">
        <v>1</v>
      </c>
      <c r="I156">
        <v>2499</v>
      </c>
      <c r="J156">
        <v>0.05</v>
      </c>
      <c r="K156">
        <v>0</v>
      </c>
      <c r="L156" t="s">
        <v>57</v>
      </c>
      <c r="M156" t="s">
        <v>58</v>
      </c>
      <c r="N156" t="s">
        <v>71</v>
      </c>
      <c r="O156" t="s">
        <v>51</v>
      </c>
      <c r="P156" t="s">
        <v>33</v>
      </c>
      <c r="Q156">
        <v>3</v>
      </c>
      <c r="R156">
        <f>IFERROR(Table1_1[[#This Row],[Unit_Price]]*Table1_1[[#This Row],[Quantity]],"")</f>
        <v>2499</v>
      </c>
      <c r="S156">
        <f>IFERROR(Table1_1[[#This Row],[Gross_Sales]]*Table1_1[[#This Row],[Discount_%]],"")</f>
        <v>124.95</v>
      </c>
      <c r="T156">
        <f>IFERROR(Table1_1[[#This Row],[Gross_Sales]]-Table1_1[[#This Row],[Discount_amount]]+Table1_1[[#This Row],[Shipping_Cost]],"")</f>
        <v>2374.0500000000002</v>
      </c>
      <c r="U156">
        <f>IFERROR(Table1_1[[#This Row],[Net_Sale]]-(Table1_1[[#This Row],[Gross_Sales]]*70%),"")</f>
        <v>624.75000000000023</v>
      </c>
      <c r="V156" s="7">
        <f>IFERROR(Table1_1[[#This Row],[Profit]]/Table1_1[[#This Row],[Net_Sale]],"")</f>
        <v>0.2631578947368422</v>
      </c>
      <c r="W156" t="str">
        <f>TEXT(Table1_1[[#This Row],[Order_Date]],"mmm")</f>
        <v>Nov</v>
      </c>
    </row>
    <row r="157" spans="1:23" x14ac:dyDescent="0.25">
      <c r="A157" t="s">
        <v>377</v>
      </c>
      <c r="B157" t="s">
        <v>378</v>
      </c>
      <c r="C157" s="6">
        <v>45743</v>
      </c>
      <c r="D157" t="s">
        <v>90</v>
      </c>
      <c r="E157" t="s">
        <v>91</v>
      </c>
      <c r="F157" t="s">
        <v>37</v>
      </c>
      <c r="G157" t="s">
        <v>92</v>
      </c>
      <c r="H157">
        <v>2</v>
      </c>
      <c r="I157">
        <v>3499</v>
      </c>
      <c r="J157">
        <v>0.1</v>
      </c>
      <c r="K157">
        <v>0</v>
      </c>
      <c r="L157" t="s">
        <v>125</v>
      </c>
      <c r="M157" t="s">
        <v>126</v>
      </c>
      <c r="N157" t="s">
        <v>102</v>
      </c>
      <c r="O157" t="s">
        <v>59</v>
      </c>
      <c r="P157" t="s">
        <v>33</v>
      </c>
      <c r="Q157">
        <v>3</v>
      </c>
      <c r="R157">
        <f>IFERROR(Table1_1[[#This Row],[Unit_Price]]*Table1_1[[#This Row],[Quantity]],"")</f>
        <v>6998</v>
      </c>
      <c r="S157">
        <f>IFERROR(Table1_1[[#This Row],[Gross_Sales]]*Table1_1[[#This Row],[Discount_%]],"")</f>
        <v>699.80000000000007</v>
      </c>
      <c r="T157">
        <f>IFERROR(Table1_1[[#This Row],[Gross_Sales]]-Table1_1[[#This Row],[Discount_amount]]+Table1_1[[#This Row],[Shipping_Cost]],"")</f>
        <v>6298.2</v>
      </c>
      <c r="U157">
        <f>IFERROR(Table1_1[[#This Row],[Net_Sale]]-(Table1_1[[#This Row],[Gross_Sales]]*70%),"")</f>
        <v>1399.6000000000004</v>
      </c>
      <c r="V157" s="7">
        <f>IFERROR(Table1_1[[#This Row],[Profit]]/Table1_1[[#This Row],[Net_Sale]],"")</f>
        <v>0.22222222222222229</v>
      </c>
      <c r="W157" t="str">
        <f>TEXT(Table1_1[[#This Row],[Order_Date]],"mmm")</f>
        <v>Mar</v>
      </c>
    </row>
    <row r="158" spans="1:23" x14ac:dyDescent="0.25">
      <c r="A158" t="s">
        <v>379</v>
      </c>
      <c r="B158" t="s">
        <v>202</v>
      </c>
      <c r="C158" s="6">
        <v>45984</v>
      </c>
      <c r="D158" t="s">
        <v>25</v>
      </c>
      <c r="E158" t="s">
        <v>26</v>
      </c>
      <c r="F158" t="s">
        <v>27</v>
      </c>
      <c r="G158" t="s">
        <v>28</v>
      </c>
      <c r="H158">
        <v>1</v>
      </c>
      <c r="I158">
        <v>249</v>
      </c>
      <c r="J158">
        <v>0.2</v>
      </c>
      <c r="K158">
        <v>49</v>
      </c>
      <c r="L158" t="s">
        <v>39</v>
      </c>
      <c r="M158" t="s">
        <v>39</v>
      </c>
      <c r="N158" t="s">
        <v>50</v>
      </c>
      <c r="O158" t="s">
        <v>32</v>
      </c>
      <c r="P158" t="s">
        <v>85</v>
      </c>
      <c r="Q158">
        <v>3</v>
      </c>
      <c r="R158">
        <f>IFERROR(Table1_1[[#This Row],[Unit_Price]]*Table1_1[[#This Row],[Quantity]],"")</f>
        <v>249</v>
      </c>
      <c r="S158">
        <f>IFERROR(Table1_1[[#This Row],[Gross_Sales]]*Table1_1[[#This Row],[Discount_%]],"")</f>
        <v>49.800000000000004</v>
      </c>
      <c r="T158">
        <f>IFERROR(Table1_1[[#This Row],[Gross_Sales]]-Table1_1[[#This Row],[Discount_amount]]+Table1_1[[#This Row],[Shipping_Cost]],"")</f>
        <v>248.2</v>
      </c>
      <c r="U158">
        <f>IFERROR(Table1_1[[#This Row],[Net_Sale]]-(Table1_1[[#This Row],[Gross_Sales]]*70%),"")</f>
        <v>73.900000000000006</v>
      </c>
      <c r="V158" s="7">
        <f>IFERROR(Table1_1[[#This Row],[Profit]]/Table1_1[[#This Row],[Net_Sale]],"")</f>
        <v>0.2977437550362611</v>
      </c>
      <c r="W158" t="str">
        <f>TEXT(Table1_1[[#This Row],[Order_Date]],"mmm")</f>
        <v>Nov</v>
      </c>
    </row>
    <row r="159" spans="1:23" x14ac:dyDescent="0.25">
      <c r="A159" t="s">
        <v>380</v>
      </c>
      <c r="B159" t="s">
        <v>381</v>
      </c>
      <c r="C159" s="6">
        <v>45778</v>
      </c>
      <c r="D159" t="s">
        <v>90</v>
      </c>
      <c r="E159" t="s">
        <v>91</v>
      </c>
      <c r="F159" t="s">
        <v>37</v>
      </c>
      <c r="G159" t="s">
        <v>92</v>
      </c>
      <c r="H159">
        <v>1</v>
      </c>
      <c r="I159">
        <v>3499</v>
      </c>
      <c r="J159">
        <v>0.1</v>
      </c>
      <c r="K159">
        <v>99</v>
      </c>
      <c r="L159" t="s">
        <v>39</v>
      </c>
      <c r="M159" t="s">
        <v>39</v>
      </c>
      <c r="N159" t="s">
        <v>102</v>
      </c>
      <c r="O159" t="s">
        <v>41</v>
      </c>
      <c r="P159" t="s">
        <v>33</v>
      </c>
      <c r="Q159">
        <v>3</v>
      </c>
      <c r="R159">
        <f>IFERROR(Table1_1[[#This Row],[Unit_Price]]*Table1_1[[#This Row],[Quantity]],"")</f>
        <v>3499</v>
      </c>
      <c r="S159">
        <f>IFERROR(Table1_1[[#This Row],[Gross_Sales]]*Table1_1[[#This Row],[Discount_%]],"")</f>
        <v>349.90000000000003</v>
      </c>
      <c r="T159">
        <f>IFERROR(Table1_1[[#This Row],[Gross_Sales]]-Table1_1[[#This Row],[Discount_amount]]+Table1_1[[#This Row],[Shipping_Cost]],"")</f>
        <v>3248.1</v>
      </c>
      <c r="U159">
        <f>IFERROR(Table1_1[[#This Row],[Net_Sale]]-(Table1_1[[#This Row],[Gross_Sales]]*70%),"")</f>
        <v>798.80000000000018</v>
      </c>
      <c r="V159" s="7">
        <f>IFERROR(Table1_1[[#This Row],[Profit]]/Table1_1[[#This Row],[Net_Sale]],"")</f>
        <v>0.24592838890428256</v>
      </c>
      <c r="W159" t="str">
        <f>TEXT(Table1_1[[#This Row],[Order_Date]],"mmm")</f>
        <v>May</v>
      </c>
    </row>
    <row r="160" spans="1:23" x14ac:dyDescent="0.25">
      <c r="A160" t="s">
        <v>382</v>
      </c>
      <c r="B160" t="s">
        <v>304</v>
      </c>
      <c r="C160" s="6">
        <v>45697</v>
      </c>
      <c r="D160" t="s">
        <v>90</v>
      </c>
      <c r="E160" t="s">
        <v>91</v>
      </c>
      <c r="F160" t="s">
        <v>37</v>
      </c>
      <c r="G160" t="s">
        <v>92</v>
      </c>
      <c r="H160">
        <v>1</v>
      </c>
      <c r="I160">
        <v>3499</v>
      </c>
      <c r="J160">
        <v>0.05</v>
      </c>
      <c r="K160">
        <v>79</v>
      </c>
      <c r="L160" t="s">
        <v>74</v>
      </c>
      <c r="M160" t="s">
        <v>49</v>
      </c>
      <c r="N160" t="s">
        <v>71</v>
      </c>
      <c r="O160" t="s">
        <v>41</v>
      </c>
      <c r="P160" t="s">
        <v>85</v>
      </c>
      <c r="Q160">
        <v>1</v>
      </c>
      <c r="R160">
        <f>IFERROR(Table1_1[[#This Row],[Unit_Price]]*Table1_1[[#This Row],[Quantity]],"")</f>
        <v>3499</v>
      </c>
      <c r="S160">
        <f>IFERROR(Table1_1[[#This Row],[Gross_Sales]]*Table1_1[[#This Row],[Discount_%]],"")</f>
        <v>174.95000000000002</v>
      </c>
      <c r="T160">
        <f>IFERROR(Table1_1[[#This Row],[Gross_Sales]]-Table1_1[[#This Row],[Discount_amount]]+Table1_1[[#This Row],[Shipping_Cost]],"")</f>
        <v>3403.05</v>
      </c>
      <c r="U160">
        <f>IFERROR(Table1_1[[#This Row],[Net_Sale]]-(Table1_1[[#This Row],[Gross_Sales]]*70%),"")</f>
        <v>953.75000000000045</v>
      </c>
      <c r="V160" s="7">
        <f>IFERROR(Table1_1[[#This Row],[Profit]]/Table1_1[[#This Row],[Net_Sale]],"")</f>
        <v>0.28026329322225663</v>
      </c>
      <c r="W160" t="str">
        <f>TEXT(Table1_1[[#This Row],[Order_Date]],"mmm")</f>
        <v>Feb</v>
      </c>
    </row>
    <row r="161" spans="1:23" x14ac:dyDescent="0.25">
      <c r="A161" t="s">
        <v>383</v>
      </c>
      <c r="B161" t="s">
        <v>132</v>
      </c>
      <c r="C161" s="6">
        <v>45856</v>
      </c>
      <c r="D161" t="s">
        <v>35</v>
      </c>
      <c r="E161" t="s">
        <v>36</v>
      </c>
      <c r="F161" t="s">
        <v>37</v>
      </c>
      <c r="G161" t="s">
        <v>38</v>
      </c>
      <c r="H161">
        <v>2</v>
      </c>
      <c r="I161">
        <v>599</v>
      </c>
      <c r="J161">
        <v>0.05</v>
      </c>
      <c r="K161">
        <v>79</v>
      </c>
      <c r="L161" t="s">
        <v>100</v>
      </c>
      <c r="M161" t="s">
        <v>101</v>
      </c>
      <c r="N161" t="s">
        <v>102</v>
      </c>
      <c r="O161" t="s">
        <v>51</v>
      </c>
      <c r="P161" t="s">
        <v>33</v>
      </c>
      <c r="Q161">
        <v>3</v>
      </c>
      <c r="R161">
        <f>IFERROR(Table1_1[[#This Row],[Unit_Price]]*Table1_1[[#This Row],[Quantity]],"")</f>
        <v>1198</v>
      </c>
      <c r="S161">
        <f>IFERROR(Table1_1[[#This Row],[Gross_Sales]]*Table1_1[[#This Row],[Discount_%]],"")</f>
        <v>59.900000000000006</v>
      </c>
      <c r="T161">
        <f>IFERROR(Table1_1[[#This Row],[Gross_Sales]]-Table1_1[[#This Row],[Discount_amount]]+Table1_1[[#This Row],[Shipping_Cost]],"")</f>
        <v>1217.0999999999999</v>
      </c>
      <c r="U161">
        <f>IFERROR(Table1_1[[#This Row],[Net_Sale]]-(Table1_1[[#This Row],[Gross_Sales]]*70%),"")</f>
        <v>378.5</v>
      </c>
      <c r="V161" s="7">
        <f>IFERROR(Table1_1[[#This Row],[Profit]]/Table1_1[[#This Row],[Net_Sale]],"")</f>
        <v>0.31098512858433985</v>
      </c>
      <c r="W161" t="str">
        <f>TEXT(Table1_1[[#This Row],[Order_Date]],"mmm")</f>
        <v>Jul</v>
      </c>
    </row>
    <row r="162" spans="1:23" x14ac:dyDescent="0.25">
      <c r="A162" t="s">
        <v>384</v>
      </c>
      <c r="B162" t="s">
        <v>385</v>
      </c>
      <c r="C162" s="6">
        <v>45695</v>
      </c>
      <c r="D162" t="s">
        <v>90</v>
      </c>
      <c r="E162" t="s">
        <v>91</v>
      </c>
      <c r="F162" t="s">
        <v>37</v>
      </c>
      <c r="G162" t="s">
        <v>92</v>
      </c>
      <c r="H162">
        <v>1</v>
      </c>
      <c r="I162">
        <v>3499</v>
      </c>
      <c r="J162">
        <v>0.1</v>
      </c>
      <c r="K162">
        <v>0</v>
      </c>
      <c r="L162" t="s">
        <v>113</v>
      </c>
      <c r="M162" t="s">
        <v>114</v>
      </c>
      <c r="N162" t="s">
        <v>71</v>
      </c>
      <c r="O162" t="s">
        <v>93</v>
      </c>
      <c r="P162" t="s">
        <v>80</v>
      </c>
      <c r="Q162">
        <v>5</v>
      </c>
      <c r="R162">
        <f>IFERROR(Table1_1[[#This Row],[Unit_Price]]*Table1_1[[#This Row],[Quantity]],"")</f>
        <v>3499</v>
      </c>
      <c r="S162">
        <f>IFERROR(Table1_1[[#This Row],[Gross_Sales]]*Table1_1[[#This Row],[Discount_%]],"")</f>
        <v>349.90000000000003</v>
      </c>
      <c r="T162">
        <f>IFERROR(Table1_1[[#This Row],[Gross_Sales]]-Table1_1[[#This Row],[Discount_amount]]+Table1_1[[#This Row],[Shipping_Cost]],"")</f>
        <v>3149.1</v>
      </c>
      <c r="U162">
        <f>IFERROR(Table1_1[[#This Row],[Net_Sale]]-(Table1_1[[#This Row],[Gross_Sales]]*70%),"")</f>
        <v>699.80000000000018</v>
      </c>
      <c r="V162" s="7">
        <f>IFERROR(Table1_1[[#This Row],[Profit]]/Table1_1[[#This Row],[Net_Sale]],"")</f>
        <v>0.22222222222222229</v>
      </c>
      <c r="W162" t="str">
        <f>TEXT(Table1_1[[#This Row],[Order_Date]],"mmm")</f>
        <v>Feb</v>
      </c>
    </row>
    <row r="163" spans="1:23" x14ac:dyDescent="0.25">
      <c r="A163" t="s">
        <v>386</v>
      </c>
      <c r="B163" t="s">
        <v>387</v>
      </c>
      <c r="C163" s="6">
        <v>45738</v>
      </c>
      <c r="D163" t="s">
        <v>62</v>
      </c>
      <c r="E163" t="s">
        <v>63</v>
      </c>
      <c r="F163" t="s">
        <v>46</v>
      </c>
      <c r="G163" t="s">
        <v>64</v>
      </c>
      <c r="H163">
        <v>3</v>
      </c>
      <c r="I163">
        <v>699</v>
      </c>
      <c r="J163">
        <v>0.2</v>
      </c>
      <c r="K163">
        <v>49</v>
      </c>
      <c r="L163" t="s">
        <v>48</v>
      </c>
      <c r="M163" t="s">
        <v>49</v>
      </c>
      <c r="N163" t="s">
        <v>102</v>
      </c>
      <c r="O163" t="s">
        <v>41</v>
      </c>
      <c r="P163" t="s">
        <v>80</v>
      </c>
      <c r="Q163">
        <v>1</v>
      </c>
      <c r="R163">
        <f>IFERROR(Table1_1[[#This Row],[Unit_Price]]*Table1_1[[#This Row],[Quantity]],"")</f>
        <v>2097</v>
      </c>
      <c r="S163">
        <f>IFERROR(Table1_1[[#This Row],[Gross_Sales]]*Table1_1[[#This Row],[Discount_%]],"")</f>
        <v>419.40000000000003</v>
      </c>
      <c r="T163">
        <f>IFERROR(Table1_1[[#This Row],[Gross_Sales]]-Table1_1[[#This Row],[Discount_amount]]+Table1_1[[#This Row],[Shipping_Cost]],"")</f>
        <v>1726.6</v>
      </c>
      <c r="U163">
        <f>IFERROR(Table1_1[[#This Row],[Net_Sale]]-(Table1_1[[#This Row],[Gross_Sales]]*70%),"")</f>
        <v>258.70000000000005</v>
      </c>
      <c r="V163" s="7">
        <f>IFERROR(Table1_1[[#This Row],[Profit]]/Table1_1[[#This Row],[Net_Sale]],"")</f>
        <v>0.14983203984709839</v>
      </c>
      <c r="W163" t="str">
        <f>TEXT(Table1_1[[#This Row],[Order_Date]],"mmm")</f>
        <v>Mar</v>
      </c>
    </row>
    <row r="164" spans="1:23" x14ac:dyDescent="0.25">
      <c r="A164" t="s">
        <v>388</v>
      </c>
      <c r="B164" t="s">
        <v>196</v>
      </c>
      <c r="C164" s="6">
        <v>45910</v>
      </c>
      <c r="D164" t="s">
        <v>67</v>
      </c>
      <c r="E164" t="s">
        <v>68</v>
      </c>
      <c r="F164" t="s">
        <v>37</v>
      </c>
      <c r="G164" t="s">
        <v>38</v>
      </c>
      <c r="H164">
        <v>1</v>
      </c>
      <c r="I164">
        <v>1299</v>
      </c>
      <c r="J164">
        <v>0.15</v>
      </c>
      <c r="K164">
        <v>59</v>
      </c>
      <c r="L164" t="s">
        <v>100</v>
      </c>
      <c r="M164" t="s">
        <v>101</v>
      </c>
      <c r="N164" t="s">
        <v>102</v>
      </c>
      <c r="O164" t="s">
        <v>41</v>
      </c>
      <c r="P164" t="s">
        <v>85</v>
      </c>
      <c r="Q164">
        <v>5</v>
      </c>
      <c r="R164">
        <f>IFERROR(Table1_1[[#This Row],[Unit_Price]]*Table1_1[[#This Row],[Quantity]],"")</f>
        <v>1299</v>
      </c>
      <c r="S164">
        <f>IFERROR(Table1_1[[#This Row],[Gross_Sales]]*Table1_1[[#This Row],[Discount_%]],"")</f>
        <v>194.85</v>
      </c>
      <c r="T164">
        <f>IFERROR(Table1_1[[#This Row],[Gross_Sales]]-Table1_1[[#This Row],[Discount_amount]]+Table1_1[[#This Row],[Shipping_Cost]],"")</f>
        <v>1163.1500000000001</v>
      </c>
      <c r="U164">
        <f>IFERROR(Table1_1[[#This Row],[Net_Sale]]-(Table1_1[[#This Row],[Gross_Sales]]*70%),"")</f>
        <v>253.85000000000014</v>
      </c>
      <c r="V164" s="7">
        <f>IFERROR(Table1_1[[#This Row],[Profit]]/Table1_1[[#This Row],[Net_Sale]],"")</f>
        <v>0.21824356273911372</v>
      </c>
      <c r="W164" t="str">
        <f>TEXT(Table1_1[[#This Row],[Order_Date]],"mmm")</f>
        <v>Sep</v>
      </c>
    </row>
    <row r="165" spans="1:23" x14ac:dyDescent="0.25">
      <c r="A165" t="s">
        <v>389</v>
      </c>
      <c r="B165" t="s">
        <v>390</v>
      </c>
      <c r="C165" s="6">
        <v>45903</v>
      </c>
      <c r="D165" t="s">
        <v>55</v>
      </c>
      <c r="E165" t="s">
        <v>56</v>
      </c>
      <c r="F165" t="s">
        <v>37</v>
      </c>
      <c r="G165" t="s">
        <v>38</v>
      </c>
      <c r="H165">
        <v>1</v>
      </c>
      <c r="I165">
        <v>2499</v>
      </c>
      <c r="J165">
        <v>0.15</v>
      </c>
      <c r="K165">
        <v>0</v>
      </c>
      <c r="L165" t="s">
        <v>29</v>
      </c>
      <c r="M165" t="s">
        <v>30</v>
      </c>
      <c r="N165" t="s">
        <v>71</v>
      </c>
      <c r="O165" t="s">
        <v>93</v>
      </c>
      <c r="P165" t="s">
        <v>52</v>
      </c>
      <c r="Q165">
        <v>4</v>
      </c>
      <c r="R165">
        <f>IFERROR(Table1_1[[#This Row],[Unit_Price]]*Table1_1[[#This Row],[Quantity]],"")</f>
        <v>2499</v>
      </c>
      <c r="S165">
        <f>IFERROR(Table1_1[[#This Row],[Gross_Sales]]*Table1_1[[#This Row],[Discount_%]],"")</f>
        <v>374.84999999999997</v>
      </c>
      <c r="T165">
        <f>IFERROR(Table1_1[[#This Row],[Gross_Sales]]-Table1_1[[#This Row],[Discount_amount]]+Table1_1[[#This Row],[Shipping_Cost]],"")</f>
        <v>2124.15</v>
      </c>
      <c r="U165">
        <f>IFERROR(Table1_1[[#This Row],[Net_Sale]]-(Table1_1[[#This Row],[Gross_Sales]]*70%),"")</f>
        <v>374.85000000000014</v>
      </c>
      <c r="V165" s="7">
        <f>IFERROR(Table1_1[[#This Row],[Profit]]/Table1_1[[#This Row],[Net_Sale]],"")</f>
        <v>0.17647058823529418</v>
      </c>
      <c r="W165" t="str">
        <f>TEXT(Table1_1[[#This Row],[Order_Date]],"mmm")</f>
        <v>Sep</v>
      </c>
    </row>
    <row r="166" spans="1:23" x14ac:dyDescent="0.25">
      <c r="A166" t="s">
        <v>391</v>
      </c>
      <c r="B166" t="s">
        <v>392</v>
      </c>
      <c r="C166" s="6">
        <v>45940</v>
      </c>
      <c r="D166" t="s">
        <v>90</v>
      </c>
      <c r="E166" t="s">
        <v>91</v>
      </c>
      <c r="F166" t="s">
        <v>37</v>
      </c>
      <c r="G166" t="s">
        <v>92</v>
      </c>
      <c r="H166">
        <v>1</v>
      </c>
      <c r="I166">
        <v>3499</v>
      </c>
      <c r="J166">
        <v>0</v>
      </c>
      <c r="K166">
        <v>79</v>
      </c>
      <c r="L166" t="s">
        <v>83</v>
      </c>
      <c r="M166" t="s">
        <v>84</v>
      </c>
      <c r="N166" t="s">
        <v>31</v>
      </c>
      <c r="O166" t="s">
        <v>93</v>
      </c>
      <c r="P166" t="s">
        <v>33</v>
      </c>
      <c r="Q166">
        <v>5</v>
      </c>
      <c r="R166">
        <f>IFERROR(Table1_1[[#This Row],[Unit_Price]]*Table1_1[[#This Row],[Quantity]],"")</f>
        <v>3499</v>
      </c>
      <c r="S166">
        <f>IFERROR(Table1_1[[#This Row],[Gross_Sales]]*Table1_1[[#This Row],[Discount_%]],"")</f>
        <v>0</v>
      </c>
      <c r="T166">
        <f>IFERROR(Table1_1[[#This Row],[Gross_Sales]]-Table1_1[[#This Row],[Discount_amount]]+Table1_1[[#This Row],[Shipping_Cost]],"")</f>
        <v>3578</v>
      </c>
      <c r="U166">
        <f>IFERROR(Table1_1[[#This Row],[Net_Sale]]-(Table1_1[[#This Row],[Gross_Sales]]*70%),"")</f>
        <v>1128.7000000000003</v>
      </c>
      <c r="V166" s="7">
        <f>IFERROR(Table1_1[[#This Row],[Profit]]/Table1_1[[#This Row],[Net_Sale]],"")</f>
        <v>0.31545556176634998</v>
      </c>
      <c r="W166" t="str">
        <f>TEXT(Table1_1[[#This Row],[Order_Date]],"mmm")</f>
        <v>Oct</v>
      </c>
    </row>
    <row r="167" spans="1:23" x14ac:dyDescent="0.25">
      <c r="A167" t="s">
        <v>393</v>
      </c>
      <c r="B167" t="s">
        <v>376</v>
      </c>
      <c r="C167" s="6">
        <v>45823</v>
      </c>
      <c r="D167" t="s">
        <v>105</v>
      </c>
      <c r="E167" t="s">
        <v>106</v>
      </c>
      <c r="F167" t="s">
        <v>37</v>
      </c>
      <c r="G167" t="s">
        <v>107</v>
      </c>
      <c r="H167">
        <v>1</v>
      </c>
      <c r="I167">
        <v>1799</v>
      </c>
      <c r="J167">
        <v>0.15</v>
      </c>
      <c r="K167">
        <v>59</v>
      </c>
      <c r="L167" t="s">
        <v>48</v>
      </c>
      <c r="M167" t="s">
        <v>49</v>
      </c>
      <c r="N167" t="s">
        <v>71</v>
      </c>
      <c r="O167" t="s">
        <v>41</v>
      </c>
      <c r="P167" t="s">
        <v>33</v>
      </c>
      <c r="Q167">
        <v>3</v>
      </c>
      <c r="R167">
        <f>IFERROR(Table1_1[[#This Row],[Unit_Price]]*Table1_1[[#This Row],[Quantity]],"")</f>
        <v>1799</v>
      </c>
      <c r="S167">
        <f>IFERROR(Table1_1[[#This Row],[Gross_Sales]]*Table1_1[[#This Row],[Discount_%]],"")</f>
        <v>269.84999999999997</v>
      </c>
      <c r="T167">
        <f>IFERROR(Table1_1[[#This Row],[Gross_Sales]]-Table1_1[[#This Row],[Discount_amount]]+Table1_1[[#This Row],[Shipping_Cost]],"")</f>
        <v>1588.15</v>
      </c>
      <c r="U167">
        <f>IFERROR(Table1_1[[#This Row],[Net_Sale]]-(Table1_1[[#This Row],[Gross_Sales]]*70%),"")</f>
        <v>328.85000000000014</v>
      </c>
      <c r="V167" s="7">
        <f>IFERROR(Table1_1[[#This Row],[Profit]]/Table1_1[[#This Row],[Net_Sale]],"")</f>
        <v>0.20706482385165137</v>
      </c>
      <c r="W167" t="str">
        <f>TEXT(Table1_1[[#This Row],[Order_Date]],"mmm")</f>
        <v>Jun</v>
      </c>
    </row>
    <row r="168" spans="1:23" x14ac:dyDescent="0.25">
      <c r="A168" t="s">
        <v>394</v>
      </c>
      <c r="B168" t="s">
        <v>368</v>
      </c>
      <c r="C168" s="6">
        <v>45813</v>
      </c>
      <c r="D168" t="s">
        <v>62</v>
      </c>
      <c r="E168" t="s">
        <v>63</v>
      </c>
      <c r="F168" t="s">
        <v>46</v>
      </c>
      <c r="G168" t="s">
        <v>64</v>
      </c>
      <c r="H168">
        <v>1</v>
      </c>
      <c r="I168">
        <v>699</v>
      </c>
      <c r="J168">
        <v>0.15</v>
      </c>
      <c r="K168">
        <v>49</v>
      </c>
      <c r="L168" t="s">
        <v>48</v>
      </c>
      <c r="M168" t="s">
        <v>49</v>
      </c>
      <c r="N168" t="s">
        <v>50</v>
      </c>
      <c r="O168" t="s">
        <v>41</v>
      </c>
      <c r="P168" t="s">
        <v>33</v>
      </c>
      <c r="Q168">
        <v>3</v>
      </c>
      <c r="R168">
        <f>IFERROR(Table1_1[[#This Row],[Unit_Price]]*Table1_1[[#This Row],[Quantity]],"")</f>
        <v>699</v>
      </c>
      <c r="S168">
        <f>IFERROR(Table1_1[[#This Row],[Gross_Sales]]*Table1_1[[#This Row],[Discount_%]],"")</f>
        <v>104.85</v>
      </c>
      <c r="T168">
        <f>IFERROR(Table1_1[[#This Row],[Gross_Sales]]-Table1_1[[#This Row],[Discount_amount]]+Table1_1[[#This Row],[Shipping_Cost]],"")</f>
        <v>643.15</v>
      </c>
      <c r="U168">
        <f>IFERROR(Table1_1[[#This Row],[Net_Sale]]-(Table1_1[[#This Row],[Gross_Sales]]*70%),"")</f>
        <v>153.85000000000002</v>
      </c>
      <c r="V168" s="7">
        <f>IFERROR(Table1_1[[#This Row],[Profit]]/Table1_1[[#This Row],[Net_Sale]],"")</f>
        <v>0.23921324729845297</v>
      </c>
      <c r="W168" t="str">
        <f>TEXT(Table1_1[[#This Row],[Order_Date]],"mmm")</f>
        <v>Jun</v>
      </c>
    </row>
    <row r="169" spans="1:23" x14ac:dyDescent="0.25">
      <c r="A169" t="s">
        <v>395</v>
      </c>
      <c r="B169" t="s">
        <v>243</v>
      </c>
      <c r="C169" s="6">
        <v>45946</v>
      </c>
      <c r="D169" t="s">
        <v>44</v>
      </c>
      <c r="E169" t="s">
        <v>45</v>
      </c>
      <c r="F169" t="s">
        <v>46</v>
      </c>
      <c r="G169" t="s">
        <v>47</v>
      </c>
      <c r="H169">
        <v>1</v>
      </c>
      <c r="I169">
        <v>1199</v>
      </c>
      <c r="J169">
        <v>0</v>
      </c>
      <c r="K169">
        <v>0</v>
      </c>
      <c r="L169" t="s">
        <v>125</v>
      </c>
      <c r="M169" t="s">
        <v>126</v>
      </c>
      <c r="N169" t="s">
        <v>71</v>
      </c>
      <c r="O169" t="s">
        <v>41</v>
      </c>
      <c r="P169" t="s">
        <v>33</v>
      </c>
      <c r="Q169">
        <v>3</v>
      </c>
      <c r="R169">
        <f>IFERROR(Table1_1[[#This Row],[Unit_Price]]*Table1_1[[#This Row],[Quantity]],"")</f>
        <v>1199</v>
      </c>
      <c r="S169">
        <f>IFERROR(Table1_1[[#This Row],[Gross_Sales]]*Table1_1[[#This Row],[Discount_%]],"")</f>
        <v>0</v>
      </c>
      <c r="T169">
        <f>IFERROR(Table1_1[[#This Row],[Gross_Sales]]-Table1_1[[#This Row],[Discount_amount]]+Table1_1[[#This Row],[Shipping_Cost]],"")</f>
        <v>1199</v>
      </c>
      <c r="U169">
        <f>IFERROR(Table1_1[[#This Row],[Net_Sale]]-(Table1_1[[#This Row],[Gross_Sales]]*70%),"")</f>
        <v>359.70000000000005</v>
      </c>
      <c r="V169" s="7">
        <f>IFERROR(Table1_1[[#This Row],[Profit]]/Table1_1[[#This Row],[Net_Sale]],"")</f>
        <v>0.30000000000000004</v>
      </c>
      <c r="W169" t="str">
        <f>TEXT(Table1_1[[#This Row],[Order_Date]],"mmm")</f>
        <v>Oct</v>
      </c>
    </row>
    <row r="170" spans="1:23" x14ac:dyDescent="0.25">
      <c r="A170" t="s">
        <v>396</v>
      </c>
      <c r="B170" t="s">
        <v>296</v>
      </c>
      <c r="C170" s="6">
        <v>45673</v>
      </c>
      <c r="D170" t="s">
        <v>44</v>
      </c>
      <c r="E170" t="s">
        <v>45</v>
      </c>
      <c r="F170" t="s">
        <v>46</v>
      </c>
      <c r="G170" t="s">
        <v>47</v>
      </c>
      <c r="H170">
        <v>2</v>
      </c>
      <c r="I170">
        <v>1199</v>
      </c>
      <c r="J170">
        <v>0.15</v>
      </c>
      <c r="K170">
        <v>59</v>
      </c>
      <c r="L170" t="s">
        <v>57</v>
      </c>
      <c r="M170" t="s">
        <v>58</v>
      </c>
      <c r="N170" t="s">
        <v>40</v>
      </c>
      <c r="O170" t="s">
        <v>41</v>
      </c>
      <c r="P170" t="s">
        <v>80</v>
      </c>
      <c r="Q170">
        <v>3</v>
      </c>
      <c r="R170">
        <f>IFERROR(Table1_1[[#This Row],[Unit_Price]]*Table1_1[[#This Row],[Quantity]],"")</f>
        <v>2398</v>
      </c>
      <c r="S170">
        <f>IFERROR(Table1_1[[#This Row],[Gross_Sales]]*Table1_1[[#This Row],[Discount_%]],"")</f>
        <v>359.7</v>
      </c>
      <c r="T170">
        <f>IFERROR(Table1_1[[#This Row],[Gross_Sales]]-Table1_1[[#This Row],[Discount_amount]]+Table1_1[[#This Row],[Shipping_Cost]],"")</f>
        <v>2097.3000000000002</v>
      </c>
      <c r="U170">
        <f>IFERROR(Table1_1[[#This Row],[Net_Sale]]-(Table1_1[[#This Row],[Gross_Sales]]*70%),"")</f>
        <v>418.70000000000027</v>
      </c>
      <c r="V170" s="7">
        <f>IFERROR(Table1_1[[#This Row],[Profit]]/Table1_1[[#This Row],[Net_Sale]],"")</f>
        <v>0.19963762933295201</v>
      </c>
      <c r="W170" t="str">
        <f>TEXT(Table1_1[[#This Row],[Order_Date]],"mmm")</f>
        <v>Jan</v>
      </c>
    </row>
    <row r="171" spans="1:23" x14ac:dyDescent="0.25">
      <c r="A171" t="s">
        <v>397</v>
      </c>
      <c r="B171" t="s">
        <v>398</v>
      </c>
      <c r="C171" s="6">
        <v>45695</v>
      </c>
      <c r="D171" t="s">
        <v>25</v>
      </c>
      <c r="E171" t="s">
        <v>26</v>
      </c>
      <c r="F171" t="s">
        <v>27</v>
      </c>
      <c r="G171" t="s">
        <v>28</v>
      </c>
      <c r="H171">
        <v>1</v>
      </c>
      <c r="I171">
        <v>249</v>
      </c>
      <c r="J171">
        <v>0.1</v>
      </c>
      <c r="K171">
        <v>79</v>
      </c>
      <c r="L171" t="s">
        <v>57</v>
      </c>
      <c r="M171" t="s">
        <v>58</v>
      </c>
      <c r="N171" t="s">
        <v>40</v>
      </c>
      <c r="O171" t="s">
        <v>41</v>
      </c>
      <c r="P171" t="s">
        <v>33</v>
      </c>
      <c r="Q171">
        <v>3</v>
      </c>
      <c r="R171">
        <f>IFERROR(Table1_1[[#This Row],[Unit_Price]]*Table1_1[[#This Row],[Quantity]],"")</f>
        <v>249</v>
      </c>
      <c r="S171">
        <f>IFERROR(Table1_1[[#This Row],[Gross_Sales]]*Table1_1[[#This Row],[Discount_%]],"")</f>
        <v>24.900000000000002</v>
      </c>
      <c r="T171">
        <f>IFERROR(Table1_1[[#This Row],[Gross_Sales]]-Table1_1[[#This Row],[Discount_amount]]+Table1_1[[#This Row],[Shipping_Cost]],"")</f>
        <v>303.10000000000002</v>
      </c>
      <c r="U171">
        <f>IFERROR(Table1_1[[#This Row],[Net_Sale]]-(Table1_1[[#This Row],[Gross_Sales]]*70%),"")</f>
        <v>128.80000000000004</v>
      </c>
      <c r="V171" s="7">
        <f>IFERROR(Table1_1[[#This Row],[Profit]]/Table1_1[[#This Row],[Net_Sale]],"")</f>
        <v>0.42494226327944584</v>
      </c>
      <c r="W171" t="str">
        <f>TEXT(Table1_1[[#This Row],[Order_Date]],"mmm")</f>
        <v>Feb</v>
      </c>
    </row>
    <row r="172" spans="1:23" x14ac:dyDescent="0.25">
      <c r="A172" t="s">
        <v>399</v>
      </c>
      <c r="B172" t="s">
        <v>400</v>
      </c>
      <c r="C172" s="6">
        <v>45821</v>
      </c>
      <c r="D172" t="s">
        <v>44</v>
      </c>
      <c r="E172" t="s">
        <v>45</v>
      </c>
      <c r="F172" t="s">
        <v>46</v>
      </c>
      <c r="G172" t="s">
        <v>47</v>
      </c>
      <c r="H172">
        <v>1</v>
      </c>
      <c r="I172">
        <v>1199</v>
      </c>
      <c r="J172">
        <v>0.1</v>
      </c>
      <c r="K172">
        <v>49</v>
      </c>
      <c r="L172" t="s">
        <v>100</v>
      </c>
      <c r="M172" t="s">
        <v>101</v>
      </c>
      <c r="N172" t="s">
        <v>102</v>
      </c>
      <c r="O172" t="s">
        <v>32</v>
      </c>
      <c r="P172" t="s">
        <v>33</v>
      </c>
      <c r="Q172">
        <v>1</v>
      </c>
      <c r="R172">
        <f>IFERROR(Table1_1[[#This Row],[Unit_Price]]*Table1_1[[#This Row],[Quantity]],"")</f>
        <v>1199</v>
      </c>
      <c r="S172">
        <f>IFERROR(Table1_1[[#This Row],[Gross_Sales]]*Table1_1[[#This Row],[Discount_%]],"")</f>
        <v>119.9</v>
      </c>
      <c r="T172">
        <f>IFERROR(Table1_1[[#This Row],[Gross_Sales]]-Table1_1[[#This Row],[Discount_amount]]+Table1_1[[#This Row],[Shipping_Cost]],"")</f>
        <v>1128.0999999999999</v>
      </c>
      <c r="U172">
        <f>IFERROR(Table1_1[[#This Row],[Net_Sale]]-(Table1_1[[#This Row],[Gross_Sales]]*70%),"")</f>
        <v>288.79999999999995</v>
      </c>
      <c r="V172" s="7">
        <f>IFERROR(Table1_1[[#This Row],[Profit]]/Table1_1[[#This Row],[Net_Sale]],"")</f>
        <v>0.256005673255917</v>
      </c>
      <c r="W172" t="str">
        <f>TEXT(Table1_1[[#This Row],[Order_Date]],"mmm")</f>
        <v>Jun</v>
      </c>
    </row>
    <row r="173" spans="1:23" x14ac:dyDescent="0.25">
      <c r="A173" t="s">
        <v>402</v>
      </c>
      <c r="B173" t="s">
        <v>403</v>
      </c>
      <c r="C173" s="6">
        <v>45794</v>
      </c>
      <c r="D173" t="s">
        <v>169</v>
      </c>
      <c r="E173" t="s">
        <v>170</v>
      </c>
      <c r="F173" t="s">
        <v>98</v>
      </c>
      <c r="G173" t="s">
        <v>171</v>
      </c>
      <c r="H173">
        <v>2</v>
      </c>
      <c r="I173">
        <v>799</v>
      </c>
      <c r="J173">
        <v>0</v>
      </c>
      <c r="K173">
        <v>0</v>
      </c>
      <c r="L173" t="s">
        <v>113</v>
      </c>
      <c r="M173" t="s">
        <v>114</v>
      </c>
      <c r="N173" t="s">
        <v>40</v>
      </c>
      <c r="O173" t="s">
        <v>32</v>
      </c>
      <c r="P173" t="s">
        <v>33</v>
      </c>
      <c r="Q173">
        <v>4</v>
      </c>
      <c r="R173">
        <f>IFERROR(Table1_1[[#This Row],[Unit_Price]]*Table1_1[[#This Row],[Quantity]],"")</f>
        <v>1598</v>
      </c>
      <c r="S173">
        <f>IFERROR(Table1_1[[#This Row],[Gross_Sales]]*Table1_1[[#This Row],[Discount_%]],"")</f>
        <v>0</v>
      </c>
      <c r="T173">
        <f>IFERROR(Table1_1[[#This Row],[Gross_Sales]]-Table1_1[[#This Row],[Discount_amount]]+Table1_1[[#This Row],[Shipping_Cost]],"")</f>
        <v>1598</v>
      </c>
      <c r="U173">
        <f>IFERROR(Table1_1[[#This Row],[Net_Sale]]-(Table1_1[[#This Row],[Gross_Sales]]*70%),"")</f>
        <v>479.40000000000009</v>
      </c>
      <c r="V173" s="7">
        <f>IFERROR(Table1_1[[#This Row],[Profit]]/Table1_1[[#This Row],[Net_Sale]],"")</f>
        <v>0.30000000000000004</v>
      </c>
      <c r="W173" t="str">
        <f>TEXT(Table1_1[[#This Row],[Order_Date]],"mmm")</f>
        <v>May</v>
      </c>
    </row>
    <row r="174" spans="1:23" x14ac:dyDescent="0.25">
      <c r="A174" t="s">
        <v>404</v>
      </c>
      <c r="B174" t="s">
        <v>372</v>
      </c>
      <c r="C174" s="6">
        <v>45953</v>
      </c>
      <c r="D174" t="s">
        <v>67</v>
      </c>
      <c r="E174" t="s">
        <v>68</v>
      </c>
      <c r="F174" t="s">
        <v>37</v>
      </c>
      <c r="G174" t="s">
        <v>38</v>
      </c>
      <c r="H174">
        <v>3</v>
      </c>
      <c r="I174">
        <v>1299</v>
      </c>
      <c r="J174">
        <v>0</v>
      </c>
      <c r="K174">
        <v>79</v>
      </c>
      <c r="L174" t="s">
        <v>100</v>
      </c>
      <c r="M174" t="s">
        <v>101</v>
      </c>
      <c r="N174" t="s">
        <v>40</v>
      </c>
      <c r="O174" t="s">
        <v>59</v>
      </c>
      <c r="P174" t="s">
        <v>33</v>
      </c>
      <c r="Q174">
        <v>3</v>
      </c>
      <c r="R174">
        <f>IFERROR(Table1_1[[#This Row],[Unit_Price]]*Table1_1[[#This Row],[Quantity]],"")</f>
        <v>3897</v>
      </c>
      <c r="S174">
        <f>IFERROR(Table1_1[[#This Row],[Gross_Sales]]*Table1_1[[#This Row],[Discount_%]],"")</f>
        <v>0</v>
      </c>
      <c r="T174">
        <f>IFERROR(Table1_1[[#This Row],[Gross_Sales]]-Table1_1[[#This Row],[Discount_amount]]+Table1_1[[#This Row],[Shipping_Cost]],"")</f>
        <v>3976</v>
      </c>
      <c r="U174">
        <f>IFERROR(Table1_1[[#This Row],[Net_Sale]]-(Table1_1[[#This Row],[Gross_Sales]]*70%),"")</f>
        <v>1248.1000000000004</v>
      </c>
      <c r="V174" s="7">
        <f>IFERROR(Table1_1[[#This Row],[Profit]]/Table1_1[[#This Row],[Net_Sale]],"")</f>
        <v>0.31390845070422546</v>
      </c>
      <c r="W174" t="str">
        <f>TEXT(Table1_1[[#This Row],[Order_Date]],"mmm")</f>
        <v>Oct</v>
      </c>
    </row>
    <row r="175" spans="1:23" x14ac:dyDescent="0.25">
      <c r="A175" t="s">
        <v>405</v>
      </c>
      <c r="B175" t="s">
        <v>1618</v>
      </c>
      <c r="C175" s="6">
        <v>45859</v>
      </c>
      <c r="D175" t="s">
        <v>90</v>
      </c>
      <c r="E175" t="s">
        <v>91</v>
      </c>
      <c r="F175" t="s">
        <v>37</v>
      </c>
      <c r="G175" t="s">
        <v>92</v>
      </c>
      <c r="H175">
        <v>1</v>
      </c>
      <c r="I175">
        <v>3499</v>
      </c>
      <c r="J175">
        <v>0</v>
      </c>
      <c r="K175">
        <v>99</v>
      </c>
      <c r="L175" t="s">
        <v>39</v>
      </c>
      <c r="M175" t="s">
        <v>39</v>
      </c>
      <c r="N175" t="s">
        <v>31</v>
      </c>
      <c r="O175" t="s">
        <v>93</v>
      </c>
      <c r="P175" t="s">
        <v>33</v>
      </c>
      <c r="Q175">
        <v>3</v>
      </c>
      <c r="R175">
        <f>IFERROR(Table1_1[[#This Row],[Unit_Price]]*Table1_1[[#This Row],[Quantity]],"")</f>
        <v>3499</v>
      </c>
      <c r="S175">
        <f>IFERROR(Table1_1[[#This Row],[Gross_Sales]]*Table1_1[[#This Row],[Discount_%]],"")</f>
        <v>0</v>
      </c>
      <c r="T175">
        <f>IFERROR(Table1_1[[#This Row],[Gross_Sales]]-Table1_1[[#This Row],[Discount_amount]]+Table1_1[[#This Row],[Shipping_Cost]],"")</f>
        <v>3598</v>
      </c>
      <c r="U175">
        <f>IFERROR(Table1_1[[#This Row],[Net_Sale]]-(Table1_1[[#This Row],[Gross_Sales]]*70%),"")</f>
        <v>1148.7000000000003</v>
      </c>
      <c r="V175" s="7">
        <f>IFERROR(Table1_1[[#This Row],[Profit]]/Table1_1[[#This Row],[Net_Sale]],"")</f>
        <v>0.31926070038910515</v>
      </c>
      <c r="W175" t="str">
        <f>TEXT(Table1_1[[#This Row],[Order_Date]],"mmm")</f>
        <v>Jul</v>
      </c>
    </row>
    <row r="176" spans="1:23" x14ac:dyDescent="0.25">
      <c r="A176" t="s">
        <v>406</v>
      </c>
      <c r="B176" t="s">
        <v>407</v>
      </c>
      <c r="C176" s="6">
        <v>45992</v>
      </c>
      <c r="D176" t="s">
        <v>90</v>
      </c>
      <c r="E176" t="s">
        <v>91</v>
      </c>
      <c r="F176" t="s">
        <v>37</v>
      </c>
      <c r="G176" t="s">
        <v>92</v>
      </c>
      <c r="H176">
        <v>3</v>
      </c>
      <c r="I176">
        <v>3499</v>
      </c>
      <c r="J176">
        <v>0.15</v>
      </c>
      <c r="K176">
        <v>0</v>
      </c>
      <c r="L176" t="s">
        <v>125</v>
      </c>
      <c r="M176" t="s">
        <v>126</v>
      </c>
      <c r="N176" t="s">
        <v>40</v>
      </c>
      <c r="O176" t="s">
        <v>41</v>
      </c>
      <c r="P176" t="s">
        <v>33</v>
      </c>
      <c r="Q176">
        <v>3</v>
      </c>
      <c r="R176">
        <f>IFERROR(Table1_1[[#This Row],[Unit_Price]]*Table1_1[[#This Row],[Quantity]],"")</f>
        <v>10497</v>
      </c>
      <c r="S176">
        <f>IFERROR(Table1_1[[#This Row],[Gross_Sales]]*Table1_1[[#This Row],[Discount_%]],"")</f>
        <v>1574.55</v>
      </c>
      <c r="T176">
        <f>IFERROR(Table1_1[[#This Row],[Gross_Sales]]-Table1_1[[#This Row],[Discount_amount]]+Table1_1[[#This Row],[Shipping_Cost]],"")</f>
        <v>8922.4500000000007</v>
      </c>
      <c r="U176">
        <f>IFERROR(Table1_1[[#This Row],[Net_Sale]]-(Table1_1[[#This Row],[Gross_Sales]]*70%),"")</f>
        <v>1574.5500000000011</v>
      </c>
      <c r="V176" s="7">
        <f>IFERROR(Table1_1[[#This Row],[Profit]]/Table1_1[[#This Row],[Net_Sale]],"")</f>
        <v>0.17647058823529421</v>
      </c>
      <c r="W176" t="str">
        <f>TEXT(Table1_1[[#This Row],[Order_Date]],"mmm")</f>
        <v>Dec</v>
      </c>
    </row>
    <row r="177" spans="1:23" x14ac:dyDescent="0.25">
      <c r="A177" t="s">
        <v>408</v>
      </c>
      <c r="B177" t="s">
        <v>409</v>
      </c>
      <c r="C177" s="6">
        <v>45845</v>
      </c>
      <c r="D177" t="s">
        <v>77</v>
      </c>
      <c r="E177" t="s">
        <v>78</v>
      </c>
      <c r="F177" t="s">
        <v>79</v>
      </c>
      <c r="G177" t="s">
        <v>28</v>
      </c>
      <c r="H177">
        <v>3</v>
      </c>
      <c r="I177">
        <v>6499</v>
      </c>
      <c r="J177">
        <v>0.15</v>
      </c>
      <c r="K177">
        <v>99</v>
      </c>
      <c r="L177" t="s">
        <v>74</v>
      </c>
      <c r="M177" t="s">
        <v>49</v>
      </c>
      <c r="N177" t="s">
        <v>71</v>
      </c>
      <c r="O177" t="s">
        <v>32</v>
      </c>
      <c r="P177" t="s">
        <v>33</v>
      </c>
      <c r="Q177">
        <v>3</v>
      </c>
      <c r="R177">
        <f>IFERROR(Table1_1[[#This Row],[Unit_Price]]*Table1_1[[#This Row],[Quantity]],"")</f>
        <v>19497</v>
      </c>
      <c r="S177">
        <f>IFERROR(Table1_1[[#This Row],[Gross_Sales]]*Table1_1[[#This Row],[Discount_%]],"")</f>
        <v>2924.5499999999997</v>
      </c>
      <c r="T177">
        <f>IFERROR(Table1_1[[#This Row],[Gross_Sales]]-Table1_1[[#This Row],[Discount_amount]]+Table1_1[[#This Row],[Shipping_Cost]],"")</f>
        <v>16671.45</v>
      </c>
      <c r="U177">
        <f>IFERROR(Table1_1[[#This Row],[Net_Sale]]-(Table1_1[[#This Row],[Gross_Sales]]*70%),"")</f>
        <v>3023.5500000000011</v>
      </c>
      <c r="V177" s="7">
        <f>IFERROR(Table1_1[[#This Row],[Profit]]/Table1_1[[#This Row],[Net_Sale]],"")</f>
        <v>0.18136094940752009</v>
      </c>
      <c r="W177" t="str">
        <f>TEXT(Table1_1[[#This Row],[Order_Date]],"mmm")</f>
        <v>Jul</v>
      </c>
    </row>
    <row r="178" spans="1:23" x14ac:dyDescent="0.25">
      <c r="A178" t="s">
        <v>410</v>
      </c>
      <c r="B178" t="s">
        <v>411</v>
      </c>
      <c r="C178" s="6">
        <v>45939</v>
      </c>
      <c r="D178" t="s">
        <v>55</v>
      </c>
      <c r="E178" t="s">
        <v>56</v>
      </c>
      <c r="F178" t="s">
        <v>37</v>
      </c>
      <c r="G178" t="s">
        <v>38</v>
      </c>
      <c r="H178">
        <v>2</v>
      </c>
      <c r="I178">
        <v>2499</v>
      </c>
      <c r="J178">
        <v>0.2</v>
      </c>
      <c r="K178">
        <v>99</v>
      </c>
      <c r="L178" t="s">
        <v>57</v>
      </c>
      <c r="M178" t="s">
        <v>58</v>
      </c>
      <c r="N178" t="s">
        <v>50</v>
      </c>
      <c r="O178" t="s">
        <v>93</v>
      </c>
      <c r="P178" t="s">
        <v>85</v>
      </c>
      <c r="Q178">
        <v>4</v>
      </c>
      <c r="R178">
        <f>IFERROR(Table1_1[[#This Row],[Unit_Price]]*Table1_1[[#This Row],[Quantity]],"")</f>
        <v>4998</v>
      </c>
      <c r="S178">
        <f>IFERROR(Table1_1[[#This Row],[Gross_Sales]]*Table1_1[[#This Row],[Discount_%]],"")</f>
        <v>999.6</v>
      </c>
      <c r="T178">
        <f>IFERROR(Table1_1[[#This Row],[Gross_Sales]]-Table1_1[[#This Row],[Discount_amount]]+Table1_1[[#This Row],[Shipping_Cost]],"")</f>
        <v>4097.3999999999996</v>
      </c>
      <c r="U178">
        <f>IFERROR(Table1_1[[#This Row],[Net_Sale]]-(Table1_1[[#This Row],[Gross_Sales]]*70%),"")</f>
        <v>598.79999999999973</v>
      </c>
      <c r="V178" s="7">
        <f>IFERROR(Table1_1[[#This Row],[Profit]]/Table1_1[[#This Row],[Net_Sale]],"")</f>
        <v>0.14614145555718255</v>
      </c>
      <c r="W178" t="str">
        <f>TEXT(Table1_1[[#This Row],[Order_Date]],"mmm")</f>
        <v>Oct</v>
      </c>
    </row>
    <row r="179" spans="1:23" x14ac:dyDescent="0.25">
      <c r="A179" t="s">
        <v>412</v>
      </c>
      <c r="B179" t="s">
        <v>278</v>
      </c>
      <c r="C179" s="6">
        <v>45845</v>
      </c>
      <c r="D179" t="s">
        <v>169</v>
      </c>
      <c r="E179" t="s">
        <v>170</v>
      </c>
      <c r="F179" t="s">
        <v>98</v>
      </c>
      <c r="G179" t="s">
        <v>171</v>
      </c>
      <c r="H179">
        <v>2</v>
      </c>
      <c r="I179">
        <v>799</v>
      </c>
      <c r="J179">
        <v>0.15</v>
      </c>
      <c r="K179">
        <v>79</v>
      </c>
      <c r="L179" t="s">
        <v>74</v>
      </c>
      <c r="M179" t="s">
        <v>49</v>
      </c>
      <c r="N179" t="s">
        <v>31</v>
      </c>
      <c r="O179" t="s">
        <v>93</v>
      </c>
      <c r="P179" t="s">
        <v>85</v>
      </c>
      <c r="Q179">
        <v>1</v>
      </c>
      <c r="R179">
        <f>IFERROR(Table1_1[[#This Row],[Unit_Price]]*Table1_1[[#This Row],[Quantity]],"")</f>
        <v>1598</v>
      </c>
      <c r="S179">
        <f>IFERROR(Table1_1[[#This Row],[Gross_Sales]]*Table1_1[[#This Row],[Discount_%]],"")</f>
        <v>239.7</v>
      </c>
      <c r="T179">
        <f>IFERROR(Table1_1[[#This Row],[Gross_Sales]]-Table1_1[[#This Row],[Discount_amount]]+Table1_1[[#This Row],[Shipping_Cost]],"")</f>
        <v>1437.3</v>
      </c>
      <c r="U179">
        <f>IFERROR(Table1_1[[#This Row],[Net_Sale]]-(Table1_1[[#This Row],[Gross_Sales]]*70%),"")</f>
        <v>318.70000000000005</v>
      </c>
      <c r="V179" s="7">
        <f>IFERROR(Table1_1[[#This Row],[Profit]]/Table1_1[[#This Row],[Net_Sale]],"")</f>
        <v>0.22173519794058308</v>
      </c>
      <c r="W179" t="str">
        <f>TEXT(Table1_1[[#This Row],[Order_Date]],"mmm")</f>
        <v>Jul</v>
      </c>
    </row>
    <row r="180" spans="1:23" x14ac:dyDescent="0.25">
      <c r="A180" t="s">
        <v>413</v>
      </c>
      <c r="B180" t="s">
        <v>414</v>
      </c>
      <c r="C180" s="6">
        <v>45923</v>
      </c>
      <c r="D180" t="s">
        <v>105</v>
      </c>
      <c r="E180" t="s">
        <v>106</v>
      </c>
      <c r="F180" t="s">
        <v>37</v>
      </c>
      <c r="G180" t="s">
        <v>107</v>
      </c>
      <c r="H180">
        <v>3</v>
      </c>
      <c r="I180">
        <v>1799</v>
      </c>
      <c r="J180">
        <v>0.15</v>
      </c>
      <c r="K180">
        <v>49</v>
      </c>
      <c r="L180" t="s">
        <v>74</v>
      </c>
      <c r="M180" t="s">
        <v>49</v>
      </c>
      <c r="N180" t="s">
        <v>102</v>
      </c>
      <c r="O180" t="s">
        <v>51</v>
      </c>
      <c r="P180" t="s">
        <v>85</v>
      </c>
      <c r="Q180">
        <v>2</v>
      </c>
      <c r="R180">
        <f>IFERROR(Table1_1[[#This Row],[Unit_Price]]*Table1_1[[#This Row],[Quantity]],"")</f>
        <v>5397</v>
      </c>
      <c r="S180">
        <f>IFERROR(Table1_1[[#This Row],[Gross_Sales]]*Table1_1[[#This Row],[Discount_%]],"")</f>
        <v>809.55</v>
      </c>
      <c r="T180">
        <f>IFERROR(Table1_1[[#This Row],[Gross_Sales]]-Table1_1[[#This Row],[Discount_amount]]+Table1_1[[#This Row],[Shipping_Cost]],"")</f>
        <v>4636.45</v>
      </c>
      <c r="U180">
        <f>IFERROR(Table1_1[[#This Row],[Net_Sale]]-(Table1_1[[#This Row],[Gross_Sales]]*70%),"")</f>
        <v>858.55000000000018</v>
      </c>
      <c r="V180" s="7">
        <f>IFERROR(Table1_1[[#This Row],[Profit]]/Table1_1[[#This Row],[Net_Sale]],"")</f>
        <v>0.18517400166075343</v>
      </c>
      <c r="W180" t="str">
        <f>TEXT(Table1_1[[#This Row],[Order_Date]],"mmm")</f>
        <v>Sep</v>
      </c>
    </row>
    <row r="181" spans="1:23" x14ac:dyDescent="0.25">
      <c r="A181" t="s">
        <v>415</v>
      </c>
      <c r="B181" t="s">
        <v>104</v>
      </c>
      <c r="C181" s="6">
        <v>45811</v>
      </c>
      <c r="D181" t="s">
        <v>96</v>
      </c>
      <c r="E181" t="s">
        <v>97</v>
      </c>
      <c r="F181" t="s">
        <v>98</v>
      </c>
      <c r="G181" t="s">
        <v>99</v>
      </c>
      <c r="H181">
        <v>2</v>
      </c>
      <c r="I181">
        <v>1499</v>
      </c>
      <c r="J181">
        <v>0.15</v>
      </c>
      <c r="K181">
        <v>99</v>
      </c>
      <c r="L181" t="s">
        <v>125</v>
      </c>
      <c r="M181" t="s">
        <v>126</v>
      </c>
      <c r="N181" t="s">
        <v>102</v>
      </c>
      <c r="O181" t="s">
        <v>51</v>
      </c>
      <c r="P181" t="s">
        <v>85</v>
      </c>
      <c r="Q181">
        <v>4</v>
      </c>
      <c r="R181">
        <f>IFERROR(Table1_1[[#This Row],[Unit_Price]]*Table1_1[[#This Row],[Quantity]],"")</f>
        <v>2998</v>
      </c>
      <c r="S181">
        <f>IFERROR(Table1_1[[#This Row],[Gross_Sales]]*Table1_1[[#This Row],[Discount_%]],"")</f>
        <v>449.7</v>
      </c>
      <c r="T181">
        <f>IFERROR(Table1_1[[#This Row],[Gross_Sales]]-Table1_1[[#This Row],[Discount_amount]]+Table1_1[[#This Row],[Shipping_Cost]],"")</f>
        <v>2647.3</v>
      </c>
      <c r="U181">
        <f>IFERROR(Table1_1[[#This Row],[Net_Sale]]-(Table1_1[[#This Row],[Gross_Sales]]*70%),"")</f>
        <v>548.70000000000027</v>
      </c>
      <c r="V181" s="7">
        <f>IFERROR(Table1_1[[#This Row],[Profit]]/Table1_1[[#This Row],[Net_Sale]],"")</f>
        <v>0.20726778226872672</v>
      </c>
      <c r="W181" t="str">
        <f>TEXT(Table1_1[[#This Row],[Order_Date]],"mmm")</f>
        <v>Jun</v>
      </c>
    </row>
    <row r="182" spans="1:23" x14ac:dyDescent="0.25">
      <c r="A182" t="s">
        <v>416</v>
      </c>
      <c r="B182" t="s">
        <v>417</v>
      </c>
      <c r="C182" s="6">
        <v>45714</v>
      </c>
      <c r="D182" t="s">
        <v>35</v>
      </c>
      <c r="E182" t="s">
        <v>36</v>
      </c>
      <c r="F182" t="s">
        <v>37</v>
      </c>
      <c r="G182" t="s">
        <v>38</v>
      </c>
      <c r="H182">
        <v>1</v>
      </c>
      <c r="I182">
        <v>599</v>
      </c>
      <c r="J182">
        <v>0.2</v>
      </c>
      <c r="K182">
        <v>0</v>
      </c>
      <c r="L182" t="s">
        <v>74</v>
      </c>
      <c r="M182" t="s">
        <v>49</v>
      </c>
      <c r="N182" t="s">
        <v>71</v>
      </c>
      <c r="O182" t="s">
        <v>32</v>
      </c>
      <c r="P182" t="s">
        <v>33</v>
      </c>
      <c r="Q182">
        <v>5</v>
      </c>
      <c r="R182">
        <f>IFERROR(Table1_1[[#This Row],[Unit_Price]]*Table1_1[[#This Row],[Quantity]],"")</f>
        <v>599</v>
      </c>
      <c r="S182">
        <f>IFERROR(Table1_1[[#This Row],[Gross_Sales]]*Table1_1[[#This Row],[Discount_%]],"")</f>
        <v>119.80000000000001</v>
      </c>
      <c r="T182">
        <f>IFERROR(Table1_1[[#This Row],[Gross_Sales]]-Table1_1[[#This Row],[Discount_amount]]+Table1_1[[#This Row],[Shipping_Cost]],"")</f>
        <v>479.2</v>
      </c>
      <c r="U182">
        <f>IFERROR(Table1_1[[#This Row],[Net_Sale]]-(Table1_1[[#This Row],[Gross_Sales]]*70%),"")</f>
        <v>59.900000000000034</v>
      </c>
      <c r="V182" s="7">
        <f>IFERROR(Table1_1[[#This Row],[Profit]]/Table1_1[[#This Row],[Net_Sale]],"")</f>
        <v>0.12500000000000008</v>
      </c>
      <c r="W182" t="str">
        <f>TEXT(Table1_1[[#This Row],[Order_Date]],"mmm")</f>
        <v>Feb</v>
      </c>
    </row>
    <row r="183" spans="1:23" x14ac:dyDescent="0.25">
      <c r="A183" t="s">
        <v>418</v>
      </c>
      <c r="B183" t="s">
        <v>292</v>
      </c>
      <c r="C183" s="6">
        <v>45745</v>
      </c>
      <c r="D183" t="s">
        <v>67</v>
      </c>
      <c r="E183" t="s">
        <v>68</v>
      </c>
      <c r="F183" t="s">
        <v>37</v>
      </c>
      <c r="G183" t="s">
        <v>38</v>
      </c>
      <c r="H183">
        <v>2</v>
      </c>
      <c r="I183">
        <v>1299</v>
      </c>
      <c r="J183">
        <v>0.15</v>
      </c>
      <c r="K183">
        <v>79</v>
      </c>
      <c r="L183" t="s">
        <v>39</v>
      </c>
      <c r="M183" t="s">
        <v>39</v>
      </c>
      <c r="N183" t="s">
        <v>50</v>
      </c>
      <c r="O183" t="s">
        <v>93</v>
      </c>
      <c r="P183" t="s">
        <v>80</v>
      </c>
      <c r="Q183">
        <v>5</v>
      </c>
      <c r="R183">
        <f>IFERROR(Table1_1[[#This Row],[Unit_Price]]*Table1_1[[#This Row],[Quantity]],"")</f>
        <v>2598</v>
      </c>
      <c r="S183">
        <f>IFERROR(Table1_1[[#This Row],[Gross_Sales]]*Table1_1[[#This Row],[Discount_%]],"")</f>
        <v>389.7</v>
      </c>
      <c r="T183">
        <f>IFERROR(Table1_1[[#This Row],[Gross_Sales]]-Table1_1[[#This Row],[Discount_amount]]+Table1_1[[#This Row],[Shipping_Cost]],"")</f>
        <v>2287.3000000000002</v>
      </c>
      <c r="U183">
        <f>IFERROR(Table1_1[[#This Row],[Net_Sale]]-(Table1_1[[#This Row],[Gross_Sales]]*70%),"")</f>
        <v>468.70000000000027</v>
      </c>
      <c r="V183" s="7">
        <f>IFERROR(Table1_1[[#This Row],[Profit]]/Table1_1[[#This Row],[Net_Sale]],"")</f>
        <v>0.20491409084947329</v>
      </c>
      <c r="W183" t="str">
        <f>TEXT(Table1_1[[#This Row],[Order_Date]],"mmm")</f>
        <v>Mar</v>
      </c>
    </row>
    <row r="184" spans="1:23" x14ac:dyDescent="0.25">
      <c r="A184" t="s">
        <v>419</v>
      </c>
      <c r="B184" t="s">
        <v>420</v>
      </c>
      <c r="C184" s="6">
        <v>45883</v>
      </c>
      <c r="D184" t="s">
        <v>77</v>
      </c>
      <c r="E184" t="s">
        <v>78</v>
      </c>
      <c r="F184" t="s">
        <v>79</v>
      </c>
      <c r="G184" t="s">
        <v>28</v>
      </c>
      <c r="H184">
        <v>1</v>
      </c>
      <c r="I184">
        <v>6499</v>
      </c>
      <c r="J184">
        <v>0.1</v>
      </c>
      <c r="K184">
        <v>49</v>
      </c>
      <c r="L184" t="s">
        <v>29</v>
      </c>
      <c r="M184" t="s">
        <v>30</v>
      </c>
      <c r="N184" t="s">
        <v>102</v>
      </c>
      <c r="O184" t="s">
        <v>32</v>
      </c>
      <c r="P184" t="s">
        <v>33</v>
      </c>
      <c r="Q184">
        <v>4</v>
      </c>
      <c r="R184">
        <f>IFERROR(Table1_1[[#This Row],[Unit_Price]]*Table1_1[[#This Row],[Quantity]],"")</f>
        <v>6499</v>
      </c>
      <c r="S184">
        <f>IFERROR(Table1_1[[#This Row],[Gross_Sales]]*Table1_1[[#This Row],[Discount_%]],"")</f>
        <v>649.90000000000009</v>
      </c>
      <c r="T184">
        <f>IFERROR(Table1_1[[#This Row],[Gross_Sales]]-Table1_1[[#This Row],[Discount_amount]]+Table1_1[[#This Row],[Shipping_Cost]],"")</f>
        <v>5898.1</v>
      </c>
      <c r="U184">
        <f>IFERROR(Table1_1[[#This Row],[Net_Sale]]-(Table1_1[[#This Row],[Gross_Sales]]*70%),"")</f>
        <v>1348.8000000000011</v>
      </c>
      <c r="V184" s="7">
        <f>IFERROR(Table1_1[[#This Row],[Profit]]/Table1_1[[#This Row],[Net_Sale]],"")</f>
        <v>0.2286838134314442</v>
      </c>
      <c r="W184" t="str">
        <f>TEXT(Table1_1[[#This Row],[Order_Date]],"mmm")</f>
        <v>Aug</v>
      </c>
    </row>
    <row r="185" spans="1:23" x14ac:dyDescent="0.25">
      <c r="A185" t="s">
        <v>421</v>
      </c>
      <c r="B185" t="s">
        <v>422</v>
      </c>
      <c r="C185" s="6">
        <v>45923</v>
      </c>
      <c r="D185" t="s">
        <v>77</v>
      </c>
      <c r="E185" t="s">
        <v>78</v>
      </c>
      <c r="F185" t="s">
        <v>79</v>
      </c>
      <c r="G185" t="s">
        <v>28</v>
      </c>
      <c r="H185">
        <v>2</v>
      </c>
      <c r="I185">
        <v>6499</v>
      </c>
      <c r="J185">
        <v>0.2</v>
      </c>
      <c r="K185">
        <v>79</v>
      </c>
      <c r="L185" t="s">
        <v>39</v>
      </c>
      <c r="M185" t="s">
        <v>39</v>
      </c>
      <c r="N185" t="s">
        <v>40</v>
      </c>
      <c r="O185" t="s">
        <v>51</v>
      </c>
      <c r="P185" t="s">
        <v>33</v>
      </c>
      <c r="Q185">
        <v>2</v>
      </c>
      <c r="R185">
        <f>IFERROR(Table1_1[[#This Row],[Unit_Price]]*Table1_1[[#This Row],[Quantity]],"")</f>
        <v>12998</v>
      </c>
      <c r="S185">
        <f>IFERROR(Table1_1[[#This Row],[Gross_Sales]]*Table1_1[[#This Row],[Discount_%]],"")</f>
        <v>2599.6000000000004</v>
      </c>
      <c r="T185">
        <f>IFERROR(Table1_1[[#This Row],[Gross_Sales]]-Table1_1[[#This Row],[Discount_amount]]+Table1_1[[#This Row],[Shipping_Cost]],"")</f>
        <v>10477.4</v>
      </c>
      <c r="U185">
        <f>IFERROR(Table1_1[[#This Row],[Net_Sale]]-(Table1_1[[#This Row],[Gross_Sales]]*70%),"")</f>
        <v>1378.8000000000011</v>
      </c>
      <c r="V185" s="7">
        <f>IFERROR(Table1_1[[#This Row],[Profit]]/Table1_1[[#This Row],[Net_Sale]],"")</f>
        <v>0.13159753373928657</v>
      </c>
      <c r="W185" t="str">
        <f>TEXT(Table1_1[[#This Row],[Order_Date]],"mmm")</f>
        <v>Sep</v>
      </c>
    </row>
    <row r="186" spans="1:23" x14ac:dyDescent="0.25">
      <c r="A186" t="s">
        <v>423</v>
      </c>
      <c r="B186" t="s">
        <v>398</v>
      </c>
      <c r="C186" s="6">
        <v>45839</v>
      </c>
      <c r="D186" t="s">
        <v>90</v>
      </c>
      <c r="E186" t="s">
        <v>91</v>
      </c>
      <c r="F186" t="s">
        <v>37</v>
      </c>
      <c r="G186" t="s">
        <v>92</v>
      </c>
      <c r="H186">
        <v>1</v>
      </c>
      <c r="I186">
        <v>3499</v>
      </c>
      <c r="J186">
        <v>0.2</v>
      </c>
      <c r="K186">
        <v>59</v>
      </c>
      <c r="L186" t="s">
        <v>83</v>
      </c>
      <c r="M186" t="s">
        <v>84</v>
      </c>
      <c r="N186" t="s">
        <v>50</v>
      </c>
      <c r="O186" t="s">
        <v>41</v>
      </c>
      <c r="P186" t="s">
        <v>80</v>
      </c>
      <c r="Q186">
        <v>3</v>
      </c>
      <c r="R186">
        <f>IFERROR(Table1_1[[#This Row],[Unit_Price]]*Table1_1[[#This Row],[Quantity]],"")</f>
        <v>3499</v>
      </c>
      <c r="S186">
        <f>IFERROR(Table1_1[[#This Row],[Gross_Sales]]*Table1_1[[#This Row],[Discount_%]],"")</f>
        <v>699.80000000000007</v>
      </c>
      <c r="T186">
        <f>IFERROR(Table1_1[[#This Row],[Gross_Sales]]-Table1_1[[#This Row],[Discount_amount]]+Table1_1[[#This Row],[Shipping_Cost]],"")</f>
        <v>2858.2</v>
      </c>
      <c r="U186">
        <f>IFERROR(Table1_1[[#This Row],[Net_Sale]]-(Table1_1[[#This Row],[Gross_Sales]]*70%),"")</f>
        <v>408.90000000000009</v>
      </c>
      <c r="V186" s="7">
        <f>IFERROR(Table1_1[[#This Row],[Profit]]/Table1_1[[#This Row],[Net_Sale]],"")</f>
        <v>0.14306206703519703</v>
      </c>
      <c r="W186" t="str">
        <f>TEXT(Table1_1[[#This Row],[Order_Date]],"mmm")</f>
        <v>Jul</v>
      </c>
    </row>
    <row r="187" spans="1:23" x14ac:dyDescent="0.25">
      <c r="A187" t="s">
        <v>424</v>
      </c>
      <c r="B187" t="s">
        <v>425</v>
      </c>
      <c r="C187" s="6">
        <v>45810</v>
      </c>
      <c r="D187" t="s">
        <v>62</v>
      </c>
      <c r="E187" t="s">
        <v>63</v>
      </c>
      <c r="F187" t="s">
        <v>46</v>
      </c>
      <c r="G187" t="s">
        <v>64</v>
      </c>
      <c r="H187">
        <v>1</v>
      </c>
      <c r="I187">
        <v>699</v>
      </c>
      <c r="J187">
        <v>0.2</v>
      </c>
      <c r="K187">
        <v>79</v>
      </c>
      <c r="L187" t="s">
        <v>48</v>
      </c>
      <c r="M187" t="s">
        <v>49</v>
      </c>
      <c r="N187" t="s">
        <v>40</v>
      </c>
      <c r="O187" t="s">
        <v>51</v>
      </c>
      <c r="P187" t="s">
        <v>33</v>
      </c>
      <c r="Q187">
        <v>5</v>
      </c>
      <c r="R187">
        <f>IFERROR(Table1_1[[#This Row],[Unit_Price]]*Table1_1[[#This Row],[Quantity]],"")</f>
        <v>699</v>
      </c>
      <c r="S187">
        <f>IFERROR(Table1_1[[#This Row],[Gross_Sales]]*Table1_1[[#This Row],[Discount_%]],"")</f>
        <v>139.80000000000001</v>
      </c>
      <c r="T187">
        <f>IFERROR(Table1_1[[#This Row],[Gross_Sales]]-Table1_1[[#This Row],[Discount_amount]]+Table1_1[[#This Row],[Shipping_Cost]],"")</f>
        <v>638.20000000000005</v>
      </c>
      <c r="U187">
        <f>IFERROR(Table1_1[[#This Row],[Net_Sale]]-(Table1_1[[#This Row],[Gross_Sales]]*70%),"")</f>
        <v>148.90000000000009</v>
      </c>
      <c r="V187" s="7">
        <f>IFERROR(Table1_1[[#This Row],[Profit]]/Table1_1[[#This Row],[Net_Sale]],"")</f>
        <v>0.2333124412409904</v>
      </c>
      <c r="W187" t="str">
        <f>TEXT(Table1_1[[#This Row],[Order_Date]],"mmm")</f>
        <v>Jun</v>
      </c>
    </row>
    <row r="188" spans="1:23" x14ac:dyDescent="0.25">
      <c r="A188" t="s">
        <v>426</v>
      </c>
      <c r="B188" t="s">
        <v>358</v>
      </c>
      <c r="C188" s="6">
        <v>45951</v>
      </c>
      <c r="D188" t="s">
        <v>77</v>
      </c>
      <c r="E188" t="s">
        <v>78</v>
      </c>
      <c r="F188" t="s">
        <v>79</v>
      </c>
      <c r="G188" t="s">
        <v>28</v>
      </c>
      <c r="H188">
        <v>1</v>
      </c>
      <c r="I188">
        <v>6499</v>
      </c>
      <c r="J188">
        <v>0.1</v>
      </c>
      <c r="K188">
        <v>59</v>
      </c>
      <c r="L188" t="s">
        <v>48</v>
      </c>
      <c r="M188" t="s">
        <v>49</v>
      </c>
      <c r="N188" t="s">
        <v>71</v>
      </c>
      <c r="O188" t="s">
        <v>93</v>
      </c>
      <c r="P188" t="s">
        <v>52</v>
      </c>
      <c r="Q188">
        <v>3</v>
      </c>
      <c r="R188">
        <f>IFERROR(Table1_1[[#This Row],[Unit_Price]]*Table1_1[[#This Row],[Quantity]],"")</f>
        <v>6499</v>
      </c>
      <c r="S188">
        <f>IFERROR(Table1_1[[#This Row],[Gross_Sales]]*Table1_1[[#This Row],[Discount_%]],"")</f>
        <v>649.90000000000009</v>
      </c>
      <c r="T188">
        <f>IFERROR(Table1_1[[#This Row],[Gross_Sales]]-Table1_1[[#This Row],[Discount_amount]]+Table1_1[[#This Row],[Shipping_Cost]],"")</f>
        <v>5908.1</v>
      </c>
      <c r="U188">
        <f>IFERROR(Table1_1[[#This Row],[Net_Sale]]-(Table1_1[[#This Row],[Gross_Sales]]*70%),"")</f>
        <v>1358.8000000000011</v>
      </c>
      <c r="V188" s="7">
        <f>IFERROR(Table1_1[[#This Row],[Profit]]/Table1_1[[#This Row],[Net_Sale]],"")</f>
        <v>0.22998933667338078</v>
      </c>
      <c r="W188" t="str">
        <f>TEXT(Table1_1[[#This Row],[Order_Date]],"mmm")</f>
        <v>Oct</v>
      </c>
    </row>
    <row r="189" spans="1:23" x14ac:dyDescent="0.25">
      <c r="A189" t="s">
        <v>427</v>
      </c>
      <c r="B189" t="s">
        <v>428</v>
      </c>
      <c r="C189" s="6">
        <v>45884</v>
      </c>
      <c r="D189" t="s">
        <v>77</v>
      </c>
      <c r="E189" t="s">
        <v>78</v>
      </c>
      <c r="F189" t="s">
        <v>79</v>
      </c>
      <c r="G189" t="s">
        <v>28</v>
      </c>
      <c r="H189">
        <v>1</v>
      </c>
      <c r="I189">
        <v>6499</v>
      </c>
      <c r="J189">
        <v>0.1</v>
      </c>
      <c r="K189">
        <v>49</v>
      </c>
      <c r="L189" t="s">
        <v>29</v>
      </c>
      <c r="M189" t="s">
        <v>30</v>
      </c>
      <c r="N189" t="s">
        <v>102</v>
      </c>
      <c r="O189" t="s">
        <v>51</v>
      </c>
      <c r="P189" t="s">
        <v>80</v>
      </c>
      <c r="Q189">
        <v>5</v>
      </c>
      <c r="R189">
        <f>IFERROR(Table1_1[[#This Row],[Unit_Price]]*Table1_1[[#This Row],[Quantity]],"")</f>
        <v>6499</v>
      </c>
      <c r="S189">
        <f>IFERROR(Table1_1[[#This Row],[Gross_Sales]]*Table1_1[[#This Row],[Discount_%]],"")</f>
        <v>649.90000000000009</v>
      </c>
      <c r="T189">
        <f>IFERROR(Table1_1[[#This Row],[Gross_Sales]]-Table1_1[[#This Row],[Discount_amount]]+Table1_1[[#This Row],[Shipping_Cost]],"")</f>
        <v>5898.1</v>
      </c>
      <c r="U189">
        <f>IFERROR(Table1_1[[#This Row],[Net_Sale]]-(Table1_1[[#This Row],[Gross_Sales]]*70%),"")</f>
        <v>1348.8000000000011</v>
      </c>
      <c r="V189" s="7">
        <f>IFERROR(Table1_1[[#This Row],[Profit]]/Table1_1[[#This Row],[Net_Sale]],"")</f>
        <v>0.2286838134314442</v>
      </c>
      <c r="W189" t="str">
        <f>TEXT(Table1_1[[#This Row],[Order_Date]],"mmm")</f>
        <v>Aug</v>
      </c>
    </row>
    <row r="190" spans="1:23" x14ac:dyDescent="0.25">
      <c r="A190" t="s">
        <v>429</v>
      </c>
      <c r="B190" t="s">
        <v>300</v>
      </c>
      <c r="C190" s="6">
        <v>45973</v>
      </c>
      <c r="D190" t="s">
        <v>77</v>
      </c>
      <c r="E190" t="s">
        <v>78</v>
      </c>
      <c r="F190" t="s">
        <v>79</v>
      </c>
      <c r="G190" t="s">
        <v>28</v>
      </c>
      <c r="H190">
        <v>1</v>
      </c>
      <c r="I190">
        <v>6499</v>
      </c>
      <c r="J190">
        <v>0</v>
      </c>
      <c r="K190">
        <v>0</v>
      </c>
      <c r="L190" t="s">
        <v>48</v>
      </c>
      <c r="M190" t="s">
        <v>49</v>
      </c>
      <c r="N190" t="s">
        <v>430</v>
      </c>
      <c r="O190" t="s">
        <v>41</v>
      </c>
      <c r="P190" t="s">
        <v>33</v>
      </c>
      <c r="Q190">
        <v>1</v>
      </c>
      <c r="R190">
        <f>IFERROR(Table1_1[[#This Row],[Unit_Price]]*Table1_1[[#This Row],[Quantity]],"")</f>
        <v>6499</v>
      </c>
      <c r="S190">
        <f>IFERROR(Table1_1[[#This Row],[Gross_Sales]]*Table1_1[[#This Row],[Discount_%]],"")</f>
        <v>0</v>
      </c>
      <c r="T190">
        <f>IFERROR(Table1_1[[#This Row],[Gross_Sales]]-Table1_1[[#This Row],[Discount_amount]]+Table1_1[[#This Row],[Shipping_Cost]],"")</f>
        <v>6499</v>
      </c>
      <c r="U190">
        <f>IFERROR(Table1_1[[#This Row],[Net_Sale]]-(Table1_1[[#This Row],[Gross_Sales]]*70%),"")</f>
        <v>1949.7000000000007</v>
      </c>
      <c r="V190" s="7">
        <f>IFERROR(Table1_1[[#This Row],[Profit]]/Table1_1[[#This Row],[Net_Sale]],"")</f>
        <v>0.3000000000000001</v>
      </c>
      <c r="W190" t="str">
        <f>TEXT(Table1_1[[#This Row],[Order_Date]],"mmm")</f>
        <v>Nov</v>
      </c>
    </row>
    <row r="191" spans="1:23" x14ac:dyDescent="0.25">
      <c r="A191" t="s">
        <v>431</v>
      </c>
      <c r="B191" t="s">
        <v>1618</v>
      </c>
      <c r="C191" s="6">
        <v>45899</v>
      </c>
      <c r="D191" t="s">
        <v>55</v>
      </c>
      <c r="E191" t="s">
        <v>56</v>
      </c>
      <c r="F191" t="s">
        <v>37</v>
      </c>
      <c r="G191" t="s">
        <v>38</v>
      </c>
      <c r="H191">
        <v>1</v>
      </c>
      <c r="I191">
        <v>2499</v>
      </c>
      <c r="J191">
        <v>0</v>
      </c>
      <c r="K191">
        <v>99</v>
      </c>
      <c r="L191" t="s">
        <v>57</v>
      </c>
      <c r="M191" t="s">
        <v>58</v>
      </c>
      <c r="N191" t="s">
        <v>40</v>
      </c>
      <c r="O191" t="s">
        <v>59</v>
      </c>
      <c r="P191" t="s">
        <v>33</v>
      </c>
      <c r="Q191">
        <v>4</v>
      </c>
      <c r="R191">
        <f>IFERROR(Table1_1[[#This Row],[Unit_Price]]*Table1_1[[#This Row],[Quantity]],"")</f>
        <v>2499</v>
      </c>
      <c r="S191">
        <f>IFERROR(Table1_1[[#This Row],[Gross_Sales]]*Table1_1[[#This Row],[Discount_%]],"")</f>
        <v>0</v>
      </c>
      <c r="T191">
        <f>IFERROR(Table1_1[[#This Row],[Gross_Sales]]-Table1_1[[#This Row],[Discount_amount]]+Table1_1[[#This Row],[Shipping_Cost]],"")</f>
        <v>2598</v>
      </c>
      <c r="U191">
        <f>IFERROR(Table1_1[[#This Row],[Net_Sale]]-(Table1_1[[#This Row],[Gross_Sales]]*70%),"")</f>
        <v>848.7</v>
      </c>
      <c r="V191" s="7">
        <f>IFERROR(Table1_1[[#This Row],[Profit]]/Table1_1[[#This Row],[Net_Sale]],"")</f>
        <v>0.32667436489607393</v>
      </c>
      <c r="W191" t="str">
        <f>TEXT(Table1_1[[#This Row],[Order_Date]],"mmm")</f>
        <v>Aug</v>
      </c>
    </row>
    <row r="192" spans="1:23" x14ac:dyDescent="0.25">
      <c r="A192" t="s">
        <v>432</v>
      </c>
      <c r="B192" t="s">
        <v>226</v>
      </c>
      <c r="C192" s="6">
        <v>45805</v>
      </c>
      <c r="D192" t="s">
        <v>25</v>
      </c>
      <c r="E192" t="s">
        <v>26</v>
      </c>
      <c r="F192" t="s">
        <v>27</v>
      </c>
      <c r="G192" t="s">
        <v>28</v>
      </c>
      <c r="H192">
        <v>3</v>
      </c>
      <c r="I192">
        <v>249</v>
      </c>
      <c r="J192">
        <v>0</v>
      </c>
      <c r="K192">
        <v>0</v>
      </c>
      <c r="L192" t="s">
        <v>113</v>
      </c>
      <c r="M192" t="s">
        <v>114</v>
      </c>
      <c r="N192" t="s">
        <v>50</v>
      </c>
      <c r="O192" t="s">
        <v>32</v>
      </c>
      <c r="P192" t="s">
        <v>80</v>
      </c>
      <c r="Q192">
        <v>3</v>
      </c>
      <c r="R192">
        <f>IFERROR(Table1_1[[#This Row],[Unit_Price]]*Table1_1[[#This Row],[Quantity]],"")</f>
        <v>747</v>
      </c>
      <c r="S192">
        <f>IFERROR(Table1_1[[#This Row],[Gross_Sales]]*Table1_1[[#This Row],[Discount_%]],"")</f>
        <v>0</v>
      </c>
      <c r="T192">
        <f>IFERROR(Table1_1[[#This Row],[Gross_Sales]]-Table1_1[[#This Row],[Discount_amount]]+Table1_1[[#This Row],[Shipping_Cost]],"")</f>
        <v>747</v>
      </c>
      <c r="U192">
        <f>IFERROR(Table1_1[[#This Row],[Net_Sale]]-(Table1_1[[#This Row],[Gross_Sales]]*70%),"")</f>
        <v>224.10000000000002</v>
      </c>
      <c r="V192" s="7">
        <f>IFERROR(Table1_1[[#This Row],[Profit]]/Table1_1[[#This Row],[Net_Sale]],"")</f>
        <v>0.30000000000000004</v>
      </c>
      <c r="W192" t="str">
        <f>TEXT(Table1_1[[#This Row],[Order_Date]],"mmm")</f>
        <v>May</v>
      </c>
    </row>
    <row r="193" spans="1:23" x14ac:dyDescent="0.25">
      <c r="A193" t="s">
        <v>433</v>
      </c>
      <c r="B193" t="s">
        <v>261</v>
      </c>
      <c r="C193" s="6">
        <v>45747</v>
      </c>
      <c r="D193" t="s">
        <v>77</v>
      </c>
      <c r="E193" t="s">
        <v>78</v>
      </c>
      <c r="F193" t="s">
        <v>79</v>
      </c>
      <c r="G193" t="s">
        <v>28</v>
      </c>
      <c r="H193">
        <v>4</v>
      </c>
      <c r="I193">
        <v>6499</v>
      </c>
      <c r="J193">
        <v>0</v>
      </c>
      <c r="K193">
        <v>79</v>
      </c>
      <c r="L193" t="s">
        <v>39</v>
      </c>
      <c r="M193" t="s">
        <v>39</v>
      </c>
      <c r="N193" t="s">
        <v>50</v>
      </c>
      <c r="O193" t="s">
        <v>51</v>
      </c>
      <c r="P193" t="s">
        <v>33</v>
      </c>
      <c r="Q193">
        <v>1</v>
      </c>
      <c r="R193">
        <f>IFERROR(Table1_1[[#This Row],[Unit_Price]]*Table1_1[[#This Row],[Quantity]],"")</f>
        <v>25996</v>
      </c>
      <c r="S193">
        <f>IFERROR(Table1_1[[#This Row],[Gross_Sales]]*Table1_1[[#This Row],[Discount_%]],"")</f>
        <v>0</v>
      </c>
      <c r="T193">
        <f>IFERROR(Table1_1[[#This Row],[Gross_Sales]]-Table1_1[[#This Row],[Discount_amount]]+Table1_1[[#This Row],[Shipping_Cost]],"")</f>
        <v>26075</v>
      </c>
      <c r="U193">
        <f>IFERROR(Table1_1[[#This Row],[Net_Sale]]-(Table1_1[[#This Row],[Gross_Sales]]*70%),"")</f>
        <v>7877.8000000000029</v>
      </c>
      <c r="V193" s="7">
        <f>IFERROR(Table1_1[[#This Row],[Profit]]/Table1_1[[#This Row],[Net_Sale]],"")</f>
        <v>0.30212080536912761</v>
      </c>
      <c r="W193" t="str">
        <f>TEXT(Table1_1[[#This Row],[Order_Date]],"mmm")</f>
        <v>Mar</v>
      </c>
    </row>
    <row r="194" spans="1:23" x14ac:dyDescent="0.25">
      <c r="A194" t="s">
        <v>434</v>
      </c>
      <c r="B194" t="s">
        <v>364</v>
      </c>
      <c r="C194" s="6">
        <v>45712</v>
      </c>
      <c r="D194" t="s">
        <v>35</v>
      </c>
      <c r="E194" t="s">
        <v>36</v>
      </c>
      <c r="F194" t="s">
        <v>37</v>
      </c>
      <c r="G194" t="s">
        <v>38</v>
      </c>
      <c r="H194">
        <v>2</v>
      </c>
      <c r="I194">
        <v>599</v>
      </c>
      <c r="J194">
        <v>0.2</v>
      </c>
      <c r="K194">
        <v>99</v>
      </c>
      <c r="L194" t="s">
        <v>48</v>
      </c>
      <c r="M194" t="s">
        <v>49</v>
      </c>
      <c r="N194" t="s">
        <v>40</v>
      </c>
      <c r="O194" t="s">
        <v>41</v>
      </c>
      <c r="P194" t="s">
        <v>52</v>
      </c>
      <c r="Q194">
        <v>3</v>
      </c>
      <c r="R194">
        <f>IFERROR(Table1_1[[#This Row],[Unit_Price]]*Table1_1[[#This Row],[Quantity]],"")</f>
        <v>1198</v>
      </c>
      <c r="S194">
        <f>IFERROR(Table1_1[[#This Row],[Gross_Sales]]*Table1_1[[#This Row],[Discount_%]],"")</f>
        <v>239.60000000000002</v>
      </c>
      <c r="T194">
        <f>IFERROR(Table1_1[[#This Row],[Gross_Sales]]-Table1_1[[#This Row],[Discount_amount]]+Table1_1[[#This Row],[Shipping_Cost]],"")</f>
        <v>1057.4000000000001</v>
      </c>
      <c r="U194">
        <f>IFERROR(Table1_1[[#This Row],[Net_Sale]]-(Table1_1[[#This Row],[Gross_Sales]]*70%),"")</f>
        <v>218.80000000000018</v>
      </c>
      <c r="V194" s="7">
        <f>IFERROR(Table1_1[[#This Row],[Profit]]/Table1_1[[#This Row],[Net_Sale]],"")</f>
        <v>0.20692264043881234</v>
      </c>
      <c r="W194" t="str">
        <f>TEXT(Table1_1[[#This Row],[Order_Date]],"mmm")</f>
        <v>Feb</v>
      </c>
    </row>
    <row r="195" spans="1:23" x14ac:dyDescent="0.25">
      <c r="A195" t="s">
        <v>435</v>
      </c>
      <c r="B195" t="s">
        <v>436</v>
      </c>
      <c r="C195" s="6">
        <v>45715</v>
      </c>
      <c r="D195" t="s">
        <v>62</v>
      </c>
      <c r="E195" t="s">
        <v>63</v>
      </c>
      <c r="F195" t="s">
        <v>46</v>
      </c>
      <c r="G195" t="s">
        <v>64</v>
      </c>
      <c r="H195">
        <v>1</v>
      </c>
      <c r="I195">
        <v>699</v>
      </c>
      <c r="J195">
        <v>0.1</v>
      </c>
      <c r="K195">
        <v>59</v>
      </c>
      <c r="L195" t="s">
        <v>119</v>
      </c>
      <c r="M195" t="s">
        <v>120</v>
      </c>
      <c r="N195" t="s">
        <v>31</v>
      </c>
      <c r="O195" t="s">
        <v>51</v>
      </c>
      <c r="P195" t="s">
        <v>80</v>
      </c>
      <c r="Q195">
        <v>3</v>
      </c>
      <c r="R195">
        <f>IFERROR(Table1_1[[#This Row],[Unit_Price]]*Table1_1[[#This Row],[Quantity]],"")</f>
        <v>699</v>
      </c>
      <c r="S195">
        <f>IFERROR(Table1_1[[#This Row],[Gross_Sales]]*Table1_1[[#This Row],[Discount_%]],"")</f>
        <v>69.900000000000006</v>
      </c>
      <c r="T195">
        <f>IFERROR(Table1_1[[#This Row],[Gross_Sales]]-Table1_1[[#This Row],[Discount_amount]]+Table1_1[[#This Row],[Shipping_Cost]],"")</f>
        <v>688.1</v>
      </c>
      <c r="U195">
        <f>IFERROR(Table1_1[[#This Row],[Net_Sale]]-(Table1_1[[#This Row],[Gross_Sales]]*70%),"")</f>
        <v>198.80000000000007</v>
      </c>
      <c r="V195" s="7">
        <f>IFERROR(Table1_1[[#This Row],[Profit]]/Table1_1[[#This Row],[Net_Sale]],"")</f>
        <v>0.28891149542217709</v>
      </c>
      <c r="W195" t="str">
        <f>TEXT(Table1_1[[#This Row],[Order_Date]],"mmm")</f>
        <v>Feb</v>
      </c>
    </row>
    <row r="196" spans="1:23" x14ac:dyDescent="0.25">
      <c r="A196" t="s">
        <v>437</v>
      </c>
      <c r="B196" t="s">
        <v>372</v>
      </c>
      <c r="C196" s="6">
        <v>45756</v>
      </c>
      <c r="D196" t="s">
        <v>110</v>
      </c>
      <c r="E196" t="s">
        <v>111</v>
      </c>
      <c r="F196" t="s">
        <v>98</v>
      </c>
      <c r="G196" t="s">
        <v>112</v>
      </c>
      <c r="H196">
        <v>2</v>
      </c>
      <c r="I196">
        <v>2999</v>
      </c>
      <c r="J196">
        <v>0.1</v>
      </c>
      <c r="K196">
        <v>79</v>
      </c>
      <c r="L196" t="s">
        <v>125</v>
      </c>
      <c r="M196" t="s">
        <v>126</v>
      </c>
      <c r="N196" t="s">
        <v>71</v>
      </c>
      <c r="O196" t="s">
        <v>93</v>
      </c>
      <c r="P196" t="s">
        <v>80</v>
      </c>
      <c r="Q196">
        <v>4</v>
      </c>
      <c r="R196">
        <f>IFERROR(Table1_1[[#This Row],[Unit_Price]]*Table1_1[[#This Row],[Quantity]],"")</f>
        <v>5998</v>
      </c>
      <c r="S196">
        <f>IFERROR(Table1_1[[#This Row],[Gross_Sales]]*Table1_1[[#This Row],[Discount_%]],"")</f>
        <v>599.80000000000007</v>
      </c>
      <c r="T196">
        <f>IFERROR(Table1_1[[#This Row],[Gross_Sales]]-Table1_1[[#This Row],[Discount_amount]]+Table1_1[[#This Row],[Shipping_Cost]],"")</f>
        <v>5477.2</v>
      </c>
      <c r="U196">
        <f>IFERROR(Table1_1[[#This Row],[Net_Sale]]-(Table1_1[[#This Row],[Gross_Sales]]*70%),"")</f>
        <v>1278.6000000000004</v>
      </c>
      <c r="V196" s="7">
        <f>IFERROR(Table1_1[[#This Row],[Profit]]/Table1_1[[#This Row],[Net_Sale]],"")</f>
        <v>0.23344044402249331</v>
      </c>
      <c r="W196" t="str">
        <f>TEXT(Table1_1[[#This Row],[Order_Date]],"mmm")</f>
        <v>Apr</v>
      </c>
    </row>
    <row r="197" spans="1:23" x14ac:dyDescent="0.25">
      <c r="A197" t="s">
        <v>438</v>
      </c>
      <c r="B197" t="s">
        <v>271</v>
      </c>
      <c r="C197" s="6">
        <v>45729</v>
      </c>
      <c r="D197" t="s">
        <v>25</v>
      </c>
      <c r="E197" t="s">
        <v>26</v>
      </c>
      <c r="F197" t="s">
        <v>27</v>
      </c>
      <c r="G197" t="s">
        <v>28</v>
      </c>
      <c r="H197">
        <v>1</v>
      </c>
      <c r="I197">
        <v>249</v>
      </c>
      <c r="J197">
        <v>0</v>
      </c>
      <c r="K197">
        <v>59</v>
      </c>
      <c r="L197" t="s">
        <v>29</v>
      </c>
      <c r="M197" t="s">
        <v>30</v>
      </c>
      <c r="N197" t="s">
        <v>50</v>
      </c>
      <c r="O197" t="s">
        <v>59</v>
      </c>
      <c r="P197" t="s">
        <v>33</v>
      </c>
      <c r="Q197">
        <v>3</v>
      </c>
      <c r="R197">
        <f>IFERROR(Table1_1[[#This Row],[Unit_Price]]*Table1_1[[#This Row],[Quantity]],"")</f>
        <v>249</v>
      </c>
      <c r="S197">
        <f>IFERROR(Table1_1[[#This Row],[Gross_Sales]]*Table1_1[[#This Row],[Discount_%]],"")</f>
        <v>0</v>
      </c>
      <c r="T197">
        <f>IFERROR(Table1_1[[#This Row],[Gross_Sales]]-Table1_1[[#This Row],[Discount_amount]]+Table1_1[[#This Row],[Shipping_Cost]],"")</f>
        <v>308</v>
      </c>
      <c r="U197">
        <f>IFERROR(Table1_1[[#This Row],[Net_Sale]]-(Table1_1[[#This Row],[Gross_Sales]]*70%),"")</f>
        <v>133.70000000000002</v>
      </c>
      <c r="V197" s="7">
        <f>IFERROR(Table1_1[[#This Row],[Profit]]/Table1_1[[#This Row],[Net_Sale]],"")</f>
        <v>0.43409090909090914</v>
      </c>
      <c r="W197" t="str">
        <f>TEXT(Table1_1[[#This Row],[Order_Date]],"mmm")</f>
        <v>Mar</v>
      </c>
    </row>
    <row r="198" spans="1:23" x14ac:dyDescent="0.25">
      <c r="A198" t="s">
        <v>439</v>
      </c>
      <c r="B198" t="s">
        <v>440</v>
      </c>
      <c r="C198" s="6">
        <v>45951</v>
      </c>
      <c r="D198" t="s">
        <v>110</v>
      </c>
      <c r="E198" t="s">
        <v>111</v>
      </c>
      <c r="F198" t="s">
        <v>98</v>
      </c>
      <c r="G198" t="s">
        <v>112</v>
      </c>
      <c r="H198">
        <v>1</v>
      </c>
      <c r="I198">
        <v>2999</v>
      </c>
      <c r="J198">
        <v>0.05</v>
      </c>
      <c r="K198">
        <v>49</v>
      </c>
      <c r="L198" t="s">
        <v>74</v>
      </c>
      <c r="M198" t="s">
        <v>49</v>
      </c>
      <c r="N198" t="s">
        <v>31</v>
      </c>
      <c r="O198" t="s">
        <v>59</v>
      </c>
      <c r="P198" t="s">
        <v>80</v>
      </c>
      <c r="Q198">
        <v>3</v>
      </c>
      <c r="R198">
        <f>IFERROR(Table1_1[[#This Row],[Unit_Price]]*Table1_1[[#This Row],[Quantity]],"")</f>
        <v>2999</v>
      </c>
      <c r="S198">
        <f>IFERROR(Table1_1[[#This Row],[Gross_Sales]]*Table1_1[[#This Row],[Discount_%]],"")</f>
        <v>149.95000000000002</v>
      </c>
      <c r="T198">
        <f>IFERROR(Table1_1[[#This Row],[Gross_Sales]]-Table1_1[[#This Row],[Discount_amount]]+Table1_1[[#This Row],[Shipping_Cost]],"")</f>
        <v>2898.05</v>
      </c>
      <c r="U198">
        <f>IFERROR(Table1_1[[#This Row],[Net_Sale]]-(Table1_1[[#This Row],[Gross_Sales]]*70%),"")</f>
        <v>798.75000000000045</v>
      </c>
      <c r="V198" s="7">
        <f>IFERROR(Table1_1[[#This Row],[Profit]]/Table1_1[[#This Row],[Net_Sale]],"")</f>
        <v>0.27561636272666118</v>
      </c>
      <c r="W198" t="str">
        <f>TEXT(Table1_1[[#This Row],[Order_Date]],"mmm")</f>
        <v>Oct</v>
      </c>
    </row>
    <row r="199" spans="1:23" x14ac:dyDescent="0.25">
      <c r="A199" t="s">
        <v>441</v>
      </c>
      <c r="B199" t="s">
        <v>218</v>
      </c>
      <c r="C199" s="6">
        <v>46018</v>
      </c>
      <c r="D199" t="s">
        <v>105</v>
      </c>
      <c r="E199" t="s">
        <v>106</v>
      </c>
      <c r="F199" t="s">
        <v>37</v>
      </c>
      <c r="G199" t="s">
        <v>107</v>
      </c>
      <c r="H199">
        <v>2</v>
      </c>
      <c r="I199">
        <v>1799</v>
      </c>
      <c r="J199">
        <v>0.2</v>
      </c>
      <c r="K199">
        <v>59</v>
      </c>
      <c r="L199" t="s">
        <v>57</v>
      </c>
      <c r="M199" t="s">
        <v>58</v>
      </c>
      <c r="N199" t="s">
        <v>102</v>
      </c>
      <c r="O199" t="s">
        <v>41</v>
      </c>
      <c r="P199" t="s">
        <v>33</v>
      </c>
      <c r="Q199">
        <v>2</v>
      </c>
      <c r="R199">
        <f>IFERROR(Table1_1[[#This Row],[Unit_Price]]*Table1_1[[#This Row],[Quantity]],"")</f>
        <v>3598</v>
      </c>
      <c r="S199">
        <f>IFERROR(Table1_1[[#This Row],[Gross_Sales]]*Table1_1[[#This Row],[Discount_%]],"")</f>
        <v>719.6</v>
      </c>
      <c r="T199">
        <f>IFERROR(Table1_1[[#This Row],[Gross_Sales]]-Table1_1[[#This Row],[Discount_amount]]+Table1_1[[#This Row],[Shipping_Cost]],"")</f>
        <v>2937.4</v>
      </c>
      <c r="U199">
        <f>IFERROR(Table1_1[[#This Row],[Net_Sale]]-(Table1_1[[#This Row],[Gross_Sales]]*70%),"")</f>
        <v>418.80000000000018</v>
      </c>
      <c r="V199" s="7">
        <f>IFERROR(Table1_1[[#This Row],[Profit]]/Table1_1[[#This Row],[Net_Sale]],"")</f>
        <v>0.1425750663852387</v>
      </c>
      <c r="W199" t="str">
        <f>TEXT(Table1_1[[#This Row],[Order_Date]],"mmm")</f>
        <v>Dec</v>
      </c>
    </row>
    <row r="200" spans="1:23" x14ac:dyDescent="0.25">
      <c r="A200" t="s">
        <v>442</v>
      </c>
      <c r="B200" t="s">
        <v>211</v>
      </c>
      <c r="C200" s="6">
        <v>45968</v>
      </c>
      <c r="D200" t="s">
        <v>105</v>
      </c>
      <c r="E200" t="s">
        <v>106</v>
      </c>
      <c r="F200" t="s">
        <v>37</v>
      </c>
      <c r="G200" t="s">
        <v>107</v>
      </c>
      <c r="H200">
        <v>1</v>
      </c>
      <c r="I200">
        <v>1799</v>
      </c>
      <c r="J200">
        <v>0.15</v>
      </c>
      <c r="K200">
        <v>79</v>
      </c>
      <c r="L200" t="s">
        <v>119</v>
      </c>
      <c r="M200" t="s">
        <v>120</v>
      </c>
      <c r="N200" t="s">
        <v>50</v>
      </c>
      <c r="O200" t="s">
        <v>41</v>
      </c>
      <c r="P200" t="s">
        <v>80</v>
      </c>
      <c r="Q200">
        <v>3</v>
      </c>
      <c r="R200">
        <f>IFERROR(Table1_1[[#This Row],[Unit_Price]]*Table1_1[[#This Row],[Quantity]],"")</f>
        <v>1799</v>
      </c>
      <c r="S200">
        <f>IFERROR(Table1_1[[#This Row],[Gross_Sales]]*Table1_1[[#This Row],[Discount_%]],"")</f>
        <v>269.84999999999997</v>
      </c>
      <c r="T200">
        <f>IFERROR(Table1_1[[#This Row],[Gross_Sales]]-Table1_1[[#This Row],[Discount_amount]]+Table1_1[[#This Row],[Shipping_Cost]],"")</f>
        <v>1608.15</v>
      </c>
      <c r="U200">
        <f>IFERROR(Table1_1[[#This Row],[Net_Sale]]-(Table1_1[[#This Row],[Gross_Sales]]*70%),"")</f>
        <v>348.85000000000014</v>
      </c>
      <c r="V200" s="7">
        <f>IFERROR(Table1_1[[#This Row],[Profit]]/Table1_1[[#This Row],[Net_Sale]],"")</f>
        <v>0.21692628175232417</v>
      </c>
      <c r="W200" t="str">
        <f>TEXT(Table1_1[[#This Row],[Order_Date]],"mmm")</f>
        <v>Nov</v>
      </c>
    </row>
    <row r="201" spans="1:23" x14ac:dyDescent="0.25">
      <c r="A201" t="s">
        <v>443</v>
      </c>
      <c r="B201" t="s">
        <v>440</v>
      </c>
      <c r="C201" s="6">
        <v>45928</v>
      </c>
      <c r="D201" t="s">
        <v>44</v>
      </c>
      <c r="E201" t="s">
        <v>45</v>
      </c>
      <c r="F201" t="s">
        <v>46</v>
      </c>
      <c r="G201" t="s">
        <v>47</v>
      </c>
      <c r="H201">
        <v>2</v>
      </c>
      <c r="I201">
        <v>1199</v>
      </c>
      <c r="J201">
        <v>0.15</v>
      </c>
      <c r="K201">
        <v>0</v>
      </c>
      <c r="L201" t="s">
        <v>29</v>
      </c>
      <c r="M201" t="s">
        <v>30</v>
      </c>
      <c r="N201" t="s">
        <v>253</v>
      </c>
      <c r="O201" t="s">
        <v>32</v>
      </c>
      <c r="P201" t="s">
        <v>33</v>
      </c>
      <c r="Q201">
        <v>2</v>
      </c>
      <c r="R201">
        <f>IFERROR(Table1_1[[#This Row],[Unit_Price]]*Table1_1[[#This Row],[Quantity]],"")</f>
        <v>2398</v>
      </c>
      <c r="S201">
        <f>IFERROR(Table1_1[[#This Row],[Gross_Sales]]*Table1_1[[#This Row],[Discount_%]],"")</f>
        <v>359.7</v>
      </c>
      <c r="T201">
        <f>IFERROR(Table1_1[[#This Row],[Gross_Sales]]-Table1_1[[#This Row],[Discount_amount]]+Table1_1[[#This Row],[Shipping_Cost]],"")</f>
        <v>2038.3</v>
      </c>
      <c r="U201">
        <f>IFERROR(Table1_1[[#This Row],[Net_Sale]]-(Table1_1[[#This Row],[Gross_Sales]]*70%),"")</f>
        <v>359.70000000000005</v>
      </c>
      <c r="V201" s="7">
        <f>IFERROR(Table1_1[[#This Row],[Profit]]/Table1_1[[#This Row],[Net_Sale]],"")</f>
        <v>0.17647058823529416</v>
      </c>
      <c r="W201" t="str">
        <f>TEXT(Table1_1[[#This Row],[Order_Date]],"mmm")</f>
        <v>Sep</v>
      </c>
    </row>
    <row r="202" spans="1:23" x14ac:dyDescent="0.25">
      <c r="A202" t="s">
        <v>444</v>
      </c>
      <c r="B202" t="s">
        <v>445</v>
      </c>
      <c r="C202" s="6">
        <v>45825</v>
      </c>
      <c r="D202" t="s">
        <v>44</v>
      </c>
      <c r="E202" t="s">
        <v>45</v>
      </c>
      <c r="F202" t="s">
        <v>46</v>
      </c>
      <c r="G202" t="s">
        <v>47</v>
      </c>
      <c r="H202">
        <v>1</v>
      </c>
      <c r="I202">
        <v>1199</v>
      </c>
      <c r="J202">
        <v>0.2</v>
      </c>
      <c r="K202">
        <v>49</v>
      </c>
      <c r="L202" t="s">
        <v>83</v>
      </c>
      <c r="M202" t="s">
        <v>84</v>
      </c>
      <c r="N202" t="s">
        <v>40</v>
      </c>
      <c r="O202" t="s">
        <v>93</v>
      </c>
      <c r="P202" t="s">
        <v>33</v>
      </c>
      <c r="Q202">
        <v>5</v>
      </c>
      <c r="R202">
        <f>IFERROR(Table1_1[[#This Row],[Unit_Price]]*Table1_1[[#This Row],[Quantity]],"")</f>
        <v>1199</v>
      </c>
      <c r="S202">
        <f>IFERROR(Table1_1[[#This Row],[Gross_Sales]]*Table1_1[[#This Row],[Discount_%]],"")</f>
        <v>239.8</v>
      </c>
      <c r="T202">
        <f>IFERROR(Table1_1[[#This Row],[Gross_Sales]]-Table1_1[[#This Row],[Discount_amount]]+Table1_1[[#This Row],[Shipping_Cost]],"")</f>
        <v>1008.2</v>
      </c>
      <c r="U202">
        <f>IFERROR(Table1_1[[#This Row],[Net_Sale]]-(Table1_1[[#This Row],[Gross_Sales]]*70%),"")</f>
        <v>168.90000000000009</v>
      </c>
      <c r="V202" s="7">
        <f>IFERROR(Table1_1[[#This Row],[Profit]]/Table1_1[[#This Row],[Net_Sale]],"")</f>
        <v>0.16752628446736767</v>
      </c>
      <c r="W202" t="str">
        <f>TEXT(Table1_1[[#This Row],[Order_Date]],"mmm")</f>
        <v>Jun</v>
      </c>
    </row>
    <row r="203" spans="1:23" x14ac:dyDescent="0.25">
      <c r="A203" t="s">
        <v>446</v>
      </c>
      <c r="B203" t="s">
        <v>198</v>
      </c>
      <c r="C203" s="6">
        <v>45920</v>
      </c>
      <c r="D203" t="s">
        <v>90</v>
      </c>
      <c r="E203" t="s">
        <v>91</v>
      </c>
      <c r="F203" t="s">
        <v>37</v>
      </c>
      <c r="G203" t="s">
        <v>92</v>
      </c>
      <c r="H203">
        <v>2</v>
      </c>
      <c r="I203">
        <v>3499</v>
      </c>
      <c r="J203">
        <v>0</v>
      </c>
      <c r="K203">
        <v>99</v>
      </c>
      <c r="L203" t="s">
        <v>39</v>
      </c>
      <c r="M203" t="s">
        <v>39</v>
      </c>
      <c r="N203" t="s">
        <v>71</v>
      </c>
      <c r="O203" t="s">
        <v>93</v>
      </c>
      <c r="P203" t="s">
        <v>85</v>
      </c>
      <c r="Q203">
        <v>4</v>
      </c>
      <c r="R203">
        <f>IFERROR(Table1_1[[#This Row],[Unit_Price]]*Table1_1[[#This Row],[Quantity]],"")</f>
        <v>6998</v>
      </c>
      <c r="S203">
        <f>IFERROR(Table1_1[[#This Row],[Gross_Sales]]*Table1_1[[#This Row],[Discount_%]],"")</f>
        <v>0</v>
      </c>
      <c r="T203">
        <f>IFERROR(Table1_1[[#This Row],[Gross_Sales]]-Table1_1[[#This Row],[Discount_amount]]+Table1_1[[#This Row],[Shipping_Cost]],"")</f>
        <v>7097</v>
      </c>
      <c r="U203">
        <f>IFERROR(Table1_1[[#This Row],[Net_Sale]]-(Table1_1[[#This Row],[Gross_Sales]]*70%),"")</f>
        <v>2198.4000000000005</v>
      </c>
      <c r="V203" s="7">
        <f>IFERROR(Table1_1[[#This Row],[Profit]]/Table1_1[[#This Row],[Net_Sale]],"")</f>
        <v>0.30976468930534035</v>
      </c>
      <c r="W203" t="str">
        <f>TEXT(Table1_1[[#This Row],[Order_Date]],"mmm")</f>
        <v>Sep</v>
      </c>
    </row>
    <row r="204" spans="1:23" x14ac:dyDescent="0.25">
      <c r="A204" t="s">
        <v>447</v>
      </c>
      <c r="B204" t="s">
        <v>448</v>
      </c>
      <c r="C204" s="6">
        <v>45954</v>
      </c>
      <c r="D204" t="s">
        <v>110</v>
      </c>
      <c r="E204" t="s">
        <v>111</v>
      </c>
      <c r="F204" t="s">
        <v>98</v>
      </c>
      <c r="G204" t="s">
        <v>112</v>
      </c>
      <c r="H204">
        <v>2</v>
      </c>
      <c r="I204">
        <v>2999</v>
      </c>
      <c r="J204">
        <v>0.05</v>
      </c>
      <c r="K204">
        <v>0</v>
      </c>
      <c r="L204" t="s">
        <v>39</v>
      </c>
      <c r="M204" t="s">
        <v>39</v>
      </c>
      <c r="N204" t="s">
        <v>31</v>
      </c>
      <c r="O204" t="s">
        <v>93</v>
      </c>
      <c r="P204" t="s">
        <v>52</v>
      </c>
      <c r="Q204">
        <v>4</v>
      </c>
      <c r="R204">
        <f>IFERROR(Table1_1[[#This Row],[Unit_Price]]*Table1_1[[#This Row],[Quantity]],"")</f>
        <v>5998</v>
      </c>
      <c r="S204">
        <f>IFERROR(Table1_1[[#This Row],[Gross_Sales]]*Table1_1[[#This Row],[Discount_%]],"")</f>
        <v>299.90000000000003</v>
      </c>
      <c r="T204">
        <f>IFERROR(Table1_1[[#This Row],[Gross_Sales]]-Table1_1[[#This Row],[Discount_amount]]+Table1_1[[#This Row],[Shipping_Cost]],"")</f>
        <v>5698.1</v>
      </c>
      <c r="U204">
        <f>IFERROR(Table1_1[[#This Row],[Net_Sale]]-(Table1_1[[#This Row],[Gross_Sales]]*70%),"")</f>
        <v>1499.5000000000009</v>
      </c>
      <c r="V204" s="7">
        <f>IFERROR(Table1_1[[#This Row],[Profit]]/Table1_1[[#This Row],[Net_Sale]],"")</f>
        <v>0.26315789473684226</v>
      </c>
      <c r="W204" t="str">
        <f>TEXT(Table1_1[[#This Row],[Order_Date]],"mmm")</f>
        <v>Oct</v>
      </c>
    </row>
    <row r="205" spans="1:23" x14ac:dyDescent="0.25">
      <c r="A205" t="s">
        <v>449</v>
      </c>
      <c r="B205" t="s">
        <v>450</v>
      </c>
      <c r="C205" s="6">
        <v>45727</v>
      </c>
      <c r="D205" t="s">
        <v>35</v>
      </c>
      <c r="E205" t="s">
        <v>36</v>
      </c>
      <c r="F205" t="s">
        <v>37</v>
      </c>
      <c r="G205" t="s">
        <v>38</v>
      </c>
      <c r="H205">
        <v>1</v>
      </c>
      <c r="I205">
        <v>599</v>
      </c>
      <c r="J205">
        <v>0.1</v>
      </c>
      <c r="K205">
        <v>59</v>
      </c>
      <c r="L205" t="s">
        <v>48</v>
      </c>
      <c r="M205" t="s">
        <v>49</v>
      </c>
      <c r="N205" t="s">
        <v>40</v>
      </c>
      <c r="O205" t="s">
        <v>59</v>
      </c>
      <c r="P205" t="s">
        <v>80</v>
      </c>
      <c r="Q205">
        <v>4</v>
      </c>
      <c r="R205">
        <f>IFERROR(Table1_1[[#This Row],[Unit_Price]]*Table1_1[[#This Row],[Quantity]],"")</f>
        <v>599</v>
      </c>
      <c r="S205">
        <f>IFERROR(Table1_1[[#This Row],[Gross_Sales]]*Table1_1[[#This Row],[Discount_%]],"")</f>
        <v>59.900000000000006</v>
      </c>
      <c r="T205">
        <f>IFERROR(Table1_1[[#This Row],[Gross_Sales]]-Table1_1[[#This Row],[Discount_amount]]+Table1_1[[#This Row],[Shipping_Cost]],"")</f>
        <v>598.1</v>
      </c>
      <c r="U205">
        <f>IFERROR(Table1_1[[#This Row],[Net_Sale]]-(Table1_1[[#This Row],[Gross_Sales]]*70%),"")</f>
        <v>178.80000000000007</v>
      </c>
      <c r="V205" s="7">
        <f>IFERROR(Table1_1[[#This Row],[Profit]]/Table1_1[[#This Row],[Net_Sale]],"")</f>
        <v>0.29894666443738516</v>
      </c>
      <c r="W205" t="str">
        <f>TEXT(Table1_1[[#This Row],[Order_Date]],"mmm")</f>
        <v>Mar</v>
      </c>
    </row>
    <row r="206" spans="1:23" x14ac:dyDescent="0.25">
      <c r="A206" t="s">
        <v>451</v>
      </c>
      <c r="B206" t="s">
        <v>452</v>
      </c>
      <c r="C206" s="6">
        <v>45836</v>
      </c>
      <c r="D206" t="s">
        <v>55</v>
      </c>
      <c r="E206" t="s">
        <v>56</v>
      </c>
      <c r="F206" t="s">
        <v>37</v>
      </c>
      <c r="G206" t="s">
        <v>38</v>
      </c>
      <c r="H206">
        <v>1</v>
      </c>
      <c r="I206">
        <v>2499</v>
      </c>
      <c r="J206">
        <v>0.1</v>
      </c>
      <c r="K206">
        <v>99</v>
      </c>
      <c r="L206" t="s">
        <v>83</v>
      </c>
      <c r="M206" t="s">
        <v>84</v>
      </c>
      <c r="N206" t="s">
        <v>50</v>
      </c>
      <c r="O206" t="s">
        <v>93</v>
      </c>
      <c r="P206" t="s">
        <v>85</v>
      </c>
      <c r="Q206">
        <v>3</v>
      </c>
      <c r="R206">
        <f>IFERROR(Table1_1[[#This Row],[Unit_Price]]*Table1_1[[#This Row],[Quantity]],"")</f>
        <v>2499</v>
      </c>
      <c r="S206">
        <f>IFERROR(Table1_1[[#This Row],[Gross_Sales]]*Table1_1[[#This Row],[Discount_%]],"")</f>
        <v>249.9</v>
      </c>
      <c r="T206">
        <f>IFERROR(Table1_1[[#This Row],[Gross_Sales]]-Table1_1[[#This Row],[Discount_amount]]+Table1_1[[#This Row],[Shipping_Cost]],"")</f>
        <v>2348.1</v>
      </c>
      <c r="U206">
        <f>IFERROR(Table1_1[[#This Row],[Net_Sale]]-(Table1_1[[#This Row],[Gross_Sales]]*70%),"")</f>
        <v>598.79999999999995</v>
      </c>
      <c r="V206" s="7">
        <f>IFERROR(Table1_1[[#This Row],[Profit]]/Table1_1[[#This Row],[Net_Sale]],"")</f>
        <v>0.25501469273029259</v>
      </c>
      <c r="W206" t="str">
        <f>TEXT(Table1_1[[#This Row],[Order_Date]],"mmm")</f>
        <v>Jun</v>
      </c>
    </row>
    <row r="207" spans="1:23" x14ac:dyDescent="0.25">
      <c r="A207" t="s">
        <v>453</v>
      </c>
      <c r="B207" t="s">
        <v>454</v>
      </c>
      <c r="C207" s="6">
        <v>45936</v>
      </c>
      <c r="D207" t="s">
        <v>35</v>
      </c>
      <c r="E207" t="s">
        <v>36</v>
      </c>
      <c r="F207" t="s">
        <v>37</v>
      </c>
      <c r="G207" t="s">
        <v>38</v>
      </c>
      <c r="H207">
        <v>2</v>
      </c>
      <c r="I207">
        <v>599</v>
      </c>
      <c r="J207">
        <v>0</v>
      </c>
      <c r="K207">
        <v>49</v>
      </c>
      <c r="L207" t="s">
        <v>48</v>
      </c>
      <c r="M207" t="s">
        <v>49</v>
      </c>
      <c r="N207" t="s">
        <v>71</v>
      </c>
      <c r="O207" t="s">
        <v>41</v>
      </c>
      <c r="P207" t="s">
        <v>52</v>
      </c>
      <c r="Q207">
        <v>3</v>
      </c>
      <c r="R207">
        <f>IFERROR(Table1_1[[#This Row],[Unit_Price]]*Table1_1[[#This Row],[Quantity]],"")</f>
        <v>1198</v>
      </c>
      <c r="S207">
        <f>IFERROR(Table1_1[[#This Row],[Gross_Sales]]*Table1_1[[#This Row],[Discount_%]],"")</f>
        <v>0</v>
      </c>
      <c r="T207">
        <f>IFERROR(Table1_1[[#This Row],[Gross_Sales]]-Table1_1[[#This Row],[Discount_amount]]+Table1_1[[#This Row],[Shipping_Cost]],"")</f>
        <v>1247</v>
      </c>
      <c r="U207">
        <f>IFERROR(Table1_1[[#This Row],[Net_Sale]]-(Table1_1[[#This Row],[Gross_Sales]]*70%),"")</f>
        <v>408.40000000000009</v>
      </c>
      <c r="V207" s="7">
        <f>IFERROR(Table1_1[[#This Row],[Profit]]/Table1_1[[#This Row],[Net_Sale]],"")</f>
        <v>0.32750601443464322</v>
      </c>
      <c r="W207" t="str">
        <f>TEXT(Table1_1[[#This Row],[Order_Date]],"mmm")</f>
        <v>Oct</v>
      </c>
    </row>
    <row r="208" spans="1:23" x14ac:dyDescent="0.25">
      <c r="A208" t="s">
        <v>455</v>
      </c>
      <c r="B208" t="s">
        <v>138</v>
      </c>
      <c r="C208" s="6">
        <v>45996</v>
      </c>
      <c r="D208" t="s">
        <v>67</v>
      </c>
      <c r="E208" t="s">
        <v>68</v>
      </c>
      <c r="F208" t="s">
        <v>37</v>
      </c>
      <c r="G208" t="s">
        <v>38</v>
      </c>
      <c r="H208">
        <v>1</v>
      </c>
      <c r="I208">
        <v>1299</v>
      </c>
      <c r="J208">
        <v>0</v>
      </c>
      <c r="K208">
        <v>49</v>
      </c>
      <c r="L208" t="s">
        <v>29</v>
      </c>
      <c r="M208" t="s">
        <v>30</v>
      </c>
      <c r="N208" t="s">
        <v>31</v>
      </c>
      <c r="O208" t="s">
        <v>32</v>
      </c>
      <c r="P208" t="s">
        <v>33</v>
      </c>
      <c r="Q208">
        <v>1</v>
      </c>
      <c r="R208">
        <f>IFERROR(Table1_1[[#This Row],[Unit_Price]]*Table1_1[[#This Row],[Quantity]],"")</f>
        <v>1299</v>
      </c>
      <c r="S208">
        <f>IFERROR(Table1_1[[#This Row],[Gross_Sales]]*Table1_1[[#This Row],[Discount_%]],"")</f>
        <v>0</v>
      </c>
      <c r="T208">
        <f>IFERROR(Table1_1[[#This Row],[Gross_Sales]]-Table1_1[[#This Row],[Discount_amount]]+Table1_1[[#This Row],[Shipping_Cost]],"")</f>
        <v>1348</v>
      </c>
      <c r="U208">
        <f>IFERROR(Table1_1[[#This Row],[Net_Sale]]-(Table1_1[[#This Row],[Gross_Sales]]*70%),"")</f>
        <v>438.70000000000005</v>
      </c>
      <c r="V208" s="7">
        <f>IFERROR(Table1_1[[#This Row],[Profit]]/Table1_1[[#This Row],[Net_Sale]],"")</f>
        <v>0.32544510385756681</v>
      </c>
      <c r="W208" t="str">
        <f>TEXT(Table1_1[[#This Row],[Order_Date]],"mmm")</f>
        <v>Dec</v>
      </c>
    </row>
    <row r="209" spans="1:23" x14ac:dyDescent="0.25">
      <c r="A209" t="s">
        <v>456</v>
      </c>
      <c r="B209" t="s">
        <v>457</v>
      </c>
      <c r="C209" s="6">
        <v>45682</v>
      </c>
      <c r="D209" t="s">
        <v>90</v>
      </c>
      <c r="E209" t="s">
        <v>91</v>
      </c>
      <c r="F209" t="s">
        <v>37</v>
      </c>
      <c r="G209" t="s">
        <v>92</v>
      </c>
      <c r="H209">
        <v>2</v>
      </c>
      <c r="I209">
        <v>3499</v>
      </c>
      <c r="J209">
        <v>0.1</v>
      </c>
      <c r="K209">
        <v>79</v>
      </c>
      <c r="L209" t="s">
        <v>125</v>
      </c>
      <c r="M209" t="s">
        <v>126</v>
      </c>
      <c r="N209" t="s">
        <v>102</v>
      </c>
      <c r="O209" t="s">
        <v>41</v>
      </c>
      <c r="P209" t="s">
        <v>33</v>
      </c>
      <c r="Q209">
        <v>3</v>
      </c>
      <c r="R209">
        <f>IFERROR(Table1_1[[#This Row],[Unit_Price]]*Table1_1[[#This Row],[Quantity]],"")</f>
        <v>6998</v>
      </c>
      <c r="S209">
        <f>IFERROR(Table1_1[[#This Row],[Gross_Sales]]*Table1_1[[#This Row],[Discount_%]],"")</f>
        <v>699.80000000000007</v>
      </c>
      <c r="T209">
        <f>IFERROR(Table1_1[[#This Row],[Gross_Sales]]-Table1_1[[#This Row],[Discount_amount]]+Table1_1[[#This Row],[Shipping_Cost]],"")</f>
        <v>6377.2</v>
      </c>
      <c r="U209">
        <f>IFERROR(Table1_1[[#This Row],[Net_Sale]]-(Table1_1[[#This Row],[Gross_Sales]]*70%),"")</f>
        <v>1478.6000000000004</v>
      </c>
      <c r="V209" s="7">
        <f>IFERROR(Table1_1[[#This Row],[Profit]]/Table1_1[[#This Row],[Net_Sale]],"")</f>
        <v>0.23185724142256797</v>
      </c>
      <c r="W209" t="str">
        <f>TEXT(Table1_1[[#This Row],[Order_Date]],"mmm")</f>
        <v>Jan</v>
      </c>
    </row>
    <row r="210" spans="1:23" x14ac:dyDescent="0.25">
      <c r="A210" t="s">
        <v>459</v>
      </c>
      <c r="B210" t="s">
        <v>243</v>
      </c>
      <c r="C210" s="6">
        <v>45806</v>
      </c>
      <c r="D210" t="s">
        <v>35</v>
      </c>
      <c r="E210" t="s">
        <v>36</v>
      </c>
      <c r="F210" t="s">
        <v>37</v>
      </c>
      <c r="G210" t="s">
        <v>38</v>
      </c>
      <c r="H210">
        <v>2</v>
      </c>
      <c r="I210">
        <v>599</v>
      </c>
      <c r="J210">
        <v>0.15</v>
      </c>
      <c r="K210">
        <v>59</v>
      </c>
      <c r="L210" t="s">
        <v>100</v>
      </c>
      <c r="M210" t="s">
        <v>101</v>
      </c>
      <c r="N210" t="s">
        <v>102</v>
      </c>
      <c r="O210" t="s">
        <v>51</v>
      </c>
      <c r="P210" t="s">
        <v>80</v>
      </c>
      <c r="Q210">
        <v>2</v>
      </c>
      <c r="R210">
        <f>IFERROR(Table1_1[[#This Row],[Unit_Price]]*Table1_1[[#This Row],[Quantity]],"")</f>
        <v>1198</v>
      </c>
      <c r="S210">
        <f>IFERROR(Table1_1[[#This Row],[Gross_Sales]]*Table1_1[[#This Row],[Discount_%]],"")</f>
        <v>179.7</v>
      </c>
      <c r="T210">
        <f>IFERROR(Table1_1[[#This Row],[Gross_Sales]]-Table1_1[[#This Row],[Discount_amount]]+Table1_1[[#This Row],[Shipping_Cost]],"")</f>
        <v>1077.3</v>
      </c>
      <c r="U210">
        <f>IFERROR(Table1_1[[#This Row],[Net_Sale]]-(Table1_1[[#This Row],[Gross_Sales]]*70%),"")</f>
        <v>238.70000000000005</v>
      </c>
      <c r="V210" s="7">
        <f>IFERROR(Table1_1[[#This Row],[Profit]]/Table1_1[[#This Row],[Net_Sale]],"")</f>
        <v>0.22157244964262512</v>
      </c>
      <c r="W210" t="str">
        <f>TEXT(Table1_1[[#This Row],[Order_Date]],"mmm")</f>
        <v>May</v>
      </c>
    </row>
    <row r="211" spans="1:23" x14ac:dyDescent="0.25">
      <c r="A211" t="s">
        <v>460</v>
      </c>
      <c r="B211" t="s">
        <v>340</v>
      </c>
      <c r="C211" s="6">
        <v>45924</v>
      </c>
      <c r="D211" t="s">
        <v>110</v>
      </c>
      <c r="E211" t="s">
        <v>111</v>
      </c>
      <c r="F211" t="s">
        <v>98</v>
      </c>
      <c r="G211" t="s">
        <v>112</v>
      </c>
      <c r="H211">
        <v>5</v>
      </c>
      <c r="I211">
        <v>2999</v>
      </c>
      <c r="J211">
        <v>0.05</v>
      </c>
      <c r="K211">
        <v>0</v>
      </c>
      <c r="L211" t="s">
        <v>100</v>
      </c>
      <c r="M211" t="s">
        <v>101</v>
      </c>
      <c r="N211" t="s">
        <v>102</v>
      </c>
      <c r="O211" t="s">
        <v>41</v>
      </c>
      <c r="P211" t="s">
        <v>33</v>
      </c>
      <c r="Q211">
        <v>3</v>
      </c>
      <c r="R211">
        <f>IFERROR(Table1_1[[#This Row],[Unit_Price]]*Table1_1[[#This Row],[Quantity]],"")</f>
        <v>14995</v>
      </c>
      <c r="S211">
        <f>IFERROR(Table1_1[[#This Row],[Gross_Sales]]*Table1_1[[#This Row],[Discount_%]],"")</f>
        <v>749.75</v>
      </c>
      <c r="T211">
        <f>IFERROR(Table1_1[[#This Row],[Gross_Sales]]-Table1_1[[#This Row],[Discount_amount]]+Table1_1[[#This Row],[Shipping_Cost]],"")</f>
        <v>14245.25</v>
      </c>
      <c r="U211">
        <f>IFERROR(Table1_1[[#This Row],[Net_Sale]]-(Table1_1[[#This Row],[Gross_Sales]]*70%),"")</f>
        <v>3748.75</v>
      </c>
      <c r="V211" s="7">
        <f>IFERROR(Table1_1[[#This Row],[Profit]]/Table1_1[[#This Row],[Net_Sale]],"")</f>
        <v>0.26315789473684209</v>
      </c>
      <c r="W211" t="str">
        <f>TEXT(Table1_1[[#This Row],[Order_Date]],"mmm")</f>
        <v>Sep</v>
      </c>
    </row>
    <row r="212" spans="1:23" x14ac:dyDescent="0.25">
      <c r="A212" t="s">
        <v>461</v>
      </c>
      <c r="B212" t="s">
        <v>385</v>
      </c>
      <c r="C212" s="6">
        <v>45682</v>
      </c>
      <c r="D212" t="s">
        <v>25</v>
      </c>
      <c r="E212" t="s">
        <v>26</v>
      </c>
      <c r="F212" t="s">
        <v>27</v>
      </c>
      <c r="G212" t="s">
        <v>28</v>
      </c>
      <c r="H212">
        <v>2</v>
      </c>
      <c r="I212">
        <v>249</v>
      </c>
      <c r="J212">
        <v>0.1</v>
      </c>
      <c r="K212">
        <v>99</v>
      </c>
      <c r="L212" t="s">
        <v>57</v>
      </c>
      <c r="M212" t="s">
        <v>58</v>
      </c>
      <c r="N212" t="s">
        <v>40</v>
      </c>
      <c r="O212" t="s">
        <v>59</v>
      </c>
      <c r="P212" t="s">
        <v>80</v>
      </c>
      <c r="Q212">
        <v>2</v>
      </c>
      <c r="R212">
        <f>IFERROR(Table1_1[[#This Row],[Unit_Price]]*Table1_1[[#This Row],[Quantity]],"")</f>
        <v>498</v>
      </c>
      <c r="S212">
        <f>IFERROR(Table1_1[[#This Row],[Gross_Sales]]*Table1_1[[#This Row],[Discount_%]],"")</f>
        <v>49.800000000000004</v>
      </c>
      <c r="T212">
        <f>IFERROR(Table1_1[[#This Row],[Gross_Sales]]-Table1_1[[#This Row],[Discount_amount]]+Table1_1[[#This Row],[Shipping_Cost]],"")</f>
        <v>547.20000000000005</v>
      </c>
      <c r="U212">
        <f>IFERROR(Table1_1[[#This Row],[Net_Sale]]-(Table1_1[[#This Row],[Gross_Sales]]*70%),"")</f>
        <v>198.60000000000008</v>
      </c>
      <c r="V212" s="7">
        <f>IFERROR(Table1_1[[#This Row],[Profit]]/Table1_1[[#This Row],[Net_Sale]],"")</f>
        <v>0.36293859649122817</v>
      </c>
      <c r="W212" t="str">
        <f>TEXT(Table1_1[[#This Row],[Order_Date]],"mmm")</f>
        <v>Jan</v>
      </c>
    </row>
    <row r="213" spans="1:23" x14ac:dyDescent="0.25">
      <c r="A213" t="s">
        <v>462</v>
      </c>
      <c r="B213" t="s">
        <v>283</v>
      </c>
      <c r="C213" s="6">
        <v>45933</v>
      </c>
      <c r="D213" t="s">
        <v>110</v>
      </c>
      <c r="E213" t="s">
        <v>111</v>
      </c>
      <c r="F213" t="s">
        <v>98</v>
      </c>
      <c r="G213" t="s">
        <v>112</v>
      </c>
      <c r="H213">
        <v>1</v>
      </c>
      <c r="I213">
        <v>2999</v>
      </c>
      <c r="J213">
        <v>0.05</v>
      </c>
      <c r="K213">
        <v>49</v>
      </c>
      <c r="L213" t="s">
        <v>57</v>
      </c>
      <c r="M213" t="s">
        <v>58</v>
      </c>
      <c r="N213" t="s">
        <v>31</v>
      </c>
      <c r="O213" t="s">
        <v>32</v>
      </c>
      <c r="P213" t="s">
        <v>33</v>
      </c>
      <c r="Q213">
        <v>4</v>
      </c>
      <c r="R213">
        <f>IFERROR(Table1_1[[#This Row],[Unit_Price]]*Table1_1[[#This Row],[Quantity]],"")</f>
        <v>2999</v>
      </c>
      <c r="S213">
        <f>IFERROR(Table1_1[[#This Row],[Gross_Sales]]*Table1_1[[#This Row],[Discount_%]],"")</f>
        <v>149.95000000000002</v>
      </c>
      <c r="T213">
        <f>IFERROR(Table1_1[[#This Row],[Gross_Sales]]-Table1_1[[#This Row],[Discount_amount]]+Table1_1[[#This Row],[Shipping_Cost]],"")</f>
        <v>2898.05</v>
      </c>
      <c r="U213">
        <f>IFERROR(Table1_1[[#This Row],[Net_Sale]]-(Table1_1[[#This Row],[Gross_Sales]]*70%),"")</f>
        <v>798.75000000000045</v>
      </c>
      <c r="V213" s="7">
        <f>IFERROR(Table1_1[[#This Row],[Profit]]/Table1_1[[#This Row],[Net_Sale]],"")</f>
        <v>0.27561636272666118</v>
      </c>
      <c r="W213" t="str">
        <f>TEXT(Table1_1[[#This Row],[Order_Date]],"mmm")</f>
        <v>Oct</v>
      </c>
    </row>
    <row r="214" spans="1:23" x14ac:dyDescent="0.25">
      <c r="A214" t="s">
        <v>463</v>
      </c>
      <c r="B214" t="s">
        <v>464</v>
      </c>
      <c r="C214" s="6">
        <v>45856</v>
      </c>
      <c r="D214" t="s">
        <v>96</v>
      </c>
      <c r="E214" t="s">
        <v>97</v>
      </c>
      <c r="F214" t="s">
        <v>98</v>
      </c>
      <c r="G214" t="s">
        <v>99</v>
      </c>
      <c r="H214">
        <v>2</v>
      </c>
      <c r="I214">
        <v>1499</v>
      </c>
      <c r="J214">
        <v>0.05</v>
      </c>
      <c r="K214">
        <v>0</v>
      </c>
      <c r="L214" t="s">
        <v>83</v>
      </c>
      <c r="M214" t="s">
        <v>84</v>
      </c>
      <c r="N214" t="s">
        <v>71</v>
      </c>
      <c r="O214" t="s">
        <v>93</v>
      </c>
      <c r="P214" t="s">
        <v>33</v>
      </c>
      <c r="Q214">
        <v>5</v>
      </c>
      <c r="R214">
        <f>IFERROR(Table1_1[[#This Row],[Unit_Price]]*Table1_1[[#This Row],[Quantity]],"")</f>
        <v>2998</v>
      </c>
      <c r="S214">
        <f>IFERROR(Table1_1[[#This Row],[Gross_Sales]]*Table1_1[[#This Row],[Discount_%]],"")</f>
        <v>149.9</v>
      </c>
      <c r="T214">
        <f>IFERROR(Table1_1[[#This Row],[Gross_Sales]]-Table1_1[[#This Row],[Discount_amount]]+Table1_1[[#This Row],[Shipping_Cost]],"")</f>
        <v>2848.1</v>
      </c>
      <c r="U214">
        <f>IFERROR(Table1_1[[#This Row],[Net_Sale]]-(Table1_1[[#This Row],[Gross_Sales]]*70%),"")</f>
        <v>749.5</v>
      </c>
      <c r="V214" s="7">
        <f>IFERROR(Table1_1[[#This Row],[Profit]]/Table1_1[[#This Row],[Net_Sale]],"")</f>
        <v>0.26315789473684209</v>
      </c>
      <c r="W214" t="str">
        <f>TEXT(Table1_1[[#This Row],[Order_Date]],"mmm")</f>
        <v>Jul</v>
      </c>
    </row>
    <row r="215" spans="1:23" x14ac:dyDescent="0.25">
      <c r="A215" t="s">
        <v>465</v>
      </c>
      <c r="B215" t="s">
        <v>466</v>
      </c>
      <c r="C215" s="6">
        <v>45851</v>
      </c>
      <c r="D215" t="s">
        <v>77</v>
      </c>
      <c r="E215" t="s">
        <v>78</v>
      </c>
      <c r="F215" t="s">
        <v>79</v>
      </c>
      <c r="G215" t="s">
        <v>28</v>
      </c>
      <c r="H215">
        <v>1</v>
      </c>
      <c r="I215">
        <v>6499</v>
      </c>
      <c r="J215">
        <v>0</v>
      </c>
      <c r="K215">
        <v>0</v>
      </c>
      <c r="L215" t="s">
        <v>113</v>
      </c>
      <c r="M215" t="s">
        <v>114</v>
      </c>
      <c r="N215" t="s">
        <v>102</v>
      </c>
      <c r="O215" t="s">
        <v>32</v>
      </c>
      <c r="P215" t="s">
        <v>85</v>
      </c>
      <c r="Q215">
        <v>2</v>
      </c>
      <c r="R215">
        <f>IFERROR(Table1_1[[#This Row],[Unit_Price]]*Table1_1[[#This Row],[Quantity]],"")</f>
        <v>6499</v>
      </c>
      <c r="S215">
        <f>IFERROR(Table1_1[[#This Row],[Gross_Sales]]*Table1_1[[#This Row],[Discount_%]],"")</f>
        <v>0</v>
      </c>
      <c r="T215">
        <f>IFERROR(Table1_1[[#This Row],[Gross_Sales]]-Table1_1[[#This Row],[Discount_amount]]+Table1_1[[#This Row],[Shipping_Cost]],"")</f>
        <v>6499</v>
      </c>
      <c r="U215">
        <f>IFERROR(Table1_1[[#This Row],[Net_Sale]]-(Table1_1[[#This Row],[Gross_Sales]]*70%),"")</f>
        <v>1949.7000000000007</v>
      </c>
      <c r="V215" s="7">
        <f>IFERROR(Table1_1[[#This Row],[Profit]]/Table1_1[[#This Row],[Net_Sale]],"")</f>
        <v>0.3000000000000001</v>
      </c>
      <c r="W215" t="str">
        <f>TEXT(Table1_1[[#This Row],[Order_Date]],"mmm")</f>
        <v>Jul</v>
      </c>
    </row>
    <row r="216" spans="1:23" x14ac:dyDescent="0.25">
      <c r="A216" t="s">
        <v>467</v>
      </c>
      <c r="B216" t="s">
        <v>411</v>
      </c>
      <c r="C216" s="6">
        <v>45828</v>
      </c>
      <c r="D216" t="s">
        <v>90</v>
      </c>
      <c r="E216" t="s">
        <v>91</v>
      </c>
      <c r="F216" t="s">
        <v>37</v>
      </c>
      <c r="G216" t="s">
        <v>92</v>
      </c>
      <c r="H216">
        <v>3</v>
      </c>
      <c r="I216">
        <v>3499</v>
      </c>
      <c r="J216">
        <v>0</v>
      </c>
      <c r="K216">
        <v>49</v>
      </c>
      <c r="L216" t="s">
        <v>113</v>
      </c>
      <c r="M216" t="s">
        <v>114</v>
      </c>
      <c r="N216" t="s">
        <v>40</v>
      </c>
      <c r="O216" t="s">
        <v>41</v>
      </c>
      <c r="P216" t="s">
        <v>33</v>
      </c>
      <c r="Q216">
        <v>3</v>
      </c>
      <c r="R216">
        <f>IFERROR(Table1_1[[#This Row],[Unit_Price]]*Table1_1[[#This Row],[Quantity]],"")</f>
        <v>10497</v>
      </c>
      <c r="S216">
        <f>IFERROR(Table1_1[[#This Row],[Gross_Sales]]*Table1_1[[#This Row],[Discount_%]],"")</f>
        <v>0</v>
      </c>
      <c r="T216">
        <f>IFERROR(Table1_1[[#This Row],[Gross_Sales]]-Table1_1[[#This Row],[Discount_amount]]+Table1_1[[#This Row],[Shipping_Cost]],"")</f>
        <v>10546</v>
      </c>
      <c r="U216">
        <f>IFERROR(Table1_1[[#This Row],[Net_Sale]]-(Table1_1[[#This Row],[Gross_Sales]]*70%),"")</f>
        <v>3198.1000000000004</v>
      </c>
      <c r="V216" s="7">
        <f>IFERROR(Table1_1[[#This Row],[Profit]]/Table1_1[[#This Row],[Net_Sale]],"")</f>
        <v>0.30325241797838048</v>
      </c>
      <c r="W216" t="str">
        <f>TEXT(Table1_1[[#This Row],[Order_Date]],"mmm")</f>
        <v>Jun</v>
      </c>
    </row>
    <row r="217" spans="1:23" x14ac:dyDescent="0.25">
      <c r="A217" t="s">
        <v>468</v>
      </c>
      <c r="B217" t="s">
        <v>224</v>
      </c>
      <c r="C217" s="6">
        <v>45780</v>
      </c>
      <c r="D217" t="s">
        <v>44</v>
      </c>
      <c r="E217" t="s">
        <v>45</v>
      </c>
      <c r="F217" t="s">
        <v>46</v>
      </c>
      <c r="G217" t="s">
        <v>47</v>
      </c>
      <c r="H217">
        <v>1</v>
      </c>
      <c r="I217">
        <v>1199</v>
      </c>
      <c r="J217">
        <v>0.1</v>
      </c>
      <c r="K217">
        <v>79</v>
      </c>
      <c r="L217" t="s">
        <v>113</v>
      </c>
      <c r="M217" t="s">
        <v>114</v>
      </c>
      <c r="N217" t="s">
        <v>71</v>
      </c>
      <c r="O217" t="s">
        <v>51</v>
      </c>
      <c r="P217" t="s">
        <v>33</v>
      </c>
      <c r="Q217">
        <v>3</v>
      </c>
      <c r="R217">
        <f>IFERROR(Table1_1[[#This Row],[Unit_Price]]*Table1_1[[#This Row],[Quantity]],"")</f>
        <v>1199</v>
      </c>
      <c r="S217">
        <f>IFERROR(Table1_1[[#This Row],[Gross_Sales]]*Table1_1[[#This Row],[Discount_%]],"")</f>
        <v>119.9</v>
      </c>
      <c r="T217">
        <f>IFERROR(Table1_1[[#This Row],[Gross_Sales]]-Table1_1[[#This Row],[Discount_amount]]+Table1_1[[#This Row],[Shipping_Cost]],"")</f>
        <v>1158.0999999999999</v>
      </c>
      <c r="U217">
        <f>IFERROR(Table1_1[[#This Row],[Net_Sale]]-(Table1_1[[#This Row],[Gross_Sales]]*70%),"")</f>
        <v>318.79999999999995</v>
      </c>
      <c r="V217" s="7">
        <f>IFERROR(Table1_1[[#This Row],[Profit]]/Table1_1[[#This Row],[Net_Sale]],"")</f>
        <v>0.27527847336154043</v>
      </c>
      <c r="W217" t="str">
        <f>TEXT(Table1_1[[#This Row],[Order_Date]],"mmm")</f>
        <v>May</v>
      </c>
    </row>
    <row r="218" spans="1:23" x14ac:dyDescent="0.25">
      <c r="A218" t="s">
        <v>469</v>
      </c>
      <c r="B218" t="s">
        <v>470</v>
      </c>
      <c r="C218" s="6">
        <v>45896</v>
      </c>
      <c r="D218" t="s">
        <v>169</v>
      </c>
      <c r="E218" t="s">
        <v>170</v>
      </c>
      <c r="F218" t="s">
        <v>98</v>
      </c>
      <c r="G218" t="s">
        <v>171</v>
      </c>
      <c r="H218">
        <v>3</v>
      </c>
      <c r="I218">
        <v>799</v>
      </c>
      <c r="J218">
        <v>0.1</v>
      </c>
      <c r="K218">
        <v>59</v>
      </c>
      <c r="L218" t="s">
        <v>83</v>
      </c>
      <c r="M218" t="s">
        <v>84</v>
      </c>
      <c r="N218" t="s">
        <v>71</v>
      </c>
      <c r="O218" t="s">
        <v>51</v>
      </c>
      <c r="P218" t="s">
        <v>80</v>
      </c>
      <c r="Q218">
        <v>4</v>
      </c>
      <c r="R218">
        <f>IFERROR(Table1_1[[#This Row],[Unit_Price]]*Table1_1[[#This Row],[Quantity]],"")</f>
        <v>2397</v>
      </c>
      <c r="S218">
        <f>IFERROR(Table1_1[[#This Row],[Gross_Sales]]*Table1_1[[#This Row],[Discount_%]],"")</f>
        <v>239.70000000000002</v>
      </c>
      <c r="T218">
        <f>IFERROR(Table1_1[[#This Row],[Gross_Sales]]-Table1_1[[#This Row],[Discount_amount]]+Table1_1[[#This Row],[Shipping_Cost]],"")</f>
        <v>2216.3000000000002</v>
      </c>
      <c r="U218">
        <f>IFERROR(Table1_1[[#This Row],[Net_Sale]]-(Table1_1[[#This Row],[Gross_Sales]]*70%),"")</f>
        <v>538.40000000000032</v>
      </c>
      <c r="V218" s="7">
        <f>IFERROR(Table1_1[[#This Row],[Profit]]/Table1_1[[#This Row],[Net_Sale]],"")</f>
        <v>0.24292740152506442</v>
      </c>
      <c r="W218" t="str">
        <f>TEXT(Table1_1[[#This Row],[Order_Date]],"mmm")</f>
        <v>Aug</v>
      </c>
    </row>
    <row r="219" spans="1:23" x14ac:dyDescent="0.25">
      <c r="A219" t="s">
        <v>471</v>
      </c>
      <c r="B219" t="s">
        <v>230</v>
      </c>
      <c r="C219" s="6">
        <v>45732</v>
      </c>
      <c r="D219" t="s">
        <v>35</v>
      </c>
      <c r="E219" t="s">
        <v>36</v>
      </c>
      <c r="F219" t="s">
        <v>37</v>
      </c>
      <c r="G219" t="s">
        <v>38</v>
      </c>
      <c r="H219">
        <v>3</v>
      </c>
      <c r="I219">
        <v>599</v>
      </c>
      <c r="J219">
        <v>0.15</v>
      </c>
      <c r="K219">
        <v>99</v>
      </c>
      <c r="L219" t="s">
        <v>125</v>
      </c>
      <c r="M219" t="s">
        <v>126</v>
      </c>
      <c r="N219" t="s">
        <v>71</v>
      </c>
      <c r="O219" t="s">
        <v>41</v>
      </c>
      <c r="P219" t="s">
        <v>85</v>
      </c>
      <c r="Q219">
        <v>2</v>
      </c>
      <c r="R219">
        <f>IFERROR(Table1_1[[#This Row],[Unit_Price]]*Table1_1[[#This Row],[Quantity]],"")</f>
        <v>1797</v>
      </c>
      <c r="S219">
        <f>IFERROR(Table1_1[[#This Row],[Gross_Sales]]*Table1_1[[#This Row],[Discount_%]],"")</f>
        <v>269.55</v>
      </c>
      <c r="T219">
        <f>IFERROR(Table1_1[[#This Row],[Gross_Sales]]-Table1_1[[#This Row],[Discount_amount]]+Table1_1[[#This Row],[Shipping_Cost]],"")</f>
        <v>1626.45</v>
      </c>
      <c r="U219">
        <f>IFERROR(Table1_1[[#This Row],[Net_Sale]]-(Table1_1[[#This Row],[Gross_Sales]]*70%),"")</f>
        <v>368.55000000000018</v>
      </c>
      <c r="V219" s="7">
        <f>IFERROR(Table1_1[[#This Row],[Profit]]/Table1_1[[#This Row],[Net_Sale]],"")</f>
        <v>0.22659780503550689</v>
      </c>
      <c r="W219" t="str">
        <f>TEXT(Table1_1[[#This Row],[Order_Date]],"mmm")</f>
        <v>Mar</v>
      </c>
    </row>
    <row r="220" spans="1:23" x14ac:dyDescent="0.25">
      <c r="A220" t="s">
        <v>472</v>
      </c>
      <c r="B220" t="s">
        <v>360</v>
      </c>
      <c r="C220" s="6">
        <v>45783</v>
      </c>
      <c r="D220" t="s">
        <v>169</v>
      </c>
      <c r="E220" t="s">
        <v>170</v>
      </c>
      <c r="F220" t="s">
        <v>98</v>
      </c>
      <c r="G220" t="s">
        <v>171</v>
      </c>
      <c r="H220">
        <v>1</v>
      </c>
      <c r="I220">
        <v>799</v>
      </c>
      <c r="J220">
        <v>0.2</v>
      </c>
      <c r="K220">
        <v>59</v>
      </c>
      <c r="L220" t="s">
        <v>113</v>
      </c>
      <c r="M220" t="s">
        <v>114</v>
      </c>
      <c r="N220" t="s">
        <v>40</v>
      </c>
      <c r="O220" t="s">
        <v>59</v>
      </c>
      <c r="P220" t="s">
        <v>80</v>
      </c>
      <c r="Q220">
        <v>4</v>
      </c>
      <c r="R220">
        <f>IFERROR(Table1_1[[#This Row],[Unit_Price]]*Table1_1[[#This Row],[Quantity]],"")</f>
        <v>799</v>
      </c>
      <c r="S220">
        <f>IFERROR(Table1_1[[#This Row],[Gross_Sales]]*Table1_1[[#This Row],[Discount_%]],"")</f>
        <v>159.80000000000001</v>
      </c>
      <c r="T220">
        <f>IFERROR(Table1_1[[#This Row],[Gross_Sales]]-Table1_1[[#This Row],[Discount_amount]]+Table1_1[[#This Row],[Shipping_Cost]],"")</f>
        <v>698.2</v>
      </c>
      <c r="U220">
        <f>IFERROR(Table1_1[[#This Row],[Net_Sale]]-(Table1_1[[#This Row],[Gross_Sales]]*70%),"")</f>
        <v>138.90000000000009</v>
      </c>
      <c r="V220" s="7">
        <f>IFERROR(Table1_1[[#This Row],[Profit]]/Table1_1[[#This Row],[Net_Sale]],"")</f>
        <v>0.198940131767402</v>
      </c>
      <c r="W220" t="str">
        <f>TEXT(Table1_1[[#This Row],[Order_Date]],"mmm")</f>
        <v>May</v>
      </c>
    </row>
    <row r="221" spans="1:23" x14ac:dyDescent="0.25">
      <c r="A221" t="s">
        <v>473</v>
      </c>
      <c r="B221" t="s">
        <v>364</v>
      </c>
      <c r="C221" s="6">
        <v>45937</v>
      </c>
      <c r="D221" t="s">
        <v>105</v>
      </c>
      <c r="E221" t="s">
        <v>106</v>
      </c>
      <c r="F221" t="s">
        <v>37</v>
      </c>
      <c r="G221" t="s">
        <v>107</v>
      </c>
      <c r="H221">
        <v>1</v>
      </c>
      <c r="I221">
        <v>1799</v>
      </c>
      <c r="J221">
        <v>0.2</v>
      </c>
      <c r="K221">
        <v>0</v>
      </c>
      <c r="L221" t="s">
        <v>74</v>
      </c>
      <c r="M221" t="s">
        <v>49</v>
      </c>
      <c r="N221" t="s">
        <v>31</v>
      </c>
      <c r="O221" t="s">
        <v>93</v>
      </c>
      <c r="P221" t="s">
        <v>85</v>
      </c>
      <c r="Q221">
        <v>3</v>
      </c>
      <c r="R221">
        <f>IFERROR(Table1_1[[#This Row],[Unit_Price]]*Table1_1[[#This Row],[Quantity]],"")</f>
        <v>1799</v>
      </c>
      <c r="S221">
        <f>IFERROR(Table1_1[[#This Row],[Gross_Sales]]*Table1_1[[#This Row],[Discount_%]],"")</f>
        <v>359.8</v>
      </c>
      <c r="T221">
        <f>IFERROR(Table1_1[[#This Row],[Gross_Sales]]-Table1_1[[#This Row],[Discount_amount]]+Table1_1[[#This Row],[Shipping_Cost]],"")</f>
        <v>1439.2</v>
      </c>
      <c r="U221">
        <f>IFERROR(Table1_1[[#This Row],[Net_Sale]]-(Table1_1[[#This Row],[Gross_Sales]]*70%),"")</f>
        <v>179.90000000000009</v>
      </c>
      <c r="V221" s="7">
        <f>IFERROR(Table1_1[[#This Row],[Profit]]/Table1_1[[#This Row],[Net_Sale]],"")</f>
        <v>0.12500000000000006</v>
      </c>
      <c r="W221" t="str">
        <f>TEXT(Table1_1[[#This Row],[Order_Date]],"mmm")</f>
        <v>Oct</v>
      </c>
    </row>
    <row r="222" spans="1:23" x14ac:dyDescent="0.25">
      <c r="A222" t="s">
        <v>474</v>
      </c>
      <c r="B222" t="s">
        <v>475</v>
      </c>
      <c r="C222" s="6">
        <v>45869</v>
      </c>
      <c r="D222" t="s">
        <v>25</v>
      </c>
      <c r="E222" t="s">
        <v>26</v>
      </c>
      <c r="F222" t="s">
        <v>27</v>
      </c>
      <c r="G222" t="s">
        <v>28</v>
      </c>
      <c r="H222">
        <v>3</v>
      </c>
      <c r="I222">
        <v>249</v>
      </c>
      <c r="J222">
        <v>0</v>
      </c>
      <c r="K222">
        <v>0</v>
      </c>
      <c r="L222" t="s">
        <v>39</v>
      </c>
      <c r="M222" t="s">
        <v>39</v>
      </c>
      <c r="N222" t="s">
        <v>31</v>
      </c>
      <c r="O222" t="s">
        <v>41</v>
      </c>
      <c r="P222" t="s">
        <v>80</v>
      </c>
      <c r="Q222">
        <v>5</v>
      </c>
      <c r="R222">
        <f>IFERROR(Table1_1[[#This Row],[Unit_Price]]*Table1_1[[#This Row],[Quantity]],"")</f>
        <v>747</v>
      </c>
      <c r="S222">
        <f>IFERROR(Table1_1[[#This Row],[Gross_Sales]]*Table1_1[[#This Row],[Discount_%]],"")</f>
        <v>0</v>
      </c>
      <c r="T222">
        <f>IFERROR(Table1_1[[#This Row],[Gross_Sales]]-Table1_1[[#This Row],[Discount_amount]]+Table1_1[[#This Row],[Shipping_Cost]],"")</f>
        <v>747</v>
      </c>
      <c r="U222">
        <f>IFERROR(Table1_1[[#This Row],[Net_Sale]]-(Table1_1[[#This Row],[Gross_Sales]]*70%),"")</f>
        <v>224.10000000000002</v>
      </c>
      <c r="V222" s="7">
        <f>IFERROR(Table1_1[[#This Row],[Profit]]/Table1_1[[#This Row],[Net_Sale]],"")</f>
        <v>0.30000000000000004</v>
      </c>
      <c r="W222" t="str">
        <f>TEXT(Table1_1[[#This Row],[Order_Date]],"mmm")</f>
        <v>Jul</v>
      </c>
    </row>
    <row r="223" spans="1:23" x14ac:dyDescent="0.25">
      <c r="A223" t="s">
        <v>476</v>
      </c>
      <c r="B223" t="s">
        <v>477</v>
      </c>
      <c r="C223" s="6">
        <v>45984</v>
      </c>
      <c r="D223" t="s">
        <v>90</v>
      </c>
      <c r="E223" t="s">
        <v>91</v>
      </c>
      <c r="F223" t="s">
        <v>37</v>
      </c>
      <c r="G223" t="s">
        <v>92</v>
      </c>
      <c r="H223">
        <v>1</v>
      </c>
      <c r="I223">
        <v>3499</v>
      </c>
      <c r="J223">
        <v>0.1</v>
      </c>
      <c r="K223">
        <v>79</v>
      </c>
      <c r="L223" t="s">
        <v>74</v>
      </c>
      <c r="M223" t="s">
        <v>49</v>
      </c>
      <c r="N223" t="s">
        <v>31</v>
      </c>
      <c r="O223" t="s">
        <v>32</v>
      </c>
      <c r="P223" t="s">
        <v>85</v>
      </c>
      <c r="Q223">
        <v>5</v>
      </c>
      <c r="R223">
        <f>IFERROR(Table1_1[[#This Row],[Unit_Price]]*Table1_1[[#This Row],[Quantity]],"")</f>
        <v>3499</v>
      </c>
      <c r="S223">
        <f>IFERROR(Table1_1[[#This Row],[Gross_Sales]]*Table1_1[[#This Row],[Discount_%]],"")</f>
        <v>349.90000000000003</v>
      </c>
      <c r="T223">
        <f>IFERROR(Table1_1[[#This Row],[Gross_Sales]]-Table1_1[[#This Row],[Discount_amount]]+Table1_1[[#This Row],[Shipping_Cost]],"")</f>
        <v>3228.1</v>
      </c>
      <c r="U223">
        <f>IFERROR(Table1_1[[#This Row],[Net_Sale]]-(Table1_1[[#This Row],[Gross_Sales]]*70%),"")</f>
        <v>778.80000000000018</v>
      </c>
      <c r="V223" s="7">
        <f>IFERROR(Table1_1[[#This Row],[Profit]]/Table1_1[[#This Row],[Net_Sale]],"")</f>
        <v>0.24125646665221034</v>
      </c>
      <c r="W223" t="str">
        <f>TEXT(Table1_1[[#This Row],[Order_Date]],"mmm")</f>
        <v>Nov</v>
      </c>
    </row>
    <row r="224" spans="1:23" x14ac:dyDescent="0.25">
      <c r="A224" t="s">
        <v>478</v>
      </c>
      <c r="B224" t="s">
        <v>479</v>
      </c>
      <c r="C224" s="6">
        <v>45798</v>
      </c>
      <c r="D224" t="s">
        <v>96</v>
      </c>
      <c r="E224" t="s">
        <v>97</v>
      </c>
      <c r="F224" t="s">
        <v>98</v>
      </c>
      <c r="G224" t="s">
        <v>99</v>
      </c>
      <c r="H224">
        <v>1</v>
      </c>
      <c r="I224">
        <v>1499</v>
      </c>
      <c r="J224">
        <v>0.15</v>
      </c>
      <c r="K224">
        <v>79</v>
      </c>
      <c r="L224" t="s">
        <v>39</v>
      </c>
      <c r="M224" t="s">
        <v>39</v>
      </c>
      <c r="N224" t="s">
        <v>31</v>
      </c>
      <c r="O224" t="s">
        <v>93</v>
      </c>
      <c r="P224" t="s">
        <v>33</v>
      </c>
      <c r="Q224">
        <v>5</v>
      </c>
      <c r="R224">
        <f>IFERROR(Table1_1[[#This Row],[Unit_Price]]*Table1_1[[#This Row],[Quantity]],"")</f>
        <v>1499</v>
      </c>
      <c r="S224">
        <f>IFERROR(Table1_1[[#This Row],[Gross_Sales]]*Table1_1[[#This Row],[Discount_%]],"")</f>
        <v>224.85</v>
      </c>
      <c r="T224">
        <f>IFERROR(Table1_1[[#This Row],[Gross_Sales]]-Table1_1[[#This Row],[Discount_amount]]+Table1_1[[#This Row],[Shipping_Cost]],"")</f>
        <v>1353.15</v>
      </c>
      <c r="U224">
        <f>IFERROR(Table1_1[[#This Row],[Net_Sale]]-(Table1_1[[#This Row],[Gross_Sales]]*70%),"")</f>
        <v>303.85000000000014</v>
      </c>
      <c r="V224" s="7">
        <f>IFERROR(Table1_1[[#This Row],[Profit]]/Table1_1[[#This Row],[Net_Sale]],"")</f>
        <v>0.22455012378524192</v>
      </c>
      <c r="W224" t="str">
        <f>TEXT(Table1_1[[#This Row],[Order_Date]],"mmm")</f>
        <v>May</v>
      </c>
    </row>
    <row r="225" spans="1:23" x14ac:dyDescent="0.25">
      <c r="A225" t="s">
        <v>480</v>
      </c>
      <c r="B225" t="s">
        <v>376</v>
      </c>
      <c r="C225" s="6">
        <v>45927</v>
      </c>
      <c r="D225" t="s">
        <v>105</v>
      </c>
      <c r="E225" t="s">
        <v>106</v>
      </c>
      <c r="F225" t="s">
        <v>37</v>
      </c>
      <c r="G225" t="s">
        <v>107</v>
      </c>
      <c r="H225">
        <v>1</v>
      </c>
      <c r="I225">
        <v>1799</v>
      </c>
      <c r="J225">
        <v>0.05</v>
      </c>
      <c r="K225">
        <v>79</v>
      </c>
      <c r="L225" t="s">
        <v>113</v>
      </c>
      <c r="M225" t="s">
        <v>114</v>
      </c>
      <c r="N225" t="s">
        <v>71</v>
      </c>
      <c r="O225" t="s">
        <v>59</v>
      </c>
      <c r="P225" t="s">
        <v>33</v>
      </c>
      <c r="Q225">
        <v>4</v>
      </c>
      <c r="R225">
        <f>IFERROR(Table1_1[[#This Row],[Unit_Price]]*Table1_1[[#This Row],[Quantity]],"")</f>
        <v>1799</v>
      </c>
      <c r="S225">
        <f>IFERROR(Table1_1[[#This Row],[Gross_Sales]]*Table1_1[[#This Row],[Discount_%]],"")</f>
        <v>89.95</v>
      </c>
      <c r="T225">
        <f>IFERROR(Table1_1[[#This Row],[Gross_Sales]]-Table1_1[[#This Row],[Discount_amount]]+Table1_1[[#This Row],[Shipping_Cost]],"")</f>
        <v>1788.05</v>
      </c>
      <c r="U225">
        <f>IFERROR(Table1_1[[#This Row],[Net_Sale]]-(Table1_1[[#This Row],[Gross_Sales]]*70%),"")</f>
        <v>528.75</v>
      </c>
      <c r="V225" s="7">
        <f>IFERROR(Table1_1[[#This Row],[Profit]]/Table1_1[[#This Row],[Net_Sale]],"")</f>
        <v>0.29571320712508042</v>
      </c>
      <c r="W225" t="str">
        <f>TEXT(Table1_1[[#This Row],[Order_Date]],"mmm")</f>
        <v>Sep</v>
      </c>
    </row>
    <row r="226" spans="1:23" x14ac:dyDescent="0.25">
      <c r="A226" t="s">
        <v>481</v>
      </c>
      <c r="B226" t="s">
        <v>177</v>
      </c>
      <c r="C226" s="6">
        <v>45773</v>
      </c>
      <c r="D226" t="s">
        <v>44</v>
      </c>
      <c r="E226" t="s">
        <v>45</v>
      </c>
      <c r="F226" t="s">
        <v>46</v>
      </c>
      <c r="G226" t="s">
        <v>47</v>
      </c>
      <c r="H226">
        <v>5</v>
      </c>
      <c r="I226">
        <v>1199</v>
      </c>
      <c r="J226">
        <v>0.2</v>
      </c>
      <c r="K226">
        <v>0</v>
      </c>
      <c r="L226" t="s">
        <v>113</v>
      </c>
      <c r="M226" t="s">
        <v>114</v>
      </c>
      <c r="N226" t="s">
        <v>40</v>
      </c>
      <c r="O226" t="s">
        <v>59</v>
      </c>
      <c r="P226" t="s">
        <v>33</v>
      </c>
      <c r="Q226">
        <v>4</v>
      </c>
      <c r="R226">
        <f>IFERROR(Table1_1[[#This Row],[Unit_Price]]*Table1_1[[#This Row],[Quantity]],"")</f>
        <v>5995</v>
      </c>
      <c r="S226">
        <f>IFERROR(Table1_1[[#This Row],[Gross_Sales]]*Table1_1[[#This Row],[Discount_%]],"")</f>
        <v>1199</v>
      </c>
      <c r="T226">
        <f>IFERROR(Table1_1[[#This Row],[Gross_Sales]]-Table1_1[[#This Row],[Discount_amount]]+Table1_1[[#This Row],[Shipping_Cost]],"")</f>
        <v>4796</v>
      </c>
      <c r="U226">
        <f>IFERROR(Table1_1[[#This Row],[Net_Sale]]-(Table1_1[[#This Row],[Gross_Sales]]*70%),"")</f>
        <v>599.5</v>
      </c>
      <c r="V226" s="7">
        <f>IFERROR(Table1_1[[#This Row],[Profit]]/Table1_1[[#This Row],[Net_Sale]],"")</f>
        <v>0.125</v>
      </c>
      <c r="W226" t="str">
        <f>TEXT(Table1_1[[#This Row],[Order_Date]],"mmm")</f>
        <v>Apr</v>
      </c>
    </row>
    <row r="227" spans="1:23" x14ac:dyDescent="0.25">
      <c r="A227" t="s">
        <v>482</v>
      </c>
      <c r="B227" t="s">
        <v>483</v>
      </c>
      <c r="C227" s="6">
        <v>45662</v>
      </c>
      <c r="D227" t="s">
        <v>62</v>
      </c>
      <c r="E227" t="s">
        <v>63</v>
      </c>
      <c r="F227" t="s">
        <v>46</v>
      </c>
      <c r="G227" t="s">
        <v>64</v>
      </c>
      <c r="H227">
        <v>1</v>
      </c>
      <c r="I227">
        <v>699</v>
      </c>
      <c r="J227">
        <v>0.1</v>
      </c>
      <c r="K227">
        <v>79</v>
      </c>
      <c r="L227" t="s">
        <v>119</v>
      </c>
      <c r="M227" t="s">
        <v>120</v>
      </c>
      <c r="N227" t="s">
        <v>102</v>
      </c>
      <c r="O227" t="s">
        <v>93</v>
      </c>
      <c r="P227" t="s">
        <v>33</v>
      </c>
      <c r="Q227">
        <v>5</v>
      </c>
      <c r="R227">
        <f>IFERROR(Table1_1[[#This Row],[Unit_Price]]*Table1_1[[#This Row],[Quantity]],"")</f>
        <v>699</v>
      </c>
      <c r="S227">
        <f>IFERROR(Table1_1[[#This Row],[Gross_Sales]]*Table1_1[[#This Row],[Discount_%]],"")</f>
        <v>69.900000000000006</v>
      </c>
      <c r="T227">
        <f>IFERROR(Table1_1[[#This Row],[Gross_Sales]]-Table1_1[[#This Row],[Discount_amount]]+Table1_1[[#This Row],[Shipping_Cost]],"")</f>
        <v>708.1</v>
      </c>
      <c r="U227">
        <f>IFERROR(Table1_1[[#This Row],[Net_Sale]]-(Table1_1[[#This Row],[Gross_Sales]]*70%),"")</f>
        <v>218.80000000000007</v>
      </c>
      <c r="V227" s="7">
        <f>IFERROR(Table1_1[[#This Row],[Profit]]/Table1_1[[#This Row],[Net_Sale]],"")</f>
        <v>0.30899590453325809</v>
      </c>
      <c r="W227" t="str">
        <f>TEXT(Table1_1[[#This Row],[Order_Date]],"mmm")</f>
        <v>Jan</v>
      </c>
    </row>
    <row r="228" spans="1:23" x14ac:dyDescent="0.25">
      <c r="A228" t="s">
        <v>484</v>
      </c>
      <c r="B228" t="s">
        <v>214</v>
      </c>
      <c r="C228" s="6">
        <v>46012</v>
      </c>
      <c r="D228" t="s">
        <v>35</v>
      </c>
      <c r="E228" t="s">
        <v>36</v>
      </c>
      <c r="F228" t="s">
        <v>37</v>
      </c>
      <c r="G228" t="s">
        <v>38</v>
      </c>
      <c r="H228">
        <v>1</v>
      </c>
      <c r="I228">
        <v>599</v>
      </c>
      <c r="J228">
        <v>0</v>
      </c>
      <c r="K228">
        <v>0</v>
      </c>
      <c r="L228" t="s">
        <v>113</v>
      </c>
      <c r="M228" t="s">
        <v>114</v>
      </c>
      <c r="N228" t="s">
        <v>102</v>
      </c>
      <c r="O228" t="s">
        <v>32</v>
      </c>
      <c r="P228" t="s">
        <v>33</v>
      </c>
      <c r="Q228">
        <v>3</v>
      </c>
      <c r="R228">
        <f>IFERROR(Table1_1[[#This Row],[Unit_Price]]*Table1_1[[#This Row],[Quantity]],"")</f>
        <v>599</v>
      </c>
      <c r="S228">
        <f>IFERROR(Table1_1[[#This Row],[Gross_Sales]]*Table1_1[[#This Row],[Discount_%]],"")</f>
        <v>0</v>
      </c>
      <c r="T228">
        <f>IFERROR(Table1_1[[#This Row],[Gross_Sales]]-Table1_1[[#This Row],[Discount_amount]]+Table1_1[[#This Row],[Shipping_Cost]],"")</f>
        <v>599</v>
      </c>
      <c r="U228">
        <f>IFERROR(Table1_1[[#This Row],[Net_Sale]]-(Table1_1[[#This Row],[Gross_Sales]]*70%),"")</f>
        <v>179.70000000000005</v>
      </c>
      <c r="V228" s="7">
        <f>IFERROR(Table1_1[[#This Row],[Profit]]/Table1_1[[#This Row],[Net_Sale]],"")</f>
        <v>0.3000000000000001</v>
      </c>
      <c r="W228" t="str">
        <f>TEXT(Table1_1[[#This Row],[Order_Date]],"mmm")</f>
        <v>Dec</v>
      </c>
    </row>
    <row r="229" spans="1:23" x14ac:dyDescent="0.25">
      <c r="A229" t="s">
        <v>485</v>
      </c>
      <c r="B229" t="s">
        <v>188</v>
      </c>
      <c r="C229" s="6">
        <v>45819</v>
      </c>
      <c r="D229" t="s">
        <v>35</v>
      </c>
      <c r="E229" t="s">
        <v>36</v>
      </c>
      <c r="F229" t="s">
        <v>37</v>
      </c>
      <c r="G229" t="s">
        <v>38</v>
      </c>
      <c r="H229">
        <v>4</v>
      </c>
      <c r="I229">
        <v>599</v>
      </c>
      <c r="J229">
        <v>0</v>
      </c>
      <c r="K229">
        <v>79</v>
      </c>
      <c r="L229" t="s">
        <v>100</v>
      </c>
      <c r="M229" t="s">
        <v>101</v>
      </c>
      <c r="N229" t="s">
        <v>71</v>
      </c>
      <c r="O229" t="s">
        <v>41</v>
      </c>
      <c r="P229" t="s">
        <v>85</v>
      </c>
      <c r="Q229">
        <v>5</v>
      </c>
      <c r="R229">
        <f>IFERROR(Table1_1[[#This Row],[Unit_Price]]*Table1_1[[#This Row],[Quantity]],"")</f>
        <v>2396</v>
      </c>
      <c r="S229">
        <f>IFERROR(Table1_1[[#This Row],[Gross_Sales]]*Table1_1[[#This Row],[Discount_%]],"")</f>
        <v>0</v>
      </c>
      <c r="T229">
        <f>IFERROR(Table1_1[[#This Row],[Gross_Sales]]-Table1_1[[#This Row],[Discount_amount]]+Table1_1[[#This Row],[Shipping_Cost]],"")</f>
        <v>2475</v>
      </c>
      <c r="U229">
        <f>IFERROR(Table1_1[[#This Row],[Net_Sale]]-(Table1_1[[#This Row],[Gross_Sales]]*70%),"")</f>
        <v>797.80000000000018</v>
      </c>
      <c r="V229" s="7">
        <f>IFERROR(Table1_1[[#This Row],[Profit]]/Table1_1[[#This Row],[Net_Sale]],"")</f>
        <v>0.32234343434343443</v>
      </c>
      <c r="W229" t="str">
        <f>TEXT(Table1_1[[#This Row],[Order_Date]],"mmm")</f>
        <v>Jun</v>
      </c>
    </row>
    <row r="230" spans="1:23" x14ac:dyDescent="0.25">
      <c r="A230" t="s">
        <v>486</v>
      </c>
      <c r="B230" t="s">
        <v>487</v>
      </c>
      <c r="C230" s="6">
        <v>45857</v>
      </c>
      <c r="D230" t="s">
        <v>67</v>
      </c>
      <c r="E230" t="s">
        <v>68</v>
      </c>
      <c r="F230" t="s">
        <v>37</v>
      </c>
      <c r="G230" t="s">
        <v>38</v>
      </c>
      <c r="H230">
        <v>3</v>
      </c>
      <c r="I230">
        <v>1299</v>
      </c>
      <c r="J230">
        <v>0.05</v>
      </c>
      <c r="K230">
        <v>79</v>
      </c>
      <c r="L230" t="s">
        <v>125</v>
      </c>
      <c r="M230" t="s">
        <v>126</v>
      </c>
      <c r="N230" t="s">
        <v>31</v>
      </c>
      <c r="O230" t="s">
        <v>32</v>
      </c>
      <c r="P230" t="s">
        <v>85</v>
      </c>
      <c r="Q230">
        <v>3</v>
      </c>
      <c r="R230">
        <f>IFERROR(Table1_1[[#This Row],[Unit_Price]]*Table1_1[[#This Row],[Quantity]],"")</f>
        <v>3897</v>
      </c>
      <c r="S230">
        <f>IFERROR(Table1_1[[#This Row],[Gross_Sales]]*Table1_1[[#This Row],[Discount_%]],"")</f>
        <v>194.85000000000002</v>
      </c>
      <c r="T230">
        <f>IFERROR(Table1_1[[#This Row],[Gross_Sales]]-Table1_1[[#This Row],[Discount_amount]]+Table1_1[[#This Row],[Shipping_Cost]],"")</f>
        <v>3781.15</v>
      </c>
      <c r="U230">
        <f>IFERROR(Table1_1[[#This Row],[Net_Sale]]-(Table1_1[[#This Row],[Gross_Sales]]*70%),"")</f>
        <v>1053.2500000000005</v>
      </c>
      <c r="V230" s="7">
        <f>IFERROR(Table1_1[[#This Row],[Profit]]/Table1_1[[#This Row],[Net_Sale]],"")</f>
        <v>0.27855282123163599</v>
      </c>
      <c r="W230" t="str">
        <f>TEXT(Table1_1[[#This Row],[Order_Date]],"mmm")</f>
        <v>Jul</v>
      </c>
    </row>
    <row r="231" spans="1:23" x14ac:dyDescent="0.25">
      <c r="A231" t="s">
        <v>488</v>
      </c>
      <c r="B231" t="s">
        <v>280</v>
      </c>
      <c r="C231" s="6">
        <v>45776</v>
      </c>
      <c r="D231" t="s">
        <v>169</v>
      </c>
      <c r="E231" t="s">
        <v>170</v>
      </c>
      <c r="F231" t="s">
        <v>98</v>
      </c>
      <c r="G231" t="s">
        <v>171</v>
      </c>
      <c r="H231">
        <v>1</v>
      </c>
      <c r="I231">
        <v>799</v>
      </c>
      <c r="J231">
        <v>0.15</v>
      </c>
      <c r="K231">
        <v>99</v>
      </c>
      <c r="L231" t="s">
        <v>39</v>
      </c>
      <c r="M231" t="s">
        <v>39</v>
      </c>
      <c r="N231" t="s">
        <v>71</v>
      </c>
      <c r="O231" t="s">
        <v>93</v>
      </c>
      <c r="P231" t="s">
        <v>85</v>
      </c>
      <c r="Q231">
        <v>3</v>
      </c>
      <c r="R231">
        <f>IFERROR(Table1_1[[#This Row],[Unit_Price]]*Table1_1[[#This Row],[Quantity]],"")</f>
        <v>799</v>
      </c>
      <c r="S231">
        <f>IFERROR(Table1_1[[#This Row],[Gross_Sales]]*Table1_1[[#This Row],[Discount_%]],"")</f>
        <v>119.85</v>
      </c>
      <c r="T231">
        <f>IFERROR(Table1_1[[#This Row],[Gross_Sales]]-Table1_1[[#This Row],[Discount_amount]]+Table1_1[[#This Row],[Shipping_Cost]],"")</f>
        <v>778.15</v>
      </c>
      <c r="U231">
        <f>IFERROR(Table1_1[[#This Row],[Net_Sale]]-(Table1_1[[#This Row],[Gross_Sales]]*70%),"")</f>
        <v>218.85000000000002</v>
      </c>
      <c r="V231" s="7">
        <f>IFERROR(Table1_1[[#This Row],[Profit]]/Table1_1[[#This Row],[Net_Sale]],"")</f>
        <v>0.28124397609715357</v>
      </c>
      <c r="W231" t="str">
        <f>TEXT(Table1_1[[#This Row],[Order_Date]],"mmm")</f>
        <v>Apr</v>
      </c>
    </row>
    <row r="232" spans="1:23" x14ac:dyDescent="0.25">
      <c r="A232" t="s">
        <v>490</v>
      </c>
      <c r="B232" t="s">
        <v>70</v>
      </c>
      <c r="C232" s="6">
        <v>45840</v>
      </c>
      <c r="D232" t="s">
        <v>110</v>
      </c>
      <c r="E232" t="s">
        <v>111</v>
      </c>
      <c r="F232" t="s">
        <v>98</v>
      </c>
      <c r="G232" t="s">
        <v>112</v>
      </c>
      <c r="H232">
        <v>2</v>
      </c>
      <c r="I232">
        <v>2017</v>
      </c>
      <c r="J232">
        <v>0</v>
      </c>
      <c r="K232">
        <v>99</v>
      </c>
      <c r="L232" t="s">
        <v>119</v>
      </c>
      <c r="M232" t="s">
        <v>120</v>
      </c>
      <c r="N232" t="s">
        <v>31</v>
      </c>
      <c r="O232" t="s">
        <v>32</v>
      </c>
      <c r="P232" t="s">
        <v>52</v>
      </c>
      <c r="Q232">
        <v>3</v>
      </c>
      <c r="R232">
        <f>IFERROR(Table1_1[[#This Row],[Unit_Price]]*Table1_1[[#This Row],[Quantity]],"")</f>
        <v>4034</v>
      </c>
      <c r="S232">
        <f>IFERROR(Table1_1[[#This Row],[Gross_Sales]]*Table1_1[[#This Row],[Discount_%]],"")</f>
        <v>0</v>
      </c>
      <c r="T232">
        <f>IFERROR(Table1_1[[#This Row],[Gross_Sales]]-Table1_1[[#This Row],[Discount_amount]]+Table1_1[[#This Row],[Shipping_Cost]],"")</f>
        <v>4133</v>
      </c>
      <c r="U232">
        <f>IFERROR(Table1_1[[#This Row],[Net_Sale]]-(Table1_1[[#This Row],[Gross_Sales]]*70%),"")</f>
        <v>1309.2000000000003</v>
      </c>
      <c r="V232" s="7">
        <f>IFERROR(Table1_1[[#This Row],[Profit]]/Table1_1[[#This Row],[Net_Sale]],"")</f>
        <v>0.31676748124848786</v>
      </c>
      <c r="W232" t="str">
        <f>TEXT(Table1_1[[#This Row],[Order_Date]],"mmm")</f>
        <v>Jul</v>
      </c>
    </row>
    <row r="233" spans="1:23" x14ac:dyDescent="0.25">
      <c r="A233" t="s">
        <v>491</v>
      </c>
      <c r="B233" t="s">
        <v>425</v>
      </c>
      <c r="C233" s="6">
        <v>45736</v>
      </c>
      <c r="D233" t="s">
        <v>67</v>
      </c>
      <c r="E233" t="s">
        <v>68</v>
      </c>
      <c r="F233" t="s">
        <v>37</v>
      </c>
      <c r="G233" t="s">
        <v>38</v>
      </c>
      <c r="H233">
        <v>1</v>
      </c>
      <c r="I233">
        <v>1299</v>
      </c>
      <c r="J233">
        <v>0</v>
      </c>
      <c r="K233">
        <v>79</v>
      </c>
      <c r="L233" t="s">
        <v>29</v>
      </c>
      <c r="M233" t="s">
        <v>30</v>
      </c>
      <c r="N233" t="s">
        <v>71</v>
      </c>
      <c r="O233" t="s">
        <v>93</v>
      </c>
      <c r="P233" t="s">
        <v>80</v>
      </c>
      <c r="Q233">
        <v>1</v>
      </c>
      <c r="R233">
        <f>IFERROR(Table1_1[[#This Row],[Unit_Price]]*Table1_1[[#This Row],[Quantity]],"")</f>
        <v>1299</v>
      </c>
      <c r="S233">
        <f>IFERROR(Table1_1[[#This Row],[Gross_Sales]]*Table1_1[[#This Row],[Discount_%]],"")</f>
        <v>0</v>
      </c>
      <c r="T233">
        <f>IFERROR(Table1_1[[#This Row],[Gross_Sales]]-Table1_1[[#This Row],[Discount_amount]]+Table1_1[[#This Row],[Shipping_Cost]],"")</f>
        <v>1378</v>
      </c>
      <c r="U233">
        <f>IFERROR(Table1_1[[#This Row],[Net_Sale]]-(Table1_1[[#This Row],[Gross_Sales]]*70%),"")</f>
        <v>468.70000000000005</v>
      </c>
      <c r="V233" s="7">
        <f>IFERROR(Table1_1[[#This Row],[Profit]]/Table1_1[[#This Row],[Net_Sale]],"")</f>
        <v>0.3401306240928883</v>
      </c>
      <c r="W233" t="str">
        <f>TEXT(Table1_1[[#This Row],[Order_Date]],"mmm")</f>
        <v>Mar</v>
      </c>
    </row>
    <row r="234" spans="1:23" x14ac:dyDescent="0.25">
      <c r="A234" t="s">
        <v>492</v>
      </c>
      <c r="B234" t="s">
        <v>493</v>
      </c>
      <c r="C234" s="6">
        <v>45796</v>
      </c>
      <c r="D234" t="s">
        <v>35</v>
      </c>
      <c r="E234" t="s">
        <v>36</v>
      </c>
      <c r="F234" t="s">
        <v>37</v>
      </c>
      <c r="G234" t="s">
        <v>38</v>
      </c>
      <c r="H234">
        <v>1</v>
      </c>
      <c r="I234">
        <v>599</v>
      </c>
      <c r="J234">
        <v>0</v>
      </c>
      <c r="K234">
        <v>79</v>
      </c>
      <c r="L234" t="s">
        <v>48</v>
      </c>
      <c r="M234" t="s">
        <v>49</v>
      </c>
      <c r="N234" t="s">
        <v>102</v>
      </c>
      <c r="O234" t="s">
        <v>32</v>
      </c>
      <c r="P234" t="s">
        <v>33</v>
      </c>
      <c r="Q234">
        <v>5</v>
      </c>
      <c r="R234">
        <f>IFERROR(Table1_1[[#This Row],[Unit_Price]]*Table1_1[[#This Row],[Quantity]],"")</f>
        <v>599</v>
      </c>
      <c r="S234">
        <f>IFERROR(Table1_1[[#This Row],[Gross_Sales]]*Table1_1[[#This Row],[Discount_%]],"")</f>
        <v>0</v>
      </c>
      <c r="T234">
        <f>IFERROR(Table1_1[[#This Row],[Gross_Sales]]-Table1_1[[#This Row],[Discount_amount]]+Table1_1[[#This Row],[Shipping_Cost]],"")</f>
        <v>678</v>
      </c>
      <c r="U234">
        <f>IFERROR(Table1_1[[#This Row],[Net_Sale]]-(Table1_1[[#This Row],[Gross_Sales]]*70%),"")</f>
        <v>258.70000000000005</v>
      </c>
      <c r="V234" s="7">
        <f>IFERROR(Table1_1[[#This Row],[Profit]]/Table1_1[[#This Row],[Net_Sale]],"")</f>
        <v>0.38156342182890862</v>
      </c>
      <c r="W234" t="str">
        <f>TEXT(Table1_1[[#This Row],[Order_Date]],"mmm")</f>
        <v>May</v>
      </c>
    </row>
    <row r="235" spans="1:23" x14ac:dyDescent="0.25">
      <c r="A235" t="s">
        <v>494</v>
      </c>
      <c r="B235" t="s">
        <v>495</v>
      </c>
      <c r="C235" s="6">
        <v>45839</v>
      </c>
      <c r="D235" t="s">
        <v>96</v>
      </c>
      <c r="E235" t="s">
        <v>97</v>
      </c>
      <c r="F235" t="s">
        <v>98</v>
      </c>
      <c r="G235" t="s">
        <v>99</v>
      </c>
      <c r="H235">
        <v>1</v>
      </c>
      <c r="I235">
        <v>1499</v>
      </c>
      <c r="J235">
        <v>0.15</v>
      </c>
      <c r="K235">
        <v>59</v>
      </c>
      <c r="L235" t="s">
        <v>29</v>
      </c>
      <c r="M235" t="s">
        <v>30</v>
      </c>
      <c r="N235" t="s">
        <v>31</v>
      </c>
      <c r="O235" t="s">
        <v>51</v>
      </c>
      <c r="P235" t="s">
        <v>85</v>
      </c>
      <c r="Q235">
        <v>4</v>
      </c>
      <c r="R235">
        <f>IFERROR(Table1_1[[#This Row],[Unit_Price]]*Table1_1[[#This Row],[Quantity]],"")</f>
        <v>1499</v>
      </c>
      <c r="S235">
        <f>IFERROR(Table1_1[[#This Row],[Gross_Sales]]*Table1_1[[#This Row],[Discount_%]],"")</f>
        <v>224.85</v>
      </c>
      <c r="T235">
        <f>IFERROR(Table1_1[[#This Row],[Gross_Sales]]-Table1_1[[#This Row],[Discount_amount]]+Table1_1[[#This Row],[Shipping_Cost]],"")</f>
        <v>1333.15</v>
      </c>
      <c r="U235">
        <f>IFERROR(Table1_1[[#This Row],[Net_Sale]]-(Table1_1[[#This Row],[Gross_Sales]]*70%),"")</f>
        <v>283.85000000000014</v>
      </c>
      <c r="V235" s="7">
        <f>IFERROR(Table1_1[[#This Row],[Profit]]/Table1_1[[#This Row],[Net_Sale]],"")</f>
        <v>0.21291677605670789</v>
      </c>
      <c r="W235" t="str">
        <f>TEXT(Table1_1[[#This Row],[Order_Date]],"mmm")</f>
        <v>Jul</v>
      </c>
    </row>
    <row r="236" spans="1:23" x14ac:dyDescent="0.25">
      <c r="A236" t="s">
        <v>496</v>
      </c>
      <c r="B236" t="s">
        <v>497</v>
      </c>
      <c r="C236" s="6">
        <v>45944</v>
      </c>
      <c r="D236" t="s">
        <v>96</v>
      </c>
      <c r="E236" t="s">
        <v>97</v>
      </c>
      <c r="F236" t="s">
        <v>98</v>
      </c>
      <c r="G236" t="s">
        <v>99</v>
      </c>
      <c r="H236">
        <v>2</v>
      </c>
      <c r="I236">
        <v>1499</v>
      </c>
      <c r="J236">
        <v>0</v>
      </c>
      <c r="K236">
        <v>79</v>
      </c>
      <c r="L236" t="s">
        <v>29</v>
      </c>
      <c r="M236" t="s">
        <v>30</v>
      </c>
      <c r="N236" t="s">
        <v>50</v>
      </c>
      <c r="O236" t="s">
        <v>51</v>
      </c>
      <c r="P236" t="s">
        <v>85</v>
      </c>
      <c r="Q236">
        <v>3</v>
      </c>
      <c r="R236">
        <f>IFERROR(Table1_1[[#This Row],[Unit_Price]]*Table1_1[[#This Row],[Quantity]],"")</f>
        <v>2998</v>
      </c>
      <c r="S236">
        <f>IFERROR(Table1_1[[#This Row],[Gross_Sales]]*Table1_1[[#This Row],[Discount_%]],"")</f>
        <v>0</v>
      </c>
      <c r="T236">
        <f>IFERROR(Table1_1[[#This Row],[Gross_Sales]]-Table1_1[[#This Row],[Discount_amount]]+Table1_1[[#This Row],[Shipping_Cost]],"")</f>
        <v>3077</v>
      </c>
      <c r="U236">
        <f>IFERROR(Table1_1[[#This Row],[Net_Sale]]-(Table1_1[[#This Row],[Gross_Sales]]*70%),"")</f>
        <v>978.40000000000009</v>
      </c>
      <c r="V236" s="7">
        <f>IFERROR(Table1_1[[#This Row],[Profit]]/Table1_1[[#This Row],[Net_Sale]],"")</f>
        <v>0.31797205069873258</v>
      </c>
      <c r="W236" t="str">
        <f>TEXT(Table1_1[[#This Row],[Order_Date]],"mmm")</f>
        <v>Oct</v>
      </c>
    </row>
    <row r="237" spans="1:23" x14ac:dyDescent="0.25">
      <c r="A237" t="s">
        <v>498</v>
      </c>
      <c r="B237" t="s">
        <v>188</v>
      </c>
      <c r="C237" s="6">
        <v>45743</v>
      </c>
      <c r="D237" t="s">
        <v>110</v>
      </c>
      <c r="E237" t="s">
        <v>111</v>
      </c>
      <c r="F237" t="s">
        <v>98</v>
      </c>
      <c r="G237" t="s">
        <v>112</v>
      </c>
      <c r="H237">
        <v>1</v>
      </c>
      <c r="I237">
        <v>2999</v>
      </c>
      <c r="J237">
        <v>0.05</v>
      </c>
      <c r="K237">
        <v>79</v>
      </c>
      <c r="L237" t="s">
        <v>119</v>
      </c>
      <c r="M237" t="s">
        <v>120</v>
      </c>
      <c r="N237" t="s">
        <v>71</v>
      </c>
      <c r="O237" t="s">
        <v>51</v>
      </c>
      <c r="P237" t="s">
        <v>52</v>
      </c>
      <c r="Q237">
        <v>2</v>
      </c>
      <c r="R237">
        <f>IFERROR(Table1_1[[#This Row],[Unit_Price]]*Table1_1[[#This Row],[Quantity]],"")</f>
        <v>2999</v>
      </c>
      <c r="S237">
        <f>IFERROR(Table1_1[[#This Row],[Gross_Sales]]*Table1_1[[#This Row],[Discount_%]],"")</f>
        <v>149.95000000000002</v>
      </c>
      <c r="T237">
        <f>IFERROR(Table1_1[[#This Row],[Gross_Sales]]-Table1_1[[#This Row],[Discount_amount]]+Table1_1[[#This Row],[Shipping_Cost]],"")</f>
        <v>2928.05</v>
      </c>
      <c r="U237">
        <f>IFERROR(Table1_1[[#This Row],[Net_Sale]]-(Table1_1[[#This Row],[Gross_Sales]]*70%),"")</f>
        <v>828.75000000000045</v>
      </c>
      <c r="V237" s="7">
        <f>IFERROR(Table1_1[[#This Row],[Profit]]/Table1_1[[#This Row],[Net_Sale]],"")</f>
        <v>0.28303819948429854</v>
      </c>
      <c r="W237" t="str">
        <f>TEXT(Table1_1[[#This Row],[Order_Date]],"mmm")</f>
        <v>Mar</v>
      </c>
    </row>
    <row r="238" spans="1:23" x14ac:dyDescent="0.25">
      <c r="A238" t="s">
        <v>499</v>
      </c>
      <c r="B238" t="s">
        <v>500</v>
      </c>
      <c r="C238" s="6">
        <v>45758</v>
      </c>
      <c r="D238" t="s">
        <v>77</v>
      </c>
      <c r="E238" t="s">
        <v>78</v>
      </c>
      <c r="F238" t="s">
        <v>79</v>
      </c>
      <c r="G238" t="s">
        <v>28</v>
      </c>
      <c r="H238">
        <v>2</v>
      </c>
      <c r="I238">
        <v>6499</v>
      </c>
      <c r="J238">
        <v>0.05</v>
      </c>
      <c r="K238">
        <v>0</v>
      </c>
      <c r="L238" t="s">
        <v>119</v>
      </c>
      <c r="M238" t="s">
        <v>120</v>
      </c>
      <c r="N238" t="s">
        <v>71</v>
      </c>
      <c r="O238" t="s">
        <v>32</v>
      </c>
      <c r="P238" t="s">
        <v>33</v>
      </c>
      <c r="Q238">
        <v>4</v>
      </c>
      <c r="R238">
        <f>IFERROR(Table1_1[[#This Row],[Unit_Price]]*Table1_1[[#This Row],[Quantity]],"")</f>
        <v>12998</v>
      </c>
      <c r="S238">
        <f>IFERROR(Table1_1[[#This Row],[Gross_Sales]]*Table1_1[[#This Row],[Discount_%]],"")</f>
        <v>649.90000000000009</v>
      </c>
      <c r="T238">
        <f>IFERROR(Table1_1[[#This Row],[Gross_Sales]]-Table1_1[[#This Row],[Discount_amount]]+Table1_1[[#This Row],[Shipping_Cost]],"")</f>
        <v>12348.1</v>
      </c>
      <c r="U238">
        <f>IFERROR(Table1_1[[#This Row],[Net_Sale]]-(Table1_1[[#This Row],[Gross_Sales]]*70%),"")</f>
        <v>3249.5000000000018</v>
      </c>
      <c r="V238" s="7">
        <f>IFERROR(Table1_1[[#This Row],[Profit]]/Table1_1[[#This Row],[Net_Sale]],"")</f>
        <v>0.26315789473684226</v>
      </c>
      <c r="W238" t="str">
        <f>TEXT(Table1_1[[#This Row],[Order_Date]],"mmm")</f>
        <v>Apr</v>
      </c>
    </row>
    <row r="239" spans="1:23" x14ac:dyDescent="0.25">
      <c r="A239" t="s">
        <v>501</v>
      </c>
      <c r="B239" t="s">
        <v>502</v>
      </c>
      <c r="C239" s="6">
        <v>45991</v>
      </c>
      <c r="D239" t="s">
        <v>169</v>
      </c>
      <c r="E239" t="s">
        <v>170</v>
      </c>
      <c r="F239" t="s">
        <v>98</v>
      </c>
      <c r="G239" t="s">
        <v>171</v>
      </c>
      <c r="H239">
        <v>1</v>
      </c>
      <c r="I239">
        <v>799</v>
      </c>
      <c r="J239">
        <v>0.05</v>
      </c>
      <c r="K239">
        <v>99</v>
      </c>
      <c r="L239" t="s">
        <v>119</v>
      </c>
      <c r="M239" t="s">
        <v>120</v>
      </c>
      <c r="N239" t="s">
        <v>40</v>
      </c>
      <c r="O239" t="s">
        <v>51</v>
      </c>
      <c r="P239" t="s">
        <v>33</v>
      </c>
      <c r="Q239">
        <v>2</v>
      </c>
      <c r="R239">
        <f>IFERROR(Table1_1[[#This Row],[Unit_Price]]*Table1_1[[#This Row],[Quantity]],"")</f>
        <v>799</v>
      </c>
      <c r="S239">
        <f>IFERROR(Table1_1[[#This Row],[Gross_Sales]]*Table1_1[[#This Row],[Discount_%]],"")</f>
        <v>39.950000000000003</v>
      </c>
      <c r="T239">
        <f>IFERROR(Table1_1[[#This Row],[Gross_Sales]]-Table1_1[[#This Row],[Discount_amount]]+Table1_1[[#This Row],[Shipping_Cost]],"")</f>
        <v>858.05</v>
      </c>
      <c r="U239">
        <f>IFERROR(Table1_1[[#This Row],[Net_Sale]]-(Table1_1[[#This Row],[Gross_Sales]]*70%),"")</f>
        <v>298.75</v>
      </c>
      <c r="V239" s="7">
        <f>IFERROR(Table1_1[[#This Row],[Profit]]/Table1_1[[#This Row],[Net_Sale]],"")</f>
        <v>0.3481731833809219</v>
      </c>
      <c r="W239" t="str">
        <f>TEXT(Table1_1[[#This Row],[Order_Date]],"mmm")</f>
        <v>Nov</v>
      </c>
    </row>
    <row r="240" spans="1:23" x14ac:dyDescent="0.25">
      <c r="A240" t="s">
        <v>503</v>
      </c>
      <c r="B240" t="s">
        <v>347</v>
      </c>
      <c r="C240" s="6">
        <v>46013</v>
      </c>
      <c r="D240" t="s">
        <v>96</v>
      </c>
      <c r="E240" t="s">
        <v>97</v>
      </c>
      <c r="F240" t="s">
        <v>98</v>
      </c>
      <c r="G240" t="s">
        <v>99</v>
      </c>
      <c r="H240">
        <v>1</v>
      </c>
      <c r="I240">
        <v>1499</v>
      </c>
      <c r="J240">
        <v>0</v>
      </c>
      <c r="K240">
        <v>59</v>
      </c>
      <c r="L240" t="s">
        <v>74</v>
      </c>
      <c r="M240" t="s">
        <v>49</v>
      </c>
      <c r="N240" t="s">
        <v>71</v>
      </c>
      <c r="O240" t="s">
        <v>59</v>
      </c>
      <c r="P240" t="s">
        <v>85</v>
      </c>
      <c r="Q240">
        <v>3</v>
      </c>
      <c r="R240">
        <f>IFERROR(Table1_1[[#This Row],[Unit_Price]]*Table1_1[[#This Row],[Quantity]],"")</f>
        <v>1499</v>
      </c>
      <c r="S240">
        <f>IFERROR(Table1_1[[#This Row],[Gross_Sales]]*Table1_1[[#This Row],[Discount_%]],"")</f>
        <v>0</v>
      </c>
      <c r="T240">
        <f>IFERROR(Table1_1[[#This Row],[Gross_Sales]]-Table1_1[[#This Row],[Discount_amount]]+Table1_1[[#This Row],[Shipping_Cost]],"")</f>
        <v>1558</v>
      </c>
      <c r="U240">
        <f>IFERROR(Table1_1[[#This Row],[Net_Sale]]-(Table1_1[[#This Row],[Gross_Sales]]*70%),"")</f>
        <v>508.70000000000005</v>
      </c>
      <c r="V240" s="7">
        <f>IFERROR(Table1_1[[#This Row],[Profit]]/Table1_1[[#This Row],[Net_Sale]],"")</f>
        <v>0.32650834403080875</v>
      </c>
      <c r="W240" t="str">
        <f>TEXT(Table1_1[[#This Row],[Order_Date]],"mmm")</f>
        <v>Dec</v>
      </c>
    </row>
    <row r="241" spans="1:23" x14ac:dyDescent="0.25">
      <c r="A241" t="s">
        <v>504</v>
      </c>
      <c r="B241" t="s">
        <v>148</v>
      </c>
      <c r="C241" s="6">
        <v>45937</v>
      </c>
      <c r="D241" t="s">
        <v>55</v>
      </c>
      <c r="E241" t="s">
        <v>56</v>
      </c>
      <c r="F241" t="s">
        <v>37</v>
      </c>
      <c r="G241" t="s">
        <v>38</v>
      </c>
      <c r="H241">
        <v>1</v>
      </c>
      <c r="I241">
        <v>2499</v>
      </c>
      <c r="J241">
        <v>0</v>
      </c>
      <c r="K241">
        <v>79</v>
      </c>
      <c r="L241" t="s">
        <v>125</v>
      </c>
      <c r="M241" t="s">
        <v>126</v>
      </c>
      <c r="N241" t="s">
        <v>40</v>
      </c>
      <c r="O241" t="s">
        <v>51</v>
      </c>
      <c r="P241" t="s">
        <v>85</v>
      </c>
      <c r="Q241">
        <v>3</v>
      </c>
      <c r="R241">
        <f>IFERROR(Table1_1[[#This Row],[Unit_Price]]*Table1_1[[#This Row],[Quantity]],"")</f>
        <v>2499</v>
      </c>
      <c r="S241">
        <f>IFERROR(Table1_1[[#This Row],[Gross_Sales]]*Table1_1[[#This Row],[Discount_%]],"")</f>
        <v>0</v>
      </c>
      <c r="T241">
        <f>IFERROR(Table1_1[[#This Row],[Gross_Sales]]-Table1_1[[#This Row],[Discount_amount]]+Table1_1[[#This Row],[Shipping_Cost]],"")</f>
        <v>2578</v>
      </c>
      <c r="U241">
        <f>IFERROR(Table1_1[[#This Row],[Net_Sale]]-(Table1_1[[#This Row],[Gross_Sales]]*70%),"")</f>
        <v>828.7</v>
      </c>
      <c r="V241" s="7">
        <f>IFERROR(Table1_1[[#This Row],[Profit]]/Table1_1[[#This Row],[Net_Sale]],"")</f>
        <v>0.32145073700543059</v>
      </c>
      <c r="W241" t="str">
        <f>TEXT(Table1_1[[#This Row],[Order_Date]],"mmm")</f>
        <v>Oct</v>
      </c>
    </row>
    <row r="242" spans="1:23" x14ac:dyDescent="0.25">
      <c r="A242" t="s">
        <v>505</v>
      </c>
      <c r="B242" t="s">
        <v>216</v>
      </c>
      <c r="C242" s="6">
        <v>45867</v>
      </c>
      <c r="D242" t="s">
        <v>77</v>
      </c>
      <c r="E242" t="s">
        <v>78</v>
      </c>
      <c r="F242" t="s">
        <v>79</v>
      </c>
      <c r="G242" t="s">
        <v>28</v>
      </c>
      <c r="H242">
        <v>3</v>
      </c>
      <c r="I242">
        <v>6499</v>
      </c>
      <c r="J242">
        <v>0.2</v>
      </c>
      <c r="K242">
        <v>59</v>
      </c>
      <c r="L242" t="s">
        <v>29</v>
      </c>
      <c r="M242" t="s">
        <v>30</v>
      </c>
      <c r="N242" t="s">
        <v>71</v>
      </c>
      <c r="O242" t="s">
        <v>41</v>
      </c>
      <c r="P242" t="s">
        <v>33</v>
      </c>
      <c r="Q242">
        <v>3</v>
      </c>
      <c r="R242">
        <f>IFERROR(Table1_1[[#This Row],[Unit_Price]]*Table1_1[[#This Row],[Quantity]],"")</f>
        <v>19497</v>
      </c>
      <c r="S242">
        <f>IFERROR(Table1_1[[#This Row],[Gross_Sales]]*Table1_1[[#This Row],[Discount_%]],"")</f>
        <v>3899.4</v>
      </c>
      <c r="T242">
        <f>IFERROR(Table1_1[[#This Row],[Gross_Sales]]-Table1_1[[#This Row],[Discount_amount]]+Table1_1[[#This Row],[Shipping_Cost]],"")</f>
        <v>15656.6</v>
      </c>
      <c r="U242">
        <f>IFERROR(Table1_1[[#This Row],[Net_Sale]]-(Table1_1[[#This Row],[Gross_Sales]]*70%),"")</f>
        <v>2008.7000000000007</v>
      </c>
      <c r="V242" s="7">
        <f>IFERROR(Table1_1[[#This Row],[Profit]]/Table1_1[[#This Row],[Net_Sale]],"")</f>
        <v>0.12829733147682132</v>
      </c>
      <c r="W242" t="str">
        <f>TEXT(Table1_1[[#This Row],[Order_Date]],"mmm")</f>
        <v>Jul</v>
      </c>
    </row>
    <row r="243" spans="1:23" x14ac:dyDescent="0.25">
      <c r="A243" t="s">
        <v>507</v>
      </c>
      <c r="B243" t="s">
        <v>508</v>
      </c>
      <c r="C243" s="6">
        <v>45964</v>
      </c>
      <c r="D243" t="s">
        <v>96</v>
      </c>
      <c r="E243" t="s">
        <v>97</v>
      </c>
      <c r="F243" t="s">
        <v>98</v>
      </c>
      <c r="G243" t="s">
        <v>99</v>
      </c>
      <c r="H243">
        <v>1</v>
      </c>
      <c r="I243">
        <v>1499</v>
      </c>
      <c r="J243">
        <v>0.15</v>
      </c>
      <c r="K243">
        <v>99</v>
      </c>
      <c r="L243" t="s">
        <v>57</v>
      </c>
      <c r="M243" t="s">
        <v>58</v>
      </c>
      <c r="N243" t="s">
        <v>102</v>
      </c>
      <c r="O243" t="s">
        <v>93</v>
      </c>
      <c r="P243" t="s">
        <v>52</v>
      </c>
      <c r="Q243">
        <v>3</v>
      </c>
      <c r="R243">
        <f>IFERROR(Table1_1[[#This Row],[Unit_Price]]*Table1_1[[#This Row],[Quantity]],"")</f>
        <v>1499</v>
      </c>
      <c r="S243">
        <f>IFERROR(Table1_1[[#This Row],[Gross_Sales]]*Table1_1[[#This Row],[Discount_%]],"")</f>
        <v>224.85</v>
      </c>
      <c r="T243">
        <f>IFERROR(Table1_1[[#This Row],[Gross_Sales]]-Table1_1[[#This Row],[Discount_amount]]+Table1_1[[#This Row],[Shipping_Cost]],"")</f>
        <v>1373.15</v>
      </c>
      <c r="U243">
        <f>IFERROR(Table1_1[[#This Row],[Net_Sale]]-(Table1_1[[#This Row],[Gross_Sales]]*70%),"")</f>
        <v>323.85000000000014</v>
      </c>
      <c r="V243" s="7">
        <f>IFERROR(Table1_1[[#This Row],[Profit]]/Table1_1[[#This Row],[Net_Sale]],"")</f>
        <v>0.23584459090412563</v>
      </c>
      <c r="W243" t="str">
        <f>TEXT(Table1_1[[#This Row],[Order_Date]],"mmm")</f>
        <v>Nov</v>
      </c>
    </row>
    <row r="244" spans="1:23" x14ac:dyDescent="0.25">
      <c r="A244" t="s">
        <v>509</v>
      </c>
      <c r="B244" t="s">
        <v>510</v>
      </c>
      <c r="C244" s="6">
        <v>45701</v>
      </c>
      <c r="D244" t="s">
        <v>169</v>
      </c>
      <c r="E244" t="s">
        <v>170</v>
      </c>
      <c r="F244" t="s">
        <v>98</v>
      </c>
      <c r="G244" t="s">
        <v>171</v>
      </c>
      <c r="H244">
        <v>2</v>
      </c>
      <c r="I244">
        <v>799</v>
      </c>
      <c r="J244">
        <v>0.2</v>
      </c>
      <c r="K244">
        <v>59</v>
      </c>
      <c r="L244" t="s">
        <v>83</v>
      </c>
      <c r="M244" t="s">
        <v>84</v>
      </c>
      <c r="N244" t="s">
        <v>102</v>
      </c>
      <c r="O244" t="s">
        <v>93</v>
      </c>
      <c r="P244" t="s">
        <v>33</v>
      </c>
      <c r="Q244">
        <v>5</v>
      </c>
      <c r="R244">
        <f>IFERROR(Table1_1[[#This Row],[Unit_Price]]*Table1_1[[#This Row],[Quantity]],"")</f>
        <v>1598</v>
      </c>
      <c r="S244">
        <f>IFERROR(Table1_1[[#This Row],[Gross_Sales]]*Table1_1[[#This Row],[Discount_%]],"")</f>
        <v>319.60000000000002</v>
      </c>
      <c r="T244">
        <f>IFERROR(Table1_1[[#This Row],[Gross_Sales]]-Table1_1[[#This Row],[Discount_amount]]+Table1_1[[#This Row],[Shipping_Cost]],"")</f>
        <v>1337.4</v>
      </c>
      <c r="U244">
        <f>IFERROR(Table1_1[[#This Row],[Net_Sale]]-(Table1_1[[#This Row],[Gross_Sales]]*70%),"")</f>
        <v>218.80000000000018</v>
      </c>
      <c r="V244" s="7">
        <f>IFERROR(Table1_1[[#This Row],[Profit]]/Table1_1[[#This Row],[Net_Sale]],"")</f>
        <v>0.16360101689845982</v>
      </c>
      <c r="W244" t="str">
        <f>TEXT(Table1_1[[#This Row],[Order_Date]],"mmm")</f>
        <v>Feb</v>
      </c>
    </row>
    <row r="245" spans="1:23" x14ac:dyDescent="0.25">
      <c r="A245" t="s">
        <v>511</v>
      </c>
      <c r="B245" t="s">
        <v>325</v>
      </c>
      <c r="C245" s="6">
        <v>45827</v>
      </c>
      <c r="D245" t="s">
        <v>25</v>
      </c>
      <c r="E245" t="s">
        <v>26</v>
      </c>
      <c r="F245" t="s">
        <v>27</v>
      </c>
      <c r="G245" t="s">
        <v>28</v>
      </c>
      <c r="H245">
        <v>4</v>
      </c>
      <c r="I245">
        <v>249</v>
      </c>
      <c r="J245">
        <v>0</v>
      </c>
      <c r="K245">
        <v>59</v>
      </c>
      <c r="L245" t="s">
        <v>57</v>
      </c>
      <c r="M245" t="s">
        <v>58</v>
      </c>
      <c r="N245" t="s">
        <v>102</v>
      </c>
      <c r="O245" t="s">
        <v>32</v>
      </c>
      <c r="P245" t="s">
        <v>33</v>
      </c>
      <c r="Q245">
        <v>5</v>
      </c>
      <c r="R245">
        <f>IFERROR(Table1_1[[#This Row],[Unit_Price]]*Table1_1[[#This Row],[Quantity]],"")</f>
        <v>996</v>
      </c>
      <c r="S245">
        <f>IFERROR(Table1_1[[#This Row],[Gross_Sales]]*Table1_1[[#This Row],[Discount_%]],"")</f>
        <v>0</v>
      </c>
      <c r="T245">
        <f>IFERROR(Table1_1[[#This Row],[Gross_Sales]]-Table1_1[[#This Row],[Discount_amount]]+Table1_1[[#This Row],[Shipping_Cost]],"")</f>
        <v>1055</v>
      </c>
      <c r="U245">
        <f>IFERROR(Table1_1[[#This Row],[Net_Sale]]-(Table1_1[[#This Row],[Gross_Sales]]*70%),"")</f>
        <v>357.80000000000007</v>
      </c>
      <c r="V245" s="7">
        <f>IFERROR(Table1_1[[#This Row],[Profit]]/Table1_1[[#This Row],[Net_Sale]],"")</f>
        <v>0.33914691943127967</v>
      </c>
      <c r="W245" t="str">
        <f>TEXT(Table1_1[[#This Row],[Order_Date]],"mmm")</f>
        <v>Jun</v>
      </c>
    </row>
    <row r="246" spans="1:23" x14ac:dyDescent="0.25">
      <c r="A246" t="s">
        <v>512</v>
      </c>
      <c r="B246" t="s">
        <v>475</v>
      </c>
      <c r="C246" s="6">
        <v>45849</v>
      </c>
      <c r="D246" t="s">
        <v>44</v>
      </c>
      <c r="E246" t="s">
        <v>45</v>
      </c>
      <c r="F246" t="s">
        <v>46</v>
      </c>
      <c r="G246" t="s">
        <v>47</v>
      </c>
      <c r="H246">
        <v>1</v>
      </c>
      <c r="I246">
        <v>1199</v>
      </c>
      <c r="J246">
        <v>0</v>
      </c>
      <c r="K246">
        <v>99</v>
      </c>
      <c r="L246" t="s">
        <v>125</v>
      </c>
      <c r="M246" t="s">
        <v>126</v>
      </c>
      <c r="N246" t="s">
        <v>71</v>
      </c>
      <c r="O246" t="s">
        <v>93</v>
      </c>
      <c r="P246" t="s">
        <v>80</v>
      </c>
      <c r="Q246">
        <v>4</v>
      </c>
      <c r="R246">
        <f>IFERROR(Table1_1[[#This Row],[Unit_Price]]*Table1_1[[#This Row],[Quantity]],"")</f>
        <v>1199</v>
      </c>
      <c r="S246">
        <f>IFERROR(Table1_1[[#This Row],[Gross_Sales]]*Table1_1[[#This Row],[Discount_%]],"")</f>
        <v>0</v>
      </c>
      <c r="T246">
        <f>IFERROR(Table1_1[[#This Row],[Gross_Sales]]-Table1_1[[#This Row],[Discount_amount]]+Table1_1[[#This Row],[Shipping_Cost]],"")</f>
        <v>1298</v>
      </c>
      <c r="U246">
        <f>IFERROR(Table1_1[[#This Row],[Net_Sale]]-(Table1_1[[#This Row],[Gross_Sales]]*70%),"")</f>
        <v>458.70000000000005</v>
      </c>
      <c r="V246" s="7">
        <f>IFERROR(Table1_1[[#This Row],[Profit]]/Table1_1[[#This Row],[Net_Sale]],"")</f>
        <v>0.35338983050847461</v>
      </c>
      <c r="W246" t="str">
        <f>TEXT(Table1_1[[#This Row],[Order_Date]],"mmm")</f>
        <v>Jul</v>
      </c>
    </row>
    <row r="247" spans="1:23" x14ac:dyDescent="0.25">
      <c r="A247" t="s">
        <v>513</v>
      </c>
      <c r="B247" t="s">
        <v>116</v>
      </c>
      <c r="C247" s="6">
        <v>45701</v>
      </c>
      <c r="D247" t="s">
        <v>55</v>
      </c>
      <c r="E247" t="s">
        <v>56</v>
      </c>
      <c r="F247" t="s">
        <v>37</v>
      </c>
      <c r="G247" t="s">
        <v>38</v>
      </c>
      <c r="H247">
        <v>1</v>
      </c>
      <c r="I247">
        <v>2499</v>
      </c>
      <c r="J247">
        <v>0</v>
      </c>
      <c r="K247">
        <v>59</v>
      </c>
      <c r="L247" t="s">
        <v>48</v>
      </c>
      <c r="M247" t="s">
        <v>49</v>
      </c>
      <c r="N247" t="s">
        <v>71</v>
      </c>
      <c r="O247" t="s">
        <v>59</v>
      </c>
      <c r="P247" t="s">
        <v>80</v>
      </c>
      <c r="Q247">
        <v>3</v>
      </c>
      <c r="R247">
        <f>IFERROR(Table1_1[[#This Row],[Unit_Price]]*Table1_1[[#This Row],[Quantity]],"")</f>
        <v>2499</v>
      </c>
      <c r="S247">
        <f>IFERROR(Table1_1[[#This Row],[Gross_Sales]]*Table1_1[[#This Row],[Discount_%]],"")</f>
        <v>0</v>
      </c>
      <c r="T247">
        <f>IFERROR(Table1_1[[#This Row],[Gross_Sales]]-Table1_1[[#This Row],[Discount_amount]]+Table1_1[[#This Row],[Shipping_Cost]],"")</f>
        <v>2558</v>
      </c>
      <c r="U247">
        <f>IFERROR(Table1_1[[#This Row],[Net_Sale]]-(Table1_1[[#This Row],[Gross_Sales]]*70%),"")</f>
        <v>808.7</v>
      </c>
      <c r="V247" s="7">
        <f>IFERROR(Table1_1[[#This Row],[Profit]]/Table1_1[[#This Row],[Net_Sale]],"")</f>
        <v>0.3161454261141517</v>
      </c>
      <c r="W247" t="str">
        <f>TEXT(Table1_1[[#This Row],[Order_Date]],"mmm")</f>
        <v>Feb</v>
      </c>
    </row>
    <row r="248" spans="1:23" x14ac:dyDescent="0.25">
      <c r="A248" t="s">
        <v>514</v>
      </c>
      <c r="B248" t="s">
        <v>385</v>
      </c>
      <c r="C248" s="6">
        <v>45901</v>
      </c>
      <c r="D248" t="s">
        <v>67</v>
      </c>
      <c r="E248" t="s">
        <v>68</v>
      </c>
      <c r="F248" t="s">
        <v>37</v>
      </c>
      <c r="G248" t="s">
        <v>38</v>
      </c>
      <c r="H248">
        <v>2</v>
      </c>
      <c r="I248">
        <v>1299</v>
      </c>
      <c r="J248">
        <v>0.2</v>
      </c>
      <c r="K248">
        <v>79</v>
      </c>
      <c r="L248" t="s">
        <v>83</v>
      </c>
      <c r="M248" t="s">
        <v>84</v>
      </c>
      <c r="N248" t="s">
        <v>31</v>
      </c>
      <c r="O248" t="s">
        <v>51</v>
      </c>
      <c r="P248" t="s">
        <v>80</v>
      </c>
      <c r="Q248">
        <v>1</v>
      </c>
      <c r="R248">
        <f>IFERROR(Table1_1[[#This Row],[Unit_Price]]*Table1_1[[#This Row],[Quantity]],"")</f>
        <v>2598</v>
      </c>
      <c r="S248">
        <f>IFERROR(Table1_1[[#This Row],[Gross_Sales]]*Table1_1[[#This Row],[Discount_%]],"")</f>
        <v>519.6</v>
      </c>
      <c r="T248">
        <f>IFERROR(Table1_1[[#This Row],[Gross_Sales]]-Table1_1[[#This Row],[Discount_amount]]+Table1_1[[#This Row],[Shipping_Cost]],"")</f>
        <v>2157.4</v>
      </c>
      <c r="U248">
        <f>IFERROR(Table1_1[[#This Row],[Net_Sale]]-(Table1_1[[#This Row],[Gross_Sales]]*70%),"")</f>
        <v>338.80000000000018</v>
      </c>
      <c r="V248" s="7">
        <f>IFERROR(Table1_1[[#This Row],[Profit]]/Table1_1[[#This Row],[Net_Sale]],"")</f>
        <v>0.1570408825438028</v>
      </c>
      <c r="W248" t="str">
        <f>TEXT(Table1_1[[#This Row],[Order_Date]],"mmm")</f>
        <v>Sep</v>
      </c>
    </row>
    <row r="249" spans="1:23" x14ac:dyDescent="0.25">
      <c r="A249" t="s">
        <v>515</v>
      </c>
      <c r="B249" t="s">
        <v>516</v>
      </c>
      <c r="C249" s="6">
        <v>45833</v>
      </c>
      <c r="D249" t="s">
        <v>77</v>
      </c>
      <c r="E249" t="s">
        <v>78</v>
      </c>
      <c r="F249" t="s">
        <v>79</v>
      </c>
      <c r="G249" t="s">
        <v>28</v>
      </c>
      <c r="H249">
        <v>1</v>
      </c>
      <c r="I249">
        <v>6499</v>
      </c>
      <c r="J249">
        <v>0</v>
      </c>
      <c r="K249">
        <v>49</v>
      </c>
      <c r="L249" t="s">
        <v>29</v>
      </c>
      <c r="M249" t="s">
        <v>30</v>
      </c>
      <c r="N249" t="s">
        <v>50</v>
      </c>
      <c r="O249" t="s">
        <v>32</v>
      </c>
      <c r="P249" t="s">
        <v>80</v>
      </c>
      <c r="Q249">
        <v>2</v>
      </c>
      <c r="R249">
        <f>IFERROR(Table1_1[[#This Row],[Unit_Price]]*Table1_1[[#This Row],[Quantity]],"")</f>
        <v>6499</v>
      </c>
      <c r="S249">
        <f>IFERROR(Table1_1[[#This Row],[Gross_Sales]]*Table1_1[[#This Row],[Discount_%]],"")</f>
        <v>0</v>
      </c>
      <c r="T249">
        <f>IFERROR(Table1_1[[#This Row],[Gross_Sales]]-Table1_1[[#This Row],[Discount_amount]]+Table1_1[[#This Row],[Shipping_Cost]],"")</f>
        <v>6548</v>
      </c>
      <c r="U249">
        <f>IFERROR(Table1_1[[#This Row],[Net_Sale]]-(Table1_1[[#This Row],[Gross_Sales]]*70%),"")</f>
        <v>1998.7000000000007</v>
      </c>
      <c r="V249" s="7">
        <f>IFERROR(Table1_1[[#This Row],[Profit]]/Table1_1[[#This Row],[Net_Sale]],"")</f>
        <v>0.30523824068417849</v>
      </c>
      <c r="W249" t="str">
        <f>TEXT(Table1_1[[#This Row],[Order_Date]],"mmm")</f>
        <v>Jun</v>
      </c>
    </row>
    <row r="250" spans="1:23" x14ac:dyDescent="0.25">
      <c r="A250" t="s">
        <v>517</v>
      </c>
      <c r="B250" t="s">
        <v>436</v>
      </c>
      <c r="C250" s="6">
        <v>45894</v>
      </c>
      <c r="D250" t="s">
        <v>169</v>
      </c>
      <c r="E250" t="s">
        <v>170</v>
      </c>
      <c r="F250" t="s">
        <v>98</v>
      </c>
      <c r="G250" t="s">
        <v>171</v>
      </c>
      <c r="H250">
        <v>1</v>
      </c>
      <c r="I250">
        <v>799</v>
      </c>
      <c r="J250">
        <v>0.2</v>
      </c>
      <c r="K250">
        <v>49</v>
      </c>
      <c r="L250" t="s">
        <v>83</v>
      </c>
      <c r="M250" t="s">
        <v>84</v>
      </c>
      <c r="N250" t="s">
        <v>40</v>
      </c>
      <c r="O250" t="s">
        <v>59</v>
      </c>
      <c r="P250" t="s">
        <v>52</v>
      </c>
      <c r="Q250">
        <v>1</v>
      </c>
      <c r="R250">
        <f>IFERROR(Table1_1[[#This Row],[Unit_Price]]*Table1_1[[#This Row],[Quantity]],"")</f>
        <v>799</v>
      </c>
      <c r="S250">
        <f>IFERROR(Table1_1[[#This Row],[Gross_Sales]]*Table1_1[[#This Row],[Discount_%]],"")</f>
        <v>159.80000000000001</v>
      </c>
      <c r="T250">
        <f>IFERROR(Table1_1[[#This Row],[Gross_Sales]]-Table1_1[[#This Row],[Discount_amount]]+Table1_1[[#This Row],[Shipping_Cost]],"")</f>
        <v>688.2</v>
      </c>
      <c r="U250">
        <f>IFERROR(Table1_1[[#This Row],[Net_Sale]]-(Table1_1[[#This Row],[Gross_Sales]]*70%),"")</f>
        <v>128.90000000000009</v>
      </c>
      <c r="V250" s="7">
        <f>IFERROR(Table1_1[[#This Row],[Profit]]/Table1_1[[#This Row],[Net_Sale]],"")</f>
        <v>0.18730020342923581</v>
      </c>
      <c r="W250" t="str">
        <f>TEXT(Table1_1[[#This Row],[Order_Date]],"mmm")</f>
        <v>Aug</v>
      </c>
    </row>
    <row r="251" spans="1:23" x14ac:dyDescent="0.25">
      <c r="A251" t="s">
        <v>518</v>
      </c>
      <c r="B251" t="s">
        <v>519</v>
      </c>
      <c r="C251" s="6">
        <v>45888</v>
      </c>
      <c r="D251" t="s">
        <v>77</v>
      </c>
      <c r="E251" t="s">
        <v>78</v>
      </c>
      <c r="F251" t="s">
        <v>79</v>
      </c>
      <c r="G251" t="s">
        <v>28</v>
      </c>
      <c r="H251">
        <v>3</v>
      </c>
      <c r="I251">
        <v>6499</v>
      </c>
      <c r="J251">
        <v>0</v>
      </c>
      <c r="K251">
        <v>49</v>
      </c>
      <c r="L251" t="s">
        <v>125</v>
      </c>
      <c r="M251" t="s">
        <v>126</v>
      </c>
      <c r="N251" t="s">
        <v>71</v>
      </c>
      <c r="O251" t="s">
        <v>93</v>
      </c>
      <c r="P251" t="s">
        <v>52</v>
      </c>
      <c r="Q251">
        <v>5</v>
      </c>
      <c r="R251">
        <f>IFERROR(Table1_1[[#This Row],[Unit_Price]]*Table1_1[[#This Row],[Quantity]],"")</f>
        <v>19497</v>
      </c>
      <c r="S251">
        <f>IFERROR(Table1_1[[#This Row],[Gross_Sales]]*Table1_1[[#This Row],[Discount_%]],"")</f>
        <v>0</v>
      </c>
      <c r="T251">
        <f>IFERROR(Table1_1[[#This Row],[Gross_Sales]]-Table1_1[[#This Row],[Discount_amount]]+Table1_1[[#This Row],[Shipping_Cost]],"")</f>
        <v>19546</v>
      </c>
      <c r="U251">
        <f>IFERROR(Table1_1[[#This Row],[Net_Sale]]-(Table1_1[[#This Row],[Gross_Sales]]*70%),"")</f>
        <v>5898.1</v>
      </c>
      <c r="V251" s="7">
        <f>IFERROR(Table1_1[[#This Row],[Profit]]/Table1_1[[#This Row],[Net_Sale]],"")</f>
        <v>0.30175483474879772</v>
      </c>
      <c r="W251" t="str">
        <f>TEXT(Table1_1[[#This Row],[Order_Date]],"mmm")</f>
        <v>Aug</v>
      </c>
    </row>
    <row r="252" spans="1:23" x14ac:dyDescent="0.25">
      <c r="A252" t="s">
        <v>520</v>
      </c>
      <c r="B252" t="s">
        <v>521</v>
      </c>
      <c r="C252" s="6">
        <v>45824</v>
      </c>
      <c r="D252" t="s">
        <v>55</v>
      </c>
      <c r="E252" t="s">
        <v>56</v>
      </c>
      <c r="F252" t="s">
        <v>37</v>
      </c>
      <c r="G252" t="s">
        <v>38</v>
      </c>
      <c r="H252">
        <v>1</v>
      </c>
      <c r="I252">
        <v>2499</v>
      </c>
      <c r="J252">
        <v>0.05</v>
      </c>
      <c r="K252">
        <v>79</v>
      </c>
      <c r="L252" t="s">
        <v>83</v>
      </c>
      <c r="M252" t="s">
        <v>84</v>
      </c>
      <c r="N252" t="s">
        <v>71</v>
      </c>
      <c r="O252" t="s">
        <v>32</v>
      </c>
      <c r="P252" t="s">
        <v>33</v>
      </c>
      <c r="Q252">
        <v>4</v>
      </c>
      <c r="R252">
        <f>IFERROR(Table1_1[[#This Row],[Unit_Price]]*Table1_1[[#This Row],[Quantity]],"")</f>
        <v>2499</v>
      </c>
      <c r="S252">
        <f>IFERROR(Table1_1[[#This Row],[Gross_Sales]]*Table1_1[[#This Row],[Discount_%]],"")</f>
        <v>124.95</v>
      </c>
      <c r="T252">
        <f>IFERROR(Table1_1[[#This Row],[Gross_Sales]]-Table1_1[[#This Row],[Discount_amount]]+Table1_1[[#This Row],[Shipping_Cost]],"")</f>
        <v>2453.0500000000002</v>
      </c>
      <c r="U252">
        <f>IFERROR(Table1_1[[#This Row],[Net_Sale]]-(Table1_1[[#This Row],[Gross_Sales]]*70%),"")</f>
        <v>703.75000000000023</v>
      </c>
      <c r="V252" s="7">
        <f>IFERROR(Table1_1[[#This Row],[Profit]]/Table1_1[[#This Row],[Net_Sale]],"")</f>
        <v>0.28688775198222627</v>
      </c>
      <c r="W252" t="str">
        <f>TEXT(Table1_1[[#This Row],[Order_Date]],"mmm")</f>
        <v>Jun</v>
      </c>
    </row>
    <row r="253" spans="1:23" x14ac:dyDescent="0.25">
      <c r="A253" t="s">
        <v>522</v>
      </c>
      <c r="B253" t="s">
        <v>95</v>
      </c>
      <c r="C253" s="6">
        <v>45836</v>
      </c>
      <c r="D253" t="s">
        <v>44</v>
      </c>
      <c r="E253" t="s">
        <v>45</v>
      </c>
      <c r="F253" t="s">
        <v>46</v>
      </c>
      <c r="G253" t="s">
        <v>47</v>
      </c>
      <c r="H253">
        <v>2</v>
      </c>
      <c r="I253">
        <v>1199</v>
      </c>
      <c r="J253">
        <v>0.15</v>
      </c>
      <c r="K253">
        <v>49</v>
      </c>
      <c r="L253" t="s">
        <v>57</v>
      </c>
      <c r="M253" t="s">
        <v>58</v>
      </c>
      <c r="N253" t="s">
        <v>102</v>
      </c>
      <c r="O253" t="s">
        <v>32</v>
      </c>
      <c r="P253" t="s">
        <v>52</v>
      </c>
      <c r="Q253">
        <v>1</v>
      </c>
      <c r="R253">
        <f>IFERROR(Table1_1[[#This Row],[Unit_Price]]*Table1_1[[#This Row],[Quantity]],"")</f>
        <v>2398</v>
      </c>
      <c r="S253">
        <f>IFERROR(Table1_1[[#This Row],[Gross_Sales]]*Table1_1[[#This Row],[Discount_%]],"")</f>
        <v>359.7</v>
      </c>
      <c r="T253">
        <f>IFERROR(Table1_1[[#This Row],[Gross_Sales]]-Table1_1[[#This Row],[Discount_amount]]+Table1_1[[#This Row],[Shipping_Cost]],"")</f>
        <v>2087.3000000000002</v>
      </c>
      <c r="U253">
        <f>IFERROR(Table1_1[[#This Row],[Net_Sale]]-(Table1_1[[#This Row],[Gross_Sales]]*70%),"")</f>
        <v>408.70000000000027</v>
      </c>
      <c r="V253" s="7">
        <f>IFERROR(Table1_1[[#This Row],[Profit]]/Table1_1[[#This Row],[Net_Sale]],"")</f>
        <v>0.19580319072485999</v>
      </c>
      <c r="W253" t="str">
        <f>TEXT(Table1_1[[#This Row],[Order_Date]],"mmm")</f>
        <v>Jun</v>
      </c>
    </row>
    <row r="254" spans="1:23" x14ac:dyDescent="0.25">
      <c r="A254" t="s">
        <v>523</v>
      </c>
      <c r="B254" t="s">
        <v>164</v>
      </c>
      <c r="C254" s="6">
        <v>45780</v>
      </c>
      <c r="D254" t="s">
        <v>25</v>
      </c>
      <c r="E254" t="s">
        <v>26</v>
      </c>
      <c r="F254" t="s">
        <v>27</v>
      </c>
      <c r="G254" t="s">
        <v>28</v>
      </c>
      <c r="H254">
        <v>1</v>
      </c>
      <c r="I254">
        <v>249</v>
      </c>
      <c r="J254">
        <v>0.05</v>
      </c>
      <c r="K254">
        <v>49</v>
      </c>
      <c r="L254" t="s">
        <v>100</v>
      </c>
      <c r="M254" t="s">
        <v>101</v>
      </c>
      <c r="N254" t="s">
        <v>40</v>
      </c>
      <c r="O254" t="s">
        <v>59</v>
      </c>
      <c r="P254" t="s">
        <v>33</v>
      </c>
      <c r="Q254">
        <v>5</v>
      </c>
      <c r="R254">
        <f>IFERROR(Table1_1[[#This Row],[Unit_Price]]*Table1_1[[#This Row],[Quantity]],"")</f>
        <v>249</v>
      </c>
      <c r="S254">
        <f>IFERROR(Table1_1[[#This Row],[Gross_Sales]]*Table1_1[[#This Row],[Discount_%]],"")</f>
        <v>12.450000000000001</v>
      </c>
      <c r="T254">
        <f>IFERROR(Table1_1[[#This Row],[Gross_Sales]]-Table1_1[[#This Row],[Discount_amount]]+Table1_1[[#This Row],[Shipping_Cost]],"")</f>
        <v>285.55</v>
      </c>
      <c r="U254">
        <f>IFERROR(Table1_1[[#This Row],[Net_Sale]]-(Table1_1[[#This Row],[Gross_Sales]]*70%),"")</f>
        <v>111.25000000000003</v>
      </c>
      <c r="V254" s="7">
        <f>IFERROR(Table1_1[[#This Row],[Profit]]/Table1_1[[#This Row],[Net_Sale]],"")</f>
        <v>0.38959901943617586</v>
      </c>
      <c r="W254" t="str">
        <f>TEXT(Table1_1[[#This Row],[Order_Date]],"mmm")</f>
        <v>May</v>
      </c>
    </row>
    <row r="255" spans="1:23" x14ac:dyDescent="0.25">
      <c r="A255" t="s">
        <v>524</v>
      </c>
      <c r="B255" t="s">
        <v>309</v>
      </c>
      <c r="C255" s="6">
        <v>45753</v>
      </c>
      <c r="D255" t="s">
        <v>105</v>
      </c>
      <c r="E255" t="s">
        <v>106</v>
      </c>
      <c r="F255" t="s">
        <v>37</v>
      </c>
      <c r="G255" t="s">
        <v>107</v>
      </c>
      <c r="H255">
        <v>1</v>
      </c>
      <c r="I255">
        <v>1799</v>
      </c>
      <c r="J255">
        <v>0.2</v>
      </c>
      <c r="K255">
        <v>49</v>
      </c>
      <c r="L255" t="s">
        <v>125</v>
      </c>
      <c r="M255" t="s">
        <v>126</v>
      </c>
      <c r="N255" t="s">
        <v>50</v>
      </c>
      <c r="O255" t="s">
        <v>59</v>
      </c>
      <c r="P255" t="s">
        <v>85</v>
      </c>
      <c r="Q255">
        <v>3</v>
      </c>
      <c r="R255">
        <f>IFERROR(Table1_1[[#This Row],[Unit_Price]]*Table1_1[[#This Row],[Quantity]],"")</f>
        <v>1799</v>
      </c>
      <c r="S255">
        <f>IFERROR(Table1_1[[#This Row],[Gross_Sales]]*Table1_1[[#This Row],[Discount_%]],"")</f>
        <v>359.8</v>
      </c>
      <c r="T255">
        <f>IFERROR(Table1_1[[#This Row],[Gross_Sales]]-Table1_1[[#This Row],[Discount_amount]]+Table1_1[[#This Row],[Shipping_Cost]],"")</f>
        <v>1488.2</v>
      </c>
      <c r="U255">
        <f>IFERROR(Table1_1[[#This Row],[Net_Sale]]-(Table1_1[[#This Row],[Gross_Sales]]*70%),"")</f>
        <v>228.90000000000009</v>
      </c>
      <c r="V255" s="7">
        <f>IFERROR(Table1_1[[#This Row],[Profit]]/Table1_1[[#This Row],[Net_Sale]],"")</f>
        <v>0.15380997177798689</v>
      </c>
      <c r="W255" t="str">
        <f>TEXT(Table1_1[[#This Row],[Order_Date]],"mmm")</f>
        <v>Apr</v>
      </c>
    </row>
    <row r="256" spans="1:23" x14ac:dyDescent="0.25">
      <c r="A256" t="s">
        <v>525</v>
      </c>
      <c r="B256" t="s">
        <v>255</v>
      </c>
      <c r="C256" s="6">
        <v>45888</v>
      </c>
      <c r="D256" t="s">
        <v>105</v>
      </c>
      <c r="E256" t="s">
        <v>106</v>
      </c>
      <c r="F256" t="s">
        <v>37</v>
      </c>
      <c r="G256" t="s">
        <v>107</v>
      </c>
      <c r="H256">
        <v>1</v>
      </c>
      <c r="I256">
        <v>1799</v>
      </c>
      <c r="J256">
        <v>0</v>
      </c>
      <c r="K256">
        <v>79</v>
      </c>
      <c r="L256" t="s">
        <v>100</v>
      </c>
      <c r="M256" t="s">
        <v>101</v>
      </c>
      <c r="N256" t="s">
        <v>430</v>
      </c>
      <c r="O256" t="s">
        <v>59</v>
      </c>
      <c r="P256" t="s">
        <v>33</v>
      </c>
      <c r="Q256">
        <v>5</v>
      </c>
      <c r="R256">
        <f>IFERROR(Table1_1[[#This Row],[Unit_Price]]*Table1_1[[#This Row],[Quantity]],"")</f>
        <v>1799</v>
      </c>
      <c r="S256">
        <f>IFERROR(Table1_1[[#This Row],[Gross_Sales]]*Table1_1[[#This Row],[Discount_%]],"")</f>
        <v>0</v>
      </c>
      <c r="T256">
        <f>IFERROR(Table1_1[[#This Row],[Gross_Sales]]-Table1_1[[#This Row],[Discount_amount]]+Table1_1[[#This Row],[Shipping_Cost]],"")</f>
        <v>1878</v>
      </c>
      <c r="U256">
        <f>IFERROR(Table1_1[[#This Row],[Net_Sale]]-(Table1_1[[#This Row],[Gross_Sales]]*70%),"")</f>
        <v>618.70000000000005</v>
      </c>
      <c r="V256" s="7">
        <f>IFERROR(Table1_1[[#This Row],[Profit]]/Table1_1[[#This Row],[Net_Sale]],"")</f>
        <v>0.32944621938232166</v>
      </c>
      <c r="W256" t="str">
        <f>TEXT(Table1_1[[#This Row],[Order_Date]],"mmm")</f>
        <v>Aug</v>
      </c>
    </row>
    <row r="257" spans="1:23" x14ac:dyDescent="0.25">
      <c r="A257" t="s">
        <v>526</v>
      </c>
      <c r="B257" t="s">
        <v>527</v>
      </c>
      <c r="C257" s="6">
        <v>45909</v>
      </c>
      <c r="D257" t="s">
        <v>62</v>
      </c>
      <c r="E257" t="s">
        <v>63</v>
      </c>
      <c r="F257" t="s">
        <v>46</v>
      </c>
      <c r="G257" t="s">
        <v>64</v>
      </c>
      <c r="H257">
        <v>1</v>
      </c>
      <c r="I257">
        <v>699</v>
      </c>
      <c r="J257">
        <v>0.1</v>
      </c>
      <c r="K257">
        <v>49</v>
      </c>
      <c r="L257" t="s">
        <v>119</v>
      </c>
      <c r="M257" t="s">
        <v>120</v>
      </c>
      <c r="N257" t="s">
        <v>253</v>
      </c>
      <c r="O257" t="s">
        <v>93</v>
      </c>
      <c r="P257" t="s">
        <v>52</v>
      </c>
      <c r="Q257">
        <v>3</v>
      </c>
      <c r="R257">
        <f>IFERROR(Table1_1[[#This Row],[Unit_Price]]*Table1_1[[#This Row],[Quantity]],"")</f>
        <v>699</v>
      </c>
      <c r="S257">
        <f>IFERROR(Table1_1[[#This Row],[Gross_Sales]]*Table1_1[[#This Row],[Discount_%]],"")</f>
        <v>69.900000000000006</v>
      </c>
      <c r="T257">
        <f>IFERROR(Table1_1[[#This Row],[Gross_Sales]]-Table1_1[[#This Row],[Discount_amount]]+Table1_1[[#This Row],[Shipping_Cost]],"")</f>
        <v>678.1</v>
      </c>
      <c r="U257">
        <f>IFERROR(Table1_1[[#This Row],[Net_Sale]]-(Table1_1[[#This Row],[Gross_Sales]]*70%),"")</f>
        <v>188.80000000000007</v>
      </c>
      <c r="V257" s="7">
        <f>IFERROR(Table1_1[[#This Row],[Profit]]/Table1_1[[#This Row],[Net_Sale]],"")</f>
        <v>0.2784250110603157</v>
      </c>
      <c r="W257" t="str">
        <f>TEXT(Table1_1[[#This Row],[Order_Date]],"mmm")</f>
        <v>Sep</v>
      </c>
    </row>
    <row r="258" spans="1:23" x14ac:dyDescent="0.25">
      <c r="A258" t="s">
        <v>528</v>
      </c>
      <c r="B258" t="s">
        <v>261</v>
      </c>
      <c r="C258" s="6">
        <v>45773</v>
      </c>
      <c r="D258" t="s">
        <v>67</v>
      </c>
      <c r="E258" t="s">
        <v>68</v>
      </c>
      <c r="F258" t="s">
        <v>37</v>
      </c>
      <c r="G258" t="s">
        <v>38</v>
      </c>
      <c r="H258">
        <v>1</v>
      </c>
      <c r="I258">
        <v>1299</v>
      </c>
      <c r="J258">
        <v>0.1</v>
      </c>
      <c r="K258">
        <v>99</v>
      </c>
      <c r="L258" t="s">
        <v>48</v>
      </c>
      <c r="M258" t="s">
        <v>49</v>
      </c>
      <c r="N258" t="s">
        <v>102</v>
      </c>
      <c r="O258" t="s">
        <v>32</v>
      </c>
      <c r="P258" t="s">
        <v>33</v>
      </c>
      <c r="Q258">
        <v>1</v>
      </c>
      <c r="R258">
        <f>IFERROR(Table1_1[[#This Row],[Unit_Price]]*Table1_1[[#This Row],[Quantity]],"")</f>
        <v>1299</v>
      </c>
      <c r="S258">
        <f>IFERROR(Table1_1[[#This Row],[Gross_Sales]]*Table1_1[[#This Row],[Discount_%]],"")</f>
        <v>129.9</v>
      </c>
      <c r="T258">
        <f>IFERROR(Table1_1[[#This Row],[Gross_Sales]]-Table1_1[[#This Row],[Discount_amount]]+Table1_1[[#This Row],[Shipping_Cost]],"")</f>
        <v>1268.0999999999999</v>
      </c>
      <c r="U258">
        <f>IFERROR(Table1_1[[#This Row],[Net_Sale]]-(Table1_1[[#This Row],[Gross_Sales]]*70%),"")</f>
        <v>358.79999999999995</v>
      </c>
      <c r="V258" s="7">
        <f>IFERROR(Table1_1[[#This Row],[Profit]]/Table1_1[[#This Row],[Net_Sale]],"")</f>
        <v>0.28294298556896141</v>
      </c>
      <c r="W258" t="str">
        <f>TEXT(Table1_1[[#This Row],[Order_Date]],"mmm")</f>
        <v>Apr</v>
      </c>
    </row>
    <row r="259" spans="1:23" x14ac:dyDescent="0.25">
      <c r="A259" t="s">
        <v>529</v>
      </c>
      <c r="B259" t="s">
        <v>24</v>
      </c>
      <c r="C259" s="6">
        <v>45936</v>
      </c>
      <c r="D259" t="s">
        <v>44</v>
      </c>
      <c r="E259" t="s">
        <v>45</v>
      </c>
      <c r="F259" t="s">
        <v>46</v>
      </c>
      <c r="G259" t="s">
        <v>47</v>
      </c>
      <c r="H259">
        <v>1</v>
      </c>
      <c r="I259">
        <v>1199</v>
      </c>
      <c r="J259">
        <v>0.2</v>
      </c>
      <c r="K259">
        <v>79</v>
      </c>
      <c r="L259" t="s">
        <v>29</v>
      </c>
      <c r="M259" t="s">
        <v>30</v>
      </c>
      <c r="N259" t="s">
        <v>50</v>
      </c>
      <c r="O259" t="s">
        <v>59</v>
      </c>
      <c r="P259" t="s">
        <v>33</v>
      </c>
      <c r="Q259">
        <v>1</v>
      </c>
      <c r="R259">
        <f>IFERROR(Table1_1[[#This Row],[Unit_Price]]*Table1_1[[#This Row],[Quantity]],"")</f>
        <v>1199</v>
      </c>
      <c r="S259">
        <f>IFERROR(Table1_1[[#This Row],[Gross_Sales]]*Table1_1[[#This Row],[Discount_%]],"")</f>
        <v>239.8</v>
      </c>
      <c r="T259">
        <f>IFERROR(Table1_1[[#This Row],[Gross_Sales]]-Table1_1[[#This Row],[Discount_amount]]+Table1_1[[#This Row],[Shipping_Cost]],"")</f>
        <v>1038.2</v>
      </c>
      <c r="U259">
        <f>IFERROR(Table1_1[[#This Row],[Net_Sale]]-(Table1_1[[#This Row],[Gross_Sales]]*70%),"")</f>
        <v>198.90000000000009</v>
      </c>
      <c r="V259" s="7">
        <f>IFERROR(Table1_1[[#This Row],[Profit]]/Table1_1[[#This Row],[Net_Sale]],"")</f>
        <v>0.19158158350992111</v>
      </c>
      <c r="W259" t="str">
        <f>TEXT(Table1_1[[#This Row],[Order_Date]],"mmm")</f>
        <v>Oct</v>
      </c>
    </row>
    <row r="260" spans="1:23" x14ac:dyDescent="0.25">
      <c r="A260" t="s">
        <v>530</v>
      </c>
      <c r="B260" t="s">
        <v>411</v>
      </c>
      <c r="C260" s="6">
        <v>45674</v>
      </c>
      <c r="D260" t="s">
        <v>77</v>
      </c>
      <c r="E260" t="s">
        <v>78</v>
      </c>
      <c r="F260" t="s">
        <v>79</v>
      </c>
      <c r="G260" t="s">
        <v>28</v>
      </c>
      <c r="H260">
        <v>1</v>
      </c>
      <c r="I260">
        <v>6499</v>
      </c>
      <c r="J260">
        <v>0</v>
      </c>
      <c r="K260">
        <v>79</v>
      </c>
      <c r="L260" t="s">
        <v>113</v>
      </c>
      <c r="M260" t="s">
        <v>114</v>
      </c>
      <c r="N260" t="s">
        <v>50</v>
      </c>
      <c r="O260" t="s">
        <v>41</v>
      </c>
      <c r="P260" t="s">
        <v>33</v>
      </c>
      <c r="Q260">
        <v>3</v>
      </c>
      <c r="R260">
        <f>IFERROR(Table1_1[[#This Row],[Unit_Price]]*Table1_1[[#This Row],[Quantity]],"")</f>
        <v>6499</v>
      </c>
      <c r="S260">
        <f>IFERROR(Table1_1[[#This Row],[Gross_Sales]]*Table1_1[[#This Row],[Discount_%]],"")</f>
        <v>0</v>
      </c>
      <c r="T260">
        <f>IFERROR(Table1_1[[#This Row],[Gross_Sales]]-Table1_1[[#This Row],[Discount_amount]]+Table1_1[[#This Row],[Shipping_Cost]],"")</f>
        <v>6578</v>
      </c>
      <c r="U260">
        <f>IFERROR(Table1_1[[#This Row],[Net_Sale]]-(Table1_1[[#This Row],[Gross_Sales]]*70%),"")</f>
        <v>2028.7000000000007</v>
      </c>
      <c r="V260" s="7">
        <f>IFERROR(Table1_1[[#This Row],[Profit]]/Table1_1[[#This Row],[Net_Sale]],"")</f>
        <v>0.30840681058072372</v>
      </c>
      <c r="W260" t="str">
        <f>TEXT(Table1_1[[#This Row],[Order_Date]],"mmm")</f>
        <v>Jan</v>
      </c>
    </row>
    <row r="261" spans="1:23" x14ac:dyDescent="0.25">
      <c r="A261" t="s">
        <v>531</v>
      </c>
      <c r="B261" t="s">
        <v>487</v>
      </c>
      <c r="C261" s="6">
        <v>46021</v>
      </c>
      <c r="D261" t="s">
        <v>77</v>
      </c>
      <c r="E261" t="s">
        <v>78</v>
      </c>
      <c r="F261" t="s">
        <v>79</v>
      </c>
      <c r="G261" t="s">
        <v>28</v>
      </c>
      <c r="H261">
        <v>2</v>
      </c>
      <c r="I261">
        <v>6499</v>
      </c>
      <c r="J261">
        <v>0</v>
      </c>
      <c r="K261">
        <v>99</v>
      </c>
      <c r="L261" t="s">
        <v>125</v>
      </c>
      <c r="M261" t="s">
        <v>126</v>
      </c>
      <c r="N261" t="s">
        <v>50</v>
      </c>
      <c r="O261" t="s">
        <v>41</v>
      </c>
      <c r="P261" t="s">
        <v>52</v>
      </c>
      <c r="Q261">
        <v>3</v>
      </c>
      <c r="R261">
        <f>IFERROR(Table1_1[[#This Row],[Unit_Price]]*Table1_1[[#This Row],[Quantity]],"")</f>
        <v>12998</v>
      </c>
      <c r="S261">
        <f>IFERROR(Table1_1[[#This Row],[Gross_Sales]]*Table1_1[[#This Row],[Discount_%]],"")</f>
        <v>0</v>
      </c>
      <c r="T261">
        <f>IFERROR(Table1_1[[#This Row],[Gross_Sales]]-Table1_1[[#This Row],[Discount_amount]]+Table1_1[[#This Row],[Shipping_Cost]],"")</f>
        <v>13097</v>
      </c>
      <c r="U261">
        <f>IFERROR(Table1_1[[#This Row],[Net_Sale]]-(Table1_1[[#This Row],[Gross_Sales]]*70%),"")</f>
        <v>3998.4000000000015</v>
      </c>
      <c r="V261" s="7">
        <f>IFERROR(Table1_1[[#This Row],[Profit]]/Table1_1[[#This Row],[Net_Sale]],"")</f>
        <v>0.30529128808124006</v>
      </c>
      <c r="W261" t="str">
        <f>TEXT(Table1_1[[#This Row],[Order_Date]],"mmm")</f>
        <v>Dec</v>
      </c>
    </row>
    <row r="262" spans="1:23" x14ac:dyDescent="0.25">
      <c r="A262" t="s">
        <v>532</v>
      </c>
      <c r="B262" t="s">
        <v>403</v>
      </c>
      <c r="C262" s="6">
        <v>45801</v>
      </c>
      <c r="D262" t="s">
        <v>35</v>
      </c>
      <c r="E262" t="s">
        <v>36</v>
      </c>
      <c r="F262" t="s">
        <v>37</v>
      </c>
      <c r="G262" t="s">
        <v>38</v>
      </c>
      <c r="H262">
        <v>1</v>
      </c>
      <c r="I262">
        <v>599</v>
      </c>
      <c r="J262">
        <v>0.05</v>
      </c>
      <c r="K262">
        <v>59</v>
      </c>
      <c r="L262" t="s">
        <v>125</v>
      </c>
      <c r="M262" t="s">
        <v>126</v>
      </c>
      <c r="N262" t="s">
        <v>102</v>
      </c>
      <c r="O262" t="s">
        <v>51</v>
      </c>
      <c r="P262" t="s">
        <v>33</v>
      </c>
      <c r="Q262">
        <v>3</v>
      </c>
      <c r="R262">
        <f>IFERROR(Table1_1[[#This Row],[Unit_Price]]*Table1_1[[#This Row],[Quantity]],"")</f>
        <v>599</v>
      </c>
      <c r="S262">
        <f>IFERROR(Table1_1[[#This Row],[Gross_Sales]]*Table1_1[[#This Row],[Discount_%]],"")</f>
        <v>29.950000000000003</v>
      </c>
      <c r="T262">
        <f>IFERROR(Table1_1[[#This Row],[Gross_Sales]]-Table1_1[[#This Row],[Discount_amount]]+Table1_1[[#This Row],[Shipping_Cost]],"")</f>
        <v>628.04999999999995</v>
      </c>
      <c r="U262">
        <f>IFERROR(Table1_1[[#This Row],[Net_Sale]]-(Table1_1[[#This Row],[Gross_Sales]]*70%),"")</f>
        <v>208.75</v>
      </c>
      <c r="V262" s="7">
        <f>IFERROR(Table1_1[[#This Row],[Profit]]/Table1_1[[#This Row],[Net_Sale]],"")</f>
        <v>0.33237799538253326</v>
      </c>
      <c r="W262" t="str">
        <f>TEXT(Table1_1[[#This Row],[Order_Date]],"mmm")</f>
        <v>May</v>
      </c>
    </row>
    <row r="263" spans="1:23" x14ac:dyDescent="0.25">
      <c r="A263" t="s">
        <v>533</v>
      </c>
      <c r="B263" t="s">
        <v>534</v>
      </c>
      <c r="C263" s="6">
        <v>45868</v>
      </c>
      <c r="D263" t="s">
        <v>62</v>
      </c>
      <c r="E263" t="s">
        <v>63</v>
      </c>
      <c r="F263" t="s">
        <v>46</v>
      </c>
      <c r="G263" t="s">
        <v>64</v>
      </c>
      <c r="H263">
        <v>1</v>
      </c>
      <c r="I263">
        <v>699</v>
      </c>
      <c r="J263">
        <v>0</v>
      </c>
      <c r="K263">
        <v>49</v>
      </c>
      <c r="L263" t="s">
        <v>29</v>
      </c>
      <c r="M263" t="s">
        <v>30</v>
      </c>
      <c r="N263" t="s">
        <v>50</v>
      </c>
      <c r="O263" t="s">
        <v>51</v>
      </c>
      <c r="P263" t="s">
        <v>80</v>
      </c>
      <c r="Q263">
        <v>3</v>
      </c>
      <c r="R263">
        <f>IFERROR(Table1_1[[#This Row],[Unit_Price]]*Table1_1[[#This Row],[Quantity]],"")</f>
        <v>699</v>
      </c>
      <c r="S263">
        <f>IFERROR(Table1_1[[#This Row],[Gross_Sales]]*Table1_1[[#This Row],[Discount_%]],"")</f>
        <v>0</v>
      </c>
      <c r="T263">
        <f>IFERROR(Table1_1[[#This Row],[Gross_Sales]]-Table1_1[[#This Row],[Discount_amount]]+Table1_1[[#This Row],[Shipping_Cost]],"")</f>
        <v>748</v>
      </c>
      <c r="U263">
        <f>IFERROR(Table1_1[[#This Row],[Net_Sale]]-(Table1_1[[#This Row],[Gross_Sales]]*70%),"")</f>
        <v>258.70000000000005</v>
      </c>
      <c r="V263" s="7">
        <f>IFERROR(Table1_1[[#This Row],[Profit]]/Table1_1[[#This Row],[Net_Sale]],"")</f>
        <v>0.34585561497326212</v>
      </c>
      <c r="W263" t="str">
        <f>TEXT(Table1_1[[#This Row],[Order_Date]],"mmm")</f>
        <v>Jul</v>
      </c>
    </row>
    <row r="264" spans="1:23" x14ac:dyDescent="0.25">
      <c r="A264" t="s">
        <v>535</v>
      </c>
      <c r="B264" t="s">
        <v>536</v>
      </c>
      <c r="C264" s="6">
        <v>45953</v>
      </c>
      <c r="D264" t="s">
        <v>67</v>
      </c>
      <c r="E264" t="s">
        <v>68</v>
      </c>
      <c r="F264" t="s">
        <v>37</v>
      </c>
      <c r="G264" t="s">
        <v>38</v>
      </c>
      <c r="H264">
        <v>2</v>
      </c>
      <c r="I264">
        <v>1299</v>
      </c>
      <c r="J264">
        <v>0.1</v>
      </c>
      <c r="K264">
        <v>79</v>
      </c>
      <c r="L264" t="s">
        <v>57</v>
      </c>
      <c r="M264" t="s">
        <v>58</v>
      </c>
      <c r="N264" t="s">
        <v>31</v>
      </c>
      <c r="O264" t="s">
        <v>93</v>
      </c>
      <c r="P264" t="s">
        <v>80</v>
      </c>
      <c r="Q264">
        <v>4</v>
      </c>
      <c r="R264">
        <f>IFERROR(Table1_1[[#This Row],[Unit_Price]]*Table1_1[[#This Row],[Quantity]],"")</f>
        <v>2598</v>
      </c>
      <c r="S264">
        <f>IFERROR(Table1_1[[#This Row],[Gross_Sales]]*Table1_1[[#This Row],[Discount_%]],"")</f>
        <v>259.8</v>
      </c>
      <c r="T264">
        <f>IFERROR(Table1_1[[#This Row],[Gross_Sales]]-Table1_1[[#This Row],[Discount_amount]]+Table1_1[[#This Row],[Shipping_Cost]],"")</f>
        <v>2417.1999999999998</v>
      </c>
      <c r="U264">
        <f>IFERROR(Table1_1[[#This Row],[Net_Sale]]-(Table1_1[[#This Row],[Gross_Sales]]*70%),"")</f>
        <v>598.59999999999991</v>
      </c>
      <c r="V264" s="7">
        <f>IFERROR(Table1_1[[#This Row],[Profit]]/Table1_1[[#This Row],[Net_Sale]],"")</f>
        <v>0.24764189971868275</v>
      </c>
      <c r="W264" t="str">
        <f>TEXT(Table1_1[[#This Row],[Order_Date]],"mmm")</f>
        <v>Oct</v>
      </c>
    </row>
    <row r="265" spans="1:23" x14ac:dyDescent="0.25">
      <c r="A265" t="s">
        <v>537</v>
      </c>
      <c r="B265" t="s">
        <v>177</v>
      </c>
      <c r="C265" s="6">
        <v>45846</v>
      </c>
      <c r="D265" t="s">
        <v>62</v>
      </c>
      <c r="E265" t="s">
        <v>63</v>
      </c>
      <c r="F265" t="s">
        <v>46</v>
      </c>
      <c r="G265" t="s">
        <v>64</v>
      </c>
      <c r="H265">
        <v>2</v>
      </c>
      <c r="I265">
        <v>699</v>
      </c>
      <c r="J265">
        <v>0.15</v>
      </c>
      <c r="K265">
        <v>0</v>
      </c>
      <c r="L265" t="s">
        <v>48</v>
      </c>
      <c r="M265" t="s">
        <v>49</v>
      </c>
      <c r="N265" t="s">
        <v>40</v>
      </c>
      <c r="O265" t="s">
        <v>51</v>
      </c>
      <c r="P265" t="s">
        <v>33</v>
      </c>
      <c r="Q265">
        <v>3</v>
      </c>
      <c r="R265">
        <f>IFERROR(Table1_1[[#This Row],[Unit_Price]]*Table1_1[[#This Row],[Quantity]],"")</f>
        <v>1398</v>
      </c>
      <c r="S265">
        <f>IFERROR(Table1_1[[#This Row],[Gross_Sales]]*Table1_1[[#This Row],[Discount_%]],"")</f>
        <v>209.7</v>
      </c>
      <c r="T265">
        <f>IFERROR(Table1_1[[#This Row],[Gross_Sales]]-Table1_1[[#This Row],[Discount_amount]]+Table1_1[[#This Row],[Shipping_Cost]],"")</f>
        <v>1188.3</v>
      </c>
      <c r="U265">
        <f>IFERROR(Table1_1[[#This Row],[Net_Sale]]-(Table1_1[[#This Row],[Gross_Sales]]*70%),"")</f>
        <v>209.70000000000005</v>
      </c>
      <c r="V265" s="7">
        <f>IFERROR(Table1_1[[#This Row],[Profit]]/Table1_1[[#This Row],[Net_Sale]],"")</f>
        <v>0.17647058823529416</v>
      </c>
      <c r="W265" t="str">
        <f>TEXT(Table1_1[[#This Row],[Order_Date]],"mmm")</f>
        <v>Jul</v>
      </c>
    </row>
    <row r="266" spans="1:23" x14ac:dyDescent="0.25">
      <c r="A266" t="s">
        <v>538</v>
      </c>
      <c r="B266" t="s">
        <v>539</v>
      </c>
      <c r="C266" s="6">
        <v>45877</v>
      </c>
      <c r="D266" t="s">
        <v>55</v>
      </c>
      <c r="E266" t="s">
        <v>56</v>
      </c>
      <c r="F266" t="s">
        <v>37</v>
      </c>
      <c r="G266" t="s">
        <v>38</v>
      </c>
      <c r="H266">
        <v>1</v>
      </c>
      <c r="I266">
        <v>2499</v>
      </c>
      <c r="J266">
        <v>0.05</v>
      </c>
      <c r="K266">
        <v>59</v>
      </c>
      <c r="L266" t="s">
        <v>83</v>
      </c>
      <c r="M266" t="s">
        <v>84</v>
      </c>
      <c r="N266" t="s">
        <v>102</v>
      </c>
      <c r="O266" t="s">
        <v>32</v>
      </c>
      <c r="P266" t="s">
        <v>33</v>
      </c>
      <c r="Q266">
        <v>2</v>
      </c>
      <c r="R266">
        <f>IFERROR(Table1_1[[#This Row],[Unit_Price]]*Table1_1[[#This Row],[Quantity]],"")</f>
        <v>2499</v>
      </c>
      <c r="S266">
        <f>IFERROR(Table1_1[[#This Row],[Gross_Sales]]*Table1_1[[#This Row],[Discount_%]],"")</f>
        <v>124.95</v>
      </c>
      <c r="T266">
        <f>IFERROR(Table1_1[[#This Row],[Gross_Sales]]-Table1_1[[#This Row],[Discount_amount]]+Table1_1[[#This Row],[Shipping_Cost]],"")</f>
        <v>2433.0500000000002</v>
      </c>
      <c r="U266">
        <f>IFERROR(Table1_1[[#This Row],[Net_Sale]]-(Table1_1[[#This Row],[Gross_Sales]]*70%),"")</f>
        <v>683.75000000000023</v>
      </c>
      <c r="V266" s="7">
        <f>IFERROR(Table1_1[[#This Row],[Profit]]/Table1_1[[#This Row],[Net_Sale]],"")</f>
        <v>0.28102587287560887</v>
      </c>
      <c r="W266" t="str">
        <f>TEXT(Table1_1[[#This Row],[Order_Date]],"mmm")</f>
        <v>Aug</v>
      </c>
    </row>
    <row r="267" spans="1:23" x14ac:dyDescent="0.25">
      <c r="A267" t="s">
        <v>540</v>
      </c>
      <c r="B267" t="s">
        <v>477</v>
      </c>
      <c r="C267" s="6">
        <v>46007</v>
      </c>
      <c r="D267" t="s">
        <v>44</v>
      </c>
      <c r="E267" t="s">
        <v>45</v>
      </c>
      <c r="F267" t="s">
        <v>46</v>
      </c>
      <c r="G267" t="s">
        <v>47</v>
      </c>
      <c r="H267">
        <v>3</v>
      </c>
      <c r="I267">
        <v>1199</v>
      </c>
      <c r="J267">
        <v>0</v>
      </c>
      <c r="K267">
        <v>79</v>
      </c>
      <c r="L267" t="s">
        <v>119</v>
      </c>
      <c r="M267" t="s">
        <v>120</v>
      </c>
      <c r="N267" t="s">
        <v>31</v>
      </c>
      <c r="O267" t="s">
        <v>41</v>
      </c>
      <c r="P267" t="s">
        <v>33</v>
      </c>
      <c r="Q267">
        <v>4</v>
      </c>
      <c r="R267">
        <f>IFERROR(Table1_1[[#This Row],[Unit_Price]]*Table1_1[[#This Row],[Quantity]],"")</f>
        <v>3597</v>
      </c>
      <c r="S267">
        <f>IFERROR(Table1_1[[#This Row],[Gross_Sales]]*Table1_1[[#This Row],[Discount_%]],"")</f>
        <v>0</v>
      </c>
      <c r="T267">
        <f>IFERROR(Table1_1[[#This Row],[Gross_Sales]]-Table1_1[[#This Row],[Discount_amount]]+Table1_1[[#This Row],[Shipping_Cost]],"")</f>
        <v>3676</v>
      </c>
      <c r="U267">
        <f>IFERROR(Table1_1[[#This Row],[Net_Sale]]-(Table1_1[[#This Row],[Gross_Sales]]*70%),"")</f>
        <v>1158.1000000000004</v>
      </c>
      <c r="V267" s="7">
        <f>IFERROR(Table1_1[[#This Row],[Profit]]/Table1_1[[#This Row],[Net_Sale]],"")</f>
        <v>0.31504352557127324</v>
      </c>
      <c r="W267" t="str">
        <f>TEXT(Table1_1[[#This Row],[Order_Date]],"mmm")</f>
        <v>Dec</v>
      </c>
    </row>
    <row r="268" spans="1:23" x14ac:dyDescent="0.25">
      <c r="A268" t="s">
        <v>541</v>
      </c>
      <c r="B268" t="s">
        <v>158</v>
      </c>
      <c r="C268" s="6">
        <v>45877</v>
      </c>
      <c r="D268" t="s">
        <v>90</v>
      </c>
      <c r="E268" t="s">
        <v>91</v>
      </c>
      <c r="F268" t="s">
        <v>37</v>
      </c>
      <c r="G268" t="s">
        <v>92</v>
      </c>
      <c r="H268">
        <v>5</v>
      </c>
      <c r="I268">
        <v>3499</v>
      </c>
      <c r="J268">
        <v>0.2</v>
      </c>
      <c r="K268">
        <v>59</v>
      </c>
      <c r="L268" t="s">
        <v>39</v>
      </c>
      <c r="M268" t="s">
        <v>39</v>
      </c>
      <c r="N268" t="s">
        <v>71</v>
      </c>
      <c r="O268" t="s">
        <v>93</v>
      </c>
      <c r="P268" t="s">
        <v>33</v>
      </c>
      <c r="Q268">
        <v>3</v>
      </c>
      <c r="R268">
        <f>IFERROR(Table1_1[[#This Row],[Unit_Price]]*Table1_1[[#This Row],[Quantity]],"")</f>
        <v>17495</v>
      </c>
      <c r="S268">
        <f>IFERROR(Table1_1[[#This Row],[Gross_Sales]]*Table1_1[[#This Row],[Discount_%]],"")</f>
        <v>3499</v>
      </c>
      <c r="T268">
        <f>IFERROR(Table1_1[[#This Row],[Gross_Sales]]-Table1_1[[#This Row],[Discount_amount]]+Table1_1[[#This Row],[Shipping_Cost]],"")</f>
        <v>14055</v>
      </c>
      <c r="U268">
        <f>IFERROR(Table1_1[[#This Row],[Net_Sale]]-(Table1_1[[#This Row],[Gross_Sales]]*70%),"")</f>
        <v>1808.5</v>
      </c>
      <c r="V268" s="7">
        <f>IFERROR(Table1_1[[#This Row],[Profit]]/Table1_1[[#This Row],[Net_Sale]],"")</f>
        <v>0.12867307008182141</v>
      </c>
      <c r="W268" t="str">
        <f>TEXT(Table1_1[[#This Row],[Order_Date]],"mmm")</f>
        <v>Aug</v>
      </c>
    </row>
    <row r="269" spans="1:23" x14ac:dyDescent="0.25">
      <c r="A269" t="s">
        <v>542</v>
      </c>
      <c r="B269" t="s">
        <v>457</v>
      </c>
      <c r="C269" s="6">
        <v>45998</v>
      </c>
      <c r="D269" t="s">
        <v>169</v>
      </c>
      <c r="E269" t="s">
        <v>170</v>
      </c>
      <c r="F269" t="s">
        <v>98</v>
      </c>
      <c r="G269" t="s">
        <v>171</v>
      </c>
      <c r="H269">
        <v>1</v>
      </c>
      <c r="I269">
        <v>799</v>
      </c>
      <c r="J269">
        <v>0.1</v>
      </c>
      <c r="K269">
        <v>59</v>
      </c>
      <c r="L269" t="s">
        <v>48</v>
      </c>
      <c r="M269" t="s">
        <v>49</v>
      </c>
      <c r="N269" t="s">
        <v>40</v>
      </c>
      <c r="O269" t="s">
        <v>93</v>
      </c>
      <c r="P269" t="s">
        <v>33</v>
      </c>
      <c r="Q269">
        <v>3</v>
      </c>
      <c r="R269">
        <f>IFERROR(Table1_1[[#This Row],[Unit_Price]]*Table1_1[[#This Row],[Quantity]],"")</f>
        <v>799</v>
      </c>
      <c r="S269">
        <f>IFERROR(Table1_1[[#This Row],[Gross_Sales]]*Table1_1[[#This Row],[Discount_%]],"")</f>
        <v>79.900000000000006</v>
      </c>
      <c r="T269">
        <f>IFERROR(Table1_1[[#This Row],[Gross_Sales]]-Table1_1[[#This Row],[Discount_amount]]+Table1_1[[#This Row],[Shipping_Cost]],"")</f>
        <v>778.1</v>
      </c>
      <c r="U269">
        <f>IFERROR(Table1_1[[#This Row],[Net_Sale]]-(Table1_1[[#This Row],[Gross_Sales]]*70%),"")</f>
        <v>218.80000000000007</v>
      </c>
      <c r="V269" s="7">
        <f>IFERROR(Table1_1[[#This Row],[Profit]]/Table1_1[[#This Row],[Net_Sale]],"")</f>
        <v>0.28119778948721252</v>
      </c>
      <c r="W269" t="str">
        <f>TEXT(Table1_1[[#This Row],[Order_Date]],"mmm")</f>
        <v>Dec</v>
      </c>
    </row>
    <row r="270" spans="1:23" x14ac:dyDescent="0.25">
      <c r="A270" t="s">
        <v>543</v>
      </c>
      <c r="B270" t="s">
        <v>146</v>
      </c>
      <c r="C270" s="6">
        <v>45697</v>
      </c>
      <c r="D270" t="s">
        <v>55</v>
      </c>
      <c r="E270" t="s">
        <v>56</v>
      </c>
      <c r="F270" t="s">
        <v>37</v>
      </c>
      <c r="G270" t="s">
        <v>38</v>
      </c>
      <c r="H270">
        <v>1</v>
      </c>
      <c r="I270">
        <v>2499</v>
      </c>
      <c r="J270">
        <v>0.15</v>
      </c>
      <c r="K270">
        <v>79</v>
      </c>
      <c r="L270" t="s">
        <v>39</v>
      </c>
      <c r="M270" t="s">
        <v>39</v>
      </c>
      <c r="N270" t="s">
        <v>31</v>
      </c>
      <c r="O270" t="s">
        <v>51</v>
      </c>
      <c r="P270" t="s">
        <v>33</v>
      </c>
      <c r="Q270">
        <v>3</v>
      </c>
      <c r="R270">
        <f>IFERROR(Table1_1[[#This Row],[Unit_Price]]*Table1_1[[#This Row],[Quantity]],"")</f>
        <v>2499</v>
      </c>
      <c r="S270">
        <f>IFERROR(Table1_1[[#This Row],[Gross_Sales]]*Table1_1[[#This Row],[Discount_%]],"")</f>
        <v>374.84999999999997</v>
      </c>
      <c r="T270">
        <f>IFERROR(Table1_1[[#This Row],[Gross_Sales]]-Table1_1[[#This Row],[Discount_amount]]+Table1_1[[#This Row],[Shipping_Cost]],"")</f>
        <v>2203.15</v>
      </c>
      <c r="U270">
        <f>IFERROR(Table1_1[[#This Row],[Net_Sale]]-(Table1_1[[#This Row],[Gross_Sales]]*70%),"")</f>
        <v>453.85000000000014</v>
      </c>
      <c r="V270" s="7">
        <f>IFERROR(Table1_1[[#This Row],[Profit]]/Table1_1[[#This Row],[Net_Sale]],"")</f>
        <v>0.20600049928511455</v>
      </c>
      <c r="W270" t="str">
        <f>TEXT(Table1_1[[#This Row],[Order_Date]],"mmm")</f>
        <v>Feb</v>
      </c>
    </row>
    <row r="271" spans="1:23" x14ac:dyDescent="0.25">
      <c r="A271" t="s">
        <v>544</v>
      </c>
      <c r="B271" t="s">
        <v>545</v>
      </c>
      <c r="C271" s="6">
        <v>45902</v>
      </c>
      <c r="D271" t="s">
        <v>55</v>
      </c>
      <c r="E271" t="s">
        <v>56</v>
      </c>
      <c r="F271" t="s">
        <v>37</v>
      </c>
      <c r="G271" t="s">
        <v>38</v>
      </c>
      <c r="H271">
        <v>2</v>
      </c>
      <c r="I271">
        <v>2499</v>
      </c>
      <c r="J271">
        <v>0</v>
      </c>
      <c r="K271">
        <v>0</v>
      </c>
      <c r="L271" t="s">
        <v>57</v>
      </c>
      <c r="M271" t="s">
        <v>58</v>
      </c>
      <c r="N271" t="s">
        <v>71</v>
      </c>
      <c r="O271" t="s">
        <v>51</v>
      </c>
      <c r="P271" t="s">
        <v>52</v>
      </c>
      <c r="Q271">
        <v>3</v>
      </c>
      <c r="R271">
        <f>IFERROR(Table1_1[[#This Row],[Unit_Price]]*Table1_1[[#This Row],[Quantity]],"")</f>
        <v>4998</v>
      </c>
      <c r="S271">
        <f>IFERROR(Table1_1[[#This Row],[Gross_Sales]]*Table1_1[[#This Row],[Discount_%]],"")</f>
        <v>0</v>
      </c>
      <c r="T271">
        <f>IFERROR(Table1_1[[#This Row],[Gross_Sales]]-Table1_1[[#This Row],[Discount_amount]]+Table1_1[[#This Row],[Shipping_Cost]],"")</f>
        <v>4998</v>
      </c>
      <c r="U271">
        <f>IFERROR(Table1_1[[#This Row],[Net_Sale]]-(Table1_1[[#This Row],[Gross_Sales]]*70%),"")</f>
        <v>1499.4</v>
      </c>
      <c r="V271" s="7">
        <f>IFERROR(Table1_1[[#This Row],[Profit]]/Table1_1[[#This Row],[Net_Sale]],"")</f>
        <v>0.30000000000000004</v>
      </c>
      <c r="W271" t="str">
        <f>TEXT(Table1_1[[#This Row],[Order_Date]],"mmm")</f>
        <v>Sep</v>
      </c>
    </row>
    <row r="272" spans="1:23" x14ac:dyDescent="0.25">
      <c r="A272" t="s">
        <v>546</v>
      </c>
      <c r="B272" t="s">
        <v>329</v>
      </c>
      <c r="C272" s="6">
        <v>45726</v>
      </c>
      <c r="D272" t="s">
        <v>105</v>
      </c>
      <c r="E272" t="s">
        <v>106</v>
      </c>
      <c r="F272" t="s">
        <v>37</v>
      </c>
      <c r="G272" t="s">
        <v>107</v>
      </c>
      <c r="H272">
        <v>3</v>
      </c>
      <c r="I272">
        <v>1799</v>
      </c>
      <c r="J272">
        <v>0</v>
      </c>
      <c r="K272">
        <v>99</v>
      </c>
      <c r="L272" t="s">
        <v>57</v>
      </c>
      <c r="M272" t="s">
        <v>58</v>
      </c>
      <c r="N272" t="s">
        <v>31</v>
      </c>
      <c r="O272" t="s">
        <v>32</v>
      </c>
      <c r="P272" t="s">
        <v>33</v>
      </c>
      <c r="Q272">
        <v>3</v>
      </c>
      <c r="R272">
        <f>IFERROR(Table1_1[[#This Row],[Unit_Price]]*Table1_1[[#This Row],[Quantity]],"")</f>
        <v>5397</v>
      </c>
      <c r="S272">
        <f>IFERROR(Table1_1[[#This Row],[Gross_Sales]]*Table1_1[[#This Row],[Discount_%]],"")</f>
        <v>0</v>
      </c>
      <c r="T272">
        <f>IFERROR(Table1_1[[#This Row],[Gross_Sales]]-Table1_1[[#This Row],[Discount_amount]]+Table1_1[[#This Row],[Shipping_Cost]],"")</f>
        <v>5496</v>
      </c>
      <c r="U272">
        <f>IFERROR(Table1_1[[#This Row],[Net_Sale]]-(Table1_1[[#This Row],[Gross_Sales]]*70%),"")</f>
        <v>1718.1000000000004</v>
      </c>
      <c r="V272" s="7">
        <f>IFERROR(Table1_1[[#This Row],[Profit]]/Table1_1[[#This Row],[Net_Sale]],"")</f>
        <v>0.31260917030567692</v>
      </c>
      <c r="W272" t="str">
        <f>TEXT(Table1_1[[#This Row],[Order_Date]],"mmm")</f>
        <v>Mar</v>
      </c>
    </row>
    <row r="273" spans="1:23" x14ac:dyDescent="0.25">
      <c r="A273" t="s">
        <v>547</v>
      </c>
      <c r="B273" t="s">
        <v>175</v>
      </c>
      <c r="C273" s="6">
        <v>45767</v>
      </c>
      <c r="D273" t="s">
        <v>105</v>
      </c>
      <c r="E273" t="s">
        <v>106</v>
      </c>
      <c r="F273" t="s">
        <v>37</v>
      </c>
      <c r="G273" t="s">
        <v>107</v>
      </c>
      <c r="H273">
        <v>1</v>
      </c>
      <c r="I273">
        <v>1799</v>
      </c>
      <c r="J273">
        <v>0.1</v>
      </c>
      <c r="K273">
        <v>99</v>
      </c>
      <c r="L273" t="s">
        <v>119</v>
      </c>
      <c r="M273" t="s">
        <v>120</v>
      </c>
      <c r="N273" t="s">
        <v>50</v>
      </c>
      <c r="O273" t="s">
        <v>93</v>
      </c>
      <c r="P273" t="s">
        <v>33</v>
      </c>
      <c r="Q273">
        <v>1</v>
      </c>
      <c r="R273">
        <f>IFERROR(Table1_1[[#This Row],[Unit_Price]]*Table1_1[[#This Row],[Quantity]],"")</f>
        <v>1799</v>
      </c>
      <c r="S273">
        <f>IFERROR(Table1_1[[#This Row],[Gross_Sales]]*Table1_1[[#This Row],[Discount_%]],"")</f>
        <v>179.9</v>
      </c>
      <c r="T273">
        <f>IFERROR(Table1_1[[#This Row],[Gross_Sales]]-Table1_1[[#This Row],[Discount_amount]]+Table1_1[[#This Row],[Shipping_Cost]],"")</f>
        <v>1718.1</v>
      </c>
      <c r="U273">
        <f>IFERROR(Table1_1[[#This Row],[Net_Sale]]-(Table1_1[[#This Row],[Gross_Sales]]*70%),"")</f>
        <v>458.79999999999995</v>
      </c>
      <c r="V273" s="7">
        <f>IFERROR(Table1_1[[#This Row],[Profit]]/Table1_1[[#This Row],[Net_Sale]],"")</f>
        <v>0.26703917117746345</v>
      </c>
      <c r="W273" t="str">
        <f>TEXT(Table1_1[[#This Row],[Order_Date]],"mmm")</f>
        <v>Apr</v>
      </c>
    </row>
    <row r="274" spans="1:23" x14ac:dyDescent="0.25">
      <c r="A274" t="s">
        <v>548</v>
      </c>
      <c r="B274" t="s">
        <v>222</v>
      </c>
      <c r="C274" s="6">
        <v>45854</v>
      </c>
      <c r="D274" t="s">
        <v>105</v>
      </c>
      <c r="E274" t="s">
        <v>106</v>
      </c>
      <c r="F274" t="s">
        <v>37</v>
      </c>
      <c r="G274" t="s">
        <v>107</v>
      </c>
      <c r="H274">
        <v>2</v>
      </c>
      <c r="I274">
        <v>1799</v>
      </c>
      <c r="J274">
        <v>0</v>
      </c>
      <c r="K274">
        <v>49</v>
      </c>
      <c r="L274" t="s">
        <v>29</v>
      </c>
      <c r="M274" t="s">
        <v>30</v>
      </c>
      <c r="N274" t="s">
        <v>31</v>
      </c>
      <c r="O274" t="s">
        <v>41</v>
      </c>
      <c r="P274" t="s">
        <v>33</v>
      </c>
      <c r="Q274">
        <v>5</v>
      </c>
      <c r="R274">
        <f>IFERROR(Table1_1[[#This Row],[Unit_Price]]*Table1_1[[#This Row],[Quantity]],"")</f>
        <v>3598</v>
      </c>
      <c r="S274">
        <f>IFERROR(Table1_1[[#This Row],[Gross_Sales]]*Table1_1[[#This Row],[Discount_%]],"")</f>
        <v>0</v>
      </c>
      <c r="T274">
        <f>IFERROR(Table1_1[[#This Row],[Gross_Sales]]-Table1_1[[#This Row],[Discount_amount]]+Table1_1[[#This Row],[Shipping_Cost]],"")</f>
        <v>3647</v>
      </c>
      <c r="U274">
        <f>IFERROR(Table1_1[[#This Row],[Net_Sale]]-(Table1_1[[#This Row],[Gross_Sales]]*70%),"")</f>
        <v>1128.4000000000001</v>
      </c>
      <c r="V274" s="7">
        <f>IFERROR(Table1_1[[#This Row],[Profit]]/Table1_1[[#This Row],[Net_Sale]],"")</f>
        <v>0.30940499040307107</v>
      </c>
      <c r="W274" t="str">
        <f>TEXT(Table1_1[[#This Row],[Order_Date]],"mmm")</f>
        <v>Jul</v>
      </c>
    </row>
    <row r="275" spans="1:23" x14ac:dyDescent="0.25">
      <c r="A275" t="s">
        <v>549</v>
      </c>
      <c r="B275" t="s">
        <v>550</v>
      </c>
      <c r="C275" s="6">
        <v>45803</v>
      </c>
      <c r="D275" t="s">
        <v>44</v>
      </c>
      <c r="E275" t="s">
        <v>45</v>
      </c>
      <c r="F275" t="s">
        <v>46</v>
      </c>
      <c r="G275" t="s">
        <v>47</v>
      </c>
      <c r="H275">
        <v>2</v>
      </c>
      <c r="I275">
        <v>1199</v>
      </c>
      <c r="J275">
        <v>0.05</v>
      </c>
      <c r="K275">
        <v>49</v>
      </c>
      <c r="L275" t="s">
        <v>125</v>
      </c>
      <c r="M275" t="s">
        <v>126</v>
      </c>
      <c r="N275" t="s">
        <v>102</v>
      </c>
      <c r="O275" t="s">
        <v>32</v>
      </c>
      <c r="P275" t="s">
        <v>80</v>
      </c>
      <c r="Q275">
        <v>2</v>
      </c>
      <c r="R275">
        <f>IFERROR(Table1_1[[#This Row],[Unit_Price]]*Table1_1[[#This Row],[Quantity]],"")</f>
        <v>2398</v>
      </c>
      <c r="S275">
        <f>IFERROR(Table1_1[[#This Row],[Gross_Sales]]*Table1_1[[#This Row],[Discount_%]],"")</f>
        <v>119.9</v>
      </c>
      <c r="T275">
        <f>IFERROR(Table1_1[[#This Row],[Gross_Sales]]-Table1_1[[#This Row],[Discount_amount]]+Table1_1[[#This Row],[Shipping_Cost]],"")</f>
        <v>2327.1</v>
      </c>
      <c r="U275">
        <f>IFERROR(Table1_1[[#This Row],[Net_Sale]]-(Table1_1[[#This Row],[Gross_Sales]]*70%),"")</f>
        <v>648.5</v>
      </c>
      <c r="V275" s="7">
        <f>IFERROR(Table1_1[[#This Row],[Profit]]/Table1_1[[#This Row],[Net_Sale]],"")</f>
        <v>0.27867302651368658</v>
      </c>
      <c r="W275" t="str">
        <f>TEXT(Table1_1[[#This Row],[Order_Date]],"mmm")</f>
        <v>May</v>
      </c>
    </row>
    <row r="276" spans="1:23" x14ac:dyDescent="0.25">
      <c r="A276" t="s">
        <v>551</v>
      </c>
      <c r="B276" t="s">
        <v>552</v>
      </c>
      <c r="C276" s="6">
        <v>45685</v>
      </c>
      <c r="D276" t="s">
        <v>77</v>
      </c>
      <c r="E276" t="s">
        <v>78</v>
      </c>
      <c r="F276" t="s">
        <v>79</v>
      </c>
      <c r="G276" t="s">
        <v>28</v>
      </c>
      <c r="H276">
        <v>1</v>
      </c>
      <c r="I276">
        <v>6499</v>
      </c>
      <c r="J276">
        <v>0</v>
      </c>
      <c r="K276">
        <v>49</v>
      </c>
      <c r="L276" t="s">
        <v>57</v>
      </c>
      <c r="M276" t="s">
        <v>58</v>
      </c>
      <c r="N276" t="s">
        <v>102</v>
      </c>
      <c r="O276" t="s">
        <v>93</v>
      </c>
      <c r="P276" t="s">
        <v>52</v>
      </c>
      <c r="Q276">
        <v>5</v>
      </c>
      <c r="R276">
        <f>IFERROR(Table1_1[[#This Row],[Unit_Price]]*Table1_1[[#This Row],[Quantity]],"")</f>
        <v>6499</v>
      </c>
      <c r="S276">
        <f>IFERROR(Table1_1[[#This Row],[Gross_Sales]]*Table1_1[[#This Row],[Discount_%]],"")</f>
        <v>0</v>
      </c>
      <c r="T276">
        <f>IFERROR(Table1_1[[#This Row],[Gross_Sales]]-Table1_1[[#This Row],[Discount_amount]]+Table1_1[[#This Row],[Shipping_Cost]],"")</f>
        <v>6548</v>
      </c>
      <c r="U276">
        <f>IFERROR(Table1_1[[#This Row],[Net_Sale]]-(Table1_1[[#This Row],[Gross_Sales]]*70%),"")</f>
        <v>1998.7000000000007</v>
      </c>
      <c r="V276" s="7">
        <f>IFERROR(Table1_1[[#This Row],[Profit]]/Table1_1[[#This Row],[Net_Sale]],"")</f>
        <v>0.30523824068417849</v>
      </c>
      <c r="W276" t="str">
        <f>TEXT(Table1_1[[#This Row],[Order_Date]],"mmm")</f>
        <v>Jan</v>
      </c>
    </row>
    <row r="277" spans="1:23" x14ac:dyDescent="0.25">
      <c r="A277" t="s">
        <v>553</v>
      </c>
      <c r="B277" t="s">
        <v>1618</v>
      </c>
      <c r="C277" s="6">
        <v>45725</v>
      </c>
      <c r="D277" t="s">
        <v>35</v>
      </c>
      <c r="E277" t="s">
        <v>36</v>
      </c>
      <c r="F277" t="s">
        <v>37</v>
      </c>
      <c r="G277" t="s">
        <v>38</v>
      </c>
      <c r="H277">
        <v>4</v>
      </c>
      <c r="I277">
        <v>599</v>
      </c>
      <c r="J277">
        <v>0.1</v>
      </c>
      <c r="K277">
        <v>59</v>
      </c>
      <c r="L277" t="s">
        <v>74</v>
      </c>
      <c r="M277" t="s">
        <v>49</v>
      </c>
      <c r="N277" t="s">
        <v>50</v>
      </c>
      <c r="O277" t="s">
        <v>59</v>
      </c>
      <c r="P277" t="s">
        <v>85</v>
      </c>
      <c r="Q277">
        <v>3</v>
      </c>
      <c r="R277">
        <f>IFERROR(Table1_1[[#This Row],[Unit_Price]]*Table1_1[[#This Row],[Quantity]],"")</f>
        <v>2396</v>
      </c>
      <c r="S277">
        <f>IFERROR(Table1_1[[#This Row],[Gross_Sales]]*Table1_1[[#This Row],[Discount_%]],"")</f>
        <v>239.60000000000002</v>
      </c>
      <c r="T277">
        <f>IFERROR(Table1_1[[#This Row],[Gross_Sales]]-Table1_1[[#This Row],[Discount_amount]]+Table1_1[[#This Row],[Shipping_Cost]],"")</f>
        <v>2215.4</v>
      </c>
      <c r="U277">
        <f>IFERROR(Table1_1[[#This Row],[Net_Sale]]-(Table1_1[[#This Row],[Gross_Sales]]*70%),"")</f>
        <v>538.20000000000027</v>
      </c>
      <c r="V277" s="7">
        <f>IFERROR(Table1_1[[#This Row],[Profit]]/Table1_1[[#This Row],[Net_Sale]],"")</f>
        <v>0.24293581294574354</v>
      </c>
      <c r="W277" t="str">
        <f>TEXT(Table1_1[[#This Row],[Order_Date]],"mmm")</f>
        <v>Mar</v>
      </c>
    </row>
    <row r="278" spans="1:23" x14ac:dyDescent="0.25">
      <c r="A278" t="s">
        <v>554</v>
      </c>
      <c r="B278" t="s">
        <v>555</v>
      </c>
      <c r="C278" s="6">
        <v>45665</v>
      </c>
      <c r="D278" t="s">
        <v>55</v>
      </c>
      <c r="E278" t="s">
        <v>56</v>
      </c>
      <c r="F278" t="s">
        <v>37</v>
      </c>
      <c r="G278" t="s">
        <v>38</v>
      </c>
      <c r="H278">
        <v>2</v>
      </c>
      <c r="I278">
        <v>2499</v>
      </c>
      <c r="J278">
        <v>0</v>
      </c>
      <c r="K278">
        <v>79</v>
      </c>
      <c r="L278" t="s">
        <v>39</v>
      </c>
      <c r="M278" t="s">
        <v>39</v>
      </c>
      <c r="N278" t="s">
        <v>71</v>
      </c>
      <c r="O278" t="s">
        <v>32</v>
      </c>
      <c r="P278" t="s">
        <v>33</v>
      </c>
      <c r="Q278">
        <v>3</v>
      </c>
      <c r="R278">
        <f>IFERROR(Table1_1[[#This Row],[Unit_Price]]*Table1_1[[#This Row],[Quantity]],"")</f>
        <v>4998</v>
      </c>
      <c r="S278">
        <f>IFERROR(Table1_1[[#This Row],[Gross_Sales]]*Table1_1[[#This Row],[Discount_%]],"")</f>
        <v>0</v>
      </c>
      <c r="T278">
        <f>IFERROR(Table1_1[[#This Row],[Gross_Sales]]-Table1_1[[#This Row],[Discount_amount]]+Table1_1[[#This Row],[Shipping_Cost]],"")</f>
        <v>5077</v>
      </c>
      <c r="U278">
        <f>IFERROR(Table1_1[[#This Row],[Net_Sale]]-(Table1_1[[#This Row],[Gross_Sales]]*70%),"")</f>
        <v>1578.4</v>
      </c>
      <c r="V278" s="7">
        <f>IFERROR(Table1_1[[#This Row],[Profit]]/Table1_1[[#This Row],[Net_Sale]],"")</f>
        <v>0.31089225920819386</v>
      </c>
      <c r="W278" t="str">
        <f>TEXT(Table1_1[[#This Row],[Order_Date]],"mmm")</f>
        <v>Jan</v>
      </c>
    </row>
    <row r="279" spans="1:23" x14ac:dyDescent="0.25">
      <c r="A279" t="s">
        <v>556</v>
      </c>
      <c r="B279" t="s">
        <v>557</v>
      </c>
      <c r="C279" s="6">
        <v>45700</v>
      </c>
      <c r="D279" t="s">
        <v>96</v>
      </c>
      <c r="E279" t="s">
        <v>97</v>
      </c>
      <c r="F279" t="s">
        <v>98</v>
      </c>
      <c r="G279" t="s">
        <v>99</v>
      </c>
      <c r="H279">
        <v>2</v>
      </c>
      <c r="I279">
        <v>1499</v>
      </c>
      <c r="J279">
        <v>0.15</v>
      </c>
      <c r="K279">
        <v>49</v>
      </c>
      <c r="L279" t="s">
        <v>558</v>
      </c>
      <c r="M279" t="s">
        <v>58</v>
      </c>
      <c r="N279" t="s">
        <v>31</v>
      </c>
      <c r="O279" t="s">
        <v>51</v>
      </c>
      <c r="P279" t="s">
        <v>85</v>
      </c>
      <c r="Q279">
        <v>1</v>
      </c>
      <c r="R279">
        <f>IFERROR(Table1_1[[#This Row],[Unit_Price]]*Table1_1[[#This Row],[Quantity]],"")</f>
        <v>2998</v>
      </c>
      <c r="S279">
        <f>IFERROR(Table1_1[[#This Row],[Gross_Sales]]*Table1_1[[#This Row],[Discount_%]],"")</f>
        <v>449.7</v>
      </c>
      <c r="T279">
        <f>IFERROR(Table1_1[[#This Row],[Gross_Sales]]-Table1_1[[#This Row],[Discount_amount]]+Table1_1[[#This Row],[Shipping_Cost]],"")</f>
        <v>2597.3000000000002</v>
      </c>
      <c r="U279">
        <f>IFERROR(Table1_1[[#This Row],[Net_Sale]]-(Table1_1[[#This Row],[Gross_Sales]]*70%),"")</f>
        <v>498.70000000000027</v>
      </c>
      <c r="V279" s="7">
        <f>IFERROR(Table1_1[[#This Row],[Profit]]/Table1_1[[#This Row],[Net_Sale]],"")</f>
        <v>0.19200708427982915</v>
      </c>
      <c r="W279" t="str">
        <f>TEXT(Table1_1[[#This Row],[Order_Date]],"mmm")</f>
        <v>Feb</v>
      </c>
    </row>
    <row r="280" spans="1:23" x14ac:dyDescent="0.25">
      <c r="A280" t="s">
        <v>559</v>
      </c>
      <c r="B280" t="s">
        <v>342</v>
      </c>
      <c r="C280" s="6">
        <v>45737</v>
      </c>
      <c r="D280" t="s">
        <v>62</v>
      </c>
      <c r="E280" t="s">
        <v>63</v>
      </c>
      <c r="F280" t="s">
        <v>46</v>
      </c>
      <c r="G280" t="s">
        <v>64</v>
      </c>
      <c r="H280">
        <v>5</v>
      </c>
      <c r="I280">
        <v>699</v>
      </c>
      <c r="J280">
        <v>0.15</v>
      </c>
      <c r="K280">
        <v>0</v>
      </c>
      <c r="L280" t="s">
        <v>113</v>
      </c>
      <c r="M280" t="s">
        <v>114</v>
      </c>
      <c r="N280" t="s">
        <v>40</v>
      </c>
      <c r="O280" t="s">
        <v>41</v>
      </c>
      <c r="P280" t="s">
        <v>52</v>
      </c>
      <c r="Q280">
        <v>1</v>
      </c>
      <c r="R280">
        <f>IFERROR(Table1_1[[#This Row],[Unit_Price]]*Table1_1[[#This Row],[Quantity]],"")</f>
        <v>3495</v>
      </c>
      <c r="S280">
        <f>IFERROR(Table1_1[[#This Row],[Gross_Sales]]*Table1_1[[#This Row],[Discount_%]],"")</f>
        <v>524.25</v>
      </c>
      <c r="T280">
        <f>IFERROR(Table1_1[[#This Row],[Gross_Sales]]-Table1_1[[#This Row],[Discount_amount]]+Table1_1[[#This Row],[Shipping_Cost]],"")</f>
        <v>2970.75</v>
      </c>
      <c r="U280">
        <f>IFERROR(Table1_1[[#This Row],[Net_Sale]]-(Table1_1[[#This Row],[Gross_Sales]]*70%),"")</f>
        <v>524.25</v>
      </c>
      <c r="V280" s="7">
        <f>IFERROR(Table1_1[[#This Row],[Profit]]/Table1_1[[#This Row],[Net_Sale]],"")</f>
        <v>0.17647058823529413</v>
      </c>
      <c r="W280" t="str">
        <f>TEXT(Table1_1[[#This Row],[Order_Date]],"mmm")</f>
        <v>Mar</v>
      </c>
    </row>
    <row r="281" spans="1:23" x14ac:dyDescent="0.25">
      <c r="A281" t="s">
        <v>560</v>
      </c>
      <c r="B281" t="s">
        <v>561</v>
      </c>
      <c r="C281" s="6">
        <v>45717</v>
      </c>
      <c r="D281" t="s">
        <v>67</v>
      </c>
      <c r="E281" t="s">
        <v>68</v>
      </c>
      <c r="F281" t="s">
        <v>37</v>
      </c>
      <c r="G281" t="s">
        <v>38</v>
      </c>
      <c r="H281">
        <v>4</v>
      </c>
      <c r="I281">
        <v>1299</v>
      </c>
      <c r="J281">
        <v>0</v>
      </c>
      <c r="K281">
        <v>59</v>
      </c>
      <c r="L281" t="s">
        <v>29</v>
      </c>
      <c r="M281" t="s">
        <v>30</v>
      </c>
      <c r="N281" t="s">
        <v>31</v>
      </c>
      <c r="O281" t="s">
        <v>93</v>
      </c>
      <c r="P281" t="s">
        <v>85</v>
      </c>
      <c r="Q281">
        <v>3</v>
      </c>
      <c r="R281">
        <f>IFERROR(Table1_1[[#This Row],[Unit_Price]]*Table1_1[[#This Row],[Quantity]],"")</f>
        <v>5196</v>
      </c>
      <c r="S281">
        <f>IFERROR(Table1_1[[#This Row],[Gross_Sales]]*Table1_1[[#This Row],[Discount_%]],"")</f>
        <v>0</v>
      </c>
      <c r="T281">
        <f>IFERROR(Table1_1[[#This Row],[Gross_Sales]]-Table1_1[[#This Row],[Discount_amount]]+Table1_1[[#This Row],[Shipping_Cost]],"")</f>
        <v>5255</v>
      </c>
      <c r="U281">
        <f>IFERROR(Table1_1[[#This Row],[Net_Sale]]-(Table1_1[[#This Row],[Gross_Sales]]*70%),"")</f>
        <v>1617.8000000000002</v>
      </c>
      <c r="V281" s="7">
        <f>IFERROR(Table1_1[[#This Row],[Profit]]/Table1_1[[#This Row],[Net_Sale]],"")</f>
        <v>0.30785918173168414</v>
      </c>
      <c r="W281" t="str">
        <f>TEXT(Table1_1[[#This Row],[Order_Date]],"mmm")</f>
        <v>Mar</v>
      </c>
    </row>
    <row r="282" spans="1:23" x14ac:dyDescent="0.25">
      <c r="A282" t="s">
        <v>562</v>
      </c>
      <c r="B282" t="s">
        <v>563</v>
      </c>
      <c r="C282" s="6">
        <v>45835</v>
      </c>
      <c r="D282" t="s">
        <v>105</v>
      </c>
      <c r="E282" t="s">
        <v>106</v>
      </c>
      <c r="F282" t="s">
        <v>37</v>
      </c>
      <c r="G282" t="s">
        <v>107</v>
      </c>
      <c r="H282">
        <v>1</v>
      </c>
      <c r="I282">
        <v>1799</v>
      </c>
      <c r="J282">
        <v>0.05</v>
      </c>
      <c r="K282">
        <v>49</v>
      </c>
      <c r="L282" t="s">
        <v>39</v>
      </c>
      <c r="M282" t="s">
        <v>39</v>
      </c>
      <c r="N282" t="s">
        <v>50</v>
      </c>
      <c r="O282" t="s">
        <v>51</v>
      </c>
      <c r="P282" t="s">
        <v>80</v>
      </c>
      <c r="Q282">
        <v>3</v>
      </c>
      <c r="R282">
        <f>IFERROR(Table1_1[[#This Row],[Unit_Price]]*Table1_1[[#This Row],[Quantity]],"")</f>
        <v>1799</v>
      </c>
      <c r="S282">
        <f>IFERROR(Table1_1[[#This Row],[Gross_Sales]]*Table1_1[[#This Row],[Discount_%]],"")</f>
        <v>89.95</v>
      </c>
      <c r="T282">
        <f>IFERROR(Table1_1[[#This Row],[Gross_Sales]]-Table1_1[[#This Row],[Discount_amount]]+Table1_1[[#This Row],[Shipping_Cost]],"")</f>
        <v>1758.05</v>
      </c>
      <c r="U282">
        <f>IFERROR(Table1_1[[#This Row],[Net_Sale]]-(Table1_1[[#This Row],[Gross_Sales]]*70%),"")</f>
        <v>498.75</v>
      </c>
      <c r="V282" s="7">
        <f>IFERROR(Table1_1[[#This Row],[Profit]]/Table1_1[[#This Row],[Net_Sale]],"")</f>
        <v>0.28369500298626321</v>
      </c>
      <c r="W282" t="str">
        <f>TEXT(Table1_1[[#This Row],[Order_Date]],"mmm")</f>
        <v>Jun</v>
      </c>
    </row>
    <row r="283" spans="1:23" x14ac:dyDescent="0.25">
      <c r="A283" t="s">
        <v>564</v>
      </c>
      <c r="B283" t="s">
        <v>188</v>
      </c>
      <c r="C283" s="6">
        <v>45877</v>
      </c>
      <c r="D283" t="s">
        <v>55</v>
      </c>
      <c r="E283" t="s">
        <v>56</v>
      </c>
      <c r="F283" t="s">
        <v>37</v>
      </c>
      <c r="G283" t="s">
        <v>38</v>
      </c>
      <c r="H283">
        <v>1</v>
      </c>
      <c r="I283">
        <v>2499</v>
      </c>
      <c r="J283">
        <v>0.05</v>
      </c>
      <c r="K283">
        <v>99</v>
      </c>
      <c r="L283" t="s">
        <v>39</v>
      </c>
      <c r="M283" t="s">
        <v>39</v>
      </c>
      <c r="N283" t="s">
        <v>40</v>
      </c>
      <c r="O283" t="s">
        <v>59</v>
      </c>
      <c r="P283" t="s">
        <v>33</v>
      </c>
      <c r="Q283">
        <v>5</v>
      </c>
      <c r="R283">
        <f>IFERROR(Table1_1[[#This Row],[Unit_Price]]*Table1_1[[#This Row],[Quantity]],"")</f>
        <v>2499</v>
      </c>
      <c r="S283">
        <f>IFERROR(Table1_1[[#This Row],[Gross_Sales]]*Table1_1[[#This Row],[Discount_%]],"")</f>
        <v>124.95</v>
      </c>
      <c r="T283">
        <f>IFERROR(Table1_1[[#This Row],[Gross_Sales]]-Table1_1[[#This Row],[Discount_amount]]+Table1_1[[#This Row],[Shipping_Cost]],"")</f>
        <v>2473.0500000000002</v>
      </c>
      <c r="U283">
        <f>IFERROR(Table1_1[[#This Row],[Net_Sale]]-(Table1_1[[#This Row],[Gross_Sales]]*70%),"")</f>
        <v>723.75000000000023</v>
      </c>
      <c r="V283" s="7">
        <f>IFERROR(Table1_1[[#This Row],[Profit]]/Table1_1[[#This Row],[Net_Sale]],"")</f>
        <v>0.29265481894826234</v>
      </c>
      <c r="W283" t="str">
        <f>TEXT(Table1_1[[#This Row],[Order_Date]],"mmm")</f>
        <v>Aug</v>
      </c>
    </row>
    <row r="284" spans="1:23" x14ac:dyDescent="0.25">
      <c r="A284" t="s">
        <v>565</v>
      </c>
      <c r="B284" t="s">
        <v>226</v>
      </c>
      <c r="C284" s="6">
        <v>45948</v>
      </c>
      <c r="D284" t="s">
        <v>169</v>
      </c>
      <c r="E284" t="s">
        <v>170</v>
      </c>
      <c r="F284" t="s">
        <v>98</v>
      </c>
      <c r="G284" t="s">
        <v>171</v>
      </c>
      <c r="H284">
        <v>2</v>
      </c>
      <c r="I284">
        <v>799</v>
      </c>
      <c r="J284">
        <v>0.05</v>
      </c>
      <c r="K284">
        <v>0</v>
      </c>
      <c r="L284" t="s">
        <v>39</v>
      </c>
      <c r="M284" t="s">
        <v>39</v>
      </c>
      <c r="N284" t="s">
        <v>31</v>
      </c>
      <c r="O284" t="s">
        <v>41</v>
      </c>
      <c r="P284" t="s">
        <v>33</v>
      </c>
      <c r="Q284">
        <v>3</v>
      </c>
      <c r="R284">
        <f>IFERROR(Table1_1[[#This Row],[Unit_Price]]*Table1_1[[#This Row],[Quantity]],"")</f>
        <v>1598</v>
      </c>
      <c r="S284">
        <f>IFERROR(Table1_1[[#This Row],[Gross_Sales]]*Table1_1[[#This Row],[Discount_%]],"")</f>
        <v>79.900000000000006</v>
      </c>
      <c r="T284">
        <f>IFERROR(Table1_1[[#This Row],[Gross_Sales]]-Table1_1[[#This Row],[Discount_amount]]+Table1_1[[#This Row],[Shipping_Cost]],"")</f>
        <v>1518.1</v>
      </c>
      <c r="U284">
        <f>IFERROR(Table1_1[[#This Row],[Net_Sale]]-(Table1_1[[#This Row],[Gross_Sales]]*70%),"")</f>
        <v>399.5</v>
      </c>
      <c r="V284" s="7">
        <f>IFERROR(Table1_1[[#This Row],[Profit]]/Table1_1[[#This Row],[Net_Sale]],"")</f>
        <v>0.26315789473684215</v>
      </c>
      <c r="W284" t="str">
        <f>TEXT(Table1_1[[#This Row],[Order_Date]],"mmm")</f>
        <v>Oct</v>
      </c>
    </row>
    <row r="285" spans="1:23" x14ac:dyDescent="0.25">
      <c r="A285" t="s">
        <v>566</v>
      </c>
      <c r="B285" t="s">
        <v>567</v>
      </c>
      <c r="C285" s="6">
        <v>45664</v>
      </c>
      <c r="D285" t="s">
        <v>62</v>
      </c>
      <c r="E285" t="s">
        <v>63</v>
      </c>
      <c r="F285" t="s">
        <v>46</v>
      </c>
      <c r="G285" t="s">
        <v>64</v>
      </c>
      <c r="H285">
        <v>1</v>
      </c>
      <c r="I285">
        <v>699</v>
      </c>
      <c r="J285">
        <v>0.05</v>
      </c>
      <c r="K285">
        <v>79</v>
      </c>
      <c r="L285" t="s">
        <v>39</v>
      </c>
      <c r="M285" t="s">
        <v>39</v>
      </c>
      <c r="N285" t="s">
        <v>50</v>
      </c>
      <c r="O285" t="s">
        <v>93</v>
      </c>
      <c r="P285" t="s">
        <v>52</v>
      </c>
      <c r="Q285">
        <v>5</v>
      </c>
      <c r="R285">
        <f>IFERROR(Table1_1[[#This Row],[Unit_Price]]*Table1_1[[#This Row],[Quantity]],"")</f>
        <v>699</v>
      </c>
      <c r="S285">
        <f>IFERROR(Table1_1[[#This Row],[Gross_Sales]]*Table1_1[[#This Row],[Discount_%]],"")</f>
        <v>34.950000000000003</v>
      </c>
      <c r="T285">
        <f>IFERROR(Table1_1[[#This Row],[Gross_Sales]]-Table1_1[[#This Row],[Discount_amount]]+Table1_1[[#This Row],[Shipping_Cost]],"")</f>
        <v>743.05</v>
      </c>
      <c r="U285">
        <f>IFERROR(Table1_1[[#This Row],[Net_Sale]]-(Table1_1[[#This Row],[Gross_Sales]]*70%),"")</f>
        <v>253.75</v>
      </c>
      <c r="V285" s="7">
        <f>IFERROR(Table1_1[[#This Row],[Profit]]/Table1_1[[#This Row],[Net_Sale]],"")</f>
        <v>0.34149788035798401</v>
      </c>
      <c r="W285" t="str">
        <f>TEXT(Table1_1[[#This Row],[Order_Date]],"mmm")</f>
        <v>Jan</v>
      </c>
    </row>
    <row r="286" spans="1:23" x14ac:dyDescent="0.25">
      <c r="A286" t="s">
        <v>568</v>
      </c>
      <c r="B286" t="s">
        <v>188</v>
      </c>
      <c r="C286" s="6">
        <v>45785</v>
      </c>
      <c r="D286" t="s">
        <v>77</v>
      </c>
      <c r="E286" t="s">
        <v>78</v>
      </c>
      <c r="F286" t="s">
        <v>79</v>
      </c>
      <c r="G286" t="s">
        <v>28</v>
      </c>
      <c r="H286">
        <v>1</v>
      </c>
      <c r="I286">
        <v>6499</v>
      </c>
      <c r="J286">
        <v>0.05</v>
      </c>
      <c r="K286">
        <v>59</v>
      </c>
      <c r="L286" t="s">
        <v>57</v>
      </c>
      <c r="M286" t="s">
        <v>58</v>
      </c>
      <c r="N286" t="s">
        <v>102</v>
      </c>
      <c r="O286" t="s">
        <v>51</v>
      </c>
      <c r="P286" t="s">
        <v>80</v>
      </c>
      <c r="Q286">
        <v>1</v>
      </c>
      <c r="R286">
        <f>IFERROR(Table1_1[[#This Row],[Unit_Price]]*Table1_1[[#This Row],[Quantity]],"")</f>
        <v>6499</v>
      </c>
      <c r="S286">
        <f>IFERROR(Table1_1[[#This Row],[Gross_Sales]]*Table1_1[[#This Row],[Discount_%]],"")</f>
        <v>324.95000000000005</v>
      </c>
      <c r="T286">
        <f>IFERROR(Table1_1[[#This Row],[Gross_Sales]]-Table1_1[[#This Row],[Discount_amount]]+Table1_1[[#This Row],[Shipping_Cost]],"")</f>
        <v>6233.05</v>
      </c>
      <c r="U286">
        <f>IFERROR(Table1_1[[#This Row],[Net_Sale]]-(Table1_1[[#This Row],[Gross_Sales]]*70%),"")</f>
        <v>1683.7500000000009</v>
      </c>
      <c r="V286" s="7">
        <f>IFERROR(Table1_1[[#This Row],[Profit]]/Table1_1[[#This Row],[Net_Sale]],"")</f>
        <v>0.27013259961014285</v>
      </c>
      <c r="W286" t="str">
        <f>TEXT(Table1_1[[#This Row],[Order_Date]],"mmm")</f>
        <v>May</v>
      </c>
    </row>
    <row r="287" spans="1:23" x14ac:dyDescent="0.25">
      <c r="A287" t="s">
        <v>569</v>
      </c>
      <c r="B287" t="s">
        <v>116</v>
      </c>
      <c r="C287" s="6">
        <v>45922</v>
      </c>
      <c r="D287" t="s">
        <v>62</v>
      </c>
      <c r="E287" t="s">
        <v>63</v>
      </c>
      <c r="F287" t="s">
        <v>46</v>
      </c>
      <c r="G287" t="s">
        <v>64</v>
      </c>
      <c r="H287">
        <v>1</v>
      </c>
      <c r="I287">
        <v>699</v>
      </c>
      <c r="J287">
        <v>0.1</v>
      </c>
      <c r="K287">
        <v>59</v>
      </c>
      <c r="L287" t="s">
        <v>39</v>
      </c>
      <c r="M287" t="s">
        <v>39</v>
      </c>
      <c r="N287" t="s">
        <v>71</v>
      </c>
      <c r="O287" t="s">
        <v>93</v>
      </c>
      <c r="P287" t="s">
        <v>33</v>
      </c>
      <c r="Q287">
        <v>5</v>
      </c>
      <c r="R287">
        <f>IFERROR(Table1_1[[#This Row],[Unit_Price]]*Table1_1[[#This Row],[Quantity]],"")</f>
        <v>699</v>
      </c>
      <c r="S287">
        <f>IFERROR(Table1_1[[#This Row],[Gross_Sales]]*Table1_1[[#This Row],[Discount_%]],"")</f>
        <v>69.900000000000006</v>
      </c>
      <c r="T287">
        <f>IFERROR(Table1_1[[#This Row],[Gross_Sales]]-Table1_1[[#This Row],[Discount_amount]]+Table1_1[[#This Row],[Shipping_Cost]],"")</f>
        <v>688.1</v>
      </c>
      <c r="U287">
        <f>IFERROR(Table1_1[[#This Row],[Net_Sale]]-(Table1_1[[#This Row],[Gross_Sales]]*70%),"")</f>
        <v>198.80000000000007</v>
      </c>
      <c r="V287" s="7">
        <f>IFERROR(Table1_1[[#This Row],[Profit]]/Table1_1[[#This Row],[Net_Sale]],"")</f>
        <v>0.28891149542217709</v>
      </c>
      <c r="W287" t="str">
        <f>TEXT(Table1_1[[#This Row],[Order_Date]],"mmm")</f>
        <v>Sep</v>
      </c>
    </row>
    <row r="288" spans="1:23" x14ac:dyDescent="0.25">
      <c r="A288" t="s">
        <v>570</v>
      </c>
      <c r="B288" t="s">
        <v>571</v>
      </c>
      <c r="C288" s="6">
        <v>45807</v>
      </c>
      <c r="D288" t="s">
        <v>90</v>
      </c>
      <c r="E288" t="s">
        <v>91</v>
      </c>
      <c r="F288" t="s">
        <v>37</v>
      </c>
      <c r="G288" t="s">
        <v>92</v>
      </c>
      <c r="H288">
        <v>1</v>
      </c>
      <c r="I288">
        <v>3499</v>
      </c>
      <c r="J288">
        <v>0.2</v>
      </c>
      <c r="K288">
        <v>99</v>
      </c>
      <c r="L288" t="s">
        <v>39</v>
      </c>
      <c r="M288" t="s">
        <v>39</v>
      </c>
      <c r="N288" t="s">
        <v>40</v>
      </c>
      <c r="O288" t="s">
        <v>51</v>
      </c>
      <c r="P288" t="s">
        <v>33</v>
      </c>
      <c r="Q288">
        <v>5</v>
      </c>
      <c r="R288">
        <f>IFERROR(Table1_1[[#This Row],[Unit_Price]]*Table1_1[[#This Row],[Quantity]],"")</f>
        <v>3499</v>
      </c>
      <c r="S288">
        <f>IFERROR(Table1_1[[#This Row],[Gross_Sales]]*Table1_1[[#This Row],[Discount_%]],"")</f>
        <v>699.80000000000007</v>
      </c>
      <c r="T288">
        <f>IFERROR(Table1_1[[#This Row],[Gross_Sales]]-Table1_1[[#This Row],[Discount_amount]]+Table1_1[[#This Row],[Shipping_Cost]],"")</f>
        <v>2898.2</v>
      </c>
      <c r="U288">
        <f>IFERROR(Table1_1[[#This Row],[Net_Sale]]-(Table1_1[[#This Row],[Gross_Sales]]*70%),"")</f>
        <v>448.90000000000009</v>
      </c>
      <c r="V288" s="7">
        <f>IFERROR(Table1_1[[#This Row],[Profit]]/Table1_1[[#This Row],[Net_Sale]],"")</f>
        <v>0.15488924159823342</v>
      </c>
      <c r="W288" t="str">
        <f>TEXT(Table1_1[[#This Row],[Order_Date]],"mmm")</f>
        <v>May</v>
      </c>
    </row>
    <row r="289" spans="1:23" x14ac:dyDescent="0.25">
      <c r="A289" t="s">
        <v>572</v>
      </c>
      <c r="B289" t="s">
        <v>457</v>
      </c>
      <c r="C289" s="6">
        <v>45937</v>
      </c>
      <c r="D289" t="s">
        <v>90</v>
      </c>
      <c r="E289" t="s">
        <v>91</v>
      </c>
      <c r="F289" t="s">
        <v>37</v>
      </c>
      <c r="G289" t="s">
        <v>92</v>
      </c>
      <c r="H289">
        <v>2</v>
      </c>
      <c r="I289">
        <v>3499</v>
      </c>
      <c r="J289">
        <v>0.1</v>
      </c>
      <c r="K289">
        <v>0</v>
      </c>
      <c r="L289" t="s">
        <v>113</v>
      </c>
      <c r="M289" t="s">
        <v>114</v>
      </c>
      <c r="N289" t="s">
        <v>102</v>
      </c>
      <c r="O289" t="s">
        <v>51</v>
      </c>
      <c r="P289" t="s">
        <v>33</v>
      </c>
      <c r="Q289">
        <v>3</v>
      </c>
      <c r="R289">
        <f>IFERROR(Table1_1[[#This Row],[Unit_Price]]*Table1_1[[#This Row],[Quantity]],"")</f>
        <v>6998</v>
      </c>
      <c r="S289">
        <f>IFERROR(Table1_1[[#This Row],[Gross_Sales]]*Table1_1[[#This Row],[Discount_%]],"")</f>
        <v>699.80000000000007</v>
      </c>
      <c r="T289">
        <f>IFERROR(Table1_1[[#This Row],[Gross_Sales]]-Table1_1[[#This Row],[Discount_amount]]+Table1_1[[#This Row],[Shipping_Cost]],"")</f>
        <v>6298.2</v>
      </c>
      <c r="U289">
        <f>IFERROR(Table1_1[[#This Row],[Net_Sale]]-(Table1_1[[#This Row],[Gross_Sales]]*70%),"")</f>
        <v>1399.6000000000004</v>
      </c>
      <c r="V289" s="7">
        <f>IFERROR(Table1_1[[#This Row],[Profit]]/Table1_1[[#This Row],[Net_Sale]],"")</f>
        <v>0.22222222222222229</v>
      </c>
      <c r="W289" t="str">
        <f>TEXT(Table1_1[[#This Row],[Order_Date]],"mmm")</f>
        <v>Oct</v>
      </c>
    </row>
    <row r="290" spans="1:23" x14ac:dyDescent="0.25">
      <c r="A290" t="s">
        <v>573</v>
      </c>
      <c r="B290" t="s">
        <v>574</v>
      </c>
      <c r="C290" s="6">
        <v>45658</v>
      </c>
      <c r="D290" t="s">
        <v>77</v>
      </c>
      <c r="E290" t="s">
        <v>78</v>
      </c>
      <c r="F290" t="s">
        <v>79</v>
      </c>
      <c r="G290" t="s">
        <v>28</v>
      </c>
      <c r="H290">
        <v>4</v>
      </c>
      <c r="I290">
        <v>6499</v>
      </c>
      <c r="J290">
        <v>0.2</v>
      </c>
      <c r="K290">
        <v>59</v>
      </c>
      <c r="L290" t="s">
        <v>39</v>
      </c>
      <c r="M290" t="s">
        <v>39</v>
      </c>
      <c r="N290" t="s">
        <v>50</v>
      </c>
      <c r="O290" t="s">
        <v>32</v>
      </c>
      <c r="P290" t="s">
        <v>80</v>
      </c>
      <c r="Q290">
        <v>2</v>
      </c>
      <c r="R290">
        <f>IFERROR(Table1_1[[#This Row],[Unit_Price]]*Table1_1[[#This Row],[Quantity]],"")</f>
        <v>25996</v>
      </c>
      <c r="S290">
        <f>IFERROR(Table1_1[[#This Row],[Gross_Sales]]*Table1_1[[#This Row],[Discount_%]],"")</f>
        <v>5199.2000000000007</v>
      </c>
      <c r="T290">
        <f>IFERROR(Table1_1[[#This Row],[Gross_Sales]]-Table1_1[[#This Row],[Discount_amount]]+Table1_1[[#This Row],[Shipping_Cost]],"")</f>
        <v>20855.8</v>
      </c>
      <c r="U290">
        <f>IFERROR(Table1_1[[#This Row],[Net_Sale]]-(Table1_1[[#This Row],[Gross_Sales]]*70%),"")</f>
        <v>2658.6000000000022</v>
      </c>
      <c r="V290" s="7">
        <f>IFERROR(Table1_1[[#This Row],[Profit]]/Table1_1[[#This Row],[Net_Sale]],"")</f>
        <v>0.12747533060347732</v>
      </c>
      <c r="W290" t="str">
        <f>TEXT(Table1_1[[#This Row],[Order_Date]],"mmm")</f>
        <v>Jan</v>
      </c>
    </row>
    <row r="291" spans="1:23" x14ac:dyDescent="0.25">
      <c r="A291" t="s">
        <v>575</v>
      </c>
      <c r="B291" t="s">
        <v>576</v>
      </c>
      <c r="C291" s="6">
        <v>45730</v>
      </c>
      <c r="D291" t="s">
        <v>96</v>
      </c>
      <c r="E291" t="s">
        <v>97</v>
      </c>
      <c r="F291" t="s">
        <v>98</v>
      </c>
      <c r="G291" t="s">
        <v>99</v>
      </c>
      <c r="H291">
        <v>4</v>
      </c>
      <c r="I291">
        <v>1499</v>
      </c>
      <c r="J291">
        <v>0</v>
      </c>
      <c r="K291">
        <v>49</v>
      </c>
      <c r="L291" t="s">
        <v>119</v>
      </c>
      <c r="M291" t="s">
        <v>120</v>
      </c>
      <c r="N291" t="s">
        <v>40</v>
      </c>
      <c r="O291" t="s">
        <v>51</v>
      </c>
      <c r="P291" t="s">
        <v>33</v>
      </c>
      <c r="Q291">
        <v>4</v>
      </c>
      <c r="R291">
        <f>IFERROR(Table1_1[[#This Row],[Unit_Price]]*Table1_1[[#This Row],[Quantity]],"")</f>
        <v>5996</v>
      </c>
      <c r="S291">
        <f>IFERROR(Table1_1[[#This Row],[Gross_Sales]]*Table1_1[[#This Row],[Discount_%]],"")</f>
        <v>0</v>
      </c>
      <c r="T291">
        <f>IFERROR(Table1_1[[#This Row],[Gross_Sales]]-Table1_1[[#This Row],[Discount_amount]]+Table1_1[[#This Row],[Shipping_Cost]],"")</f>
        <v>6045</v>
      </c>
      <c r="U291">
        <f>IFERROR(Table1_1[[#This Row],[Net_Sale]]-(Table1_1[[#This Row],[Gross_Sales]]*70%),"")</f>
        <v>1847.8000000000002</v>
      </c>
      <c r="V291" s="7">
        <f>IFERROR(Table1_1[[#This Row],[Profit]]/Table1_1[[#This Row],[Net_Sale]],"")</f>
        <v>0.30567411083540119</v>
      </c>
      <c r="W291" t="str">
        <f>TEXT(Table1_1[[#This Row],[Order_Date]],"mmm")</f>
        <v>Mar</v>
      </c>
    </row>
    <row r="292" spans="1:23" x14ac:dyDescent="0.25">
      <c r="A292" t="s">
        <v>577</v>
      </c>
      <c r="B292" t="s">
        <v>578</v>
      </c>
      <c r="C292" s="6">
        <v>45916</v>
      </c>
      <c r="D292" t="s">
        <v>77</v>
      </c>
      <c r="E292" t="s">
        <v>78</v>
      </c>
      <c r="F292" t="s">
        <v>79</v>
      </c>
      <c r="G292" t="s">
        <v>28</v>
      </c>
      <c r="H292">
        <v>2</v>
      </c>
      <c r="I292">
        <v>6499</v>
      </c>
      <c r="J292">
        <v>0</v>
      </c>
      <c r="K292">
        <v>99</v>
      </c>
      <c r="L292" t="s">
        <v>29</v>
      </c>
      <c r="M292" t="s">
        <v>30</v>
      </c>
      <c r="N292" t="s">
        <v>31</v>
      </c>
      <c r="O292" t="s">
        <v>59</v>
      </c>
      <c r="P292" t="s">
        <v>52</v>
      </c>
      <c r="Q292">
        <v>3</v>
      </c>
      <c r="R292">
        <f>IFERROR(Table1_1[[#This Row],[Unit_Price]]*Table1_1[[#This Row],[Quantity]],"")</f>
        <v>12998</v>
      </c>
      <c r="S292">
        <f>IFERROR(Table1_1[[#This Row],[Gross_Sales]]*Table1_1[[#This Row],[Discount_%]],"")</f>
        <v>0</v>
      </c>
      <c r="T292">
        <f>IFERROR(Table1_1[[#This Row],[Gross_Sales]]-Table1_1[[#This Row],[Discount_amount]]+Table1_1[[#This Row],[Shipping_Cost]],"")</f>
        <v>13097</v>
      </c>
      <c r="U292">
        <f>IFERROR(Table1_1[[#This Row],[Net_Sale]]-(Table1_1[[#This Row],[Gross_Sales]]*70%),"")</f>
        <v>3998.4000000000015</v>
      </c>
      <c r="V292" s="7">
        <f>IFERROR(Table1_1[[#This Row],[Profit]]/Table1_1[[#This Row],[Net_Sale]],"")</f>
        <v>0.30529128808124006</v>
      </c>
      <c r="W292" t="str">
        <f>TEXT(Table1_1[[#This Row],[Order_Date]],"mmm")</f>
        <v>Sep</v>
      </c>
    </row>
    <row r="293" spans="1:23" x14ac:dyDescent="0.25">
      <c r="A293" t="s">
        <v>579</v>
      </c>
      <c r="B293" t="s">
        <v>536</v>
      </c>
      <c r="C293" s="6">
        <v>45819</v>
      </c>
      <c r="D293" t="s">
        <v>105</v>
      </c>
      <c r="E293" t="s">
        <v>106</v>
      </c>
      <c r="F293" t="s">
        <v>37</v>
      </c>
      <c r="G293" t="s">
        <v>107</v>
      </c>
      <c r="H293">
        <v>1</v>
      </c>
      <c r="I293">
        <v>1799</v>
      </c>
      <c r="J293">
        <v>0.05</v>
      </c>
      <c r="K293">
        <v>59</v>
      </c>
      <c r="L293" t="s">
        <v>113</v>
      </c>
      <c r="M293" t="s">
        <v>114</v>
      </c>
      <c r="N293" t="s">
        <v>71</v>
      </c>
      <c r="O293" t="s">
        <v>41</v>
      </c>
      <c r="P293" t="s">
        <v>80</v>
      </c>
      <c r="Q293">
        <v>1</v>
      </c>
      <c r="R293">
        <f>IFERROR(Table1_1[[#This Row],[Unit_Price]]*Table1_1[[#This Row],[Quantity]],"")</f>
        <v>1799</v>
      </c>
      <c r="S293">
        <f>IFERROR(Table1_1[[#This Row],[Gross_Sales]]*Table1_1[[#This Row],[Discount_%]],"")</f>
        <v>89.95</v>
      </c>
      <c r="T293">
        <f>IFERROR(Table1_1[[#This Row],[Gross_Sales]]-Table1_1[[#This Row],[Discount_amount]]+Table1_1[[#This Row],[Shipping_Cost]],"")</f>
        <v>1768.05</v>
      </c>
      <c r="U293">
        <f>IFERROR(Table1_1[[#This Row],[Net_Sale]]-(Table1_1[[#This Row],[Gross_Sales]]*70%),"")</f>
        <v>508.75</v>
      </c>
      <c r="V293" s="7">
        <f>IFERROR(Table1_1[[#This Row],[Profit]]/Table1_1[[#This Row],[Net_Sale]],"")</f>
        <v>0.28774638726280366</v>
      </c>
      <c r="W293" t="str">
        <f>TEXT(Table1_1[[#This Row],[Order_Date]],"mmm")</f>
        <v>Jun</v>
      </c>
    </row>
    <row r="294" spans="1:23" x14ac:dyDescent="0.25">
      <c r="A294" t="s">
        <v>580</v>
      </c>
      <c r="B294" t="s">
        <v>204</v>
      </c>
      <c r="C294" s="6">
        <v>45957</v>
      </c>
      <c r="D294" t="s">
        <v>67</v>
      </c>
      <c r="E294" t="s">
        <v>68</v>
      </c>
      <c r="F294" t="s">
        <v>37</v>
      </c>
      <c r="G294" t="s">
        <v>38</v>
      </c>
      <c r="H294">
        <v>3</v>
      </c>
      <c r="I294">
        <v>1299</v>
      </c>
      <c r="J294">
        <v>0</v>
      </c>
      <c r="K294">
        <v>79</v>
      </c>
      <c r="L294" t="s">
        <v>100</v>
      </c>
      <c r="M294" t="s">
        <v>101</v>
      </c>
      <c r="N294" t="s">
        <v>71</v>
      </c>
      <c r="O294" t="s">
        <v>59</v>
      </c>
      <c r="P294" t="s">
        <v>33</v>
      </c>
      <c r="Q294">
        <v>1</v>
      </c>
      <c r="R294">
        <f>IFERROR(Table1_1[[#This Row],[Unit_Price]]*Table1_1[[#This Row],[Quantity]],"")</f>
        <v>3897</v>
      </c>
      <c r="S294">
        <f>IFERROR(Table1_1[[#This Row],[Gross_Sales]]*Table1_1[[#This Row],[Discount_%]],"")</f>
        <v>0</v>
      </c>
      <c r="T294">
        <f>IFERROR(Table1_1[[#This Row],[Gross_Sales]]-Table1_1[[#This Row],[Discount_amount]]+Table1_1[[#This Row],[Shipping_Cost]],"")</f>
        <v>3976</v>
      </c>
      <c r="U294">
        <f>IFERROR(Table1_1[[#This Row],[Net_Sale]]-(Table1_1[[#This Row],[Gross_Sales]]*70%),"")</f>
        <v>1248.1000000000004</v>
      </c>
      <c r="V294" s="7">
        <f>IFERROR(Table1_1[[#This Row],[Profit]]/Table1_1[[#This Row],[Net_Sale]],"")</f>
        <v>0.31390845070422546</v>
      </c>
      <c r="W294" t="str">
        <f>TEXT(Table1_1[[#This Row],[Order_Date]],"mmm")</f>
        <v>Oct</v>
      </c>
    </row>
    <row r="295" spans="1:23" x14ac:dyDescent="0.25">
      <c r="A295" t="s">
        <v>581</v>
      </c>
      <c r="B295" t="s">
        <v>582</v>
      </c>
      <c r="C295" s="6">
        <v>45764</v>
      </c>
      <c r="D295" t="s">
        <v>62</v>
      </c>
      <c r="E295" t="s">
        <v>63</v>
      </c>
      <c r="F295" t="s">
        <v>46</v>
      </c>
      <c r="G295" t="s">
        <v>64</v>
      </c>
      <c r="H295">
        <v>4</v>
      </c>
      <c r="I295">
        <v>699</v>
      </c>
      <c r="J295">
        <v>0.05</v>
      </c>
      <c r="K295">
        <v>0</v>
      </c>
      <c r="L295" t="s">
        <v>74</v>
      </c>
      <c r="M295" t="s">
        <v>49</v>
      </c>
      <c r="N295" t="s">
        <v>50</v>
      </c>
      <c r="O295" t="s">
        <v>51</v>
      </c>
      <c r="P295" t="s">
        <v>52</v>
      </c>
      <c r="Q295">
        <v>3</v>
      </c>
      <c r="R295">
        <f>IFERROR(Table1_1[[#This Row],[Unit_Price]]*Table1_1[[#This Row],[Quantity]],"")</f>
        <v>2796</v>
      </c>
      <c r="S295">
        <f>IFERROR(Table1_1[[#This Row],[Gross_Sales]]*Table1_1[[#This Row],[Discount_%]],"")</f>
        <v>139.80000000000001</v>
      </c>
      <c r="T295">
        <f>IFERROR(Table1_1[[#This Row],[Gross_Sales]]-Table1_1[[#This Row],[Discount_amount]]+Table1_1[[#This Row],[Shipping_Cost]],"")</f>
        <v>2656.2</v>
      </c>
      <c r="U295">
        <f>IFERROR(Table1_1[[#This Row],[Net_Sale]]-(Table1_1[[#This Row],[Gross_Sales]]*70%),"")</f>
        <v>699</v>
      </c>
      <c r="V295" s="7">
        <f>IFERROR(Table1_1[[#This Row],[Profit]]/Table1_1[[#This Row],[Net_Sale]],"")</f>
        <v>0.26315789473684215</v>
      </c>
      <c r="W295" t="str">
        <f>TEXT(Table1_1[[#This Row],[Order_Date]],"mmm")</f>
        <v>Apr</v>
      </c>
    </row>
    <row r="296" spans="1:23" x14ac:dyDescent="0.25">
      <c r="A296" t="s">
        <v>583</v>
      </c>
      <c r="B296" t="s">
        <v>500</v>
      </c>
      <c r="C296" s="6">
        <v>45825</v>
      </c>
      <c r="D296" t="s">
        <v>77</v>
      </c>
      <c r="E296" t="s">
        <v>78</v>
      </c>
      <c r="F296" t="s">
        <v>79</v>
      </c>
      <c r="G296" t="s">
        <v>28</v>
      </c>
      <c r="H296">
        <v>1</v>
      </c>
      <c r="I296">
        <v>6499</v>
      </c>
      <c r="J296">
        <v>0</v>
      </c>
      <c r="K296">
        <v>59</v>
      </c>
      <c r="L296" t="s">
        <v>125</v>
      </c>
      <c r="M296" t="s">
        <v>126</v>
      </c>
      <c r="N296" t="s">
        <v>102</v>
      </c>
      <c r="O296" t="s">
        <v>93</v>
      </c>
      <c r="P296" t="s">
        <v>80</v>
      </c>
      <c r="Q296">
        <v>3</v>
      </c>
      <c r="R296">
        <f>IFERROR(Table1_1[[#This Row],[Unit_Price]]*Table1_1[[#This Row],[Quantity]],"")</f>
        <v>6499</v>
      </c>
      <c r="S296">
        <f>IFERROR(Table1_1[[#This Row],[Gross_Sales]]*Table1_1[[#This Row],[Discount_%]],"")</f>
        <v>0</v>
      </c>
      <c r="T296">
        <f>IFERROR(Table1_1[[#This Row],[Gross_Sales]]-Table1_1[[#This Row],[Discount_amount]]+Table1_1[[#This Row],[Shipping_Cost]],"")</f>
        <v>6558</v>
      </c>
      <c r="U296">
        <f>IFERROR(Table1_1[[#This Row],[Net_Sale]]-(Table1_1[[#This Row],[Gross_Sales]]*70%),"")</f>
        <v>2008.7000000000007</v>
      </c>
      <c r="V296" s="7">
        <f>IFERROR(Table1_1[[#This Row],[Profit]]/Table1_1[[#This Row],[Net_Sale]],"")</f>
        <v>0.30629765172308643</v>
      </c>
      <c r="W296" t="str">
        <f>TEXT(Table1_1[[#This Row],[Order_Date]],"mmm")</f>
        <v>Jun</v>
      </c>
    </row>
    <row r="297" spans="1:23" x14ac:dyDescent="0.25">
      <c r="A297" t="s">
        <v>584</v>
      </c>
      <c r="B297" t="s">
        <v>534</v>
      </c>
      <c r="C297" s="6">
        <v>45747</v>
      </c>
      <c r="D297" t="s">
        <v>110</v>
      </c>
      <c r="E297" t="s">
        <v>111</v>
      </c>
      <c r="F297" t="s">
        <v>98</v>
      </c>
      <c r="G297" t="s">
        <v>112</v>
      </c>
      <c r="H297">
        <v>3</v>
      </c>
      <c r="I297">
        <v>2999</v>
      </c>
      <c r="J297">
        <v>0.15</v>
      </c>
      <c r="K297">
        <v>99</v>
      </c>
      <c r="L297" t="s">
        <v>48</v>
      </c>
      <c r="M297" t="s">
        <v>49</v>
      </c>
      <c r="N297" t="s">
        <v>31</v>
      </c>
      <c r="O297" t="s">
        <v>59</v>
      </c>
      <c r="P297" t="s">
        <v>52</v>
      </c>
      <c r="Q297">
        <v>1</v>
      </c>
      <c r="R297">
        <f>IFERROR(Table1_1[[#This Row],[Unit_Price]]*Table1_1[[#This Row],[Quantity]],"")</f>
        <v>8997</v>
      </c>
      <c r="S297">
        <f>IFERROR(Table1_1[[#This Row],[Gross_Sales]]*Table1_1[[#This Row],[Discount_%]],"")</f>
        <v>1349.55</v>
      </c>
      <c r="T297">
        <f>IFERROR(Table1_1[[#This Row],[Gross_Sales]]-Table1_1[[#This Row],[Discount_amount]]+Table1_1[[#This Row],[Shipping_Cost]],"")</f>
        <v>7746.45</v>
      </c>
      <c r="U297">
        <f>IFERROR(Table1_1[[#This Row],[Net_Sale]]-(Table1_1[[#This Row],[Gross_Sales]]*70%),"")</f>
        <v>1448.5500000000002</v>
      </c>
      <c r="V297" s="7">
        <f>IFERROR(Table1_1[[#This Row],[Profit]]/Table1_1[[#This Row],[Net_Sale]],"")</f>
        <v>0.18699533334624249</v>
      </c>
      <c r="W297" t="str">
        <f>TEXT(Table1_1[[#This Row],[Order_Date]],"mmm")</f>
        <v>Mar</v>
      </c>
    </row>
    <row r="298" spans="1:23" x14ac:dyDescent="0.25">
      <c r="A298" t="s">
        <v>585</v>
      </c>
      <c r="B298" t="s">
        <v>445</v>
      </c>
      <c r="C298" s="6">
        <v>45771</v>
      </c>
      <c r="D298" t="s">
        <v>105</v>
      </c>
      <c r="E298" t="s">
        <v>106</v>
      </c>
      <c r="F298" t="s">
        <v>37</v>
      </c>
      <c r="G298" t="s">
        <v>107</v>
      </c>
      <c r="H298">
        <v>1</v>
      </c>
      <c r="I298">
        <v>1799</v>
      </c>
      <c r="J298">
        <v>0.05</v>
      </c>
      <c r="K298">
        <v>0</v>
      </c>
      <c r="L298" t="s">
        <v>29</v>
      </c>
      <c r="M298" t="s">
        <v>30</v>
      </c>
      <c r="N298" t="s">
        <v>102</v>
      </c>
      <c r="O298" t="s">
        <v>51</v>
      </c>
      <c r="P298" t="s">
        <v>52</v>
      </c>
      <c r="Q298">
        <v>3</v>
      </c>
      <c r="R298">
        <f>IFERROR(Table1_1[[#This Row],[Unit_Price]]*Table1_1[[#This Row],[Quantity]],"")</f>
        <v>1799</v>
      </c>
      <c r="S298">
        <f>IFERROR(Table1_1[[#This Row],[Gross_Sales]]*Table1_1[[#This Row],[Discount_%]],"")</f>
        <v>89.95</v>
      </c>
      <c r="T298">
        <f>IFERROR(Table1_1[[#This Row],[Gross_Sales]]-Table1_1[[#This Row],[Discount_amount]]+Table1_1[[#This Row],[Shipping_Cost]],"")</f>
        <v>1709.05</v>
      </c>
      <c r="U298">
        <f>IFERROR(Table1_1[[#This Row],[Net_Sale]]-(Table1_1[[#This Row],[Gross_Sales]]*70%),"")</f>
        <v>449.75</v>
      </c>
      <c r="V298" s="7">
        <f>IFERROR(Table1_1[[#This Row],[Profit]]/Table1_1[[#This Row],[Net_Sale]],"")</f>
        <v>0.26315789473684209</v>
      </c>
      <c r="W298" t="str">
        <f>TEXT(Table1_1[[#This Row],[Order_Date]],"mmm")</f>
        <v>Apr</v>
      </c>
    </row>
    <row r="299" spans="1:23" x14ac:dyDescent="0.25">
      <c r="A299" t="s">
        <v>586</v>
      </c>
      <c r="B299" t="s">
        <v>587</v>
      </c>
      <c r="C299" s="6">
        <v>45759</v>
      </c>
      <c r="D299" t="s">
        <v>55</v>
      </c>
      <c r="E299" t="s">
        <v>56</v>
      </c>
      <c r="F299" t="s">
        <v>37</v>
      </c>
      <c r="G299" t="s">
        <v>38</v>
      </c>
      <c r="H299">
        <v>5</v>
      </c>
      <c r="I299">
        <v>2499</v>
      </c>
      <c r="J299">
        <v>0</v>
      </c>
      <c r="K299">
        <v>59</v>
      </c>
      <c r="L299" t="s">
        <v>39</v>
      </c>
      <c r="M299" t="s">
        <v>39</v>
      </c>
      <c r="N299" t="s">
        <v>31</v>
      </c>
      <c r="O299" t="s">
        <v>59</v>
      </c>
      <c r="P299" t="s">
        <v>33</v>
      </c>
      <c r="Q299">
        <v>1</v>
      </c>
      <c r="R299">
        <f>IFERROR(Table1_1[[#This Row],[Unit_Price]]*Table1_1[[#This Row],[Quantity]],"")</f>
        <v>12495</v>
      </c>
      <c r="S299">
        <f>IFERROR(Table1_1[[#This Row],[Gross_Sales]]*Table1_1[[#This Row],[Discount_%]],"")</f>
        <v>0</v>
      </c>
      <c r="T299">
        <f>IFERROR(Table1_1[[#This Row],[Gross_Sales]]-Table1_1[[#This Row],[Discount_amount]]+Table1_1[[#This Row],[Shipping_Cost]],"")</f>
        <v>12554</v>
      </c>
      <c r="U299">
        <f>IFERROR(Table1_1[[#This Row],[Net_Sale]]-(Table1_1[[#This Row],[Gross_Sales]]*70%),"")</f>
        <v>3807.5</v>
      </c>
      <c r="V299" s="7">
        <f>IFERROR(Table1_1[[#This Row],[Profit]]/Table1_1[[#This Row],[Net_Sale]],"")</f>
        <v>0.30328978811534174</v>
      </c>
      <c r="W299" t="str">
        <f>TEXT(Table1_1[[#This Row],[Order_Date]],"mmm")</f>
        <v>Apr</v>
      </c>
    </row>
    <row r="300" spans="1:23" x14ac:dyDescent="0.25">
      <c r="A300" t="s">
        <v>588</v>
      </c>
      <c r="B300" t="s">
        <v>589</v>
      </c>
      <c r="C300" s="6">
        <v>45860</v>
      </c>
      <c r="D300" t="s">
        <v>105</v>
      </c>
      <c r="E300" t="s">
        <v>106</v>
      </c>
      <c r="F300" t="s">
        <v>37</v>
      </c>
      <c r="G300" t="s">
        <v>107</v>
      </c>
      <c r="H300">
        <v>1</v>
      </c>
      <c r="I300">
        <v>1799</v>
      </c>
      <c r="J300">
        <v>0.2</v>
      </c>
      <c r="K300">
        <v>79</v>
      </c>
      <c r="L300" t="s">
        <v>125</v>
      </c>
      <c r="M300" t="s">
        <v>126</v>
      </c>
      <c r="N300" t="s">
        <v>71</v>
      </c>
      <c r="O300" t="s">
        <v>41</v>
      </c>
      <c r="P300" t="s">
        <v>52</v>
      </c>
      <c r="Q300">
        <v>2</v>
      </c>
      <c r="R300">
        <f>IFERROR(Table1_1[[#This Row],[Unit_Price]]*Table1_1[[#This Row],[Quantity]],"")</f>
        <v>1799</v>
      </c>
      <c r="S300">
        <f>IFERROR(Table1_1[[#This Row],[Gross_Sales]]*Table1_1[[#This Row],[Discount_%]],"")</f>
        <v>359.8</v>
      </c>
      <c r="T300">
        <f>IFERROR(Table1_1[[#This Row],[Gross_Sales]]-Table1_1[[#This Row],[Discount_amount]]+Table1_1[[#This Row],[Shipping_Cost]],"")</f>
        <v>1518.2</v>
      </c>
      <c r="U300">
        <f>IFERROR(Table1_1[[#This Row],[Net_Sale]]-(Table1_1[[#This Row],[Gross_Sales]]*70%),"")</f>
        <v>258.90000000000009</v>
      </c>
      <c r="V300" s="7">
        <f>IFERROR(Table1_1[[#This Row],[Profit]]/Table1_1[[#This Row],[Net_Sale]],"")</f>
        <v>0.17053089184560669</v>
      </c>
      <c r="W300" t="str">
        <f>TEXT(Table1_1[[#This Row],[Order_Date]],"mmm")</f>
        <v>Jul</v>
      </c>
    </row>
    <row r="301" spans="1:23" x14ac:dyDescent="0.25">
      <c r="A301" t="s">
        <v>590</v>
      </c>
      <c r="B301" t="s">
        <v>591</v>
      </c>
      <c r="C301" s="6">
        <v>45734</v>
      </c>
      <c r="D301" t="s">
        <v>110</v>
      </c>
      <c r="E301" t="s">
        <v>111</v>
      </c>
      <c r="F301" t="s">
        <v>98</v>
      </c>
      <c r="G301" t="s">
        <v>112</v>
      </c>
      <c r="H301">
        <v>1</v>
      </c>
      <c r="I301">
        <v>2999</v>
      </c>
      <c r="J301">
        <v>0.15</v>
      </c>
      <c r="K301">
        <v>49</v>
      </c>
      <c r="L301" t="s">
        <v>48</v>
      </c>
      <c r="M301" t="s">
        <v>49</v>
      </c>
      <c r="N301" t="s">
        <v>40</v>
      </c>
      <c r="O301" t="s">
        <v>59</v>
      </c>
      <c r="P301" t="s">
        <v>85</v>
      </c>
      <c r="Q301">
        <v>5</v>
      </c>
      <c r="R301">
        <f>IFERROR(Table1_1[[#This Row],[Unit_Price]]*Table1_1[[#This Row],[Quantity]],"")</f>
        <v>2999</v>
      </c>
      <c r="S301">
        <f>IFERROR(Table1_1[[#This Row],[Gross_Sales]]*Table1_1[[#This Row],[Discount_%]],"")</f>
        <v>449.84999999999997</v>
      </c>
      <c r="T301">
        <f>IFERROR(Table1_1[[#This Row],[Gross_Sales]]-Table1_1[[#This Row],[Discount_amount]]+Table1_1[[#This Row],[Shipping_Cost]],"")</f>
        <v>2598.15</v>
      </c>
      <c r="U301">
        <f>IFERROR(Table1_1[[#This Row],[Net_Sale]]-(Table1_1[[#This Row],[Gross_Sales]]*70%),"")</f>
        <v>498.85000000000036</v>
      </c>
      <c r="V301" s="7">
        <f>IFERROR(Table1_1[[#This Row],[Profit]]/Table1_1[[#This Row],[Net_Sale]],"")</f>
        <v>0.19200200142409035</v>
      </c>
      <c r="W301" t="str">
        <f>TEXT(Table1_1[[#This Row],[Order_Date]],"mmm")</f>
        <v>Mar</v>
      </c>
    </row>
    <row r="302" spans="1:23" x14ac:dyDescent="0.25">
      <c r="A302" t="s">
        <v>592</v>
      </c>
      <c r="B302" t="s">
        <v>534</v>
      </c>
      <c r="C302" s="6">
        <v>45854</v>
      </c>
      <c r="D302" t="s">
        <v>90</v>
      </c>
      <c r="E302" t="s">
        <v>91</v>
      </c>
      <c r="F302" t="s">
        <v>37</v>
      </c>
      <c r="G302" t="s">
        <v>92</v>
      </c>
      <c r="H302">
        <v>1</v>
      </c>
      <c r="I302">
        <v>3499</v>
      </c>
      <c r="J302">
        <v>0.2</v>
      </c>
      <c r="K302">
        <v>99</v>
      </c>
      <c r="L302" t="s">
        <v>39</v>
      </c>
      <c r="M302" t="s">
        <v>39</v>
      </c>
      <c r="N302" t="s">
        <v>102</v>
      </c>
      <c r="O302" t="s">
        <v>93</v>
      </c>
      <c r="P302" t="s">
        <v>33</v>
      </c>
      <c r="Q302">
        <v>4</v>
      </c>
      <c r="R302">
        <f>IFERROR(Table1_1[[#This Row],[Unit_Price]]*Table1_1[[#This Row],[Quantity]],"")</f>
        <v>3499</v>
      </c>
      <c r="S302">
        <f>IFERROR(Table1_1[[#This Row],[Gross_Sales]]*Table1_1[[#This Row],[Discount_%]],"")</f>
        <v>699.80000000000007</v>
      </c>
      <c r="T302">
        <f>IFERROR(Table1_1[[#This Row],[Gross_Sales]]-Table1_1[[#This Row],[Discount_amount]]+Table1_1[[#This Row],[Shipping_Cost]],"")</f>
        <v>2898.2</v>
      </c>
      <c r="U302">
        <f>IFERROR(Table1_1[[#This Row],[Net_Sale]]-(Table1_1[[#This Row],[Gross_Sales]]*70%),"")</f>
        <v>448.90000000000009</v>
      </c>
      <c r="V302" s="7">
        <f>IFERROR(Table1_1[[#This Row],[Profit]]/Table1_1[[#This Row],[Net_Sale]],"")</f>
        <v>0.15488924159823342</v>
      </c>
      <c r="W302" t="str">
        <f>TEXT(Table1_1[[#This Row],[Order_Date]],"mmm")</f>
        <v>Jul</v>
      </c>
    </row>
    <row r="303" spans="1:23" x14ac:dyDescent="0.25">
      <c r="A303" t="s">
        <v>593</v>
      </c>
      <c r="B303" t="s">
        <v>366</v>
      </c>
      <c r="C303" s="6">
        <v>45906</v>
      </c>
      <c r="D303" t="s">
        <v>77</v>
      </c>
      <c r="E303" t="s">
        <v>78</v>
      </c>
      <c r="F303" t="s">
        <v>79</v>
      </c>
      <c r="G303" t="s">
        <v>28</v>
      </c>
      <c r="H303">
        <v>2</v>
      </c>
      <c r="I303">
        <v>6499</v>
      </c>
      <c r="J303">
        <v>0.15</v>
      </c>
      <c r="K303">
        <v>59</v>
      </c>
      <c r="L303" t="s">
        <v>74</v>
      </c>
      <c r="M303" t="s">
        <v>49</v>
      </c>
      <c r="N303" t="s">
        <v>71</v>
      </c>
      <c r="O303" t="s">
        <v>41</v>
      </c>
      <c r="P303" t="s">
        <v>85</v>
      </c>
      <c r="Q303">
        <v>1</v>
      </c>
      <c r="R303">
        <f>IFERROR(Table1_1[[#This Row],[Unit_Price]]*Table1_1[[#This Row],[Quantity]],"")</f>
        <v>12998</v>
      </c>
      <c r="S303">
        <f>IFERROR(Table1_1[[#This Row],[Gross_Sales]]*Table1_1[[#This Row],[Discount_%]],"")</f>
        <v>1949.6999999999998</v>
      </c>
      <c r="T303">
        <f>IFERROR(Table1_1[[#This Row],[Gross_Sales]]-Table1_1[[#This Row],[Discount_amount]]+Table1_1[[#This Row],[Shipping_Cost]],"")</f>
        <v>11107.3</v>
      </c>
      <c r="U303">
        <f>IFERROR(Table1_1[[#This Row],[Net_Sale]]-(Table1_1[[#This Row],[Gross_Sales]]*70%),"")</f>
        <v>2008.7000000000007</v>
      </c>
      <c r="V303" s="7">
        <f>IFERROR(Table1_1[[#This Row],[Profit]]/Table1_1[[#This Row],[Net_Sale]],"")</f>
        <v>0.18084502984523698</v>
      </c>
      <c r="W303" t="str">
        <f>TEXT(Table1_1[[#This Row],[Order_Date]],"mmm")</f>
        <v>Sep</v>
      </c>
    </row>
    <row r="304" spans="1:23" x14ac:dyDescent="0.25">
      <c r="A304" t="s">
        <v>594</v>
      </c>
      <c r="B304" t="s">
        <v>136</v>
      </c>
      <c r="C304" s="6">
        <v>45801</v>
      </c>
      <c r="D304" t="s">
        <v>169</v>
      </c>
      <c r="E304" t="s">
        <v>170</v>
      </c>
      <c r="F304" t="s">
        <v>98</v>
      </c>
      <c r="G304" t="s">
        <v>171</v>
      </c>
      <c r="H304">
        <v>1</v>
      </c>
      <c r="I304">
        <v>799</v>
      </c>
      <c r="J304">
        <v>0.15</v>
      </c>
      <c r="K304">
        <v>59</v>
      </c>
      <c r="L304" t="s">
        <v>125</v>
      </c>
      <c r="M304" t="s">
        <v>126</v>
      </c>
      <c r="N304" t="s">
        <v>50</v>
      </c>
      <c r="O304" t="s">
        <v>41</v>
      </c>
      <c r="P304" t="s">
        <v>52</v>
      </c>
      <c r="Q304">
        <v>1</v>
      </c>
      <c r="R304">
        <f>IFERROR(Table1_1[[#This Row],[Unit_Price]]*Table1_1[[#This Row],[Quantity]],"")</f>
        <v>799</v>
      </c>
      <c r="S304">
        <f>IFERROR(Table1_1[[#This Row],[Gross_Sales]]*Table1_1[[#This Row],[Discount_%]],"")</f>
        <v>119.85</v>
      </c>
      <c r="T304">
        <f>IFERROR(Table1_1[[#This Row],[Gross_Sales]]-Table1_1[[#This Row],[Discount_amount]]+Table1_1[[#This Row],[Shipping_Cost]],"")</f>
        <v>738.15</v>
      </c>
      <c r="U304">
        <f>IFERROR(Table1_1[[#This Row],[Net_Sale]]-(Table1_1[[#This Row],[Gross_Sales]]*70%),"")</f>
        <v>178.85000000000002</v>
      </c>
      <c r="V304" s="7">
        <f>IFERROR(Table1_1[[#This Row],[Profit]]/Table1_1[[#This Row],[Net_Sale]],"")</f>
        <v>0.24229492650545287</v>
      </c>
      <c r="W304" t="str">
        <f>TEXT(Table1_1[[#This Row],[Order_Date]],"mmm")</f>
        <v>May</v>
      </c>
    </row>
    <row r="305" spans="1:23" x14ac:dyDescent="0.25">
      <c r="A305" t="s">
        <v>595</v>
      </c>
      <c r="B305" t="s">
        <v>181</v>
      </c>
      <c r="C305" s="6">
        <v>45686</v>
      </c>
      <c r="D305" t="s">
        <v>67</v>
      </c>
      <c r="E305" t="s">
        <v>68</v>
      </c>
      <c r="F305" t="s">
        <v>37</v>
      </c>
      <c r="G305" t="s">
        <v>38</v>
      </c>
      <c r="H305">
        <v>1</v>
      </c>
      <c r="I305">
        <v>1299</v>
      </c>
      <c r="J305">
        <v>0.05</v>
      </c>
      <c r="K305">
        <v>49</v>
      </c>
      <c r="L305" t="s">
        <v>113</v>
      </c>
      <c r="M305" t="s">
        <v>114</v>
      </c>
      <c r="N305" t="s">
        <v>50</v>
      </c>
      <c r="O305" t="s">
        <v>32</v>
      </c>
      <c r="P305" t="s">
        <v>52</v>
      </c>
      <c r="Q305">
        <v>3</v>
      </c>
      <c r="R305">
        <f>IFERROR(Table1_1[[#This Row],[Unit_Price]]*Table1_1[[#This Row],[Quantity]],"")</f>
        <v>1299</v>
      </c>
      <c r="S305">
        <f>IFERROR(Table1_1[[#This Row],[Gross_Sales]]*Table1_1[[#This Row],[Discount_%]],"")</f>
        <v>64.95</v>
      </c>
      <c r="T305">
        <f>IFERROR(Table1_1[[#This Row],[Gross_Sales]]-Table1_1[[#This Row],[Discount_amount]]+Table1_1[[#This Row],[Shipping_Cost]],"")</f>
        <v>1283.05</v>
      </c>
      <c r="U305">
        <f>IFERROR(Table1_1[[#This Row],[Net_Sale]]-(Table1_1[[#This Row],[Gross_Sales]]*70%),"")</f>
        <v>373.75</v>
      </c>
      <c r="V305" s="7">
        <f>IFERROR(Table1_1[[#This Row],[Profit]]/Table1_1[[#This Row],[Net_Sale]],"")</f>
        <v>0.29129807879661745</v>
      </c>
      <c r="W305" t="str">
        <f>TEXT(Table1_1[[#This Row],[Order_Date]],"mmm")</f>
        <v>Jan</v>
      </c>
    </row>
    <row r="306" spans="1:23" x14ac:dyDescent="0.25">
      <c r="A306" t="s">
        <v>596</v>
      </c>
      <c r="B306" t="s">
        <v>597</v>
      </c>
      <c r="C306" s="6">
        <v>45672</v>
      </c>
      <c r="D306" t="s">
        <v>77</v>
      </c>
      <c r="E306" t="s">
        <v>78</v>
      </c>
      <c r="F306" t="s">
        <v>79</v>
      </c>
      <c r="G306" t="s">
        <v>28</v>
      </c>
      <c r="H306">
        <v>4</v>
      </c>
      <c r="I306">
        <v>6499</v>
      </c>
      <c r="J306">
        <v>0.15</v>
      </c>
      <c r="K306">
        <v>99</v>
      </c>
      <c r="L306" t="s">
        <v>74</v>
      </c>
      <c r="M306" t="s">
        <v>49</v>
      </c>
      <c r="N306" t="s">
        <v>102</v>
      </c>
      <c r="O306" t="s">
        <v>41</v>
      </c>
      <c r="P306" t="s">
        <v>33</v>
      </c>
      <c r="Q306">
        <v>3</v>
      </c>
      <c r="R306">
        <f>IFERROR(Table1_1[[#This Row],[Unit_Price]]*Table1_1[[#This Row],[Quantity]],"")</f>
        <v>25996</v>
      </c>
      <c r="S306">
        <f>IFERROR(Table1_1[[#This Row],[Gross_Sales]]*Table1_1[[#This Row],[Discount_%]],"")</f>
        <v>3899.3999999999996</v>
      </c>
      <c r="T306">
        <f>IFERROR(Table1_1[[#This Row],[Gross_Sales]]-Table1_1[[#This Row],[Discount_amount]]+Table1_1[[#This Row],[Shipping_Cost]],"")</f>
        <v>22195.599999999999</v>
      </c>
      <c r="U306">
        <f>IFERROR(Table1_1[[#This Row],[Net_Sale]]-(Table1_1[[#This Row],[Gross_Sales]]*70%),"")</f>
        <v>3998.4000000000015</v>
      </c>
      <c r="V306" s="7">
        <f>IFERROR(Table1_1[[#This Row],[Profit]]/Table1_1[[#This Row],[Net_Sale]],"")</f>
        <v>0.18014381228712004</v>
      </c>
      <c r="W306" t="str">
        <f>TEXT(Table1_1[[#This Row],[Order_Date]],"mmm")</f>
        <v>Jan</v>
      </c>
    </row>
    <row r="307" spans="1:23" x14ac:dyDescent="0.25">
      <c r="A307" t="s">
        <v>598</v>
      </c>
      <c r="B307" t="s">
        <v>82</v>
      </c>
      <c r="C307" s="6">
        <v>45909</v>
      </c>
      <c r="D307" t="s">
        <v>90</v>
      </c>
      <c r="E307" t="s">
        <v>91</v>
      </c>
      <c r="F307" t="s">
        <v>37</v>
      </c>
      <c r="G307" t="s">
        <v>92</v>
      </c>
      <c r="H307">
        <v>1</v>
      </c>
      <c r="I307">
        <v>3499</v>
      </c>
      <c r="J307">
        <v>0</v>
      </c>
      <c r="K307">
        <v>99</v>
      </c>
      <c r="L307" t="s">
        <v>83</v>
      </c>
      <c r="M307" t="s">
        <v>84</v>
      </c>
      <c r="N307" t="s">
        <v>31</v>
      </c>
      <c r="O307" t="s">
        <v>32</v>
      </c>
      <c r="P307" t="s">
        <v>33</v>
      </c>
      <c r="Q307">
        <v>4</v>
      </c>
      <c r="R307">
        <f>IFERROR(Table1_1[[#This Row],[Unit_Price]]*Table1_1[[#This Row],[Quantity]],"")</f>
        <v>3499</v>
      </c>
      <c r="S307">
        <f>IFERROR(Table1_1[[#This Row],[Gross_Sales]]*Table1_1[[#This Row],[Discount_%]],"")</f>
        <v>0</v>
      </c>
      <c r="T307">
        <f>IFERROR(Table1_1[[#This Row],[Gross_Sales]]-Table1_1[[#This Row],[Discount_amount]]+Table1_1[[#This Row],[Shipping_Cost]],"")</f>
        <v>3598</v>
      </c>
      <c r="U307">
        <f>IFERROR(Table1_1[[#This Row],[Net_Sale]]-(Table1_1[[#This Row],[Gross_Sales]]*70%),"")</f>
        <v>1148.7000000000003</v>
      </c>
      <c r="V307" s="7">
        <f>IFERROR(Table1_1[[#This Row],[Profit]]/Table1_1[[#This Row],[Net_Sale]],"")</f>
        <v>0.31926070038910515</v>
      </c>
      <c r="W307" t="str">
        <f>TEXT(Table1_1[[#This Row],[Order_Date]],"mmm")</f>
        <v>Sep</v>
      </c>
    </row>
    <row r="308" spans="1:23" x14ac:dyDescent="0.25">
      <c r="A308" t="s">
        <v>599</v>
      </c>
      <c r="B308" t="s">
        <v>600</v>
      </c>
      <c r="C308" s="6">
        <v>45761</v>
      </c>
      <c r="D308" t="s">
        <v>35</v>
      </c>
      <c r="E308" t="s">
        <v>36</v>
      </c>
      <c r="F308" t="s">
        <v>37</v>
      </c>
      <c r="G308" t="s">
        <v>38</v>
      </c>
      <c r="H308">
        <v>4</v>
      </c>
      <c r="I308">
        <v>599</v>
      </c>
      <c r="J308">
        <v>0</v>
      </c>
      <c r="K308">
        <v>59</v>
      </c>
      <c r="L308" t="s">
        <v>74</v>
      </c>
      <c r="M308" t="s">
        <v>49</v>
      </c>
      <c r="N308" t="s">
        <v>31</v>
      </c>
      <c r="O308" t="s">
        <v>41</v>
      </c>
      <c r="P308" t="s">
        <v>80</v>
      </c>
      <c r="Q308">
        <v>5</v>
      </c>
      <c r="R308">
        <f>IFERROR(Table1_1[[#This Row],[Unit_Price]]*Table1_1[[#This Row],[Quantity]],"")</f>
        <v>2396</v>
      </c>
      <c r="S308">
        <f>IFERROR(Table1_1[[#This Row],[Gross_Sales]]*Table1_1[[#This Row],[Discount_%]],"")</f>
        <v>0</v>
      </c>
      <c r="T308">
        <f>IFERROR(Table1_1[[#This Row],[Gross_Sales]]-Table1_1[[#This Row],[Discount_amount]]+Table1_1[[#This Row],[Shipping_Cost]],"")</f>
        <v>2455</v>
      </c>
      <c r="U308">
        <f>IFERROR(Table1_1[[#This Row],[Net_Sale]]-(Table1_1[[#This Row],[Gross_Sales]]*70%),"")</f>
        <v>777.80000000000018</v>
      </c>
      <c r="V308" s="7">
        <f>IFERROR(Table1_1[[#This Row],[Profit]]/Table1_1[[#This Row],[Net_Sale]],"")</f>
        <v>0.31682281059063144</v>
      </c>
      <c r="W308" t="str">
        <f>TEXT(Table1_1[[#This Row],[Order_Date]],"mmm")</f>
        <v>Apr</v>
      </c>
    </row>
    <row r="309" spans="1:23" x14ac:dyDescent="0.25">
      <c r="A309" t="s">
        <v>601</v>
      </c>
      <c r="B309" t="s">
        <v>602</v>
      </c>
      <c r="C309" s="6">
        <v>45927</v>
      </c>
      <c r="D309" t="s">
        <v>77</v>
      </c>
      <c r="E309" t="s">
        <v>78</v>
      </c>
      <c r="F309" t="s">
        <v>79</v>
      </c>
      <c r="G309" t="s">
        <v>28</v>
      </c>
      <c r="H309">
        <v>3</v>
      </c>
      <c r="I309">
        <v>6499</v>
      </c>
      <c r="J309">
        <v>0.2</v>
      </c>
      <c r="K309">
        <v>79</v>
      </c>
      <c r="L309" t="s">
        <v>100</v>
      </c>
      <c r="M309" t="s">
        <v>101</v>
      </c>
      <c r="N309" t="s">
        <v>71</v>
      </c>
      <c r="O309" t="s">
        <v>51</v>
      </c>
      <c r="P309" t="s">
        <v>33</v>
      </c>
      <c r="Q309">
        <v>3</v>
      </c>
      <c r="R309">
        <f>IFERROR(Table1_1[[#This Row],[Unit_Price]]*Table1_1[[#This Row],[Quantity]],"")</f>
        <v>19497</v>
      </c>
      <c r="S309">
        <f>IFERROR(Table1_1[[#This Row],[Gross_Sales]]*Table1_1[[#This Row],[Discount_%]],"")</f>
        <v>3899.4</v>
      </c>
      <c r="T309">
        <f>IFERROR(Table1_1[[#This Row],[Gross_Sales]]-Table1_1[[#This Row],[Discount_amount]]+Table1_1[[#This Row],[Shipping_Cost]],"")</f>
        <v>15676.6</v>
      </c>
      <c r="U309">
        <f>IFERROR(Table1_1[[#This Row],[Net_Sale]]-(Table1_1[[#This Row],[Gross_Sales]]*70%),"")</f>
        <v>2028.7000000000007</v>
      </c>
      <c r="V309" s="7">
        <f>IFERROR(Table1_1[[#This Row],[Profit]]/Table1_1[[#This Row],[Net_Sale]],"")</f>
        <v>0.12940943827105372</v>
      </c>
      <c r="W309" t="str">
        <f>TEXT(Table1_1[[#This Row],[Order_Date]],"mmm")</f>
        <v>Sep</v>
      </c>
    </row>
    <row r="310" spans="1:23" x14ac:dyDescent="0.25">
      <c r="A310" t="s">
        <v>603</v>
      </c>
      <c r="B310" t="s">
        <v>604</v>
      </c>
      <c r="C310" s="6">
        <v>45881</v>
      </c>
      <c r="D310" t="s">
        <v>105</v>
      </c>
      <c r="E310" t="s">
        <v>106</v>
      </c>
      <c r="F310" t="s">
        <v>37</v>
      </c>
      <c r="G310" t="s">
        <v>107</v>
      </c>
      <c r="H310">
        <v>2</v>
      </c>
      <c r="I310">
        <v>1799</v>
      </c>
      <c r="J310">
        <v>0.05</v>
      </c>
      <c r="K310">
        <v>49</v>
      </c>
      <c r="L310" t="s">
        <v>100</v>
      </c>
      <c r="M310" t="s">
        <v>101</v>
      </c>
      <c r="N310" t="s">
        <v>102</v>
      </c>
      <c r="O310" t="s">
        <v>51</v>
      </c>
      <c r="P310" t="s">
        <v>80</v>
      </c>
      <c r="Q310">
        <v>2</v>
      </c>
      <c r="R310">
        <f>IFERROR(Table1_1[[#This Row],[Unit_Price]]*Table1_1[[#This Row],[Quantity]],"")</f>
        <v>3598</v>
      </c>
      <c r="S310">
        <f>IFERROR(Table1_1[[#This Row],[Gross_Sales]]*Table1_1[[#This Row],[Discount_%]],"")</f>
        <v>179.9</v>
      </c>
      <c r="T310">
        <f>IFERROR(Table1_1[[#This Row],[Gross_Sales]]-Table1_1[[#This Row],[Discount_amount]]+Table1_1[[#This Row],[Shipping_Cost]],"")</f>
        <v>3467.1</v>
      </c>
      <c r="U310">
        <f>IFERROR(Table1_1[[#This Row],[Net_Sale]]-(Table1_1[[#This Row],[Gross_Sales]]*70%),"")</f>
        <v>948.5</v>
      </c>
      <c r="V310" s="7">
        <f>IFERROR(Table1_1[[#This Row],[Profit]]/Table1_1[[#This Row],[Net_Sale]],"")</f>
        <v>0.27357157278417121</v>
      </c>
      <c r="W310" t="str">
        <f>TEXT(Table1_1[[#This Row],[Order_Date]],"mmm")</f>
        <v>Aug</v>
      </c>
    </row>
    <row r="311" spans="1:23" x14ac:dyDescent="0.25">
      <c r="A311" t="s">
        <v>605</v>
      </c>
      <c r="B311" t="s">
        <v>181</v>
      </c>
      <c r="C311" s="6">
        <v>45851</v>
      </c>
      <c r="D311" t="s">
        <v>25</v>
      </c>
      <c r="E311" t="s">
        <v>26</v>
      </c>
      <c r="F311" t="s">
        <v>27</v>
      </c>
      <c r="G311" t="s">
        <v>28</v>
      </c>
      <c r="H311">
        <v>3</v>
      </c>
      <c r="I311">
        <v>249</v>
      </c>
      <c r="J311">
        <v>0.05</v>
      </c>
      <c r="K311">
        <v>49</v>
      </c>
      <c r="L311" t="s">
        <v>125</v>
      </c>
      <c r="M311" t="s">
        <v>126</v>
      </c>
      <c r="N311" t="s">
        <v>31</v>
      </c>
      <c r="O311" t="s">
        <v>32</v>
      </c>
      <c r="P311" t="s">
        <v>80</v>
      </c>
      <c r="Q311">
        <v>4</v>
      </c>
      <c r="R311">
        <f>IFERROR(Table1_1[[#This Row],[Unit_Price]]*Table1_1[[#This Row],[Quantity]],"")</f>
        <v>747</v>
      </c>
      <c r="S311">
        <f>IFERROR(Table1_1[[#This Row],[Gross_Sales]]*Table1_1[[#This Row],[Discount_%]],"")</f>
        <v>37.35</v>
      </c>
      <c r="T311">
        <f>IFERROR(Table1_1[[#This Row],[Gross_Sales]]-Table1_1[[#This Row],[Discount_amount]]+Table1_1[[#This Row],[Shipping_Cost]],"")</f>
        <v>758.65</v>
      </c>
      <c r="U311">
        <f>IFERROR(Table1_1[[#This Row],[Net_Sale]]-(Table1_1[[#This Row],[Gross_Sales]]*70%),"")</f>
        <v>235.75</v>
      </c>
      <c r="V311" s="7">
        <f>IFERROR(Table1_1[[#This Row],[Profit]]/Table1_1[[#This Row],[Net_Sale]],"")</f>
        <v>0.31074935741119092</v>
      </c>
      <c r="W311" t="str">
        <f>TEXT(Table1_1[[#This Row],[Order_Date]],"mmm")</f>
        <v>Jul</v>
      </c>
    </row>
    <row r="312" spans="1:23" x14ac:dyDescent="0.25">
      <c r="A312" t="s">
        <v>606</v>
      </c>
      <c r="B312" t="s">
        <v>607</v>
      </c>
      <c r="C312" s="6">
        <v>45820</v>
      </c>
      <c r="D312" t="s">
        <v>44</v>
      </c>
      <c r="E312" t="s">
        <v>45</v>
      </c>
      <c r="F312" t="s">
        <v>46</v>
      </c>
      <c r="G312" t="s">
        <v>47</v>
      </c>
      <c r="H312">
        <v>1</v>
      </c>
      <c r="I312">
        <v>1199</v>
      </c>
      <c r="J312">
        <v>0.15</v>
      </c>
      <c r="K312">
        <v>0</v>
      </c>
      <c r="L312" t="s">
        <v>39</v>
      </c>
      <c r="M312" t="s">
        <v>39</v>
      </c>
      <c r="N312" t="s">
        <v>50</v>
      </c>
      <c r="O312" t="s">
        <v>51</v>
      </c>
      <c r="P312" t="s">
        <v>80</v>
      </c>
      <c r="Q312">
        <v>3</v>
      </c>
      <c r="R312">
        <f>IFERROR(Table1_1[[#This Row],[Unit_Price]]*Table1_1[[#This Row],[Quantity]],"")</f>
        <v>1199</v>
      </c>
      <c r="S312">
        <f>IFERROR(Table1_1[[#This Row],[Gross_Sales]]*Table1_1[[#This Row],[Discount_%]],"")</f>
        <v>179.85</v>
      </c>
      <c r="T312">
        <f>IFERROR(Table1_1[[#This Row],[Gross_Sales]]-Table1_1[[#This Row],[Discount_amount]]+Table1_1[[#This Row],[Shipping_Cost]],"")</f>
        <v>1019.15</v>
      </c>
      <c r="U312">
        <f>IFERROR(Table1_1[[#This Row],[Net_Sale]]-(Table1_1[[#This Row],[Gross_Sales]]*70%),"")</f>
        <v>179.85000000000002</v>
      </c>
      <c r="V312" s="7">
        <f>IFERROR(Table1_1[[#This Row],[Profit]]/Table1_1[[#This Row],[Net_Sale]],"")</f>
        <v>0.17647058823529416</v>
      </c>
      <c r="W312" t="str">
        <f>TEXT(Table1_1[[#This Row],[Order_Date]],"mmm")</f>
        <v>Jun</v>
      </c>
    </row>
    <row r="313" spans="1:23" x14ac:dyDescent="0.25">
      <c r="A313" t="s">
        <v>608</v>
      </c>
      <c r="B313" t="s">
        <v>609</v>
      </c>
      <c r="C313" s="6">
        <v>45821</v>
      </c>
      <c r="D313" t="s">
        <v>55</v>
      </c>
      <c r="E313" t="s">
        <v>56</v>
      </c>
      <c r="F313" t="s">
        <v>37</v>
      </c>
      <c r="G313" t="s">
        <v>38</v>
      </c>
      <c r="H313">
        <v>1</v>
      </c>
      <c r="I313">
        <v>2499</v>
      </c>
      <c r="J313">
        <v>0.2</v>
      </c>
      <c r="K313">
        <v>59</v>
      </c>
      <c r="L313" t="s">
        <v>113</v>
      </c>
      <c r="M313" t="s">
        <v>114</v>
      </c>
      <c r="N313" t="s">
        <v>31</v>
      </c>
      <c r="O313" t="s">
        <v>51</v>
      </c>
      <c r="P313" t="s">
        <v>33</v>
      </c>
      <c r="Q313">
        <v>2</v>
      </c>
      <c r="R313">
        <f>IFERROR(Table1_1[[#This Row],[Unit_Price]]*Table1_1[[#This Row],[Quantity]],"")</f>
        <v>2499</v>
      </c>
      <c r="S313">
        <f>IFERROR(Table1_1[[#This Row],[Gross_Sales]]*Table1_1[[#This Row],[Discount_%]],"")</f>
        <v>499.8</v>
      </c>
      <c r="T313">
        <f>IFERROR(Table1_1[[#This Row],[Gross_Sales]]-Table1_1[[#This Row],[Discount_amount]]+Table1_1[[#This Row],[Shipping_Cost]],"")</f>
        <v>2058.1999999999998</v>
      </c>
      <c r="U313">
        <f>IFERROR(Table1_1[[#This Row],[Net_Sale]]-(Table1_1[[#This Row],[Gross_Sales]]*70%),"")</f>
        <v>308.89999999999986</v>
      </c>
      <c r="V313" s="7">
        <f>IFERROR(Table1_1[[#This Row],[Profit]]/Table1_1[[#This Row],[Net_Sale]],"")</f>
        <v>0.15008259644349425</v>
      </c>
      <c r="W313" t="str">
        <f>TEXT(Table1_1[[#This Row],[Order_Date]],"mmm")</f>
        <v>Jun</v>
      </c>
    </row>
    <row r="314" spans="1:23" x14ac:dyDescent="0.25">
      <c r="A314" t="s">
        <v>610</v>
      </c>
      <c r="B314" t="s">
        <v>508</v>
      </c>
      <c r="C314" s="6">
        <v>45713</v>
      </c>
      <c r="D314" t="s">
        <v>67</v>
      </c>
      <c r="E314" t="s">
        <v>68</v>
      </c>
      <c r="F314" t="s">
        <v>37</v>
      </c>
      <c r="G314" t="s">
        <v>38</v>
      </c>
      <c r="H314">
        <v>1</v>
      </c>
      <c r="I314">
        <v>1299</v>
      </c>
      <c r="J314">
        <v>0.1</v>
      </c>
      <c r="K314">
        <v>79</v>
      </c>
      <c r="L314" t="s">
        <v>29</v>
      </c>
      <c r="M314" t="s">
        <v>30</v>
      </c>
      <c r="N314" t="s">
        <v>50</v>
      </c>
      <c r="O314" t="s">
        <v>59</v>
      </c>
      <c r="P314" t="s">
        <v>33</v>
      </c>
      <c r="Q314">
        <v>4</v>
      </c>
      <c r="R314">
        <f>IFERROR(Table1_1[[#This Row],[Unit_Price]]*Table1_1[[#This Row],[Quantity]],"")</f>
        <v>1299</v>
      </c>
      <c r="S314">
        <f>IFERROR(Table1_1[[#This Row],[Gross_Sales]]*Table1_1[[#This Row],[Discount_%]],"")</f>
        <v>129.9</v>
      </c>
      <c r="T314">
        <f>IFERROR(Table1_1[[#This Row],[Gross_Sales]]-Table1_1[[#This Row],[Discount_amount]]+Table1_1[[#This Row],[Shipping_Cost]],"")</f>
        <v>1248.0999999999999</v>
      </c>
      <c r="U314">
        <f>IFERROR(Table1_1[[#This Row],[Net_Sale]]-(Table1_1[[#This Row],[Gross_Sales]]*70%),"")</f>
        <v>338.79999999999995</v>
      </c>
      <c r="V314" s="7">
        <f>IFERROR(Table1_1[[#This Row],[Profit]]/Table1_1[[#This Row],[Net_Sale]],"")</f>
        <v>0.27145260796410542</v>
      </c>
      <c r="W314" t="str">
        <f>TEXT(Table1_1[[#This Row],[Order_Date]],"mmm")</f>
        <v>Feb</v>
      </c>
    </row>
    <row r="315" spans="1:23" x14ac:dyDescent="0.25">
      <c r="A315" t="s">
        <v>611</v>
      </c>
      <c r="B315" t="s">
        <v>156</v>
      </c>
      <c r="C315" s="6">
        <v>45709</v>
      </c>
      <c r="D315" t="s">
        <v>96</v>
      </c>
      <c r="E315" t="s">
        <v>97</v>
      </c>
      <c r="F315" t="s">
        <v>98</v>
      </c>
      <c r="G315" t="s">
        <v>99</v>
      </c>
      <c r="H315">
        <v>2</v>
      </c>
      <c r="I315">
        <v>1499</v>
      </c>
      <c r="J315">
        <v>0.2</v>
      </c>
      <c r="K315">
        <v>49</v>
      </c>
      <c r="L315" t="s">
        <v>74</v>
      </c>
      <c r="M315" t="s">
        <v>49</v>
      </c>
      <c r="N315" t="s">
        <v>40</v>
      </c>
      <c r="O315" t="s">
        <v>93</v>
      </c>
      <c r="P315" t="s">
        <v>85</v>
      </c>
      <c r="Q315">
        <v>3</v>
      </c>
      <c r="R315">
        <f>IFERROR(Table1_1[[#This Row],[Unit_Price]]*Table1_1[[#This Row],[Quantity]],"")</f>
        <v>2998</v>
      </c>
      <c r="S315">
        <f>IFERROR(Table1_1[[#This Row],[Gross_Sales]]*Table1_1[[#This Row],[Discount_%]],"")</f>
        <v>599.6</v>
      </c>
      <c r="T315">
        <f>IFERROR(Table1_1[[#This Row],[Gross_Sales]]-Table1_1[[#This Row],[Discount_amount]]+Table1_1[[#This Row],[Shipping_Cost]],"")</f>
        <v>2447.4</v>
      </c>
      <c r="U315">
        <f>IFERROR(Table1_1[[#This Row],[Net_Sale]]-(Table1_1[[#This Row],[Gross_Sales]]*70%),"")</f>
        <v>348.80000000000018</v>
      </c>
      <c r="V315" s="7">
        <f>IFERROR(Table1_1[[#This Row],[Profit]]/Table1_1[[#This Row],[Net_Sale]],"")</f>
        <v>0.14251859115796361</v>
      </c>
      <c r="W315" t="str">
        <f>TEXT(Table1_1[[#This Row],[Order_Date]],"mmm")</f>
        <v>Feb</v>
      </c>
    </row>
    <row r="316" spans="1:23" x14ac:dyDescent="0.25">
      <c r="A316" t="s">
        <v>612</v>
      </c>
      <c r="B316" t="s">
        <v>354</v>
      </c>
      <c r="C316" s="6">
        <v>45791</v>
      </c>
      <c r="D316" t="s">
        <v>35</v>
      </c>
      <c r="E316" t="s">
        <v>36</v>
      </c>
      <c r="F316" t="s">
        <v>37</v>
      </c>
      <c r="G316" t="s">
        <v>38</v>
      </c>
      <c r="H316">
        <v>1</v>
      </c>
      <c r="I316">
        <v>599</v>
      </c>
      <c r="J316">
        <v>0</v>
      </c>
      <c r="K316">
        <v>79</v>
      </c>
      <c r="L316" t="s">
        <v>48</v>
      </c>
      <c r="M316" t="s">
        <v>49</v>
      </c>
      <c r="N316" t="s">
        <v>31</v>
      </c>
      <c r="O316" t="s">
        <v>32</v>
      </c>
      <c r="P316" t="s">
        <v>33</v>
      </c>
      <c r="Q316">
        <v>1</v>
      </c>
      <c r="R316">
        <f>IFERROR(Table1_1[[#This Row],[Unit_Price]]*Table1_1[[#This Row],[Quantity]],"")</f>
        <v>599</v>
      </c>
      <c r="S316">
        <f>IFERROR(Table1_1[[#This Row],[Gross_Sales]]*Table1_1[[#This Row],[Discount_%]],"")</f>
        <v>0</v>
      </c>
      <c r="T316">
        <f>IFERROR(Table1_1[[#This Row],[Gross_Sales]]-Table1_1[[#This Row],[Discount_amount]]+Table1_1[[#This Row],[Shipping_Cost]],"")</f>
        <v>678</v>
      </c>
      <c r="U316">
        <f>IFERROR(Table1_1[[#This Row],[Net_Sale]]-(Table1_1[[#This Row],[Gross_Sales]]*70%),"")</f>
        <v>258.70000000000005</v>
      </c>
      <c r="V316" s="7">
        <f>IFERROR(Table1_1[[#This Row],[Profit]]/Table1_1[[#This Row],[Net_Sale]],"")</f>
        <v>0.38156342182890862</v>
      </c>
      <c r="W316" t="str">
        <f>TEXT(Table1_1[[#This Row],[Order_Date]],"mmm")</f>
        <v>May</v>
      </c>
    </row>
    <row r="317" spans="1:23" x14ac:dyDescent="0.25">
      <c r="A317" t="s">
        <v>613</v>
      </c>
      <c r="B317" t="s">
        <v>265</v>
      </c>
      <c r="C317" s="6">
        <v>45905</v>
      </c>
      <c r="D317" t="s">
        <v>169</v>
      </c>
      <c r="E317" t="s">
        <v>170</v>
      </c>
      <c r="F317" t="s">
        <v>98</v>
      </c>
      <c r="G317" t="s">
        <v>171</v>
      </c>
      <c r="H317">
        <v>5</v>
      </c>
      <c r="I317">
        <v>799</v>
      </c>
      <c r="J317">
        <v>0.2</v>
      </c>
      <c r="K317">
        <v>49</v>
      </c>
      <c r="L317" t="s">
        <v>125</v>
      </c>
      <c r="M317" t="s">
        <v>126</v>
      </c>
      <c r="N317" t="s">
        <v>50</v>
      </c>
      <c r="O317" t="s">
        <v>93</v>
      </c>
      <c r="P317" t="s">
        <v>52</v>
      </c>
      <c r="Q317">
        <v>1</v>
      </c>
      <c r="R317">
        <f>IFERROR(Table1_1[[#This Row],[Unit_Price]]*Table1_1[[#This Row],[Quantity]],"")</f>
        <v>3995</v>
      </c>
      <c r="S317">
        <f>IFERROR(Table1_1[[#This Row],[Gross_Sales]]*Table1_1[[#This Row],[Discount_%]],"")</f>
        <v>799</v>
      </c>
      <c r="T317">
        <f>IFERROR(Table1_1[[#This Row],[Gross_Sales]]-Table1_1[[#This Row],[Discount_amount]]+Table1_1[[#This Row],[Shipping_Cost]],"")</f>
        <v>3245</v>
      </c>
      <c r="U317">
        <f>IFERROR(Table1_1[[#This Row],[Net_Sale]]-(Table1_1[[#This Row],[Gross_Sales]]*70%),"")</f>
        <v>448.5</v>
      </c>
      <c r="V317" s="7">
        <f>IFERROR(Table1_1[[#This Row],[Profit]]/Table1_1[[#This Row],[Net_Sale]],"")</f>
        <v>0.13821263482280433</v>
      </c>
      <c r="W317" t="str">
        <f>TEXT(Table1_1[[#This Row],[Order_Date]],"mmm")</f>
        <v>Sep</v>
      </c>
    </row>
    <row r="318" spans="1:23" x14ac:dyDescent="0.25">
      <c r="A318" t="s">
        <v>614</v>
      </c>
      <c r="B318" t="s">
        <v>76</v>
      </c>
      <c r="C318" s="6">
        <v>45867</v>
      </c>
      <c r="D318" t="s">
        <v>169</v>
      </c>
      <c r="E318" t="s">
        <v>170</v>
      </c>
      <c r="F318" t="s">
        <v>98</v>
      </c>
      <c r="G318" t="s">
        <v>171</v>
      </c>
      <c r="H318">
        <v>5</v>
      </c>
      <c r="I318">
        <v>799</v>
      </c>
      <c r="J318">
        <v>0.2</v>
      </c>
      <c r="K318">
        <v>99</v>
      </c>
      <c r="L318" t="s">
        <v>113</v>
      </c>
      <c r="M318" t="s">
        <v>114</v>
      </c>
      <c r="N318" t="s">
        <v>71</v>
      </c>
      <c r="O318" t="s">
        <v>51</v>
      </c>
      <c r="P318" t="s">
        <v>80</v>
      </c>
      <c r="Q318">
        <v>2</v>
      </c>
      <c r="R318">
        <f>IFERROR(Table1_1[[#This Row],[Unit_Price]]*Table1_1[[#This Row],[Quantity]],"")</f>
        <v>3995</v>
      </c>
      <c r="S318">
        <f>IFERROR(Table1_1[[#This Row],[Gross_Sales]]*Table1_1[[#This Row],[Discount_%]],"")</f>
        <v>799</v>
      </c>
      <c r="T318">
        <f>IFERROR(Table1_1[[#This Row],[Gross_Sales]]-Table1_1[[#This Row],[Discount_amount]]+Table1_1[[#This Row],[Shipping_Cost]],"")</f>
        <v>3295</v>
      </c>
      <c r="U318">
        <f>IFERROR(Table1_1[[#This Row],[Net_Sale]]-(Table1_1[[#This Row],[Gross_Sales]]*70%),"")</f>
        <v>498.5</v>
      </c>
      <c r="V318" s="7">
        <f>IFERROR(Table1_1[[#This Row],[Profit]]/Table1_1[[#This Row],[Net_Sale]],"")</f>
        <v>0.15128983308042487</v>
      </c>
      <c r="W318" t="str">
        <f>TEXT(Table1_1[[#This Row],[Order_Date]],"mmm")</f>
        <v>Jul</v>
      </c>
    </row>
    <row r="319" spans="1:23" x14ac:dyDescent="0.25">
      <c r="A319" t="s">
        <v>615</v>
      </c>
      <c r="B319" t="s">
        <v>616</v>
      </c>
      <c r="C319" s="6">
        <v>45939</v>
      </c>
      <c r="D319" t="s">
        <v>55</v>
      </c>
      <c r="E319" t="s">
        <v>56</v>
      </c>
      <c r="F319" t="s">
        <v>37</v>
      </c>
      <c r="G319" t="s">
        <v>38</v>
      </c>
      <c r="H319">
        <v>1</v>
      </c>
      <c r="I319">
        <v>2499</v>
      </c>
      <c r="J319">
        <v>0.05</v>
      </c>
      <c r="K319">
        <v>0</v>
      </c>
      <c r="L319" t="s">
        <v>39</v>
      </c>
      <c r="M319" t="s">
        <v>39</v>
      </c>
      <c r="N319" t="s">
        <v>31</v>
      </c>
      <c r="O319" t="s">
        <v>51</v>
      </c>
      <c r="P319" t="s">
        <v>33</v>
      </c>
      <c r="Q319">
        <v>3</v>
      </c>
      <c r="R319">
        <f>IFERROR(Table1_1[[#This Row],[Unit_Price]]*Table1_1[[#This Row],[Quantity]],"")</f>
        <v>2499</v>
      </c>
      <c r="S319">
        <f>IFERROR(Table1_1[[#This Row],[Gross_Sales]]*Table1_1[[#This Row],[Discount_%]],"")</f>
        <v>124.95</v>
      </c>
      <c r="T319">
        <f>IFERROR(Table1_1[[#This Row],[Gross_Sales]]-Table1_1[[#This Row],[Discount_amount]]+Table1_1[[#This Row],[Shipping_Cost]],"")</f>
        <v>2374.0500000000002</v>
      </c>
      <c r="U319">
        <f>IFERROR(Table1_1[[#This Row],[Net_Sale]]-(Table1_1[[#This Row],[Gross_Sales]]*70%),"")</f>
        <v>624.75000000000023</v>
      </c>
      <c r="V319" s="7">
        <f>IFERROR(Table1_1[[#This Row],[Profit]]/Table1_1[[#This Row],[Net_Sale]],"")</f>
        <v>0.2631578947368422</v>
      </c>
      <c r="W319" t="str">
        <f>TEXT(Table1_1[[#This Row],[Order_Date]],"mmm")</f>
        <v>Oct</v>
      </c>
    </row>
    <row r="320" spans="1:23" x14ac:dyDescent="0.25">
      <c r="A320" t="s">
        <v>617</v>
      </c>
      <c r="B320" t="s">
        <v>618</v>
      </c>
      <c r="C320" s="6">
        <v>45707</v>
      </c>
      <c r="D320" t="s">
        <v>25</v>
      </c>
      <c r="E320" t="s">
        <v>26</v>
      </c>
      <c r="F320" t="s">
        <v>27</v>
      </c>
      <c r="G320" t="s">
        <v>28</v>
      </c>
      <c r="H320">
        <v>2</v>
      </c>
      <c r="I320">
        <v>249</v>
      </c>
      <c r="J320">
        <v>0.2</v>
      </c>
      <c r="K320">
        <v>59</v>
      </c>
      <c r="L320" t="s">
        <v>125</v>
      </c>
      <c r="M320" t="s">
        <v>126</v>
      </c>
      <c r="N320" t="s">
        <v>40</v>
      </c>
      <c r="O320" t="s">
        <v>93</v>
      </c>
      <c r="P320" t="s">
        <v>33</v>
      </c>
      <c r="Q320">
        <v>3</v>
      </c>
      <c r="R320">
        <f>IFERROR(Table1_1[[#This Row],[Unit_Price]]*Table1_1[[#This Row],[Quantity]],"")</f>
        <v>498</v>
      </c>
      <c r="S320">
        <f>IFERROR(Table1_1[[#This Row],[Gross_Sales]]*Table1_1[[#This Row],[Discount_%]],"")</f>
        <v>99.600000000000009</v>
      </c>
      <c r="T320">
        <f>IFERROR(Table1_1[[#This Row],[Gross_Sales]]-Table1_1[[#This Row],[Discount_amount]]+Table1_1[[#This Row],[Shipping_Cost]],"")</f>
        <v>457.4</v>
      </c>
      <c r="U320">
        <f>IFERROR(Table1_1[[#This Row],[Net_Sale]]-(Table1_1[[#This Row],[Gross_Sales]]*70%),"")</f>
        <v>108.80000000000001</v>
      </c>
      <c r="V320" s="7">
        <f>IFERROR(Table1_1[[#This Row],[Profit]]/Table1_1[[#This Row],[Net_Sale]],"")</f>
        <v>0.23786620026235247</v>
      </c>
      <c r="W320" t="str">
        <f>TEXT(Table1_1[[#This Row],[Order_Date]],"mmm")</f>
        <v>Feb</v>
      </c>
    </row>
    <row r="321" spans="1:23" x14ac:dyDescent="0.25">
      <c r="A321" t="s">
        <v>619</v>
      </c>
      <c r="B321" t="s">
        <v>620</v>
      </c>
      <c r="C321" s="6">
        <v>45996</v>
      </c>
      <c r="D321" t="s">
        <v>96</v>
      </c>
      <c r="E321" t="s">
        <v>97</v>
      </c>
      <c r="F321" t="s">
        <v>98</v>
      </c>
      <c r="G321" t="s">
        <v>99</v>
      </c>
      <c r="H321">
        <v>2</v>
      </c>
      <c r="I321">
        <v>1499</v>
      </c>
      <c r="J321">
        <v>0.15</v>
      </c>
      <c r="K321">
        <v>79</v>
      </c>
      <c r="L321" t="s">
        <v>119</v>
      </c>
      <c r="M321" t="s">
        <v>120</v>
      </c>
      <c r="N321" t="s">
        <v>71</v>
      </c>
      <c r="O321" t="s">
        <v>59</v>
      </c>
      <c r="P321" t="s">
        <v>80</v>
      </c>
      <c r="Q321">
        <v>3</v>
      </c>
      <c r="R321">
        <f>IFERROR(Table1_1[[#This Row],[Unit_Price]]*Table1_1[[#This Row],[Quantity]],"")</f>
        <v>2998</v>
      </c>
      <c r="S321">
        <f>IFERROR(Table1_1[[#This Row],[Gross_Sales]]*Table1_1[[#This Row],[Discount_%]],"")</f>
        <v>449.7</v>
      </c>
      <c r="T321">
        <f>IFERROR(Table1_1[[#This Row],[Gross_Sales]]-Table1_1[[#This Row],[Discount_amount]]+Table1_1[[#This Row],[Shipping_Cost]],"")</f>
        <v>2627.3</v>
      </c>
      <c r="U321">
        <f>IFERROR(Table1_1[[#This Row],[Net_Sale]]-(Table1_1[[#This Row],[Gross_Sales]]*70%),"")</f>
        <v>528.70000000000027</v>
      </c>
      <c r="V321" s="7">
        <f>IFERROR(Table1_1[[#This Row],[Profit]]/Table1_1[[#This Row],[Net_Sale]],"")</f>
        <v>0.2012332051916417</v>
      </c>
      <c r="W321" t="str">
        <f>TEXT(Table1_1[[#This Row],[Order_Date]],"mmm")</f>
        <v>Dec</v>
      </c>
    </row>
    <row r="322" spans="1:23" x14ac:dyDescent="0.25">
      <c r="A322" t="s">
        <v>621</v>
      </c>
      <c r="B322" t="s">
        <v>440</v>
      </c>
      <c r="C322" s="6">
        <v>45883</v>
      </c>
      <c r="D322" t="s">
        <v>105</v>
      </c>
      <c r="E322" t="s">
        <v>106</v>
      </c>
      <c r="F322" t="s">
        <v>37</v>
      </c>
      <c r="G322" t="s">
        <v>107</v>
      </c>
      <c r="H322">
        <v>1</v>
      </c>
      <c r="I322">
        <v>1799</v>
      </c>
      <c r="J322">
        <v>0.05</v>
      </c>
      <c r="K322">
        <v>99</v>
      </c>
      <c r="L322" t="s">
        <v>119</v>
      </c>
      <c r="M322" t="s">
        <v>120</v>
      </c>
      <c r="N322" t="s">
        <v>50</v>
      </c>
      <c r="O322" t="s">
        <v>93</v>
      </c>
      <c r="P322" t="s">
        <v>33</v>
      </c>
      <c r="Q322">
        <v>1</v>
      </c>
      <c r="R322">
        <f>IFERROR(Table1_1[[#This Row],[Unit_Price]]*Table1_1[[#This Row],[Quantity]],"")</f>
        <v>1799</v>
      </c>
      <c r="S322">
        <f>IFERROR(Table1_1[[#This Row],[Gross_Sales]]*Table1_1[[#This Row],[Discount_%]],"")</f>
        <v>89.95</v>
      </c>
      <c r="T322">
        <f>IFERROR(Table1_1[[#This Row],[Gross_Sales]]-Table1_1[[#This Row],[Discount_amount]]+Table1_1[[#This Row],[Shipping_Cost]],"")</f>
        <v>1808.05</v>
      </c>
      <c r="U322">
        <f>IFERROR(Table1_1[[#This Row],[Net_Sale]]-(Table1_1[[#This Row],[Gross_Sales]]*70%),"")</f>
        <v>548.75</v>
      </c>
      <c r="V322" s="7">
        <f>IFERROR(Table1_1[[#This Row],[Profit]]/Table1_1[[#This Row],[Net_Sale]],"")</f>
        <v>0.30350377478498936</v>
      </c>
      <c r="W322" t="str">
        <f>TEXT(Table1_1[[#This Row],[Order_Date]],"mmm")</f>
        <v>Aug</v>
      </c>
    </row>
    <row r="323" spans="1:23" x14ac:dyDescent="0.25">
      <c r="A323" t="s">
        <v>622</v>
      </c>
      <c r="B323" t="s">
        <v>623</v>
      </c>
      <c r="C323" s="6">
        <v>45869</v>
      </c>
      <c r="D323" t="s">
        <v>25</v>
      </c>
      <c r="E323" t="s">
        <v>26</v>
      </c>
      <c r="F323" t="s">
        <v>27</v>
      </c>
      <c r="G323" t="s">
        <v>28</v>
      </c>
      <c r="H323">
        <v>3</v>
      </c>
      <c r="I323">
        <v>249</v>
      </c>
      <c r="J323">
        <v>0</v>
      </c>
      <c r="K323">
        <v>79</v>
      </c>
      <c r="L323" t="s">
        <v>74</v>
      </c>
      <c r="M323" t="s">
        <v>49</v>
      </c>
      <c r="N323" t="s">
        <v>40</v>
      </c>
      <c r="O323" t="s">
        <v>32</v>
      </c>
      <c r="P323" t="s">
        <v>85</v>
      </c>
      <c r="Q323">
        <v>3</v>
      </c>
      <c r="R323">
        <f>IFERROR(Table1_1[[#This Row],[Unit_Price]]*Table1_1[[#This Row],[Quantity]],"")</f>
        <v>747</v>
      </c>
      <c r="S323">
        <f>IFERROR(Table1_1[[#This Row],[Gross_Sales]]*Table1_1[[#This Row],[Discount_%]],"")</f>
        <v>0</v>
      </c>
      <c r="T323">
        <f>IFERROR(Table1_1[[#This Row],[Gross_Sales]]-Table1_1[[#This Row],[Discount_amount]]+Table1_1[[#This Row],[Shipping_Cost]],"")</f>
        <v>826</v>
      </c>
      <c r="U323">
        <f>IFERROR(Table1_1[[#This Row],[Net_Sale]]-(Table1_1[[#This Row],[Gross_Sales]]*70%),"")</f>
        <v>303.10000000000002</v>
      </c>
      <c r="V323" s="7">
        <f>IFERROR(Table1_1[[#This Row],[Profit]]/Table1_1[[#This Row],[Net_Sale]],"")</f>
        <v>0.36694915254237293</v>
      </c>
      <c r="W323" t="str">
        <f>TEXT(Table1_1[[#This Row],[Order_Date]],"mmm")</f>
        <v>Jul</v>
      </c>
    </row>
    <row r="324" spans="1:23" x14ac:dyDescent="0.25">
      <c r="A324" t="s">
        <v>624</v>
      </c>
      <c r="B324" t="s">
        <v>392</v>
      </c>
      <c r="C324" s="6">
        <v>45901</v>
      </c>
      <c r="D324" t="s">
        <v>90</v>
      </c>
      <c r="E324" t="s">
        <v>91</v>
      </c>
      <c r="F324" t="s">
        <v>37</v>
      </c>
      <c r="G324" t="s">
        <v>92</v>
      </c>
      <c r="H324">
        <v>3</v>
      </c>
      <c r="I324">
        <v>3499</v>
      </c>
      <c r="J324">
        <v>0.2</v>
      </c>
      <c r="K324">
        <v>0</v>
      </c>
      <c r="L324" t="s">
        <v>125</v>
      </c>
      <c r="M324" t="s">
        <v>126</v>
      </c>
      <c r="N324" t="s">
        <v>102</v>
      </c>
      <c r="O324" t="s">
        <v>32</v>
      </c>
      <c r="P324" t="s">
        <v>52</v>
      </c>
      <c r="Q324">
        <v>3</v>
      </c>
      <c r="R324">
        <f>IFERROR(Table1_1[[#This Row],[Unit_Price]]*Table1_1[[#This Row],[Quantity]],"")</f>
        <v>10497</v>
      </c>
      <c r="S324">
        <f>IFERROR(Table1_1[[#This Row],[Gross_Sales]]*Table1_1[[#This Row],[Discount_%]],"")</f>
        <v>2099.4</v>
      </c>
      <c r="T324">
        <f>IFERROR(Table1_1[[#This Row],[Gross_Sales]]-Table1_1[[#This Row],[Discount_amount]]+Table1_1[[#This Row],[Shipping_Cost]],"")</f>
        <v>8397.6</v>
      </c>
      <c r="U324">
        <f>IFERROR(Table1_1[[#This Row],[Net_Sale]]-(Table1_1[[#This Row],[Gross_Sales]]*70%),"")</f>
        <v>1049.7000000000007</v>
      </c>
      <c r="V324" s="7">
        <f>IFERROR(Table1_1[[#This Row],[Profit]]/Table1_1[[#This Row],[Net_Sale]],"")</f>
        <v>0.12500000000000008</v>
      </c>
      <c r="W324" t="str">
        <f>TEXT(Table1_1[[#This Row],[Order_Date]],"mmm")</f>
        <v>Sep</v>
      </c>
    </row>
    <row r="325" spans="1:23" x14ac:dyDescent="0.25">
      <c r="A325" t="s">
        <v>625</v>
      </c>
      <c r="B325" t="s">
        <v>626</v>
      </c>
      <c r="C325" s="6">
        <v>45887</v>
      </c>
      <c r="D325" t="s">
        <v>44</v>
      </c>
      <c r="E325" t="s">
        <v>45</v>
      </c>
      <c r="F325" t="s">
        <v>46</v>
      </c>
      <c r="G325" t="s">
        <v>47</v>
      </c>
      <c r="H325">
        <v>1</v>
      </c>
      <c r="I325">
        <v>1199</v>
      </c>
      <c r="J325">
        <v>0</v>
      </c>
      <c r="K325">
        <v>49</v>
      </c>
      <c r="L325" t="s">
        <v>627</v>
      </c>
      <c r="M325" t="s">
        <v>126</v>
      </c>
      <c r="N325" t="s">
        <v>40</v>
      </c>
      <c r="O325" t="s">
        <v>93</v>
      </c>
      <c r="P325" t="s">
        <v>33</v>
      </c>
      <c r="Q325">
        <v>3</v>
      </c>
      <c r="R325">
        <f>IFERROR(Table1_1[[#This Row],[Unit_Price]]*Table1_1[[#This Row],[Quantity]],"")</f>
        <v>1199</v>
      </c>
      <c r="S325">
        <f>IFERROR(Table1_1[[#This Row],[Gross_Sales]]*Table1_1[[#This Row],[Discount_%]],"")</f>
        <v>0</v>
      </c>
      <c r="T325">
        <f>IFERROR(Table1_1[[#This Row],[Gross_Sales]]-Table1_1[[#This Row],[Discount_amount]]+Table1_1[[#This Row],[Shipping_Cost]],"")</f>
        <v>1248</v>
      </c>
      <c r="U325">
        <f>IFERROR(Table1_1[[#This Row],[Net_Sale]]-(Table1_1[[#This Row],[Gross_Sales]]*70%),"")</f>
        <v>408.70000000000005</v>
      </c>
      <c r="V325" s="7">
        <f>IFERROR(Table1_1[[#This Row],[Profit]]/Table1_1[[#This Row],[Net_Sale]],"")</f>
        <v>0.32748397435897442</v>
      </c>
      <c r="W325" t="str">
        <f>TEXT(Table1_1[[#This Row],[Order_Date]],"mmm")</f>
        <v>Aug</v>
      </c>
    </row>
    <row r="326" spans="1:23" x14ac:dyDescent="0.25">
      <c r="A326" t="s">
        <v>628</v>
      </c>
      <c r="B326" t="s">
        <v>138</v>
      </c>
      <c r="C326" s="6">
        <v>45979</v>
      </c>
      <c r="D326" t="s">
        <v>96</v>
      </c>
      <c r="E326" t="s">
        <v>97</v>
      </c>
      <c r="F326" t="s">
        <v>98</v>
      </c>
      <c r="G326" t="s">
        <v>99</v>
      </c>
      <c r="H326">
        <v>5</v>
      </c>
      <c r="I326">
        <v>1499</v>
      </c>
      <c r="J326">
        <v>0.05</v>
      </c>
      <c r="K326">
        <v>59</v>
      </c>
      <c r="L326" t="s">
        <v>113</v>
      </c>
      <c r="M326" t="s">
        <v>114</v>
      </c>
      <c r="N326" t="s">
        <v>31</v>
      </c>
      <c r="O326" t="s">
        <v>59</v>
      </c>
      <c r="P326" t="s">
        <v>85</v>
      </c>
      <c r="Q326">
        <v>5</v>
      </c>
      <c r="R326">
        <f>IFERROR(Table1_1[[#This Row],[Unit_Price]]*Table1_1[[#This Row],[Quantity]],"")</f>
        <v>7495</v>
      </c>
      <c r="S326">
        <f>IFERROR(Table1_1[[#This Row],[Gross_Sales]]*Table1_1[[#This Row],[Discount_%]],"")</f>
        <v>374.75</v>
      </c>
      <c r="T326">
        <f>IFERROR(Table1_1[[#This Row],[Gross_Sales]]-Table1_1[[#This Row],[Discount_amount]]+Table1_1[[#This Row],[Shipping_Cost]],"")</f>
        <v>7179.25</v>
      </c>
      <c r="U326">
        <f>IFERROR(Table1_1[[#This Row],[Net_Sale]]-(Table1_1[[#This Row],[Gross_Sales]]*70%),"")</f>
        <v>1932.75</v>
      </c>
      <c r="V326" s="7">
        <f>IFERROR(Table1_1[[#This Row],[Profit]]/Table1_1[[#This Row],[Net_Sale]],"")</f>
        <v>0.26921335794128914</v>
      </c>
      <c r="W326" t="str">
        <f>TEXT(Table1_1[[#This Row],[Order_Date]],"mmm")</f>
        <v>Nov</v>
      </c>
    </row>
    <row r="327" spans="1:23" x14ac:dyDescent="0.25">
      <c r="A327" t="s">
        <v>629</v>
      </c>
      <c r="B327" t="s">
        <v>623</v>
      </c>
      <c r="C327" s="6">
        <v>45799</v>
      </c>
      <c r="D327" t="s">
        <v>96</v>
      </c>
      <c r="E327" t="s">
        <v>97</v>
      </c>
      <c r="F327" t="s">
        <v>98</v>
      </c>
      <c r="G327" t="s">
        <v>99</v>
      </c>
      <c r="H327">
        <v>1</v>
      </c>
      <c r="I327">
        <v>1499</v>
      </c>
      <c r="J327">
        <v>0.2</v>
      </c>
      <c r="K327">
        <v>99</v>
      </c>
      <c r="L327" t="s">
        <v>83</v>
      </c>
      <c r="M327" t="s">
        <v>84</v>
      </c>
      <c r="N327" t="s">
        <v>40</v>
      </c>
      <c r="O327" t="s">
        <v>93</v>
      </c>
      <c r="P327" t="s">
        <v>33</v>
      </c>
      <c r="Q327">
        <v>4</v>
      </c>
      <c r="R327">
        <f>IFERROR(Table1_1[[#This Row],[Unit_Price]]*Table1_1[[#This Row],[Quantity]],"")</f>
        <v>1499</v>
      </c>
      <c r="S327">
        <f>IFERROR(Table1_1[[#This Row],[Gross_Sales]]*Table1_1[[#This Row],[Discount_%]],"")</f>
        <v>299.8</v>
      </c>
      <c r="T327">
        <f>IFERROR(Table1_1[[#This Row],[Gross_Sales]]-Table1_1[[#This Row],[Discount_amount]]+Table1_1[[#This Row],[Shipping_Cost]],"")</f>
        <v>1298.2</v>
      </c>
      <c r="U327">
        <f>IFERROR(Table1_1[[#This Row],[Net_Sale]]-(Table1_1[[#This Row],[Gross_Sales]]*70%),"")</f>
        <v>248.90000000000009</v>
      </c>
      <c r="V327" s="7">
        <f>IFERROR(Table1_1[[#This Row],[Profit]]/Table1_1[[#This Row],[Net_Sale]],"")</f>
        <v>0.19172700662455713</v>
      </c>
      <c r="W327" t="str">
        <f>TEXT(Table1_1[[#This Row],[Order_Date]],"mmm")</f>
        <v>May</v>
      </c>
    </row>
    <row r="328" spans="1:23" x14ac:dyDescent="0.25">
      <c r="A328" t="s">
        <v>630</v>
      </c>
      <c r="B328" t="s">
        <v>332</v>
      </c>
      <c r="C328" s="6">
        <v>45956</v>
      </c>
      <c r="D328" t="s">
        <v>105</v>
      </c>
      <c r="E328" t="s">
        <v>106</v>
      </c>
      <c r="F328" t="s">
        <v>37</v>
      </c>
      <c r="G328" t="s">
        <v>107</v>
      </c>
      <c r="H328">
        <v>2</v>
      </c>
      <c r="I328">
        <v>1799</v>
      </c>
      <c r="J328">
        <v>0.15</v>
      </c>
      <c r="K328">
        <v>0</v>
      </c>
      <c r="L328" t="s">
        <v>100</v>
      </c>
      <c r="M328" t="s">
        <v>101</v>
      </c>
      <c r="N328" t="s">
        <v>102</v>
      </c>
      <c r="O328" t="s">
        <v>51</v>
      </c>
      <c r="P328" t="s">
        <v>33</v>
      </c>
      <c r="Q328">
        <v>4</v>
      </c>
      <c r="R328">
        <f>IFERROR(Table1_1[[#This Row],[Unit_Price]]*Table1_1[[#This Row],[Quantity]],"")</f>
        <v>3598</v>
      </c>
      <c r="S328">
        <f>IFERROR(Table1_1[[#This Row],[Gross_Sales]]*Table1_1[[#This Row],[Discount_%]],"")</f>
        <v>539.69999999999993</v>
      </c>
      <c r="T328">
        <f>IFERROR(Table1_1[[#This Row],[Gross_Sales]]-Table1_1[[#This Row],[Discount_amount]]+Table1_1[[#This Row],[Shipping_Cost]],"")</f>
        <v>3058.3</v>
      </c>
      <c r="U328">
        <f>IFERROR(Table1_1[[#This Row],[Net_Sale]]-(Table1_1[[#This Row],[Gross_Sales]]*70%),"")</f>
        <v>539.70000000000027</v>
      </c>
      <c r="V328" s="7">
        <f>IFERROR(Table1_1[[#This Row],[Profit]]/Table1_1[[#This Row],[Net_Sale]],"")</f>
        <v>0.17647058823529418</v>
      </c>
      <c r="W328" t="str">
        <f>TEXT(Table1_1[[#This Row],[Order_Date]],"mmm")</f>
        <v>Oct</v>
      </c>
    </row>
    <row r="329" spans="1:23" x14ac:dyDescent="0.25">
      <c r="A329" t="s">
        <v>631</v>
      </c>
      <c r="B329" t="s">
        <v>128</v>
      </c>
      <c r="C329" s="6">
        <v>45950</v>
      </c>
      <c r="D329" t="s">
        <v>110</v>
      </c>
      <c r="E329" t="s">
        <v>111</v>
      </c>
      <c r="F329" t="s">
        <v>98</v>
      </c>
      <c r="G329" t="s">
        <v>112</v>
      </c>
      <c r="H329">
        <v>2</v>
      </c>
      <c r="I329">
        <v>2999</v>
      </c>
      <c r="J329">
        <v>0</v>
      </c>
      <c r="K329">
        <v>59</v>
      </c>
      <c r="L329" t="s">
        <v>57</v>
      </c>
      <c r="M329" t="s">
        <v>58</v>
      </c>
      <c r="N329" t="s">
        <v>50</v>
      </c>
      <c r="O329" t="s">
        <v>32</v>
      </c>
      <c r="P329" t="s">
        <v>33</v>
      </c>
      <c r="Q329">
        <v>5</v>
      </c>
      <c r="R329">
        <f>IFERROR(Table1_1[[#This Row],[Unit_Price]]*Table1_1[[#This Row],[Quantity]],"")</f>
        <v>5998</v>
      </c>
      <c r="S329">
        <f>IFERROR(Table1_1[[#This Row],[Gross_Sales]]*Table1_1[[#This Row],[Discount_%]],"")</f>
        <v>0</v>
      </c>
      <c r="T329">
        <f>IFERROR(Table1_1[[#This Row],[Gross_Sales]]-Table1_1[[#This Row],[Discount_amount]]+Table1_1[[#This Row],[Shipping_Cost]],"")</f>
        <v>6057</v>
      </c>
      <c r="U329">
        <f>IFERROR(Table1_1[[#This Row],[Net_Sale]]-(Table1_1[[#This Row],[Gross_Sales]]*70%),"")</f>
        <v>1858.4000000000005</v>
      </c>
      <c r="V329" s="7">
        <f>IFERROR(Table1_1[[#This Row],[Profit]]/Table1_1[[#This Row],[Net_Sale]],"")</f>
        <v>0.30681855704143973</v>
      </c>
      <c r="W329" t="str">
        <f>TEXT(Table1_1[[#This Row],[Order_Date]],"mmm")</f>
        <v>Oct</v>
      </c>
    </row>
    <row r="330" spans="1:23" x14ac:dyDescent="0.25">
      <c r="A330" t="s">
        <v>632</v>
      </c>
      <c r="B330" t="s">
        <v>73</v>
      </c>
      <c r="C330" s="6">
        <v>45827</v>
      </c>
      <c r="D330" t="s">
        <v>25</v>
      </c>
      <c r="E330" t="s">
        <v>26</v>
      </c>
      <c r="F330" t="s">
        <v>27</v>
      </c>
      <c r="G330" t="s">
        <v>28</v>
      </c>
      <c r="H330">
        <v>1</v>
      </c>
      <c r="I330">
        <v>249</v>
      </c>
      <c r="J330">
        <v>0.2</v>
      </c>
      <c r="K330">
        <v>79</v>
      </c>
      <c r="L330" t="s">
        <v>57</v>
      </c>
      <c r="M330" t="s">
        <v>58</v>
      </c>
      <c r="N330" t="s">
        <v>71</v>
      </c>
      <c r="O330" t="s">
        <v>93</v>
      </c>
      <c r="P330" t="s">
        <v>33</v>
      </c>
      <c r="Q330">
        <v>3</v>
      </c>
      <c r="R330">
        <f>IFERROR(Table1_1[[#This Row],[Unit_Price]]*Table1_1[[#This Row],[Quantity]],"")</f>
        <v>249</v>
      </c>
      <c r="S330">
        <f>IFERROR(Table1_1[[#This Row],[Gross_Sales]]*Table1_1[[#This Row],[Discount_%]],"")</f>
        <v>49.800000000000004</v>
      </c>
      <c r="T330">
        <f>IFERROR(Table1_1[[#This Row],[Gross_Sales]]-Table1_1[[#This Row],[Discount_amount]]+Table1_1[[#This Row],[Shipping_Cost]],"")</f>
        <v>278.2</v>
      </c>
      <c r="U330">
        <f>IFERROR(Table1_1[[#This Row],[Net_Sale]]-(Table1_1[[#This Row],[Gross_Sales]]*70%),"")</f>
        <v>103.9</v>
      </c>
      <c r="V330" s="7">
        <f>IFERROR(Table1_1[[#This Row],[Profit]]/Table1_1[[#This Row],[Net_Sale]],"")</f>
        <v>0.37347232207045294</v>
      </c>
      <c r="W330" t="str">
        <f>TEXT(Table1_1[[#This Row],[Order_Date]],"mmm")</f>
        <v>Jun</v>
      </c>
    </row>
    <row r="331" spans="1:23" x14ac:dyDescent="0.25">
      <c r="A331" t="s">
        <v>633</v>
      </c>
      <c r="B331" t="s">
        <v>634</v>
      </c>
      <c r="C331" s="6">
        <v>45909</v>
      </c>
      <c r="D331" t="s">
        <v>110</v>
      </c>
      <c r="E331" t="s">
        <v>111</v>
      </c>
      <c r="F331" t="s">
        <v>98</v>
      </c>
      <c r="G331" t="s">
        <v>112</v>
      </c>
      <c r="H331">
        <v>1</v>
      </c>
      <c r="I331">
        <v>2999</v>
      </c>
      <c r="J331">
        <v>0</v>
      </c>
      <c r="K331">
        <v>49</v>
      </c>
      <c r="L331" t="s">
        <v>48</v>
      </c>
      <c r="M331" t="s">
        <v>49</v>
      </c>
      <c r="N331" t="s">
        <v>40</v>
      </c>
      <c r="O331" t="s">
        <v>51</v>
      </c>
      <c r="P331" t="s">
        <v>33</v>
      </c>
      <c r="Q331">
        <v>3</v>
      </c>
      <c r="R331">
        <f>IFERROR(Table1_1[[#This Row],[Unit_Price]]*Table1_1[[#This Row],[Quantity]],"")</f>
        <v>2999</v>
      </c>
      <c r="S331">
        <f>IFERROR(Table1_1[[#This Row],[Gross_Sales]]*Table1_1[[#This Row],[Discount_%]],"")</f>
        <v>0</v>
      </c>
      <c r="T331">
        <f>IFERROR(Table1_1[[#This Row],[Gross_Sales]]-Table1_1[[#This Row],[Discount_amount]]+Table1_1[[#This Row],[Shipping_Cost]],"")</f>
        <v>3048</v>
      </c>
      <c r="U331">
        <f>IFERROR(Table1_1[[#This Row],[Net_Sale]]-(Table1_1[[#This Row],[Gross_Sales]]*70%),"")</f>
        <v>948.70000000000027</v>
      </c>
      <c r="V331" s="7">
        <f>IFERROR(Table1_1[[#This Row],[Profit]]/Table1_1[[#This Row],[Net_Sale]],"")</f>
        <v>0.31125328083989512</v>
      </c>
      <c r="W331" t="str">
        <f>TEXT(Table1_1[[#This Row],[Order_Date]],"mmm")</f>
        <v>Sep</v>
      </c>
    </row>
    <row r="332" spans="1:23" x14ac:dyDescent="0.25">
      <c r="A332" t="s">
        <v>636</v>
      </c>
      <c r="B332" t="s">
        <v>516</v>
      </c>
      <c r="C332" s="6">
        <v>45703</v>
      </c>
      <c r="D332" t="s">
        <v>77</v>
      </c>
      <c r="E332" t="s">
        <v>78</v>
      </c>
      <c r="F332" t="s">
        <v>79</v>
      </c>
      <c r="G332" t="s">
        <v>28</v>
      </c>
      <c r="H332">
        <v>2</v>
      </c>
      <c r="I332">
        <v>6499</v>
      </c>
      <c r="J332">
        <v>0.1</v>
      </c>
      <c r="K332">
        <v>79</v>
      </c>
      <c r="L332" t="s">
        <v>57</v>
      </c>
      <c r="M332" t="s">
        <v>58</v>
      </c>
      <c r="N332" t="s">
        <v>71</v>
      </c>
      <c r="O332" t="s">
        <v>93</v>
      </c>
      <c r="P332" t="s">
        <v>33</v>
      </c>
      <c r="Q332">
        <v>5</v>
      </c>
      <c r="R332">
        <f>IFERROR(Table1_1[[#This Row],[Unit_Price]]*Table1_1[[#This Row],[Quantity]],"")</f>
        <v>12998</v>
      </c>
      <c r="S332">
        <f>IFERROR(Table1_1[[#This Row],[Gross_Sales]]*Table1_1[[#This Row],[Discount_%]],"")</f>
        <v>1299.8000000000002</v>
      </c>
      <c r="T332">
        <f>IFERROR(Table1_1[[#This Row],[Gross_Sales]]-Table1_1[[#This Row],[Discount_amount]]+Table1_1[[#This Row],[Shipping_Cost]],"")</f>
        <v>11777.2</v>
      </c>
      <c r="U332">
        <f>IFERROR(Table1_1[[#This Row],[Net_Sale]]-(Table1_1[[#This Row],[Gross_Sales]]*70%),"")</f>
        <v>2678.6000000000022</v>
      </c>
      <c r="V332" s="7">
        <f>IFERROR(Table1_1[[#This Row],[Profit]]/Table1_1[[#This Row],[Net_Sale]],"")</f>
        <v>0.22743945929422971</v>
      </c>
      <c r="W332" t="str">
        <f>TEXT(Table1_1[[#This Row],[Order_Date]],"mmm")</f>
        <v>Feb</v>
      </c>
    </row>
    <row r="333" spans="1:23" x14ac:dyDescent="0.25">
      <c r="A333" t="s">
        <v>637</v>
      </c>
      <c r="B333" t="s">
        <v>589</v>
      </c>
      <c r="C333" s="6">
        <v>45917</v>
      </c>
      <c r="D333" t="s">
        <v>105</v>
      </c>
      <c r="E333" t="s">
        <v>106</v>
      </c>
      <c r="F333" t="s">
        <v>37</v>
      </c>
      <c r="G333" t="s">
        <v>107</v>
      </c>
      <c r="H333">
        <v>1</v>
      </c>
      <c r="I333">
        <v>1799</v>
      </c>
      <c r="J333">
        <v>0.15</v>
      </c>
      <c r="K333">
        <v>0</v>
      </c>
      <c r="L333" t="s">
        <v>29</v>
      </c>
      <c r="M333" t="s">
        <v>30</v>
      </c>
      <c r="N333" t="s">
        <v>50</v>
      </c>
      <c r="O333" t="s">
        <v>41</v>
      </c>
      <c r="P333" t="s">
        <v>85</v>
      </c>
      <c r="Q333">
        <v>3</v>
      </c>
      <c r="R333">
        <f>IFERROR(Table1_1[[#This Row],[Unit_Price]]*Table1_1[[#This Row],[Quantity]],"")</f>
        <v>1799</v>
      </c>
      <c r="S333">
        <f>IFERROR(Table1_1[[#This Row],[Gross_Sales]]*Table1_1[[#This Row],[Discount_%]],"")</f>
        <v>269.84999999999997</v>
      </c>
      <c r="T333">
        <f>IFERROR(Table1_1[[#This Row],[Gross_Sales]]-Table1_1[[#This Row],[Discount_amount]]+Table1_1[[#This Row],[Shipping_Cost]],"")</f>
        <v>1529.15</v>
      </c>
      <c r="U333">
        <f>IFERROR(Table1_1[[#This Row],[Net_Sale]]-(Table1_1[[#This Row],[Gross_Sales]]*70%),"")</f>
        <v>269.85000000000014</v>
      </c>
      <c r="V333" s="7">
        <f>IFERROR(Table1_1[[#This Row],[Profit]]/Table1_1[[#This Row],[Net_Sale]],"")</f>
        <v>0.17647058823529418</v>
      </c>
      <c r="W333" t="str">
        <f>TEXT(Table1_1[[#This Row],[Order_Date]],"mmm")</f>
        <v>Sep</v>
      </c>
    </row>
    <row r="334" spans="1:23" x14ac:dyDescent="0.25">
      <c r="A334" t="s">
        <v>638</v>
      </c>
      <c r="B334" t="s">
        <v>283</v>
      </c>
      <c r="C334" s="6">
        <v>45683</v>
      </c>
      <c r="D334" t="s">
        <v>35</v>
      </c>
      <c r="E334" t="s">
        <v>36</v>
      </c>
      <c r="F334" t="s">
        <v>37</v>
      </c>
      <c r="G334" t="s">
        <v>38</v>
      </c>
      <c r="H334">
        <v>1</v>
      </c>
      <c r="I334">
        <v>599</v>
      </c>
      <c r="J334">
        <v>0.05</v>
      </c>
      <c r="K334">
        <v>59</v>
      </c>
      <c r="L334" t="s">
        <v>113</v>
      </c>
      <c r="M334" t="s">
        <v>114</v>
      </c>
      <c r="N334" t="s">
        <v>102</v>
      </c>
      <c r="O334" t="s">
        <v>59</v>
      </c>
      <c r="P334" t="s">
        <v>33</v>
      </c>
      <c r="Q334">
        <v>3</v>
      </c>
      <c r="R334">
        <f>IFERROR(Table1_1[[#This Row],[Unit_Price]]*Table1_1[[#This Row],[Quantity]],"")</f>
        <v>599</v>
      </c>
      <c r="S334">
        <f>IFERROR(Table1_1[[#This Row],[Gross_Sales]]*Table1_1[[#This Row],[Discount_%]],"")</f>
        <v>29.950000000000003</v>
      </c>
      <c r="T334">
        <f>IFERROR(Table1_1[[#This Row],[Gross_Sales]]-Table1_1[[#This Row],[Discount_amount]]+Table1_1[[#This Row],[Shipping_Cost]],"")</f>
        <v>628.04999999999995</v>
      </c>
      <c r="U334">
        <f>IFERROR(Table1_1[[#This Row],[Net_Sale]]-(Table1_1[[#This Row],[Gross_Sales]]*70%),"")</f>
        <v>208.75</v>
      </c>
      <c r="V334" s="7">
        <f>IFERROR(Table1_1[[#This Row],[Profit]]/Table1_1[[#This Row],[Net_Sale]],"")</f>
        <v>0.33237799538253326</v>
      </c>
      <c r="W334" t="str">
        <f>TEXT(Table1_1[[#This Row],[Order_Date]],"mmm")</f>
        <v>Jan</v>
      </c>
    </row>
    <row r="335" spans="1:23" x14ac:dyDescent="0.25">
      <c r="A335" t="s">
        <v>639</v>
      </c>
      <c r="B335" t="s">
        <v>640</v>
      </c>
      <c r="C335" s="6">
        <v>45908</v>
      </c>
      <c r="D335" t="s">
        <v>55</v>
      </c>
      <c r="E335" t="s">
        <v>56</v>
      </c>
      <c r="F335" t="s">
        <v>37</v>
      </c>
      <c r="G335" t="s">
        <v>38</v>
      </c>
      <c r="H335">
        <v>1</v>
      </c>
      <c r="I335">
        <v>2499</v>
      </c>
      <c r="J335">
        <v>0.1</v>
      </c>
      <c r="K335">
        <v>99</v>
      </c>
      <c r="L335" t="s">
        <v>39</v>
      </c>
      <c r="M335" t="s">
        <v>39</v>
      </c>
      <c r="N335" t="s">
        <v>71</v>
      </c>
      <c r="O335" t="s">
        <v>51</v>
      </c>
      <c r="P335" t="s">
        <v>33</v>
      </c>
      <c r="Q335">
        <v>2</v>
      </c>
      <c r="R335">
        <f>IFERROR(Table1_1[[#This Row],[Unit_Price]]*Table1_1[[#This Row],[Quantity]],"")</f>
        <v>2499</v>
      </c>
      <c r="S335">
        <f>IFERROR(Table1_1[[#This Row],[Gross_Sales]]*Table1_1[[#This Row],[Discount_%]],"")</f>
        <v>249.9</v>
      </c>
      <c r="T335">
        <f>IFERROR(Table1_1[[#This Row],[Gross_Sales]]-Table1_1[[#This Row],[Discount_amount]]+Table1_1[[#This Row],[Shipping_Cost]],"")</f>
        <v>2348.1</v>
      </c>
      <c r="U335">
        <f>IFERROR(Table1_1[[#This Row],[Net_Sale]]-(Table1_1[[#This Row],[Gross_Sales]]*70%),"")</f>
        <v>598.79999999999995</v>
      </c>
      <c r="V335" s="7">
        <f>IFERROR(Table1_1[[#This Row],[Profit]]/Table1_1[[#This Row],[Net_Sale]],"")</f>
        <v>0.25501469273029259</v>
      </c>
      <c r="W335" t="str">
        <f>TEXT(Table1_1[[#This Row],[Order_Date]],"mmm")</f>
        <v>Sep</v>
      </c>
    </row>
    <row r="336" spans="1:23" x14ac:dyDescent="0.25">
      <c r="A336" t="s">
        <v>641</v>
      </c>
      <c r="B336" t="s">
        <v>642</v>
      </c>
      <c r="C336" s="6">
        <v>45855</v>
      </c>
      <c r="D336" t="s">
        <v>110</v>
      </c>
      <c r="E336" t="s">
        <v>111</v>
      </c>
      <c r="F336" t="s">
        <v>98</v>
      </c>
      <c r="G336" t="s">
        <v>112</v>
      </c>
      <c r="H336">
        <v>1</v>
      </c>
      <c r="I336">
        <v>2999</v>
      </c>
      <c r="J336">
        <v>0</v>
      </c>
      <c r="K336">
        <v>49</v>
      </c>
      <c r="L336" t="s">
        <v>29</v>
      </c>
      <c r="M336" t="s">
        <v>30</v>
      </c>
      <c r="N336" t="s">
        <v>50</v>
      </c>
      <c r="O336" t="s">
        <v>51</v>
      </c>
      <c r="P336" t="s">
        <v>85</v>
      </c>
      <c r="Q336">
        <v>3</v>
      </c>
      <c r="R336">
        <f>IFERROR(Table1_1[[#This Row],[Unit_Price]]*Table1_1[[#This Row],[Quantity]],"")</f>
        <v>2999</v>
      </c>
      <c r="S336">
        <f>IFERROR(Table1_1[[#This Row],[Gross_Sales]]*Table1_1[[#This Row],[Discount_%]],"")</f>
        <v>0</v>
      </c>
      <c r="T336">
        <f>IFERROR(Table1_1[[#This Row],[Gross_Sales]]-Table1_1[[#This Row],[Discount_amount]]+Table1_1[[#This Row],[Shipping_Cost]],"")</f>
        <v>3048</v>
      </c>
      <c r="U336">
        <f>IFERROR(Table1_1[[#This Row],[Net_Sale]]-(Table1_1[[#This Row],[Gross_Sales]]*70%),"")</f>
        <v>948.70000000000027</v>
      </c>
      <c r="V336" s="7">
        <f>IFERROR(Table1_1[[#This Row],[Profit]]/Table1_1[[#This Row],[Net_Sale]],"")</f>
        <v>0.31125328083989512</v>
      </c>
      <c r="W336" t="str">
        <f>TEXT(Table1_1[[#This Row],[Order_Date]],"mmm")</f>
        <v>Jul</v>
      </c>
    </row>
    <row r="337" spans="1:23" x14ac:dyDescent="0.25">
      <c r="A337" t="s">
        <v>643</v>
      </c>
      <c r="B337" t="s">
        <v>146</v>
      </c>
      <c r="C337" s="6">
        <v>46007</v>
      </c>
      <c r="D337" t="s">
        <v>96</v>
      </c>
      <c r="E337" t="s">
        <v>97</v>
      </c>
      <c r="F337" t="s">
        <v>98</v>
      </c>
      <c r="G337" t="s">
        <v>99</v>
      </c>
      <c r="H337">
        <v>1</v>
      </c>
      <c r="I337">
        <v>1499</v>
      </c>
      <c r="J337">
        <v>0.2</v>
      </c>
      <c r="K337">
        <v>49</v>
      </c>
      <c r="L337" t="s">
        <v>83</v>
      </c>
      <c r="M337" t="s">
        <v>84</v>
      </c>
      <c r="N337" t="s">
        <v>50</v>
      </c>
      <c r="O337" t="s">
        <v>51</v>
      </c>
      <c r="P337" t="s">
        <v>33</v>
      </c>
      <c r="Q337">
        <v>5</v>
      </c>
      <c r="R337">
        <f>IFERROR(Table1_1[[#This Row],[Unit_Price]]*Table1_1[[#This Row],[Quantity]],"")</f>
        <v>1499</v>
      </c>
      <c r="S337">
        <f>IFERROR(Table1_1[[#This Row],[Gross_Sales]]*Table1_1[[#This Row],[Discount_%]],"")</f>
        <v>299.8</v>
      </c>
      <c r="T337">
        <f>IFERROR(Table1_1[[#This Row],[Gross_Sales]]-Table1_1[[#This Row],[Discount_amount]]+Table1_1[[#This Row],[Shipping_Cost]],"")</f>
        <v>1248.2</v>
      </c>
      <c r="U337">
        <f>IFERROR(Table1_1[[#This Row],[Net_Sale]]-(Table1_1[[#This Row],[Gross_Sales]]*70%),"")</f>
        <v>198.90000000000009</v>
      </c>
      <c r="V337" s="7">
        <f>IFERROR(Table1_1[[#This Row],[Profit]]/Table1_1[[#This Row],[Net_Sale]],"")</f>
        <v>0.15934946322704702</v>
      </c>
      <c r="W337" t="str">
        <f>TEXT(Table1_1[[#This Row],[Order_Date]],"mmm")</f>
        <v>Dec</v>
      </c>
    </row>
    <row r="338" spans="1:23" x14ac:dyDescent="0.25">
      <c r="A338" t="s">
        <v>644</v>
      </c>
      <c r="B338" t="s">
        <v>296</v>
      </c>
      <c r="C338" s="6">
        <v>45850</v>
      </c>
      <c r="D338" t="s">
        <v>110</v>
      </c>
      <c r="E338" t="s">
        <v>111</v>
      </c>
      <c r="F338" t="s">
        <v>98</v>
      </c>
      <c r="G338" t="s">
        <v>112</v>
      </c>
      <c r="H338">
        <v>1</v>
      </c>
      <c r="I338">
        <v>2999</v>
      </c>
      <c r="J338">
        <v>0</v>
      </c>
      <c r="K338">
        <v>79</v>
      </c>
      <c r="L338" t="s">
        <v>48</v>
      </c>
      <c r="M338" t="s">
        <v>49</v>
      </c>
      <c r="N338" t="s">
        <v>102</v>
      </c>
      <c r="O338" t="s">
        <v>32</v>
      </c>
      <c r="P338" t="s">
        <v>33</v>
      </c>
      <c r="Q338">
        <v>4</v>
      </c>
      <c r="R338">
        <f>IFERROR(Table1_1[[#This Row],[Unit_Price]]*Table1_1[[#This Row],[Quantity]],"")</f>
        <v>2999</v>
      </c>
      <c r="S338">
        <f>IFERROR(Table1_1[[#This Row],[Gross_Sales]]*Table1_1[[#This Row],[Discount_%]],"")</f>
        <v>0</v>
      </c>
      <c r="T338">
        <f>IFERROR(Table1_1[[#This Row],[Gross_Sales]]-Table1_1[[#This Row],[Discount_amount]]+Table1_1[[#This Row],[Shipping_Cost]],"")</f>
        <v>3078</v>
      </c>
      <c r="U338">
        <f>IFERROR(Table1_1[[#This Row],[Net_Sale]]-(Table1_1[[#This Row],[Gross_Sales]]*70%),"")</f>
        <v>978.70000000000027</v>
      </c>
      <c r="V338" s="7">
        <f>IFERROR(Table1_1[[#This Row],[Profit]]/Table1_1[[#This Row],[Net_Sale]],"")</f>
        <v>0.31796621182586104</v>
      </c>
      <c r="W338" t="str">
        <f>TEXT(Table1_1[[#This Row],[Order_Date]],"mmm")</f>
        <v>Jul</v>
      </c>
    </row>
    <row r="339" spans="1:23" x14ac:dyDescent="0.25">
      <c r="A339" t="s">
        <v>645</v>
      </c>
      <c r="B339" t="s">
        <v>338</v>
      </c>
      <c r="C339" s="6">
        <v>45997</v>
      </c>
      <c r="D339" t="s">
        <v>44</v>
      </c>
      <c r="E339" t="s">
        <v>45</v>
      </c>
      <c r="F339" t="s">
        <v>46</v>
      </c>
      <c r="G339" t="s">
        <v>47</v>
      </c>
      <c r="H339">
        <v>1</v>
      </c>
      <c r="I339">
        <v>1199</v>
      </c>
      <c r="J339">
        <v>0.15</v>
      </c>
      <c r="K339">
        <v>99</v>
      </c>
      <c r="L339" t="s">
        <v>29</v>
      </c>
      <c r="M339" t="s">
        <v>30</v>
      </c>
      <c r="N339" t="s">
        <v>71</v>
      </c>
      <c r="O339" t="s">
        <v>93</v>
      </c>
      <c r="P339" t="s">
        <v>80</v>
      </c>
      <c r="Q339">
        <v>4</v>
      </c>
      <c r="R339">
        <f>IFERROR(Table1_1[[#This Row],[Unit_Price]]*Table1_1[[#This Row],[Quantity]],"")</f>
        <v>1199</v>
      </c>
      <c r="S339">
        <f>IFERROR(Table1_1[[#This Row],[Gross_Sales]]*Table1_1[[#This Row],[Discount_%]],"")</f>
        <v>179.85</v>
      </c>
      <c r="T339">
        <f>IFERROR(Table1_1[[#This Row],[Gross_Sales]]-Table1_1[[#This Row],[Discount_amount]]+Table1_1[[#This Row],[Shipping_Cost]],"")</f>
        <v>1118.1500000000001</v>
      </c>
      <c r="U339">
        <f>IFERROR(Table1_1[[#This Row],[Net_Sale]]-(Table1_1[[#This Row],[Gross_Sales]]*70%),"")</f>
        <v>278.85000000000014</v>
      </c>
      <c r="V339" s="7">
        <f>IFERROR(Table1_1[[#This Row],[Profit]]/Table1_1[[#This Row],[Net_Sale]],"")</f>
        <v>0.24938514510575516</v>
      </c>
      <c r="W339" t="str">
        <f>TEXT(Table1_1[[#This Row],[Order_Date]],"mmm")</f>
        <v>Dec</v>
      </c>
    </row>
    <row r="340" spans="1:23" x14ac:dyDescent="0.25">
      <c r="A340" t="s">
        <v>646</v>
      </c>
      <c r="B340" t="s">
        <v>466</v>
      </c>
      <c r="C340" s="6">
        <v>45985</v>
      </c>
      <c r="D340" t="s">
        <v>55</v>
      </c>
      <c r="E340" t="s">
        <v>56</v>
      </c>
      <c r="F340" t="s">
        <v>37</v>
      </c>
      <c r="G340" t="s">
        <v>38</v>
      </c>
      <c r="H340">
        <v>5</v>
      </c>
      <c r="I340">
        <v>2499</v>
      </c>
      <c r="J340">
        <v>0.05</v>
      </c>
      <c r="K340">
        <v>59</v>
      </c>
      <c r="L340" t="s">
        <v>74</v>
      </c>
      <c r="M340" t="s">
        <v>49</v>
      </c>
      <c r="N340" t="s">
        <v>50</v>
      </c>
      <c r="O340" t="s">
        <v>32</v>
      </c>
      <c r="P340" t="s">
        <v>33</v>
      </c>
      <c r="Q340">
        <v>3</v>
      </c>
      <c r="R340">
        <f>IFERROR(Table1_1[[#This Row],[Unit_Price]]*Table1_1[[#This Row],[Quantity]],"")</f>
        <v>12495</v>
      </c>
      <c r="S340">
        <f>IFERROR(Table1_1[[#This Row],[Gross_Sales]]*Table1_1[[#This Row],[Discount_%]],"")</f>
        <v>624.75</v>
      </c>
      <c r="T340">
        <f>IFERROR(Table1_1[[#This Row],[Gross_Sales]]-Table1_1[[#This Row],[Discount_amount]]+Table1_1[[#This Row],[Shipping_Cost]],"")</f>
        <v>11929.25</v>
      </c>
      <c r="U340">
        <f>IFERROR(Table1_1[[#This Row],[Net_Sale]]-(Table1_1[[#This Row],[Gross_Sales]]*70%),"")</f>
        <v>3182.75</v>
      </c>
      <c r="V340" s="7">
        <f>IFERROR(Table1_1[[#This Row],[Profit]]/Table1_1[[#This Row],[Net_Sale]],"")</f>
        <v>0.26680218789949073</v>
      </c>
      <c r="W340" t="str">
        <f>TEXT(Table1_1[[#This Row],[Order_Date]],"mmm")</f>
        <v>Nov</v>
      </c>
    </row>
    <row r="341" spans="1:23" x14ac:dyDescent="0.25">
      <c r="A341" t="s">
        <v>647</v>
      </c>
      <c r="B341" t="s">
        <v>311</v>
      </c>
      <c r="C341" s="6">
        <v>45965</v>
      </c>
      <c r="D341" t="s">
        <v>67</v>
      </c>
      <c r="E341" t="s">
        <v>68</v>
      </c>
      <c r="F341" t="s">
        <v>37</v>
      </c>
      <c r="G341" t="s">
        <v>38</v>
      </c>
      <c r="H341">
        <v>3</v>
      </c>
      <c r="I341">
        <v>1299</v>
      </c>
      <c r="J341">
        <v>0.2</v>
      </c>
      <c r="K341">
        <v>49</v>
      </c>
      <c r="L341" t="s">
        <v>39</v>
      </c>
      <c r="M341" t="s">
        <v>39</v>
      </c>
      <c r="N341" t="s">
        <v>40</v>
      </c>
      <c r="O341" t="s">
        <v>51</v>
      </c>
      <c r="P341" t="s">
        <v>33</v>
      </c>
      <c r="Q341">
        <v>3</v>
      </c>
      <c r="R341">
        <f>IFERROR(Table1_1[[#This Row],[Unit_Price]]*Table1_1[[#This Row],[Quantity]],"")</f>
        <v>3897</v>
      </c>
      <c r="S341">
        <f>IFERROR(Table1_1[[#This Row],[Gross_Sales]]*Table1_1[[#This Row],[Discount_%]],"")</f>
        <v>779.40000000000009</v>
      </c>
      <c r="T341">
        <f>IFERROR(Table1_1[[#This Row],[Gross_Sales]]-Table1_1[[#This Row],[Discount_amount]]+Table1_1[[#This Row],[Shipping_Cost]],"")</f>
        <v>3166.6</v>
      </c>
      <c r="U341">
        <f>IFERROR(Table1_1[[#This Row],[Net_Sale]]-(Table1_1[[#This Row],[Gross_Sales]]*70%),"")</f>
        <v>438.70000000000027</v>
      </c>
      <c r="V341" s="7">
        <f>IFERROR(Table1_1[[#This Row],[Profit]]/Table1_1[[#This Row],[Net_Sale]],"")</f>
        <v>0.13853975873176286</v>
      </c>
      <c r="W341" t="str">
        <f>TEXT(Table1_1[[#This Row],[Order_Date]],"mmm")</f>
        <v>Nov</v>
      </c>
    </row>
    <row r="342" spans="1:23" x14ac:dyDescent="0.25">
      <c r="A342" t="s">
        <v>648</v>
      </c>
      <c r="B342" t="s">
        <v>325</v>
      </c>
      <c r="C342" s="6">
        <v>45676</v>
      </c>
      <c r="D342" t="s">
        <v>96</v>
      </c>
      <c r="E342" t="s">
        <v>97</v>
      </c>
      <c r="F342" t="s">
        <v>98</v>
      </c>
      <c r="G342" t="s">
        <v>99</v>
      </c>
      <c r="H342">
        <v>1</v>
      </c>
      <c r="I342">
        <v>1499</v>
      </c>
      <c r="J342">
        <v>0</v>
      </c>
      <c r="K342">
        <v>59</v>
      </c>
      <c r="L342" t="s">
        <v>57</v>
      </c>
      <c r="M342" t="s">
        <v>58</v>
      </c>
      <c r="N342" t="s">
        <v>102</v>
      </c>
      <c r="O342" t="s">
        <v>59</v>
      </c>
      <c r="P342" t="s">
        <v>85</v>
      </c>
      <c r="Q342">
        <v>3</v>
      </c>
      <c r="R342">
        <f>IFERROR(Table1_1[[#This Row],[Unit_Price]]*Table1_1[[#This Row],[Quantity]],"")</f>
        <v>1499</v>
      </c>
      <c r="S342">
        <f>IFERROR(Table1_1[[#This Row],[Gross_Sales]]*Table1_1[[#This Row],[Discount_%]],"")</f>
        <v>0</v>
      </c>
      <c r="T342">
        <f>IFERROR(Table1_1[[#This Row],[Gross_Sales]]-Table1_1[[#This Row],[Discount_amount]]+Table1_1[[#This Row],[Shipping_Cost]],"")</f>
        <v>1558</v>
      </c>
      <c r="U342">
        <f>IFERROR(Table1_1[[#This Row],[Net_Sale]]-(Table1_1[[#This Row],[Gross_Sales]]*70%),"")</f>
        <v>508.70000000000005</v>
      </c>
      <c r="V342" s="7">
        <f>IFERROR(Table1_1[[#This Row],[Profit]]/Table1_1[[#This Row],[Net_Sale]],"")</f>
        <v>0.32650834403080875</v>
      </c>
      <c r="W342" t="str">
        <f>TEXT(Table1_1[[#This Row],[Order_Date]],"mmm")</f>
        <v>Jan</v>
      </c>
    </row>
    <row r="343" spans="1:23" x14ac:dyDescent="0.25">
      <c r="A343" t="s">
        <v>649</v>
      </c>
      <c r="B343" t="s">
        <v>124</v>
      </c>
      <c r="C343" s="6">
        <v>45745</v>
      </c>
      <c r="D343" t="s">
        <v>169</v>
      </c>
      <c r="E343" t="s">
        <v>170</v>
      </c>
      <c r="F343" t="s">
        <v>98</v>
      </c>
      <c r="G343" t="s">
        <v>171</v>
      </c>
      <c r="H343">
        <v>1</v>
      </c>
      <c r="I343">
        <v>799</v>
      </c>
      <c r="J343">
        <v>0</v>
      </c>
      <c r="K343">
        <v>59</v>
      </c>
      <c r="L343" t="s">
        <v>83</v>
      </c>
      <c r="M343" t="s">
        <v>84</v>
      </c>
      <c r="N343" t="s">
        <v>40</v>
      </c>
      <c r="O343" t="s">
        <v>41</v>
      </c>
      <c r="P343" t="s">
        <v>85</v>
      </c>
      <c r="Q343">
        <v>3</v>
      </c>
      <c r="R343">
        <f>IFERROR(Table1_1[[#This Row],[Unit_Price]]*Table1_1[[#This Row],[Quantity]],"")</f>
        <v>799</v>
      </c>
      <c r="S343">
        <f>IFERROR(Table1_1[[#This Row],[Gross_Sales]]*Table1_1[[#This Row],[Discount_%]],"")</f>
        <v>0</v>
      </c>
      <c r="T343">
        <f>IFERROR(Table1_1[[#This Row],[Gross_Sales]]-Table1_1[[#This Row],[Discount_amount]]+Table1_1[[#This Row],[Shipping_Cost]],"")</f>
        <v>858</v>
      </c>
      <c r="U343">
        <f>IFERROR(Table1_1[[#This Row],[Net_Sale]]-(Table1_1[[#This Row],[Gross_Sales]]*70%),"")</f>
        <v>298.70000000000005</v>
      </c>
      <c r="V343" s="7">
        <f>IFERROR(Table1_1[[#This Row],[Profit]]/Table1_1[[#This Row],[Net_Sale]],"")</f>
        <v>0.34813519813519817</v>
      </c>
      <c r="W343" t="str">
        <f>TEXT(Table1_1[[#This Row],[Order_Date]],"mmm")</f>
        <v>Mar</v>
      </c>
    </row>
    <row r="344" spans="1:23" x14ac:dyDescent="0.25">
      <c r="A344" t="s">
        <v>650</v>
      </c>
      <c r="B344" t="s">
        <v>325</v>
      </c>
      <c r="C344" s="6">
        <v>45751</v>
      </c>
      <c r="D344" t="s">
        <v>110</v>
      </c>
      <c r="E344" t="s">
        <v>111</v>
      </c>
      <c r="F344" t="s">
        <v>98</v>
      </c>
      <c r="G344" t="s">
        <v>112</v>
      </c>
      <c r="H344">
        <v>3</v>
      </c>
      <c r="I344">
        <v>2999</v>
      </c>
      <c r="J344">
        <v>0.2</v>
      </c>
      <c r="K344">
        <v>0</v>
      </c>
      <c r="L344" t="s">
        <v>83</v>
      </c>
      <c r="M344" t="s">
        <v>84</v>
      </c>
      <c r="N344" t="s">
        <v>71</v>
      </c>
      <c r="O344" t="s">
        <v>41</v>
      </c>
      <c r="P344" t="s">
        <v>33</v>
      </c>
      <c r="Q344">
        <v>3</v>
      </c>
      <c r="R344">
        <f>IFERROR(Table1_1[[#This Row],[Unit_Price]]*Table1_1[[#This Row],[Quantity]],"")</f>
        <v>8997</v>
      </c>
      <c r="S344">
        <f>IFERROR(Table1_1[[#This Row],[Gross_Sales]]*Table1_1[[#This Row],[Discount_%]],"")</f>
        <v>1799.4</v>
      </c>
      <c r="T344">
        <f>IFERROR(Table1_1[[#This Row],[Gross_Sales]]-Table1_1[[#This Row],[Discount_amount]]+Table1_1[[#This Row],[Shipping_Cost]],"")</f>
        <v>7197.6</v>
      </c>
      <c r="U344">
        <f>IFERROR(Table1_1[[#This Row],[Net_Sale]]-(Table1_1[[#This Row],[Gross_Sales]]*70%),"")</f>
        <v>899.70000000000073</v>
      </c>
      <c r="V344" s="7">
        <f>IFERROR(Table1_1[[#This Row],[Profit]]/Table1_1[[#This Row],[Net_Sale]],"")</f>
        <v>0.12500000000000008</v>
      </c>
      <c r="W344" t="str">
        <f>TEXT(Table1_1[[#This Row],[Order_Date]],"mmm")</f>
        <v>Apr</v>
      </c>
    </row>
    <row r="345" spans="1:23" x14ac:dyDescent="0.25">
      <c r="A345" t="s">
        <v>651</v>
      </c>
      <c r="B345" t="s">
        <v>411</v>
      </c>
      <c r="C345" s="6">
        <v>45827</v>
      </c>
      <c r="D345" t="s">
        <v>110</v>
      </c>
      <c r="E345" t="s">
        <v>111</v>
      </c>
      <c r="F345" t="s">
        <v>98</v>
      </c>
      <c r="G345" t="s">
        <v>112</v>
      </c>
      <c r="H345">
        <v>3</v>
      </c>
      <c r="I345">
        <v>2999</v>
      </c>
      <c r="J345">
        <v>0.05</v>
      </c>
      <c r="K345">
        <v>79</v>
      </c>
      <c r="L345" t="s">
        <v>57</v>
      </c>
      <c r="M345" t="s">
        <v>58</v>
      </c>
      <c r="N345" t="s">
        <v>40</v>
      </c>
      <c r="O345" t="s">
        <v>93</v>
      </c>
      <c r="P345" t="s">
        <v>85</v>
      </c>
      <c r="Q345">
        <v>3</v>
      </c>
      <c r="R345">
        <f>IFERROR(Table1_1[[#This Row],[Unit_Price]]*Table1_1[[#This Row],[Quantity]],"")</f>
        <v>8997</v>
      </c>
      <c r="S345">
        <f>IFERROR(Table1_1[[#This Row],[Gross_Sales]]*Table1_1[[#This Row],[Discount_%]],"")</f>
        <v>449.85</v>
      </c>
      <c r="T345">
        <f>IFERROR(Table1_1[[#This Row],[Gross_Sales]]-Table1_1[[#This Row],[Discount_amount]]+Table1_1[[#This Row],[Shipping_Cost]],"")</f>
        <v>8626.15</v>
      </c>
      <c r="U345">
        <f>IFERROR(Table1_1[[#This Row],[Net_Sale]]-(Table1_1[[#This Row],[Gross_Sales]]*70%),"")</f>
        <v>2328.25</v>
      </c>
      <c r="V345" s="7">
        <f>IFERROR(Table1_1[[#This Row],[Profit]]/Table1_1[[#This Row],[Net_Sale]],"")</f>
        <v>0.26990604151330549</v>
      </c>
      <c r="W345" t="str">
        <f>TEXT(Table1_1[[#This Row],[Order_Date]],"mmm")</f>
        <v>Jun</v>
      </c>
    </row>
    <row r="346" spans="1:23" x14ac:dyDescent="0.25">
      <c r="A346" t="s">
        <v>652</v>
      </c>
      <c r="B346" t="s">
        <v>450</v>
      </c>
      <c r="C346" s="6">
        <v>45975</v>
      </c>
      <c r="D346" t="s">
        <v>25</v>
      </c>
      <c r="E346" t="s">
        <v>26</v>
      </c>
      <c r="F346" t="s">
        <v>27</v>
      </c>
      <c r="G346" t="s">
        <v>28</v>
      </c>
      <c r="H346">
        <v>2</v>
      </c>
      <c r="I346">
        <v>249</v>
      </c>
      <c r="J346">
        <v>0.15</v>
      </c>
      <c r="K346">
        <v>0</v>
      </c>
      <c r="L346" t="s">
        <v>627</v>
      </c>
      <c r="M346" t="s">
        <v>126</v>
      </c>
      <c r="N346" t="s">
        <v>102</v>
      </c>
      <c r="O346" t="s">
        <v>51</v>
      </c>
      <c r="P346" t="s">
        <v>33</v>
      </c>
      <c r="Q346">
        <v>4</v>
      </c>
      <c r="R346">
        <f>IFERROR(Table1_1[[#This Row],[Unit_Price]]*Table1_1[[#This Row],[Quantity]],"")</f>
        <v>498</v>
      </c>
      <c r="S346">
        <f>IFERROR(Table1_1[[#This Row],[Gross_Sales]]*Table1_1[[#This Row],[Discount_%]],"")</f>
        <v>74.7</v>
      </c>
      <c r="T346">
        <f>IFERROR(Table1_1[[#This Row],[Gross_Sales]]-Table1_1[[#This Row],[Discount_amount]]+Table1_1[[#This Row],[Shipping_Cost]],"")</f>
        <v>423.3</v>
      </c>
      <c r="U346">
        <f>IFERROR(Table1_1[[#This Row],[Net_Sale]]-(Table1_1[[#This Row],[Gross_Sales]]*70%),"")</f>
        <v>74.700000000000045</v>
      </c>
      <c r="V346" s="7">
        <f>IFERROR(Table1_1[[#This Row],[Profit]]/Table1_1[[#This Row],[Net_Sale]],"")</f>
        <v>0.17647058823529421</v>
      </c>
      <c r="W346" t="str">
        <f>TEXT(Table1_1[[#This Row],[Order_Date]],"mmm")</f>
        <v>Nov</v>
      </c>
    </row>
    <row r="347" spans="1:23" x14ac:dyDescent="0.25">
      <c r="A347" t="s">
        <v>653</v>
      </c>
      <c r="B347" t="s">
        <v>142</v>
      </c>
      <c r="C347" s="6">
        <v>45760</v>
      </c>
      <c r="D347" t="s">
        <v>35</v>
      </c>
      <c r="E347" t="s">
        <v>36</v>
      </c>
      <c r="F347" t="s">
        <v>37</v>
      </c>
      <c r="G347" t="s">
        <v>38</v>
      </c>
      <c r="H347">
        <v>1</v>
      </c>
      <c r="I347">
        <v>599</v>
      </c>
      <c r="J347">
        <v>0.1</v>
      </c>
      <c r="K347">
        <v>49</v>
      </c>
      <c r="L347" t="s">
        <v>100</v>
      </c>
      <c r="M347" t="s">
        <v>101</v>
      </c>
      <c r="N347" t="s">
        <v>50</v>
      </c>
      <c r="O347" t="s">
        <v>93</v>
      </c>
      <c r="P347" t="s">
        <v>85</v>
      </c>
      <c r="Q347">
        <v>4</v>
      </c>
      <c r="R347">
        <f>IFERROR(Table1_1[[#This Row],[Unit_Price]]*Table1_1[[#This Row],[Quantity]],"")</f>
        <v>599</v>
      </c>
      <c r="S347">
        <f>IFERROR(Table1_1[[#This Row],[Gross_Sales]]*Table1_1[[#This Row],[Discount_%]],"")</f>
        <v>59.900000000000006</v>
      </c>
      <c r="T347">
        <f>IFERROR(Table1_1[[#This Row],[Gross_Sales]]-Table1_1[[#This Row],[Discount_amount]]+Table1_1[[#This Row],[Shipping_Cost]],"")</f>
        <v>588.1</v>
      </c>
      <c r="U347">
        <f>IFERROR(Table1_1[[#This Row],[Net_Sale]]-(Table1_1[[#This Row],[Gross_Sales]]*70%),"")</f>
        <v>168.80000000000007</v>
      </c>
      <c r="V347" s="7">
        <f>IFERROR(Table1_1[[#This Row],[Profit]]/Table1_1[[#This Row],[Net_Sale]],"")</f>
        <v>0.28702601598367633</v>
      </c>
      <c r="W347" t="str">
        <f>TEXT(Table1_1[[#This Row],[Order_Date]],"mmm")</f>
        <v>Apr</v>
      </c>
    </row>
    <row r="348" spans="1:23" x14ac:dyDescent="0.25">
      <c r="A348" t="s">
        <v>654</v>
      </c>
      <c r="B348" t="s">
        <v>243</v>
      </c>
      <c r="C348" s="6">
        <v>45687</v>
      </c>
      <c r="D348" t="s">
        <v>169</v>
      </c>
      <c r="E348" t="s">
        <v>170</v>
      </c>
      <c r="F348" t="s">
        <v>98</v>
      </c>
      <c r="G348" t="s">
        <v>171</v>
      </c>
      <c r="H348">
        <v>1</v>
      </c>
      <c r="I348">
        <v>799</v>
      </c>
      <c r="J348">
        <v>0</v>
      </c>
      <c r="K348">
        <v>49</v>
      </c>
      <c r="L348" t="s">
        <v>100</v>
      </c>
      <c r="M348" t="s">
        <v>101</v>
      </c>
      <c r="N348" t="s">
        <v>50</v>
      </c>
      <c r="O348" t="s">
        <v>59</v>
      </c>
      <c r="P348" t="s">
        <v>33</v>
      </c>
      <c r="Q348">
        <v>3</v>
      </c>
      <c r="R348">
        <f>IFERROR(Table1_1[[#This Row],[Unit_Price]]*Table1_1[[#This Row],[Quantity]],"")</f>
        <v>799</v>
      </c>
      <c r="S348">
        <f>IFERROR(Table1_1[[#This Row],[Gross_Sales]]*Table1_1[[#This Row],[Discount_%]],"")</f>
        <v>0</v>
      </c>
      <c r="T348">
        <f>IFERROR(Table1_1[[#This Row],[Gross_Sales]]-Table1_1[[#This Row],[Discount_amount]]+Table1_1[[#This Row],[Shipping_Cost]],"")</f>
        <v>848</v>
      </c>
      <c r="U348">
        <f>IFERROR(Table1_1[[#This Row],[Net_Sale]]-(Table1_1[[#This Row],[Gross_Sales]]*70%),"")</f>
        <v>288.70000000000005</v>
      </c>
      <c r="V348" s="7">
        <f>IFERROR(Table1_1[[#This Row],[Profit]]/Table1_1[[#This Row],[Net_Sale]],"")</f>
        <v>0.3404481132075472</v>
      </c>
      <c r="W348" t="str">
        <f>TEXT(Table1_1[[#This Row],[Order_Date]],"mmm")</f>
        <v>Jan</v>
      </c>
    </row>
    <row r="349" spans="1:23" x14ac:dyDescent="0.25">
      <c r="A349" t="s">
        <v>655</v>
      </c>
      <c r="B349" t="s">
        <v>656</v>
      </c>
      <c r="C349" s="6">
        <v>45982</v>
      </c>
      <c r="D349" t="s">
        <v>55</v>
      </c>
      <c r="E349" t="s">
        <v>56</v>
      </c>
      <c r="F349" t="s">
        <v>37</v>
      </c>
      <c r="G349" t="s">
        <v>38</v>
      </c>
      <c r="H349">
        <v>2</v>
      </c>
      <c r="I349">
        <v>2499</v>
      </c>
      <c r="J349">
        <v>0.1</v>
      </c>
      <c r="K349">
        <v>79</v>
      </c>
      <c r="L349" t="s">
        <v>100</v>
      </c>
      <c r="M349" t="s">
        <v>101</v>
      </c>
      <c r="N349" t="s">
        <v>31</v>
      </c>
      <c r="O349" t="s">
        <v>32</v>
      </c>
      <c r="P349" t="s">
        <v>52</v>
      </c>
      <c r="Q349">
        <v>2</v>
      </c>
      <c r="R349">
        <f>IFERROR(Table1_1[[#This Row],[Unit_Price]]*Table1_1[[#This Row],[Quantity]],"")</f>
        <v>4998</v>
      </c>
      <c r="S349">
        <f>IFERROR(Table1_1[[#This Row],[Gross_Sales]]*Table1_1[[#This Row],[Discount_%]],"")</f>
        <v>499.8</v>
      </c>
      <c r="T349">
        <f>IFERROR(Table1_1[[#This Row],[Gross_Sales]]-Table1_1[[#This Row],[Discount_amount]]+Table1_1[[#This Row],[Shipping_Cost]],"")</f>
        <v>4577.2</v>
      </c>
      <c r="U349">
        <f>IFERROR(Table1_1[[#This Row],[Net_Sale]]-(Table1_1[[#This Row],[Gross_Sales]]*70%),"")</f>
        <v>1078.5999999999999</v>
      </c>
      <c r="V349" s="7">
        <f>IFERROR(Table1_1[[#This Row],[Profit]]/Table1_1[[#This Row],[Net_Sale]],"")</f>
        <v>0.23564624661365025</v>
      </c>
      <c r="W349" t="str">
        <f>TEXT(Table1_1[[#This Row],[Order_Date]],"mmm")</f>
        <v>Nov</v>
      </c>
    </row>
    <row r="350" spans="1:23" x14ac:dyDescent="0.25">
      <c r="A350" t="s">
        <v>657</v>
      </c>
      <c r="B350" t="s">
        <v>534</v>
      </c>
      <c r="C350" s="6">
        <v>45822</v>
      </c>
      <c r="D350" t="s">
        <v>77</v>
      </c>
      <c r="E350" t="s">
        <v>78</v>
      </c>
      <c r="F350" t="s">
        <v>79</v>
      </c>
      <c r="G350" t="s">
        <v>28</v>
      </c>
      <c r="H350">
        <v>4</v>
      </c>
      <c r="I350">
        <v>6499</v>
      </c>
      <c r="J350">
        <v>0.2</v>
      </c>
      <c r="K350">
        <v>0</v>
      </c>
      <c r="L350" t="s">
        <v>74</v>
      </c>
      <c r="M350" t="s">
        <v>49</v>
      </c>
      <c r="N350" t="s">
        <v>50</v>
      </c>
      <c r="O350" t="s">
        <v>51</v>
      </c>
      <c r="P350" t="s">
        <v>33</v>
      </c>
      <c r="Q350">
        <v>3</v>
      </c>
      <c r="R350">
        <f>IFERROR(Table1_1[[#This Row],[Unit_Price]]*Table1_1[[#This Row],[Quantity]],"")</f>
        <v>25996</v>
      </c>
      <c r="S350">
        <f>IFERROR(Table1_1[[#This Row],[Gross_Sales]]*Table1_1[[#This Row],[Discount_%]],"")</f>
        <v>5199.2000000000007</v>
      </c>
      <c r="T350">
        <f>IFERROR(Table1_1[[#This Row],[Gross_Sales]]-Table1_1[[#This Row],[Discount_amount]]+Table1_1[[#This Row],[Shipping_Cost]],"")</f>
        <v>20796.8</v>
      </c>
      <c r="U350">
        <f>IFERROR(Table1_1[[#This Row],[Net_Sale]]-(Table1_1[[#This Row],[Gross_Sales]]*70%),"")</f>
        <v>2599.6000000000022</v>
      </c>
      <c r="V350" s="7">
        <f>IFERROR(Table1_1[[#This Row],[Profit]]/Table1_1[[#This Row],[Net_Sale]],"")</f>
        <v>0.12500000000000011</v>
      </c>
      <c r="W350" t="str">
        <f>TEXT(Table1_1[[#This Row],[Order_Date]],"mmm")</f>
        <v>Jun</v>
      </c>
    </row>
    <row r="351" spans="1:23" x14ac:dyDescent="0.25">
      <c r="A351" t="s">
        <v>658</v>
      </c>
      <c r="B351" t="s">
        <v>403</v>
      </c>
      <c r="C351" s="6">
        <v>45959</v>
      </c>
      <c r="D351" t="s">
        <v>105</v>
      </c>
      <c r="E351" t="s">
        <v>106</v>
      </c>
      <c r="F351" t="s">
        <v>37</v>
      </c>
      <c r="G351" t="s">
        <v>107</v>
      </c>
      <c r="H351">
        <v>1</v>
      </c>
      <c r="I351">
        <v>1799</v>
      </c>
      <c r="J351">
        <v>0</v>
      </c>
      <c r="K351">
        <v>59</v>
      </c>
      <c r="L351" t="s">
        <v>29</v>
      </c>
      <c r="M351" t="s">
        <v>30</v>
      </c>
      <c r="N351" t="s">
        <v>40</v>
      </c>
      <c r="O351" t="s">
        <v>32</v>
      </c>
      <c r="P351" t="s">
        <v>33</v>
      </c>
      <c r="Q351">
        <v>5</v>
      </c>
      <c r="R351">
        <f>IFERROR(Table1_1[[#This Row],[Unit_Price]]*Table1_1[[#This Row],[Quantity]],"")</f>
        <v>1799</v>
      </c>
      <c r="S351">
        <f>IFERROR(Table1_1[[#This Row],[Gross_Sales]]*Table1_1[[#This Row],[Discount_%]],"")</f>
        <v>0</v>
      </c>
      <c r="T351">
        <f>IFERROR(Table1_1[[#This Row],[Gross_Sales]]-Table1_1[[#This Row],[Discount_amount]]+Table1_1[[#This Row],[Shipping_Cost]],"")</f>
        <v>1858</v>
      </c>
      <c r="U351">
        <f>IFERROR(Table1_1[[#This Row],[Net_Sale]]-(Table1_1[[#This Row],[Gross_Sales]]*70%),"")</f>
        <v>598.70000000000005</v>
      </c>
      <c r="V351" s="7">
        <f>IFERROR(Table1_1[[#This Row],[Profit]]/Table1_1[[#This Row],[Net_Sale]],"")</f>
        <v>0.32222820236813782</v>
      </c>
      <c r="W351" t="str">
        <f>TEXT(Table1_1[[#This Row],[Order_Date]],"mmm")</f>
        <v>Oct</v>
      </c>
    </row>
    <row r="352" spans="1:23" x14ac:dyDescent="0.25">
      <c r="A352" t="s">
        <v>659</v>
      </c>
      <c r="B352" t="s">
        <v>660</v>
      </c>
      <c r="C352" s="6">
        <v>46009</v>
      </c>
      <c r="D352" t="s">
        <v>62</v>
      </c>
      <c r="E352" t="s">
        <v>63</v>
      </c>
      <c r="F352" t="s">
        <v>46</v>
      </c>
      <c r="G352" t="s">
        <v>64</v>
      </c>
      <c r="H352">
        <v>1</v>
      </c>
      <c r="I352">
        <v>699</v>
      </c>
      <c r="J352">
        <v>0.05</v>
      </c>
      <c r="K352">
        <v>49</v>
      </c>
      <c r="L352" t="s">
        <v>74</v>
      </c>
      <c r="M352" t="s">
        <v>49</v>
      </c>
      <c r="N352" t="s">
        <v>40</v>
      </c>
      <c r="O352" t="s">
        <v>93</v>
      </c>
      <c r="P352" t="s">
        <v>52</v>
      </c>
      <c r="Q352">
        <v>2</v>
      </c>
      <c r="R352">
        <f>IFERROR(Table1_1[[#This Row],[Unit_Price]]*Table1_1[[#This Row],[Quantity]],"")</f>
        <v>699</v>
      </c>
      <c r="S352">
        <f>IFERROR(Table1_1[[#This Row],[Gross_Sales]]*Table1_1[[#This Row],[Discount_%]],"")</f>
        <v>34.950000000000003</v>
      </c>
      <c r="T352">
        <f>IFERROR(Table1_1[[#This Row],[Gross_Sales]]-Table1_1[[#This Row],[Discount_amount]]+Table1_1[[#This Row],[Shipping_Cost]],"")</f>
        <v>713.05</v>
      </c>
      <c r="U352">
        <f>IFERROR(Table1_1[[#This Row],[Net_Sale]]-(Table1_1[[#This Row],[Gross_Sales]]*70%),"")</f>
        <v>223.75</v>
      </c>
      <c r="V352" s="7">
        <f>IFERROR(Table1_1[[#This Row],[Profit]]/Table1_1[[#This Row],[Net_Sale]],"")</f>
        <v>0.31379286165065567</v>
      </c>
      <c r="W352" t="str">
        <f>TEXT(Table1_1[[#This Row],[Order_Date]],"mmm")</f>
        <v>Dec</v>
      </c>
    </row>
    <row r="353" spans="1:23" x14ac:dyDescent="0.25">
      <c r="A353" t="s">
        <v>661</v>
      </c>
      <c r="B353" t="s">
        <v>662</v>
      </c>
      <c r="C353" s="6">
        <v>45669</v>
      </c>
      <c r="D353" t="s">
        <v>67</v>
      </c>
      <c r="E353" t="s">
        <v>68</v>
      </c>
      <c r="F353" t="s">
        <v>37</v>
      </c>
      <c r="G353" t="s">
        <v>38</v>
      </c>
      <c r="H353">
        <v>1</v>
      </c>
      <c r="I353">
        <v>1299</v>
      </c>
      <c r="J353">
        <v>0</v>
      </c>
      <c r="K353">
        <v>59</v>
      </c>
      <c r="L353" t="s">
        <v>100</v>
      </c>
      <c r="M353" t="s">
        <v>101</v>
      </c>
      <c r="N353" t="s">
        <v>40</v>
      </c>
      <c r="O353" t="s">
        <v>51</v>
      </c>
      <c r="P353" t="s">
        <v>33</v>
      </c>
      <c r="Q353">
        <v>3</v>
      </c>
      <c r="R353">
        <f>IFERROR(Table1_1[[#This Row],[Unit_Price]]*Table1_1[[#This Row],[Quantity]],"")</f>
        <v>1299</v>
      </c>
      <c r="S353">
        <f>IFERROR(Table1_1[[#This Row],[Gross_Sales]]*Table1_1[[#This Row],[Discount_%]],"")</f>
        <v>0</v>
      </c>
      <c r="T353">
        <f>IFERROR(Table1_1[[#This Row],[Gross_Sales]]-Table1_1[[#This Row],[Discount_amount]]+Table1_1[[#This Row],[Shipping_Cost]],"")</f>
        <v>1358</v>
      </c>
      <c r="U353">
        <f>IFERROR(Table1_1[[#This Row],[Net_Sale]]-(Table1_1[[#This Row],[Gross_Sales]]*70%),"")</f>
        <v>448.70000000000005</v>
      </c>
      <c r="V353" s="7">
        <f>IFERROR(Table1_1[[#This Row],[Profit]]/Table1_1[[#This Row],[Net_Sale]],"")</f>
        <v>0.33041237113402067</v>
      </c>
      <c r="W353" t="str">
        <f>TEXT(Table1_1[[#This Row],[Order_Date]],"mmm")</f>
        <v>Jan</v>
      </c>
    </row>
    <row r="354" spans="1:23" x14ac:dyDescent="0.25">
      <c r="A354" t="s">
        <v>663</v>
      </c>
      <c r="B354" t="s">
        <v>162</v>
      </c>
      <c r="C354" s="6">
        <v>45682</v>
      </c>
      <c r="D354" t="s">
        <v>62</v>
      </c>
      <c r="E354" t="s">
        <v>63</v>
      </c>
      <c r="F354" t="s">
        <v>46</v>
      </c>
      <c r="G354" t="s">
        <v>64</v>
      </c>
      <c r="H354">
        <v>1</v>
      </c>
      <c r="I354">
        <v>699</v>
      </c>
      <c r="J354">
        <v>0</v>
      </c>
      <c r="K354">
        <v>0</v>
      </c>
      <c r="L354" t="s">
        <v>125</v>
      </c>
      <c r="M354" t="s">
        <v>126</v>
      </c>
      <c r="N354" t="s">
        <v>40</v>
      </c>
      <c r="O354" t="s">
        <v>59</v>
      </c>
      <c r="P354" t="s">
        <v>80</v>
      </c>
      <c r="Q354">
        <v>4</v>
      </c>
      <c r="R354">
        <f>IFERROR(Table1_1[[#This Row],[Unit_Price]]*Table1_1[[#This Row],[Quantity]],"")</f>
        <v>699</v>
      </c>
      <c r="S354">
        <f>IFERROR(Table1_1[[#This Row],[Gross_Sales]]*Table1_1[[#This Row],[Discount_%]],"")</f>
        <v>0</v>
      </c>
      <c r="T354">
        <f>IFERROR(Table1_1[[#This Row],[Gross_Sales]]-Table1_1[[#This Row],[Discount_amount]]+Table1_1[[#This Row],[Shipping_Cost]],"")</f>
        <v>699</v>
      </c>
      <c r="U354">
        <f>IFERROR(Table1_1[[#This Row],[Net_Sale]]-(Table1_1[[#This Row],[Gross_Sales]]*70%),"")</f>
        <v>209.70000000000005</v>
      </c>
      <c r="V354" s="7">
        <f>IFERROR(Table1_1[[#This Row],[Profit]]/Table1_1[[#This Row],[Net_Sale]],"")</f>
        <v>0.30000000000000004</v>
      </c>
      <c r="W354" t="str">
        <f>TEXT(Table1_1[[#This Row],[Order_Date]],"mmm")</f>
        <v>Jan</v>
      </c>
    </row>
    <row r="355" spans="1:23" x14ac:dyDescent="0.25">
      <c r="A355" t="s">
        <v>664</v>
      </c>
      <c r="B355" t="s">
        <v>296</v>
      </c>
      <c r="C355" s="6">
        <v>46017</v>
      </c>
      <c r="D355" t="s">
        <v>55</v>
      </c>
      <c r="E355" t="s">
        <v>56</v>
      </c>
      <c r="F355" t="s">
        <v>37</v>
      </c>
      <c r="G355" t="s">
        <v>38</v>
      </c>
      <c r="H355">
        <v>1</v>
      </c>
      <c r="I355">
        <v>2499</v>
      </c>
      <c r="J355">
        <v>0.2</v>
      </c>
      <c r="K355">
        <v>0</v>
      </c>
      <c r="L355" t="s">
        <v>83</v>
      </c>
      <c r="M355" t="s">
        <v>84</v>
      </c>
      <c r="N355" t="s">
        <v>40</v>
      </c>
      <c r="O355" t="s">
        <v>93</v>
      </c>
      <c r="P355" t="s">
        <v>80</v>
      </c>
      <c r="Q355">
        <v>3</v>
      </c>
      <c r="R355">
        <f>IFERROR(Table1_1[[#This Row],[Unit_Price]]*Table1_1[[#This Row],[Quantity]],"")</f>
        <v>2499</v>
      </c>
      <c r="S355">
        <f>IFERROR(Table1_1[[#This Row],[Gross_Sales]]*Table1_1[[#This Row],[Discount_%]],"")</f>
        <v>499.8</v>
      </c>
      <c r="T355">
        <f>IFERROR(Table1_1[[#This Row],[Gross_Sales]]-Table1_1[[#This Row],[Discount_amount]]+Table1_1[[#This Row],[Shipping_Cost]],"")</f>
        <v>1999.2</v>
      </c>
      <c r="U355">
        <f>IFERROR(Table1_1[[#This Row],[Net_Sale]]-(Table1_1[[#This Row],[Gross_Sales]]*70%),"")</f>
        <v>249.90000000000009</v>
      </c>
      <c r="V355" s="7">
        <f>IFERROR(Table1_1[[#This Row],[Profit]]/Table1_1[[#This Row],[Net_Sale]],"")</f>
        <v>0.12500000000000006</v>
      </c>
      <c r="W355" t="str">
        <f>TEXT(Table1_1[[#This Row],[Order_Date]],"mmm")</f>
        <v>Dec</v>
      </c>
    </row>
    <row r="356" spans="1:23" x14ac:dyDescent="0.25">
      <c r="A356" t="s">
        <v>665</v>
      </c>
      <c r="B356" t="s">
        <v>411</v>
      </c>
      <c r="C356" s="6">
        <v>46016</v>
      </c>
      <c r="D356" t="s">
        <v>62</v>
      </c>
      <c r="E356" t="s">
        <v>63</v>
      </c>
      <c r="F356" t="s">
        <v>46</v>
      </c>
      <c r="G356" t="s">
        <v>64</v>
      </c>
      <c r="H356">
        <v>2</v>
      </c>
      <c r="I356">
        <v>699</v>
      </c>
      <c r="J356">
        <v>0.15</v>
      </c>
      <c r="K356">
        <v>99</v>
      </c>
      <c r="L356" t="s">
        <v>48</v>
      </c>
      <c r="M356" t="s">
        <v>49</v>
      </c>
      <c r="N356" t="s">
        <v>71</v>
      </c>
      <c r="O356" t="s">
        <v>93</v>
      </c>
      <c r="P356" t="s">
        <v>33</v>
      </c>
      <c r="Q356">
        <v>3</v>
      </c>
      <c r="R356">
        <f>IFERROR(Table1_1[[#This Row],[Unit_Price]]*Table1_1[[#This Row],[Quantity]],"")</f>
        <v>1398</v>
      </c>
      <c r="S356">
        <f>IFERROR(Table1_1[[#This Row],[Gross_Sales]]*Table1_1[[#This Row],[Discount_%]],"")</f>
        <v>209.7</v>
      </c>
      <c r="T356">
        <f>IFERROR(Table1_1[[#This Row],[Gross_Sales]]-Table1_1[[#This Row],[Discount_amount]]+Table1_1[[#This Row],[Shipping_Cost]],"")</f>
        <v>1287.3</v>
      </c>
      <c r="U356">
        <f>IFERROR(Table1_1[[#This Row],[Net_Sale]]-(Table1_1[[#This Row],[Gross_Sales]]*70%),"")</f>
        <v>308.70000000000005</v>
      </c>
      <c r="V356" s="7">
        <f>IFERROR(Table1_1[[#This Row],[Profit]]/Table1_1[[#This Row],[Net_Sale]],"")</f>
        <v>0.23980424143556284</v>
      </c>
      <c r="W356" t="str">
        <f>TEXT(Table1_1[[#This Row],[Order_Date]],"mmm")</f>
        <v>Dec</v>
      </c>
    </row>
    <row r="357" spans="1:23" x14ac:dyDescent="0.25">
      <c r="A357" t="s">
        <v>666</v>
      </c>
      <c r="B357" t="s">
        <v>168</v>
      </c>
      <c r="C357" s="6">
        <v>45760</v>
      </c>
      <c r="D357" t="s">
        <v>55</v>
      </c>
      <c r="E357" t="s">
        <v>56</v>
      </c>
      <c r="F357" t="s">
        <v>37</v>
      </c>
      <c r="G357" t="s">
        <v>38</v>
      </c>
      <c r="H357">
        <v>1</v>
      </c>
      <c r="I357">
        <v>2499</v>
      </c>
      <c r="J357">
        <v>0</v>
      </c>
      <c r="K357">
        <v>59</v>
      </c>
      <c r="L357" t="s">
        <v>119</v>
      </c>
      <c r="M357" t="s">
        <v>120</v>
      </c>
      <c r="N357" t="s">
        <v>71</v>
      </c>
      <c r="O357" t="s">
        <v>41</v>
      </c>
      <c r="P357" t="s">
        <v>85</v>
      </c>
      <c r="Q357">
        <v>1</v>
      </c>
      <c r="R357">
        <f>IFERROR(Table1_1[[#This Row],[Unit_Price]]*Table1_1[[#This Row],[Quantity]],"")</f>
        <v>2499</v>
      </c>
      <c r="S357">
        <f>IFERROR(Table1_1[[#This Row],[Gross_Sales]]*Table1_1[[#This Row],[Discount_%]],"")</f>
        <v>0</v>
      </c>
      <c r="T357">
        <f>IFERROR(Table1_1[[#This Row],[Gross_Sales]]-Table1_1[[#This Row],[Discount_amount]]+Table1_1[[#This Row],[Shipping_Cost]],"")</f>
        <v>2558</v>
      </c>
      <c r="U357">
        <f>IFERROR(Table1_1[[#This Row],[Net_Sale]]-(Table1_1[[#This Row],[Gross_Sales]]*70%),"")</f>
        <v>808.7</v>
      </c>
      <c r="V357" s="7">
        <f>IFERROR(Table1_1[[#This Row],[Profit]]/Table1_1[[#This Row],[Net_Sale]],"")</f>
        <v>0.3161454261141517</v>
      </c>
      <c r="W357" t="str">
        <f>TEXT(Table1_1[[#This Row],[Order_Date]],"mmm")</f>
        <v>Apr</v>
      </c>
    </row>
    <row r="358" spans="1:23" x14ac:dyDescent="0.25">
      <c r="A358" t="s">
        <v>667</v>
      </c>
      <c r="B358" t="s">
        <v>323</v>
      </c>
      <c r="C358" s="6">
        <v>46010</v>
      </c>
      <c r="D358" t="s">
        <v>62</v>
      </c>
      <c r="E358" t="s">
        <v>63</v>
      </c>
      <c r="F358" t="s">
        <v>46</v>
      </c>
      <c r="G358" t="s">
        <v>64</v>
      </c>
      <c r="H358">
        <v>4</v>
      </c>
      <c r="I358">
        <v>699</v>
      </c>
      <c r="J358">
        <v>0</v>
      </c>
      <c r="K358">
        <v>0</v>
      </c>
      <c r="L358" t="s">
        <v>119</v>
      </c>
      <c r="M358" t="s">
        <v>120</v>
      </c>
      <c r="N358" t="s">
        <v>31</v>
      </c>
      <c r="O358" t="s">
        <v>32</v>
      </c>
      <c r="P358" t="s">
        <v>33</v>
      </c>
      <c r="Q358">
        <v>3</v>
      </c>
      <c r="R358">
        <f>IFERROR(Table1_1[[#This Row],[Unit_Price]]*Table1_1[[#This Row],[Quantity]],"")</f>
        <v>2796</v>
      </c>
      <c r="S358">
        <f>IFERROR(Table1_1[[#This Row],[Gross_Sales]]*Table1_1[[#This Row],[Discount_%]],"")</f>
        <v>0</v>
      </c>
      <c r="T358">
        <f>IFERROR(Table1_1[[#This Row],[Gross_Sales]]-Table1_1[[#This Row],[Discount_amount]]+Table1_1[[#This Row],[Shipping_Cost]],"")</f>
        <v>2796</v>
      </c>
      <c r="U358">
        <f>IFERROR(Table1_1[[#This Row],[Net_Sale]]-(Table1_1[[#This Row],[Gross_Sales]]*70%),"")</f>
        <v>838.80000000000018</v>
      </c>
      <c r="V358" s="7">
        <f>IFERROR(Table1_1[[#This Row],[Profit]]/Table1_1[[#This Row],[Net_Sale]],"")</f>
        <v>0.30000000000000004</v>
      </c>
      <c r="W358" t="str">
        <f>TEXT(Table1_1[[#This Row],[Order_Date]],"mmm")</f>
        <v>Dec</v>
      </c>
    </row>
    <row r="359" spans="1:23" x14ac:dyDescent="0.25">
      <c r="A359" t="s">
        <v>668</v>
      </c>
      <c r="B359" t="s">
        <v>236</v>
      </c>
      <c r="C359" s="6">
        <v>45919</v>
      </c>
      <c r="D359" t="s">
        <v>90</v>
      </c>
      <c r="E359" t="s">
        <v>91</v>
      </c>
      <c r="F359" t="s">
        <v>37</v>
      </c>
      <c r="G359" t="s">
        <v>92</v>
      </c>
      <c r="H359">
        <v>4</v>
      </c>
      <c r="I359">
        <v>3499</v>
      </c>
      <c r="J359">
        <v>0</v>
      </c>
      <c r="K359">
        <v>59</v>
      </c>
      <c r="L359" t="s">
        <v>100</v>
      </c>
      <c r="M359" t="s">
        <v>101</v>
      </c>
      <c r="N359" t="s">
        <v>40</v>
      </c>
      <c r="O359" t="s">
        <v>51</v>
      </c>
      <c r="P359" t="s">
        <v>80</v>
      </c>
      <c r="Q359">
        <v>3</v>
      </c>
      <c r="R359">
        <f>IFERROR(Table1_1[[#This Row],[Unit_Price]]*Table1_1[[#This Row],[Quantity]],"")</f>
        <v>13996</v>
      </c>
      <c r="S359">
        <f>IFERROR(Table1_1[[#This Row],[Gross_Sales]]*Table1_1[[#This Row],[Discount_%]],"")</f>
        <v>0</v>
      </c>
      <c r="T359">
        <f>IFERROR(Table1_1[[#This Row],[Gross_Sales]]-Table1_1[[#This Row],[Discount_amount]]+Table1_1[[#This Row],[Shipping_Cost]],"")</f>
        <v>14055</v>
      </c>
      <c r="U359">
        <f>IFERROR(Table1_1[[#This Row],[Net_Sale]]-(Table1_1[[#This Row],[Gross_Sales]]*70%),"")</f>
        <v>4257.8000000000011</v>
      </c>
      <c r="V359" s="7">
        <f>IFERROR(Table1_1[[#This Row],[Profit]]/Table1_1[[#This Row],[Net_Sale]],"")</f>
        <v>0.30293845606545722</v>
      </c>
      <c r="W359" t="str">
        <f>TEXT(Table1_1[[#This Row],[Order_Date]],"mmm")</f>
        <v>Sep</v>
      </c>
    </row>
    <row r="360" spans="1:23" x14ac:dyDescent="0.25">
      <c r="A360" t="s">
        <v>669</v>
      </c>
      <c r="B360" t="s">
        <v>616</v>
      </c>
      <c r="C360" s="6">
        <v>45747</v>
      </c>
      <c r="D360" t="s">
        <v>90</v>
      </c>
      <c r="E360" t="s">
        <v>91</v>
      </c>
      <c r="F360" t="s">
        <v>37</v>
      </c>
      <c r="G360" t="s">
        <v>92</v>
      </c>
      <c r="H360">
        <v>1</v>
      </c>
      <c r="I360">
        <v>3499</v>
      </c>
      <c r="J360">
        <v>0.05</v>
      </c>
      <c r="K360">
        <v>59</v>
      </c>
      <c r="L360" t="s">
        <v>39</v>
      </c>
      <c r="M360" t="s">
        <v>39</v>
      </c>
      <c r="N360" t="s">
        <v>31</v>
      </c>
      <c r="O360" t="s">
        <v>93</v>
      </c>
      <c r="P360" t="s">
        <v>33</v>
      </c>
      <c r="Q360">
        <v>3</v>
      </c>
      <c r="R360">
        <f>IFERROR(Table1_1[[#This Row],[Unit_Price]]*Table1_1[[#This Row],[Quantity]],"")</f>
        <v>3499</v>
      </c>
      <c r="S360">
        <f>IFERROR(Table1_1[[#This Row],[Gross_Sales]]*Table1_1[[#This Row],[Discount_%]],"")</f>
        <v>174.95000000000002</v>
      </c>
      <c r="T360">
        <f>IFERROR(Table1_1[[#This Row],[Gross_Sales]]-Table1_1[[#This Row],[Discount_amount]]+Table1_1[[#This Row],[Shipping_Cost]],"")</f>
        <v>3383.05</v>
      </c>
      <c r="U360">
        <f>IFERROR(Table1_1[[#This Row],[Net_Sale]]-(Table1_1[[#This Row],[Gross_Sales]]*70%),"")</f>
        <v>933.75000000000045</v>
      </c>
      <c r="V360" s="7">
        <f>IFERROR(Table1_1[[#This Row],[Profit]]/Table1_1[[#This Row],[Net_Sale]],"")</f>
        <v>0.27600833567343092</v>
      </c>
      <c r="W360" t="str">
        <f>TEXT(Table1_1[[#This Row],[Order_Date]],"mmm")</f>
        <v>Mar</v>
      </c>
    </row>
    <row r="361" spans="1:23" x14ac:dyDescent="0.25">
      <c r="A361" t="s">
        <v>671</v>
      </c>
      <c r="B361" t="s">
        <v>73</v>
      </c>
      <c r="C361" s="6">
        <v>45997</v>
      </c>
      <c r="D361" t="s">
        <v>35</v>
      </c>
      <c r="E361" t="s">
        <v>36</v>
      </c>
      <c r="F361" t="s">
        <v>37</v>
      </c>
      <c r="G361" t="s">
        <v>38</v>
      </c>
      <c r="H361">
        <v>3</v>
      </c>
      <c r="I361">
        <v>599</v>
      </c>
      <c r="J361">
        <v>0.05</v>
      </c>
      <c r="K361">
        <v>79</v>
      </c>
      <c r="L361" t="s">
        <v>39</v>
      </c>
      <c r="M361" t="s">
        <v>39</v>
      </c>
      <c r="N361" t="s">
        <v>31</v>
      </c>
      <c r="O361" t="s">
        <v>51</v>
      </c>
      <c r="P361" t="s">
        <v>33</v>
      </c>
      <c r="Q361">
        <v>3</v>
      </c>
      <c r="R361">
        <f>IFERROR(Table1_1[[#This Row],[Unit_Price]]*Table1_1[[#This Row],[Quantity]],"")</f>
        <v>1797</v>
      </c>
      <c r="S361">
        <f>IFERROR(Table1_1[[#This Row],[Gross_Sales]]*Table1_1[[#This Row],[Discount_%]],"")</f>
        <v>89.850000000000009</v>
      </c>
      <c r="T361">
        <f>IFERROR(Table1_1[[#This Row],[Gross_Sales]]-Table1_1[[#This Row],[Discount_amount]]+Table1_1[[#This Row],[Shipping_Cost]],"")</f>
        <v>1786.15</v>
      </c>
      <c r="U361">
        <f>IFERROR(Table1_1[[#This Row],[Net_Sale]]-(Table1_1[[#This Row],[Gross_Sales]]*70%),"")</f>
        <v>528.25000000000023</v>
      </c>
      <c r="V361" s="7">
        <f>IFERROR(Table1_1[[#This Row],[Profit]]/Table1_1[[#This Row],[Net_Sale]],"")</f>
        <v>0.29574783752764339</v>
      </c>
      <c r="W361" t="str">
        <f>TEXT(Table1_1[[#This Row],[Order_Date]],"mmm")</f>
        <v>Dec</v>
      </c>
    </row>
    <row r="362" spans="1:23" x14ac:dyDescent="0.25">
      <c r="A362" t="s">
        <v>672</v>
      </c>
      <c r="B362" t="s">
        <v>673</v>
      </c>
      <c r="C362" s="6">
        <v>45862</v>
      </c>
      <c r="D362" t="s">
        <v>169</v>
      </c>
      <c r="E362" t="s">
        <v>170</v>
      </c>
      <c r="F362" t="s">
        <v>98</v>
      </c>
      <c r="G362" t="s">
        <v>171</v>
      </c>
      <c r="H362">
        <v>1</v>
      </c>
      <c r="I362">
        <v>799</v>
      </c>
      <c r="J362">
        <v>0.2</v>
      </c>
      <c r="K362">
        <v>79</v>
      </c>
      <c r="L362" t="s">
        <v>100</v>
      </c>
      <c r="M362" t="s">
        <v>101</v>
      </c>
      <c r="N362" t="s">
        <v>50</v>
      </c>
      <c r="O362" t="s">
        <v>93</v>
      </c>
      <c r="P362" t="s">
        <v>52</v>
      </c>
      <c r="Q362">
        <v>2</v>
      </c>
      <c r="R362">
        <f>IFERROR(Table1_1[[#This Row],[Unit_Price]]*Table1_1[[#This Row],[Quantity]],"")</f>
        <v>799</v>
      </c>
      <c r="S362">
        <f>IFERROR(Table1_1[[#This Row],[Gross_Sales]]*Table1_1[[#This Row],[Discount_%]],"")</f>
        <v>159.80000000000001</v>
      </c>
      <c r="T362">
        <f>IFERROR(Table1_1[[#This Row],[Gross_Sales]]-Table1_1[[#This Row],[Discount_amount]]+Table1_1[[#This Row],[Shipping_Cost]],"")</f>
        <v>718.2</v>
      </c>
      <c r="U362">
        <f>IFERROR(Table1_1[[#This Row],[Net_Sale]]-(Table1_1[[#This Row],[Gross_Sales]]*70%),"")</f>
        <v>158.90000000000009</v>
      </c>
      <c r="V362" s="7">
        <f>IFERROR(Table1_1[[#This Row],[Profit]]/Table1_1[[#This Row],[Net_Sale]],"")</f>
        <v>0.22124756335282664</v>
      </c>
      <c r="W362" t="str">
        <f>TEXT(Table1_1[[#This Row],[Order_Date]],"mmm")</f>
        <v>Jul</v>
      </c>
    </row>
    <row r="363" spans="1:23" x14ac:dyDescent="0.25">
      <c r="A363" t="s">
        <v>674</v>
      </c>
      <c r="B363" t="s">
        <v>675</v>
      </c>
      <c r="C363" s="6">
        <v>45739</v>
      </c>
      <c r="D363" t="s">
        <v>77</v>
      </c>
      <c r="E363" t="s">
        <v>78</v>
      </c>
      <c r="F363" t="s">
        <v>79</v>
      </c>
      <c r="G363" t="s">
        <v>28</v>
      </c>
      <c r="H363">
        <v>5</v>
      </c>
      <c r="I363">
        <v>6499</v>
      </c>
      <c r="J363">
        <v>0.1</v>
      </c>
      <c r="K363">
        <v>99</v>
      </c>
      <c r="L363" t="s">
        <v>39</v>
      </c>
      <c r="M363" t="s">
        <v>39</v>
      </c>
      <c r="N363" t="s">
        <v>50</v>
      </c>
      <c r="O363" t="s">
        <v>32</v>
      </c>
      <c r="P363" t="s">
        <v>85</v>
      </c>
      <c r="Q363">
        <v>4</v>
      </c>
      <c r="R363">
        <f>IFERROR(Table1_1[[#This Row],[Unit_Price]]*Table1_1[[#This Row],[Quantity]],"")</f>
        <v>32495</v>
      </c>
      <c r="S363">
        <f>IFERROR(Table1_1[[#This Row],[Gross_Sales]]*Table1_1[[#This Row],[Discount_%]],"")</f>
        <v>3249.5</v>
      </c>
      <c r="T363">
        <f>IFERROR(Table1_1[[#This Row],[Gross_Sales]]-Table1_1[[#This Row],[Discount_amount]]+Table1_1[[#This Row],[Shipping_Cost]],"")</f>
        <v>29344.5</v>
      </c>
      <c r="U363">
        <f>IFERROR(Table1_1[[#This Row],[Net_Sale]]-(Table1_1[[#This Row],[Gross_Sales]]*70%),"")</f>
        <v>6598</v>
      </c>
      <c r="V363" s="7">
        <f>IFERROR(Table1_1[[#This Row],[Profit]]/Table1_1[[#This Row],[Net_Sale]],"")</f>
        <v>0.22484622331271617</v>
      </c>
      <c r="W363" t="str">
        <f>TEXT(Table1_1[[#This Row],[Order_Date]],"mmm")</f>
        <v>Mar</v>
      </c>
    </row>
    <row r="364" spans="1:23" x14ac:dyDescent="0.25">
      <c r="A364" t="s">
        <v>676</v>
      </c>
      <c r="B364" t="s">
        <v>152</v>
      </c>
      <c r="C364" s="6">
        <v>46008</v>
      </c>
      <c r="D364" t="s">
        <v>169</v>
      </c>
      <c r="E364" t="s">
        <v>170</v>
      </c>
      <c r="F364" t="s">
        <v>98</v>
      </c>
      <c r="G364" t="s">
        <v>171</v>
      </c>
      <c r="H364">
        <v>1</v>
      </c>
      <c r="I364">
        <v>799</v>
      </c>
      <c r="J364">
        <v>0.1</v>
      </c>
      <c r="K364">
        <v>79</v>
      </c>
      <c r="L364" t="s">
        <v>627</v>
      </c>
      <c r="M364" t="s">
        <v>126</v>
      </c>
      <c r="N364" t="s">
        <v>40</v>
      </c>
      <c r="O364" t="s">
        <v>59</v>
      </c>
      <c r="P364" t="s">
        <v>33</v>
      </c>
      <c r="Q364">
        <v>1</v>
      </c>
      <c r="R364">
        <f>IFERROR(Table1_1[[#This Row],[Unit_Price]]*Table1_1[[#This Row],[Quantity]],"")</f>
        <v>799</v>
      </c>
      <c r="S364">
        <f>IFERROR(Table1_1[[#This Row],[Gross_Sales]]*Table1_1[[#This Row],[Discount_%]],"")</f>
        <v>79.900000000000006</v>
      </c>
      <c r="T364">
        <f>IFERROR(Table1_1[[#This Row],[Gross_Sales]]-Table1_1[[#This Row],[Discount_amount]]+Table1_1[[#This Row],[Shipping_Cost]],"")</f>
        <v>798.1</v>
      </c>
      <c r="U364">
        <f>IFERROR(Table1_1[[#This Row],[Net_Sale]]-(Table1_1[[#This Row],[Gross_Sales]]*70%),"")</f>
        <v>238.80000000000007</v>
      </c>
      <c r="V364" s="7">
        <f>IFERROR(Table1_1[[#This Row],[Profit]]/Table1_1[[#This Row],[Net_Sale]],"")</f>
        <v>0.29921062523493303</v>
      </c>
      <c r="W364" t="str">
        <f>TEXT(Table1_1[[#This Row],[Order_Date]],"mmm")</f>
        <v>Dec</v>
      </c>
    </row>
    <row r="365" spans="1:23" x14ac:dyDescent="0.25">
      <c r="A365" t="s">
        <v>677</v>
      </c>
      <c r="B365" t="s">
        <v>1618</v>
      </c>
      <c r="C365" s="6">
        <v>45664</v>
      </c>
      <c r="D365" t="s">
        <v>55</v>
      </c>
      <c r="E365" t="s">
        <v>56</v>
      </c>
      <c r="F365" t="s">
        <v>37</v>
      </c>
      <c r="G365" t="s">
        <v>38</v>
      </c>
      <c r="H365">
        <v>2</v>
      </c>
      <c r="I365">
        <v>2499</v>
      </c>
      <c r="J365">
        <v>0.15</v>
      </c>
      <c r="K365">
        <v>99</v>
      </c>
      <c r="L365" t="s">
        <v>48</v>
      </c>
      <c r="M365" t="s">
        <v>49</v>
      </c>
      <c r="N365" t="s">
        <v>50</v>
      </c>
      <c r="O365" t="s">
        <v>51</v>
      </c>
      <c r="P365" t="s">
        <v>80</v>
      </c>
      <c r="Q365">
        <v>5</v>
      </c>
      <c r="R365">
        <f>IFERROR(Table1_1[[#This Row],[Unit_Price]]*Table1_1[[#This Row],[Quantity]],"")</f>
        <v>4998</v>
      </c>
      <c r="S365">
        <f>IFERROR(Table1_1[[#This Row],[Gross_Sales]]*Table1_1[[#This Row],[Discount_%]],"")</f>
        <v>749.69999999999993</v>
      </c>
      <c r="T365">
        <f>IFERROR(Table1_1[[#This Row],[Gross_Sales]]-Table1_1[[#This Row],[Discount_amount]]+Table1_1[[#This Row],[Shipping_Cost]],"")</f>
        <v>4347.3</v>
      </c>
      <c r="U365">
        <f>IFERROR(Table1_1[[#This Row],[Net_Sale]]-(Table1_1[[#This Row],[Gross_Sales]]*70%),"")</f>
        <v>848.70000000000027</v>
      </c>
      <c r="V365" s="7">
        <f>IFERROR(Table1_1[[#This Row],[Profit]]/Table1_1[[#This Row],[Net_Sale]],"")</f>
        <v>0.19522462217928374</v>
      </c>
      <c r="W365" t="str">
        <f>TEXT(Table1_1[[#This Row],[Order_Date]],"mmm")</f>
        <v>Jan</v>
      </c>
    </row>
    <row r="366" spans="1:23" x14ac:dyDescent="0.25">
      <c r="A366" t="s">
        <v>678</v>
      </c>
      <c r="B366" t="s">
        <v>567</v>
      </c>
      <c r="C366" s="6">
        <v>45996</v>
      </c>
      <c r="D366" t="s">
        <v>62</v>
      </c>
      <c r="E366" t="s">
        <v>63</v>
      </c>
      <c r="F366" t="s">
        <v>46</v>
      </c>
      <c r="G366" t="s">
        <v>64</v>
      </c>
      <c r="H366">
        <v>1</v>
      </c>
      <c r="I366">
        <v>699</v>
      </c>
      <c r="J366">
        <v>0.05</v>
      </c>
      <c r="K366">
        <v>79</v>
      </c>
      <c r="L366" t="s">
        <v>125</v>
      </c>
      <c r="M366" t="s">
        <v>126</v>
      </c>
      <c r="N366" t="s">
        <v>102</v>
      </c>
      <c r="O366" t="s">
        <v>32</v>
      </c>
      <c r="P366" t="s">
        <v>52</v>
      </c>
      <c r="Q366">
        <v>1</v>
      </c>
      <c r="R366">
        <f>IFERROR(Table1_1[[#This Row],[Unit_Price]]*Table1_1[[#This Row],[Quantity]],"")</f>
        <v>699</v>
      </c>
      <c r="S366">
        <f>IFERROR(Table1_1[[#This Row],[Gross_Sales]]*Table1_1[[#This Row],[Discount_%]],"")</f>
        <v>34.950000000000003</v>
      </c>
      <c r="T366">
        <f>IFERROR(Table1_1[[#This Row],[Gross_Sales]]-Table1_1[[#This Row],[Discount_amount]]+Table1_1[[#This Row],[Shipping_Cost]],"")</f>
        <v>743.05</v>
      </c>
      <c r="U366">
        <f>IFERROR(Table1_1[[#This Row],[Net_Sale]]-(Table1_1[[#This Row],[Gross_Sales]]*70%),"")</f>
        <v>253.75</v>
      </c>
      <c r="V366" s="7">
        <f>IFERROR(Table1_1[[#This Row],[Profit]]/Table1_1[[#This Row],[Net_Sale]],"")</f>
        <v>0.34149788035798401</v>
      </c>
      <c r="W366" t="str">
        <f>TEXT(Table1_1[[#This Row],[Order_Date]],"mmm")</f>
        <v>Dec</v>
      </c>
    </row>
    <row r="367" spans="1:23" x14ac:dyDescent="0.25">
      <c r="A367" t="s">
        <v>679</v>
      </c>
      <c r="B367" t="s">
        <v>298</v>
      </c>
      <c r="C367" s="6">
        <v>45898</v>
      </c>
      <c r="D367" t="s">
        <v>35</v>
      </c>
      <c r="E367" t="s">
        <v>36</v>
      </c>
      <c r="F367" t="s">
        <v>37</v>
      </c>
      <c r="G367" t="s">
        <v>38</v>
      </c>
      <c r="H367">
        <v>2</v>
      </c>
      <c r="I367">
        <v>599</v>
      </c>
      <c r="J367">
        <v>0</v>
      </c>
      <c r="K367">
        <v>79</v>
      </c>
      <c r="L367" t="s">
        <v>100</v>
      </c>
      <c r="M367" t="s">
        <v>101</v>
      </c>
      <c r="N367" t="s">
        <v>50</v>
      </c>
      <c r="O367" t="s">
        <v>51</v>
      </c>
      <c r="P367" t="s">
        <v>33</v>
      </c>
      <c r="Q367">
        <v>3</v>
      </c>
      <c r="R367">
        <f>IFERROR(Table1_1[[#This Row],[Unit_Price]]*Table1_1[[#This Row],[Quantity]],"")</f>
        <v>1198</v>
      </c>
      <c r="S367">
        <f>IFERROR(Table1_1[[#This Row],[Gross_Sales]]*Table1_1[[#This Row],[Discount_%]],"")</f>
        <v>0</v>
      </c>
      <c r="T367">
        <f>IFERROR(Table1_1[[#This Row],[Gross_Sales]]-Table1_1[[#This Row],[Discount_amount]]+Table1_1[[#This Row],[Shipping_Cost]],"")</f>
        <v>1277</v>
      </c>
      <c r="U367">
        <f>IFERROR(Table1_1[[#This Row],[Net_Sale]]-(Table1_1[[#This Row],[Gross_Sales]]*70%),"")</f>
        <v>438.40000000000009</v>
      </c>
      <c r="V367" s="7">
        <f>IFERROR(Table1_1[[#This Row],[Profit]]/Table1_1[[#This Row],[Net_Sale]],"")</f>
        <v>0.34330462020360225</v>
      </c>
      <c r="W367" t="str">
        <f>TEXT(Table1_1[[#This Row],[Order_Date]],"mmm")</f>
        <v>Aug</v>
      </c>
    </row>
    <row r="368" spans="1:23" x14ac:dyDescent="0.25">
      <c r="A368" t="s">
        <v>680</v>
      </c>
      <c r="B368" t="s">
        <v>681</v>
      </c>
      <c r="C368" s="6">
        <v>45987</v>
      </c>
      <c r="D368" t="s">
        <v>35</v>
      </c>
      <c r="E368" t="s">
        <v>36</v>
      </c>
      <c r="F368" t="s">
        <v>37</v>
      </c>
      <c r="G368" t="s">
        <v>38</v>
      </c>
      <c r="H368">
        <v>1</v>
      </c>
      <c r="I368">
        <v>599</v>
      </c>
      <c r="J368">
        <v>0</v>
      </c>
      <c r="K368">
        <v>79</v>
      </c>
      <c r="L368" t="s">
        <v>83</v>
      </c>
      <c r="M368" t="s">
        <v>84</v>
      </c>
      <c r="N368" t="s">
        <v>102</v>
      </c>
      <c r="O368" t="s">
        <v>59</v>
      </c>
      <c r="P368" t="s">
        <v>33</v>
      </c>
      <c r="Q368">
        <v>1</v>
      </c>
      <c r="R368">
        <f>IFERROR(Table1_1[[#This Row],[Unit_Price]]*Table1_1[[#This Row],[Quantity]],"")</f>
        <v>599</v>
      </c>
      <c r="S368">
        <f>IFERROR(Table1_1[[#This Row],[Gross_Sales]]*Table1_1[[#This Row],[Discount_%]],"")</f>
        <v>0</v>
      </c>
      <c r="T368">
        <f>IFERROR(Table1_1[[#This Row],[Gross_Sales]]-Table1_1[[#This Row],[Discount_amount]]+Table1_1[[#This Row],[Shipping_Cost]],"")</f>
        <v>678</v>
      </c>
      <c r="U368">
        <f>IFERROR(Table1_1[[#This Row],[Net_Sale]]-(Table1_1[[#This Row],[Gross_Sales]]*70%),"")</f>
        <v>258.70000000000005</v>
      </c>
      <c r="V368" s="7">
        <f>IFERROR(Table1_1[[#This Row],[Profit]]/Table1_1[[#This Row],[Net_Sale]],"")</f>
        <v>0.38156342182890862</v>
      </c>
      <c r="W368" t="str">
        <f>TEXT(Table1_1[[#This Row],[Order_Date]],"mmm")</f>
        <v>Nov</v>
      </c>
    </row>
    <row r="369" spans="1:23" x14ac:dyDescent="0.25">
      <c r="A369" t="s">
        <v>682</v>
      </c>
      <c r="B369" t="s">
        <v>683</v>
      </c>
      <c r="C369" s="6">
        <v>45912</v>
      </c>
      <c r="D369" t="s">
        <v>90</v>
      </c>
      <c r="E369" t="s">
        <v>91</v>
      </c>
      <c r="F369" t="s">
        <v>37</v>
      </c>
      <c r="G369" t="s">
        <v>92</v>
      </c>
      <c r="H369">
        <v>1</v>
      </c>
      <c r="I369">
        <v>3499</v>
      </c>
      <c r="J369">
        <v>0</v>
      </c>
      <c r="K369">
        <v>79</v>
      </c>
      <c r="L369" t="s">
        <v>119</v>
      </c>
      <c r="M369" t="s">
        <v>120</v>
      </c>
      <c r="N369" t="s">
        <v>31</v>
      </c>
      <c r="O369" t="s">
        <v>32</v>
      </c>
      <c r="P369" t="s">
        <v>33</v>
      </c>
      <c r="Q369">
        <v>5</v>
      </c>
      <c r="R369">
        <f>IFERROR(Table1_1[[#This Row],[Unit_Price]]*Table1_1[[#This Row],[Quantity]],"")</f>
        <v>3499</v>
      </c>
      <c r="S369">
        <f>IFERROR(Table1_1[[#This Row],[Gross_Sales]]*Table1_1[[#This Row],[Discount_%]],"")</f>
        <v>0</v>
      </c>
      <c r="T369">
        <f>IFERROR(Table1_1[[#This Row],[Gross_Sales]]-Table1_1[[#This Row],[Discount_amount]]+Table1_1[[#This Row],[Shipping_Cost]],"")</f>
        <v>3578</v>
      </c>
      <c r="U369">
        <f>IFERROR(Table1_1[[#This Row],[Net_Sale]]-(Table1_1[[#This Row],[Gross_Sales]]*70%),"")</f>
        <v>1128.7000000000003</v>
      </c>
      <c r="V369" s="7">
        <f>IFERROR(Table1_1[[#This Row],[Profit]]/Table1_1[[#This Row],[Net_Sale]],"")</f>
        <v>0.31545556176634998</v>
      </c>
      <c r="W369" t="str">
        <f>TEXT(Table1_1[[#This Row],[Order_Date]],"mmm")</f>
        <v>Sep</v>
      </c>
    </row>
    <row r="370" spans="1:23" x14ac:dyDescent="0.25">
      <c r="A370" t="s">
        <v>684</v>
      </c>
      <c r="B370" t="s">
        <v>685</v>
      </c>
      <c r="C370" s="6">
        <v>45974</v>
      </c>
      <c r="D370" t="s">
        <v>35</v>
      </c>
      <c r="E370" t="s">
        <v>36</v>
      </c>
      <c r="F370" t="s">
        <v>37</v>
      </c>
      <c r="G370" t="s">
        <v>38</v>
      </c>
      <c r="H370">
        <v>3</v>
      </c>
      <c r="I370">
        <v>599</v>
      </c>
      <c r="J370">
        <v>0.15</v>
      </c>
      <c r="K370">
        <v>49</v>
      </c>
      <c r="L370" t="s">
        <v>29</v>
      </c>
      <c r="M370" t="s">
        <v>30</v>
      </c>
      <c r="N370" t="s">
        <v>71</v>
      </c>
      <c r="O370" t="s">
        <v>51</v>
      </c>
      <c r="P370" t="s">
        <v>85</v>
      </c>
      <c r="Q370">
        <v>3</v>
      </c>
      <c r="R370">
        <f>IFERROR(Table1_1[[#This Row],[Unit_Price]]*Table1_1[[#This Row],[Quantity]],"")</f>
        <v>1797</v>
      </c>
      <c r="S370">
        <f>IFERROR(Table1_1[[#This Row],[Gross_Sales]]*Table1_1[[#This Row],[Discount_%]],"")</f>
        <v>269.55</v>
      </c>
      <c r="T370">
        <f>IFERROR(Table1_1[[#This Row],[Gross_Sales]]-Table1_1[[#This Row],[Discount_amount]]+Table1_1[[#This Row],[Shipping_Cost]],"")</f>
        <v>1576.45</v>
      </c>
      <c r="U370">
        <f>IFERROR(Table1_1[[#This Row],[Net_Sale]]-(Table1_1[[#This Row],[Gross_Sales]]*70%),"")</f>
        <v>318.55000000000018</v>
      </c>
      <c r="V370" s="7">
        <f>IFERROR(Table1_1[[#This Row],[Profit]]/Table1_1[[#This Row],[Net_Sale]],"")</f>
        <v>0.20206793745440715</v>
      </c>
      <c r="W370" t="str">
        <f>TEXT(Table1_1[[#This Row],[Order_Date]],"mmm")</f>
        <v>Nov</v>
      </c>
    </row>
    <row r="371" spans="1:23" x14ac:dyDescent="0.25">
      <c r="A371" t="s">
        <v>686</v>
      </c>
      <c r="B371" t="s">
        <v>166</v>
      </c>
      <c r="C371" s="6">
        <v>45827</v>
      </c>
      <c r="D371" t="s">
        <v>35</v>
      </c>
      <c r="E371" t="s">
        <v>36</v>
      </c>
      <c r="F371" t="s">
        <v>37</v>
      </c>
      <c r="G371" t="s">
        <v>38</v>
      </c>
      <c r="H371">
        <v>3</v>
      </c>
      <c r="I371">
        <v>599</v>
      </c>
      <c r="J371">
        <v>0.15</v>
      </c>
      <c r="K371">
        <v>79</v>
      </c>
      <c r="L371" t="s">
        <v>113</v>
      </c>
      <c r="M371" t="s">
        <v>114</v>
      </c>
      <c r="N371" t="s">
        <v>40</v>
      </c>
      <c r="O371" t="s">
        <v>93</v>
      </c>
      <c r="P371" t="s">
        <v>85</v>
      </c>
      <c r="Q371">
        <v>1</v>
      </c>
      <c r="R371">
        <f>IFERROR(Table1_1[[#This Row],[Unit_Price]]*Table1_1[[#This Row],[Quantity]],"")</f>
        <v>1797</v>
      </c>
      <c r="S371">
        <f>IFERROR(Table1_1[[#This Row],[Gross_Sales]]*Table1_1[[#This Row],[Discount_%]],"")</f>
        <v>269.55</v>
      </c>
      <c r="T371">
        <f>IFERROR(Table1_1[[#This Row],[Gross_Sales]]-Table1_1[[#This Row],[Discount_amount]]+Table1_1[[#This Row],[Shipping_Cost]],"")</f>
        <v>1606.45</v>
      </c>
      <c r="U371">
        <f>IFERROR(Table1_1[[#This Row],[Net_Sale]]-(Table1_1[[#This Row],[Gross_Sales]]*70%),"")</f>
        <v>348.55000000000018</v>
      </c>
      <c r="V371" s="7">
        <f>IFERROR(Table1_1[[#This Row],[Profit]]/Table1_1[[#This Row],[Net_Sale]],"")</f>
        <v>0.21696909334246331</v>
      </c>
      <c r="W371" t="str">
        <f>TEXT(Table1_1[[#This Row],[Order_Date]],"mmm")</f>
        <v>Jun</v>
      </c>
    </row>
    <row r="372" spans="1:23" x14ac:dyDescent="0.25">
      <c r="A372" t="s">
        <v>687</v>
      </c>
      <c r="B372" t="s">
        <v>267</v>
      </c>
      <c r="C372" s="6">
        <v>45839</v>
      </c>
      <c r="D372" t="s">
        <v>25</v>
      </c>
      <c r="E372" t="s">
        <v>26</v>
      </c>
      <c r="F372" t="s">
        <v>27</v>
      </c>
      <c r="G372" t="s">
        <v>28</v>
      </c>
      <c r="H372">
        <v>1</v>
      </c>
      <c r="I372">
        <v>249</v>
      </c>
      <c r="J372">
        <v>0.15</v>
      </c>
      <c r="K372">
        <v>99</v>
      </c>
      <c r="L372" t="s">
        <v>113</v>
      </c>
      <c r="M372" t="s">
        <v>114</v>
      </c>
      <c r="N372" t="s">
        <v>31</v>
      </c>
      <c r="O372" t="s">
        <v>93</v>
      </c>
      <c r="P372" t="s">
        <v>33</v>
      </c>
      <c r="Q372">
        <v>2</v>
      </c>
      <c r="R372">
        <f>IFERROR(Table1_1[[#This Row],[Unit_Price]]*Table1_1[[#This Row],[Quantity]],"")</f>
        <v>249</v>
      </c>
      <c r="S372">
        <f>IFERROR(Table1_1[[#This Row],[Gross_Sales]]*Table1_1[[#This Row],[Discount_%]],"")</f>
        <v>37.35</v>
      </c>
      <c r="T372">
        <f>IFERROR(Table1_1[[#This Row],[Gross_Sales]]-Table1_1[[#This Row],[Discount_amount]]+Table1_1[[#This Row],[Shipping_Cost]],"")</f>
        <v>310.64999999999998</v>
      </c>
      <c r="U372">
        <f>IFERROR(Table1_1[[#This Row],[Net_Sale]]-(Table1_1[[#This Row],[Gross_Sales]]*70%),"")</f>
        <v>136.35</v>
      </c>
      <c r="V372" s="7">
        <f>IFERROR(Table1_1[[#This Row],[Profit]]/Table1_1[[#This Row],[Net_Sale]],"")</f>
        <v>0.43891839690970547</v>
      </c>
      <c r="W372" t="str">
        <f>TEXT(Table1_1[[#This Row],[Order_Date]],"mmm")</f>
        <v>Jul</v>
      </c>
    </row>
    <row r="373" spans="1:23" x14ac:dyDescent="0.25">
      <c r="A373" t="s">
        <v>688</v>
      </c>
      <c r="B373" t="s">
        <v>207</v>
      </c>
      <c r="C373" s="6">
        <v>45867</v>
      </c>
      <c r="D373" t="s">
        <v>90</v>
      </c>
      <c r="E373" t="s">
        <v>91</v>
      </c>
      <c r="F373" t="s">
        <v>37</v>
      </c>
      <c r="G373" t="s">
        <v>92</v>
      </c>
      <c r="H373">
        <v>3</v>
      </c>
      <c r="I373">
        <v>3499</v>
      </c>
      <c r="J373">
        <v>0</v>
      </c>
      <c r="K373">
        <v>49</v>
      </c>
      <c r="L373" t="s">
        <v>100</v>
      </c>
      <c r="M373" t="s">
        <v>101</v>
      </c>
      <c r="N373" t="s">
        <v>40</v>
      </c>
      <c r="O373" t="s">
        <v>41</v>
      </c>
      <c r="P373" t="s">
        <v>85</v>
      </c>
      <c r="Q373">
        <v>4</v>
      </c>
      <c r="R373">
        <f>IFERROR(Table1_1[[#This Row],[Unit_Price]]*Table1_1[[#This Row],[Quantity]],"")</f>
        <v>10497</v>
      </c>
      <c r="S373">
        <f>IFERROR(Table1_1[[#This Row],[Gross_Sales]]*Table1_1[[#This Row],[Discount_%]],"")</f>
        <v>0</v>
      </c>
      <c r="T373">
        <f>IFERROR(Table1_1[[#This Row],[Gross_Sales]]-Table1_1[[#This Row],[Discount_amount]]+Table1_1[[#This Row],[Shipping_Cost]],"")</f>
        <v>10546</v>
      </c>
      <c r="U373">
        <f>IFERROR(Table1_1[[#This Row],[Net_Sale]]-(Table1_1[[#This Row],[Gross_Sales]]*70%),"")</f>
        <v>3198.1000000000004</v>
      </c>
      <c r="V373" s="7">
        <f>IFERROR(Table1_1[[#This Row],[Profit]]/Table1_1[[#This Row],[Net_Sale]],"")</f>
        <v>0.30325241797838048</v>
      </c>
      <c r="W373" t="str">
        <f>TEXT(Table1_1[[#This Row],[Order_Date]],"mmm")</f>
        <v>Jul</v>
      </c>
    </row>
    <row r="374" spans="1:23" x14ac:dyDescent="0.25">
      <c r="A374" t="s">
        <v>689</v>
      </c>
      <c r="B374" t="s">
        <v>690</v>
      </c>
      <c r="C374" s="6">
        <v>45870</v>
      </c>
      <c r="D374" t="s">
        <v>67</v>
      </c>
      <c r="E374" t="s">
        <v>68</v>
      </c>
      <c r="F374" t="s">
        <v>37</v>
      </c>
      <c r="G374" t="s">
        <v>38</v>
      </c>
      <c r="H374">
        <v>1</v>
      </c>
      <c r="I374">
        <v>1299</v>
      </c>
      <c r="J374">
        <v>0.2</v>
      </c>
      <c r="K374">
        <v>99</v>
      </c>
      <c r="L374" t="s">
        <v>74</v>
      </c>
      <c r="M374" t="s">
        <v>49</v>
      </c>
      <c r="N374" t="s">
        <v>40</v>
      </c>
      <c r="O374" t="s">
        <v>59</v>
      </c>
      <c r="P374" t="s">
        <v>80</v>
      </c>
      <c r="Q374">
        <v>3</v>
      </c>
      <c r="R374">
        <f>IFERROR(Table1_1[[#This Row],[Unit_Price]]*Table1_1[[#This Row],[Quantity]],"")</f>
        <v>1299</v>
      </c>
      <c r="S374">
        <f>IFERROR(Table1_1[[#This Row],[Gross_Sales]]*Table1_1[[#This Row],[Discount_%]],"")</f>
        <v>259.8</v>
      </c>
      <c r="T374">
        <f>IFERROR(Table1_1[[#This Row],[Gross_Sales]]-Table1_1[[#This Row],[Discount_amount]]+Table1_1[[#This Row],[Shipping_Cost]],"")</f>
        <v>1138.2</v>
      </c>
      <c r="U374">
        <f>IFERROR(Table1_1[[#This Row],[Net_Sale]]-(Table1_1[[#This Row],[Gross_Sales]]*70%),"")</f>
        <v>228.90000000000009</v>
      </c>
      <c r="V374" s="7">
        <f>IFERROR(Table1_1[[#This Row],[Profit]]/Table1_1[[#This Row],[Net_Sale]],"")</f>
        <v>0.20110701107011078</v>
      </c>
      <c r="W374" t="str">
        <f>TEXT(Table1_1[[#This Row],[Order_Date]],"mmm")</f>
        <v>Aug</v>
      </c>
    </row>
    <row r="375" spans="1:23" x14ac:dyDescent="0.25">
      <c r="A375" t="s">
        <v>691</v>
      </c>
      <c r="B375" t="s">
        <v>692</v>
      </c>
      <c r="C375" s="6">
        <v>45913</v>
      </c>
      <c r="D375" t="s">
        <v>44</v>
      </c>
      <c r="E375" t="s">
        <v>45</v>
      </c>
      <c r="F375" t="s">
        <v>46</v>
      </c>
      <c r="G375" t="s">
        <v>47</v>
      </c>
      <c r="H375">
        <v>1</v>
      </c>
      <c r="I375">
        <v>1199</v>
      </c>
      <c r="J375">
        <v>0</v>
      </c>
      <c r="K375">
        <v>99</v>
      </c>
      <c r="L375" t="s">
        <v>83</v>
      </c>
      <c r="M375" t="s">
        <v>84</v>
      </c>
      <c r="N375" t="s">
        <v>102</v>
      </c>
      <c r="O375" t="s">
        <v>59</v>
      </c>
      <c r="P375" t="s">
        <v>80</v>
      </c>
      <c r="Q375">
        <v>5</v>
      </c>
      <c r="R375">
        <f>IFERROR(Table1_1[[#This Row],[Unit_Price]]*Table1_1[[#This Row],[Quantity]],"")</f>
        <v>1199</v>
      </c>
      <c r="S375">
        <f>IFERROR(Table1_1[[#This Row],[Gross_Sales]]*Table1_1[[#This Row],[Discount_%]],"")</f>
        <v>0</v>
      </c>
      <c r="T375">
        <f>IFERROR(Table1_1[[#This Row],[Gross_Sales]]-Table1_1[[#This Row],[Discount_amount]]+Table1_1[[#This Row],[Shipping_Cost]],"")</f>
        <v>1298</v>
      </c>
      <c r="U375">
        <f>IFERROR(Table1_1[[#This Row],[Net_Sale]]-(Table1_1[[#This Row],[Gross_Sales]]*70%),"")</f>
        <v>458.70000000000005</v>
      </c>
      <c r="V375" s="7">
        <f>IFERROR(Table1_1[[#This Row],[Profit]]/Table1_1[[#This Row],[Net_Sale]],"")</f>
        <v>0.35338983050847461</v>
      </c>
      <c r="W375" t="str">
        <f>TEXT(Table1_1[[#This Row],[Order_Date]],"mmm")</f>
        <v>Sep</v>
      </c>
    </row>
    <row r="376" spans="1:23" x14ac:dyDescent="0.25">
      <c r="A376" t="s">
        <v>693</v>
      </c>
      <c r="B376" t="s">
        <v>298</v>
      </c>
      <c r="C376" s="6">
        <v>45723</v>
      </c>
      <c r="D376" t="s">
        <v>105</v>
      </c>
      <c r="E376" t="s">
        <v>106</v>
      </c>
      <c r="F376" t="s">
        <v>37</v>
      </c>
      <c r="G376" t="s">
        <v>107</v>
      </c>
      <c r="H376">
        <v>1</v>
      </c>
      <c r="I376">
        <v>1799</v>
      </c>
      <c r="J376">
        <v>0.15</v>
      </c>
      <c r="K376">
        <v>99</v>
      </c>
      <c r="L376" t="s">
        <v>125</v>
      </c>
      <c r="M376" t="s">
        <v>126</v>
      </c>
      <c r="N376" t="s">
        <v>102</v>
      </c>
      <c r="O376" t="s">
        <v>59</v>
      </c>
      <c r="P376" t="s">
        <v>80</v>
      </c>
      <c r="Q376">
        <v>4</v>
      </c>
      <c r="R376">
        <f>IFERROR(Table1_1[[#This Row],[Unit_Price]]*Table1_1[[#This Row],[Quantity]],"")</f>
        <v>1799</v>
      </c>
      <c r="S376">
        <f>IFERROR(Table1_1[[#This Row],[Gross_Sales]]*Table1_1[[#This Row],[Discount_%]],"")</f>
        <v>269.84999999999997</v>
      </c>
      <c r="T376">
        <f>IFERROR(Table1_1[[#This Row],[Gross_Sales]]-Table1_1[[#This Row],[Discount_amount]]+Table1_1[[#This Row],[Shipping_Cost]],"")</f>
        <v>1628.15</v>
      </c>
      <c r="U376">
        <f>IFERROR(Table1_1[[#This Row],[Net_Sale]]-(Table1_1[[#This Row],[Gross_Sales]]*70%),"")</f>
        <v>368.85000000000014</v>
      </c>
      <c r="V376" s="7">
        <f>IFERROR(Table1_1[[#This Row],[Profit]]/Table1_1[[#This Row],[Net_Sale]],"")</f>
        <v>0.22654546571261869</v>
      </c>
      <c r="W376" t="str">
        <f>TEXT(Table1_1[[#This Row],[Order_Date]],"mmm")</f>
        <v>Mar</v>
      </c>
    </row>
    <row r="377" spans="1:23" x14ac:dyDescent="0.25">
      <c r="A377" t="s">
        <v>694</v>
      </c>
      <c r="B377" t="s">
        <v>695</v>
      </c>
      <c r="C377" s="6">
        <v>45833</v>
      </c>
      <c r="D377" t="s">
        <v>44</v>
      </c>
      <c r="E377" t="s">
        <v>45</v>
      </c>
      <c r="F377" t="s">
        <v>46</v>
      </c>
      <c r="G377" t="s">
        <v>47</v>
      </c>
      <c r="H377">
        <v>1</v>
      </c>
      <c r="I377">
        <v>1199</v>
      </c>
      <c r="J377">
        <v>0</v>
      </c>
      <c r="K377">
        <v>79</v>
      </c>
      <c r="L377" t="s">
        <v>113</v>
      </c>
      <c r="M377" t="s">
        <v>114</v>
      </c>
      <c r="N377" t="s">
        <v>71</v>
      </c>
      <c r="O377" t="s">
        <v>32</v>
      </c>
      <c r="P377" t="s">
        <v>33</v>
      </c>
      <c r="Q377">
        <v>3</v>
      </c>
      <c r="R377">
        <f>IFERROR(Table1_1[[#This Row],[Unit_Price]]*Table1_1[[#This Row],[Quantity]],"")</f>
        <v>1199</v>
      </c>
      <c r="S377">
        <f>IFERROR(Table1_1[[#This Row],[Gross_Sales]]*Table1_1[[#This Row],[Discount_%]],"")</f>
        <v>0</v>
      </c>
      <c r="T377">
        <f>IFERROR(Table1_1[[#This Row],[Gross_Sales]]-Table1_1[[#This Row],[Discount_amount]]+Table1_1[[#This Row],[Shipping_Cost]],"")</f>
        <v>1278</v>
      </c>
      <c r="U377">
        <f>IFERROR(Table1_1[[#This Row],[Net_Sale]]-(Table1_1[[#This Row],[Gross_Sales]]*70%),"")</f>
        <v>438.70000000000005</v>
      </c>
      <c r="V377" s="7">
        <f>IFERROR(Table1_1[[#This Row],[Profit]]/Table1_1[[#This Row],[Net_Sale]],"")</f>
        <v>0.34327073552425669</v>
      </c>
      <c r="W377" t="str">
        <f>TEXT(Table1_1[[#This Row],[Order_Date]],"mmm")</f>
        <v>Jun</v>
      </c>
    </row>
    <row r="378" spans="1:23" x14ac:dyDescent="0.25">
      <c r="A378" t="s">
        <v>696</v>
      </c>
      <c r="B378" t="s">
        <v>697</v>
      </c>
      <c r="C378" s="6">
        <v>45760</v>
      </c>
      <c r="D378" t="s">
        <v>169</v>
      </c>
      <c r="E378" t="s">
        <v>170</v>
      </c>
      <c r="F378" t="s">
        <v>98</v>
      </c>
      <c r="G378" t="s">
        <v>171</v>
      </c>
      <c r="H378">
        <v>2</v>
      </c>
      <c r="I378">
        <v>799</v>
      </c>
      <c r="J378">
        <v>0.05</v>
      </c>
      <c r="K378">
        <v>59</v>
      </c>
      <c r="L378" t="s">
        <v>83</v>
      </c>
      <c r="M378" t="s">
        <v>84</v>
      </c>
      <c r="N378" t="s">
        <v>50</v>
      </c>
      <c r="O378" t="s">
        <v>32</v>
      </c>
      <c r="P378" t="s">
        <v>80</v>
      </c>
      <c r="Q378">
        <v>5</v>
      </c>
      <c r="R378">
        <f>IFERROR(Table1_1[[#This Row],[Unit_Price]]*Table1_1[[#This Row],[Quantity]],"")</f>
        <v>1598</v>
      </c>
      <c r="S378">
        <f>IFERROR(Table1_1[[#This Row],[Gross_Sales]]*Table1_1[[#This Row],[Discount_%]],"")</f>
        <v>79.900000000000006</v>
      </c>
      <c r="T378">
        <f>IFERROR(Table1_1[[#This Row],[Gross_Sales]]-Table1_1[[#This Row],[Discount_amount]]+Table1_1[[#This Row],[Shipping_Cost]],"")</f>
        <v>1577.1</v>
      </c>
      <c r="U378">
        <f>IFERROR(Table1_1[[#This Row],[Net_Sale]]-(Table1_1[[#This Row],[Gross_Sales]]*70%),"")</f>
        <v>458.5</v>
      </c>
      <c r="V378" s="7">
        <f>IFERROR(Table1_1[[#This Row],[Profit]]/Table1_1[[#This Row],[Net_Sale]],"")</f>
        <v>0.29072347980470487</v>
      </c>
      <c r="W378" t="str">
        <f>TEXT(Table1_1[[#This Row],[Order_Date]],"mmm")</f>
        <v>Apr</v>
      </c>
    </row>
    <row r="379" spans="1:23" x14ac:dyDescent="0.25">
      <c r="A379" t="s">
        <v>698</v>
      </c>
      <c r="B379" t="s">
        <v>224</v>
      </c>
      <c r="C379" s="6">
        <v>45838</v>
      </c>
      <c r="D379" t="s">
        <v>77</v>
      </c>
      <c r="E379" t="s">
        <v>78</v>
      </c>
      <c r="F379" t="s">
        <v>79</v>
      </c>
      <c r="G379" t="s">
        <v>28</v>
      </c>
      <c r="H379">
        <v>2</v>
      </c>
      <c r="I379">
        <v>6499</v>
      </c>
      <c r="J379">
        <v>0.15</v>
      </c>
      <c r="K379">
        <v>79</v>
      </c>
      <c r="L379" t="s">
        <v>74</v>
      </c>
      <c r="M379" t="s">
        <v>49</v>
      </c>
      <c r="N379" t="s">
        <v>71</v>
      </c>
      <c r="O379" t="s">
        <v>59</v>
      </c>
      <c r="P379" t="s">
        <v>85</v>
      </c>
      <c r="Q379">
        <v>3</v>
      </c>
      <c r="R379">
        <f>IFERROR(Table1_1[[#This Row],[Unit_Price]]*Table1_1[[#This Row],[Quantity]],"")</f>
        <v>12998</v>
      </c>
      <c r="S379">
        <f>IFERROR(Table1_1[[#This Row],[Gross_Sales]]*Table1_1[[#This Row],[Discount_%]],"")</f>
        <v>1949.6999999999998</v>
      </c>
      <c r="T379">
        <f>IFERROR(Table1_1[[#This Row],[Gross_Sales]]-Table1_1[[#This Row],[Discount_amount]]+Table1_1[[#This Row],[Shipping_Cost]],"")</f>
        <v>11127.3</v>
      </c>
      <c r="U379">
        <f>IFERROR(Table1_1[[#This Row],[Net_Sale]]-(Table1_1[[#This Row],[Gross_Sales]]*70%),"")</f>
        <v>2028.7000000000007</v>
      </c>
      <c r="V379" s="7">
        <f>IFERROR(Table1_1[[#This Row],[Profit]]/Table1_1[[#This Row],[Net_Sale]],"")</f>
        <v>0.18231736360123307</v>
      </c>
      <c r="W379" t="str">
        <f>TEXT(Table1_1[[#This Row],[Order_Date]],"mmm")</f>
        <v>Jun</v>
      </c>
    </row>
    <row r="380" spans="1:23" x14ac:dyDescent="0.25">
      <c r="A380" t="s">
        <v>699</v>
      </c>
      <c r="B380" t="s">
        <v>89</v>
      </c>
      <c r="C380" s="6">
        <v>45853</v>
      </c>
      <c r="D380" t="s">
        <v>35</v>
      </c>
      <c r="E380" t="s">
        <v>36</v>
      </c>
      <c r="F380" t="s">
        <v>37</v>
      </c>
      <c r="G380" t="s">
        <v>38</v>
      </c>
      <c r="H380">
        <v>1</v>
      </c>
      <c r="I380">
        <v>599</v>
      </c>
      <c r="J380">
        <v>0</v>
      </c>
      <c r="K380">
        <v>49</v>
      </c>
      <c r="L380" t="s">
        <v>83</v>
      </c>
      <c r="M380" t="s">
        <v>84</v>
      </c>
      <c r="N380" t="s">
        <v>50</v>
      </c>
      <c r="O380" t="s">
        <v>51</v>
      </c>
      <c r="P380" t="s">
        <v>80</v>
      </c>
      <c r="Q380">
        <v>3</v>
      </c>
      <c r="R380">
        <f>IFERROR(Table1_1[[#This Row],[Unit_Price]]*Table1_1[[#This Row],[Quantity]],"")</f>
        <v>599</v>
      </c>
      <c r="S380">
        <f>IFERROR(Table1_1[[#This Row],[Gross_Sales]]*Table1_1[[#This Row],[Discount_%]],"")</f>
        <v>0</v>
      </c>
      <c r="T380">
        <f>IFERROR(Table1_1[[#This Row],[Gross_Sales]]-Table1_1[[#This Row],[Discount_amount]]+Table1_1[[#This Row],[Shipping_Cost]],"")</f>
        <v>648</v>
      </c>
      <c r="U380">
        <f>IFERROR(Table1_1[[#This Row],[Net_Sale]]-(Table1_1[[#This Row],[Gross_Sales]]*70%),"")</f>
        <v>228.70000000000005</v>
      </c>
      <c r="V380" s="7">
        <f>IFERROR(Table1_1[[#This Row],[Profit]]/Table1_1[[#This Row],[Net_Sale]],"")</f>
        <v>0.35293209876543219</v>
      </c>
      <c r="W380" t="str">
        <f>TEXT(Table1_1[[#This Row],[Order_Date]],"mmm")</f>
        <v>Jul</v>
      </c>
    </row>
    <row r="381" spans="1:23" x14ac:dyDescent="0.25">
      <c r="A381" t="s">
        <v>700</v>
      </c>
      <c r="B381" t="s">
        <v>536</v>
      </c>
      <c r="C381" s="6">
        <v>46011</v>
      </c>
      <c r="D381" t="s">
        <v>110</v>
      </c>
      <c r="E381" t="s">
        <v>111</v>
      </c>
      <c r="F381" t="s">
        <v>98</v>
      </c>
      <c r="G381" t="s">
        <v>112</v>
      </c>
      <c r="H381">
        <v>3</v>
      </c>
      <c r="I381">
        <v>2999</v>
      </c>
      <c r="J381">
        <v>0</v>
      </c>
      <c r="K381">
        <v>59</v>
      </c>
      <c r="L381" t="s">
        <v>100</v>
      </c>
      <c r="M381" t="s">
        <v>101</v>
      </c>
      <c r="N381" t="s">
        <v>31</v>
      </c>
      <c r="O381" t="s">
        <v>32</v>
      </c>
      <c r="P381" t="s">
        <v>85</v>
      </c>
      <c r="Q381">
        <v>3</v>
      </c>
      <c r="R381">
        <f>IFERROR(Table1_1[[#This Row],[Unit_Price]]*Table1_1[[#This Row],[Quantity]],"")</f>
        <v>8997</v>
      </c>
      <c r="S381">
        <f>IFERROR(Table1_1[[#This Row],[Gross_Sales]]*Table1_1[[#This Row],[Discount_%]],"")</f>
        <v>0</v>
      </c>
      <c r="T381">
        <f>IFERROR(Table1_1[[#This Row],[Gross_Sales]]-Table1_1[[#This Row],[Discount_amount]]+Table1_1[[#This Row],[Shipping_Cost]],"")</f>
        <v>9056</v>
      </c>
      <c r="U381">
        <f>IFERROR(Table1_1[[#This Row],[Net_Sale]]-(Table1_1[[#This Row],[Gross_Sales]]*70%),"")</f>
        <v>2758.1000000000004</v>
      </c>
      <c r="V381" s="7">
        <f>IFERROR(Table1_1[[#This Row],[Profit]]/Table1_1[[#This Row],[Net_Sale]],"")</f>
        <v>0.30456051236749121</v>
      </c>
      <c r="W381" t="str">
        <f>TEXT(Table1_1[[#This Row],[Order_Date]],"mmm")</f>
        <v>Dec</v>
      </c>
    </row>
    <row r="382" spans="1:23" x14ac:dyDescent="0.25">
      <c r="A382" t="s">
        <v>701</v>
      </c>
      <c r="B382" t="s">
        <v>702</v>
      </c>
      <c r="C382" s="6">
        <v>45989</v>
      </c>
      <c r="D382" t="s">
        <v>25</v>
      </c>
      <c r="E382" t="s">
        <v>26</v>
      </c>
      <c r="F382" t="s">
        <v>27</v>
      </c>
      <c r="G382" t="s">
        <v>28</v>
      </c>
      <c r="H382">
        <v>3</v>
      </c>
      <c r="I382">
        <v>249</v>
      </c>
      <c r="J382">
        <v>0.15</v>
      </c>
      <c r="K382">
        <v>59</v>
      </c>
      <c r="L382" t="s">
        <v>83</v>
      </c>
      <c r="M382" t="s">
        <v>84</v>
      </c>
      <c r="N382" t="s">
        <v>40</v>
      </c>
      <c r="O382" t="s">
        <v>59</v>
      </c>
      <c r="P382" t="s">
        <v>33</v>
      </c>
      <c r="Q382">
        <v>4</v>
      </c>
      <c r="R382">
        <f>IFERROR(Table1_1[[#This Row],[Unit_Price]]*Table1_1[[#This Row],[Quantity]],"")</f>
        <v>747</v>
      </c>
      <c r="S382">
        <f>IFERROR(Table1_1[[#This Row],[Gross_Sales]]*Table1_1[[#This Row],[Discount_%]],"")</f>
        <v>112.05</v>
      </c>
      <c r="T382">
        <f>IFERROR(Table1_1[[#This Row],[Gross_Sales]]-Table1_1[[#This Row],[Discount_amount]]+Table1_1[[#This Row],[Shipping_Cost]],"")</f>
        <v>693.95</v>
      </c>
      <c r="U382">
        <f>IFERROR(Table1_1[[#This Row],[Net_Sale]]-(Table1_1[[#This Row],[Gross_Sales]]*70%),"")</f>
        <v>171.05000000000007</v>
      </c>
      <c r="V382" s="7">
        <f>IFERROR(Table1_1[[#This Row],[Profit]]/Table1_1[[#This Row],[Net_Sale]],"")</f>
        <v>0.24648749909935883</v>
      </c>
      <c r="W382" t="str">
        <f>TEXT(Table1_1[[#This Row],[Order_Date]],"mmm")</f>
        <v>Nov</v>
      </c>
    </row>
    <row r="383" spans="1:23" x14ac:dyDescent="0.25">
      <c r="A383" t="s">
        <v>703</v>
      </c>
      <c r="B383" t="s">
        <v>175</v>
      </c>
      <c r="C383" s="6">
        <v>45685</v>
      </c>
      <c r="D383" t="s">
        <v>25</v>
      </c>
      <c r="E383" t="s">
        <v>26</v>
      </c>
      <c r="F383" t="s">
        <v>27</v>
      </c>
      <c r="G383" t="s">
        <v>28</v>
      </c>
      <c r="H383">
        <v>4</v>
      </c>
      <c r="I383">
        <v>249</v>
      </c>
      <c r="J383">
        <v>0</v>
      </c>
      <c r="K383">
        <v>99</v>
      </c>
      <c r="L383" t="s">
        <v>74</v>
      </c>
      <c r="M383" t="s">
        <v>49</v>
      </c>
      <c r="N383" t="s">
        <v>50</v>
      </c>
      <c r="O383" t="s">
        <v>51</v>
      </c>
      <c r="P383" t="s">
        <v>33</v>
      </c>
      <c r="Q383">
        <v>3</v>
      </c>
      <c r="R383">
        <f>IFERROR(Table1_1[[#This Row],[Unit_Price]]*Table1_1[[#This Row],[Quantity]],"")</f>
        <v>996</v>
      </c>
      <c r="S383">
        <f>IFERROR(Table1_1[[#This Row],[Gross_Sales]]*Table1_1[[#This Row],[Discount_%]],"")</f>
        <v>0</v>
      </c>
      <c r="T383">
        <f>IFERROR(Table1_1[[#This Row],[Gross_Sales]]-Table1_1[[#This Row],[Discount_amount]]+Table1_1[[#This Row],[Shipping_Cost]],"")</f>
        <v>1095</v>
      </c>
      <c r="U383">
        <f>IFERROR(Table1_1[[#This Row],[Net_Sale]]-(Table1_1[[#This Row],[Gross_Sales]]*70%),"")</f>
        <v>397.80000000000007</v>
      </c>
      <c r="V383" s="7">
        <f>IFERROR(Table1_1[[#This Row],[Profit]]/Table1_1[[#This Row],[Net_Sale]],"")</f>
        <v>0.36328767123287675</v>
      </c>
      <c r="W383" t="str">
        <f>TEXT(Table1_1[[#This Row],[Order_Date]],"mmm")</f>
        <v>Jan</v>
      </c>
    </row>
    <row r="384" spans="1:23" x14ac:dyDescent="0.25">
      <c r="A384" t="s">
        <v>704</v>
      </c>
      <c r="B384" t="s">
        <v>130</v>
      </c>
      <c r="C384" s="6">
        <v>45758</v>
      </c>
      <c r="D384" t="s">
        <v>44</v>
      </c>
      <c r="E384" t="s">
        <v>45</v>
      </c>
      <c r="F384" t="s">
        <v>46</v>
      </c>
      <c r="G384" t="s">
        <v>47</v>
      </c>
      <c r="H384">
        <v>2</v>
      </c>
      <c r="I384">
        <v>1199</v>
      </c>
      <c r="J384">
        <v>0.1</v>
      </c>
      <c r="K384">
        <v>49</v>
      </c>
      <c r="L384" t="s">
        <v>83</v>
      </c>
      <c r="M384" t="s">
        <v>84</v>
      </c>
      <c r="N384" t="s">
        <v>50</v>
      </c>
      <c r="O384" t="s">
        <v>41</v>
      </c>
      <c r="P384" t="s">
        <v>33</v>
      </c>
      <c r="Q384">
        <v>3</v>
      </c>
      <c r="R384">
        <f>IFERROR(Table1_1[[#This Row],[Unit_Price]]*Table1_1[[#This Row],[Quantity]],"")</f>
        <v>2398</v>
      </c>
      <c r="S384">
        <f>IFERROR(Table1_1[[#This Row],[Gross_Sales]]*Table1_1[[#This Row],[Discount_%]],"")</f>
        <v>239.8</v>
      </c>
      <c r="T384">
        <f>IFERROR(Table1_1[[#This Row],[Gross_Sales]]-Table1_1[[#This Row],[Discount_amount]]+Table1_1[[#This Row],[Shipping_Cost]],"")</f>
        <v>2207.1999999999998</v>
      </c>
      <c r="U384">
        <f>IFERROR(Table1_1[[#This Row],[Net_Sale]]-(Table1_1[[#This Row],[Gross_Sales]]*70%),"")</f>
        <v>528.59999999999991</v>
      </c>
      <c r="V384" s="7">
        <f>IFERROR(Table1_1[[#This Row],[Profit]]/Table1_1[[#This Row],[Net_Sale]],"")</f>
        <v>0.23948894527002534</v>
      </c>
      <c r="W384" t="str">
        <f>TEXT(Table1_1[[#This Row],[Order_Date]],"mmm")</f>
        <v>Apr</v>
      </c>
    </row>
    <row r="385" spans="1:23" x14ac:dyDescent="0.25">
      <c r="A385" t="s">
        <v>705</v>
      </c>
      <c r="B385" t="s">
        <v>136</v>
      </c>
      <c r="C385" s="6">
        <v>45877</v>
      </c>
      <c r="D385" t="s">
        <v>62</v>
      </c>
      <c r="E385" t="s">
        <v>63</v>
      </c>
      <c r="F385" t="s">
        <v>46</v>
      </c>
      <c r="G385" t="s">
        <v>64</v>
      </c>
      <c r="H385">
        <v>1</v>
      </c>
      <c r="I385">
        <v>699</v>
      </c>
      <c r="J385">
        <v>0</v>
      </c>
      <c r="K385">
        <v>49</v>
      </c>
      <c r="L385" t="s">
        <v>29</v>
      </c>
      <c r="M385" t="s">
        <v>30</v>
      </c>
      <c r="N385" t="s">
        <v>71</v>
      </c>
      <c r="O385" t="s">
        <v>93</v>
      </c>
      <c r="P385" t="s">
        <v>33</v>
      </c>
      <c r="Q385">
        <v>3</v>
      </c>
      <c r="R385">
        <f>IFERROR(Table1_1[[#This Row],[Unit_Price]]*Table1_1[[#This Row],[Quantity]],"")</f>
        <v>699</v>
      </c>
      <c r="S385">
        <f>IFERROR(Table1_1[[#This Row],[Gross_Sales]]*Table1_1[[#This Row],[Discount_%]],"")</f>
        <v>0</v>
      </c>
      <c r="T385">
        <f>IFERROR(Table1_1[[#This Row],[Gross_Sales]]-Table1_1[[#This Row],[Discount_amount]]+Table1_1[[#This Row],[Shipping_Cost]],"")</f>
        <v>748</v>
      </c>
      <c r="U385">
        <f>IFERROR(Table1_1[[#This Row],[Net_Sale]]-(Table1_1[[#This Row],[Gross_Sales]]*70%),"")</f>
        <v>258.70000000000005</v>
      </c>
      <c r="V385" s="7">
        <f>IFERROR(Table1_1[[#This Row],[Profit]]/Table1_1[[#This Row],[Net_Sale]],"")</f>
        <v>0.34585561497326212</v>
      </c>
      <c r="W385" t="str">
        <f>TEXT(Table1_1[[#This Row],[Order_Date]],"mmm")</f>
        <v>Aug</v>
      </c>
    </row>
    <row r="386" spans="1:23" x14ac:dyDescent="0.25">
      <c r="A386" t="s">
        <v>706</v>
      </c>
      <c r="B386" t="s">
        <v>707</v>
      </c>
      <c r="C386" s="6">
        <v>45823</v>
      </c>
      <c r="D386" t="s">
        <v>90</v>
      </c>
      <c r="E386" t="s">
        <v>91</v>
      </c>
      <c r="F386" t="s">
        <v>37</v>
      </c>
      <c r="G386" t="s">
        <v>92</v>
      </c>
      <c r="H386">
        <v>1</v>
      </c>
      <c r="I386">
        <v>3499</v>
      </c>
      <c r="J386">
        <v>0.15</v>
      </c>
      <c r="K386">
        <v>59</v>
      </c>
      <c r="L386" t="s">
        <v>100</v>
      </c>
      <c r="M386" t="s">
        <v>101</v>
      </c>
      <c r="N386" t="s">
        <v>102</v>
      </c>
      <c r="O386" t="s">
        <v>32</v>
      </c>
      <c r="P386" t="s">
        <v>80</v>
      </c>
      <c r="Q386">
        <v>3</v>
      </c>
      <c r="R386">
        <f>IFERROR(Table1_1[[#This Row],[Unit_Price]]*Table1_1[[#This Row],[Quantity]],"")</f>
        <v>3499</v>
      </c>
      <c r="S386">
        <f>IFERROR(Table1_1[[#This Row],[Gross_Sales]]*Table1_1[[#This Row],[Discount_%]],"")</f>
        <v>524.85</v>
      </c>
      <c r="T386">
        <f>IFERROR(Table1_1[[#This Row],[Gross_Sales]]-Table1_1[[#This Row],[Discount_amount]]+Table1_1[[#This Row],[Shipping_Cost]],"")</f>
        <v>3033.15</v>
      </c>
      <c r="U386">
        <f>IFERROR(Table1_1[[#This Row],[Net_Sale]]-(Table1_1[[#This Row],[Gross_Sales]]*70%),"")</f>
        <v>583.85000000000036</v>
      </c>
      <c r="V386" s="7">
        <f>IFERROR(Table1_1[[#This Row],[Profit]]/Table1_1[[#This Row],[Net_Sale]],"")</f>
        <v>0.19248965596821796</v>
      </c>
      <c r="W386" t="str">
        <f>TEXT(Table1_1[[#This Row],[Order_Date]],"mmm")</f>
        <v>Jun</v>
      </c>
    </row>
    <row r="387" spans="1:23" x14ac:dyDescent="0.25">
      <c r="A387" t="s">
        <v>708</v>
      </c>
      <c r="B387" t="s">
        <v>709</v>
      </c>
      <c r="C387" s="6">
        <v>45752</v>
      </c>
      <c r="D387" t="s">
        <v>55</v>
      </c>
      <c r="E387" t="s">
        <v>56</v>
      </c>
      <c r="F387" t="s">
        <v>37</v>
      </c>
      <c r="G387" t="s">
        <v>38</v>
      </c>
      <c r="H387">
        <v>2</v>
      </c>
      <c r="I387">
        <v>2499</v>
      </c>
      <c r="J387">
        <v>0</v>
      </c>
      <c r="K387">
        <v>79</v>
      </c>
      <c r="L387" t="s">
        <v>74</v>
      </c>
      <c r="M387" t="s">
        <v>49</v>
      </c>
      <c r="N387" t="s">
        <v>102</v>
      </c>
      <c r="O387" t="s">
        <v>59</v>
      </c>
      <c r="P387" t="s">
        <v>85</v>
      </c>
      <c r="Q387">
        <v>1</v>
      </c>
      <c r="R387">
        <f>IFERROR(Table1_1[[#This Row],[Unit_Price]]*Table1_1[[#This Row],[Quantity]],"")</f>
        <v>4998</v>
      </c>
      <c r="S387">
        <f>IFERROR(Table1_1[[#This Row],[Gross_Sales]]*Table1_1[[#This Row],[Discount_%]],"")</f>
        <v>0</v>
      </c>
      <c r="T387">
        <f>IFERROR(Table1_1[[#This Row],[Gross_Sales]]-Table1_1[[#This Row],[Discount_amount]]+Table1_1[[#This Row],[Shipping_Cost]],"")</f>
        <v>5077</v>
      </c>
      <c r="U387">
        <f>IFERROR(Table1_1[[#This Row],[Net_Sale]]-(Table1_1[[#This Row],[Gross_Sales]]*70%),"")</f>
        <v>1578.4</v>
      </c>
      <c r="V387" s="7">
        <f>IFERROR(Table1_1[[#This Row],[Profit]]/Table1_1[[#This Row],[Net_Sale]],"")</f>
        <v>0.31089225920819386</v>
      </c>
      <c r="W387" t="str">
        <f>TEXT(Table1_1[[#This Row],[Order_Date]],"mmm")</f>
        <v>Apr</v>
      </c>
    </row>
    <row r="388" spans="1:23" x14ac:dyDescent="0.25">
      <c r="A388" t="s">
        <v>710</v>
      </c>
      <c r="B388" t="s">
        <v>300</v>
      </c>
      <c r="C388" s="6">
        <v>45997</v>
      </c>
      <c r="D388" t="s">
        <v>169</v>
      </c>
      <c r="E388" t="s">
        <v>170</v>
      </c>
      <c r="F388" t="s">
        <v>98</v>
      </c>
      <c r="G388" t="s">
        <v>171</v>
      </c>
      <c r="H388">
        <v>3</v>
      </c>
      <c r="I388">
        <v>799</v>
      </c>
      <c r="J388">
        <v>0.05</v>
      </c>
      <c r="K388">
        <v>49</v>
      </c>
      <c r="L388" t="s">
        <v>113</v>
      </c>
      <c r="M388" t="s">
        <v>114</v>
      </c>
      <c r="N388" t="s">
        <v>40</v>
      </c>
      <c r="O388" t="s">
        <v>32</v>
      </c>
      <c r="P388" t="s">
        <v>33</v>
      </c>
      <c r="Q388">
        <v>3</v>
      </c>
      <c r="R388">
        <f>IFERROR(Table1_1[[#This Row],[Unit_Price]]*Table1_1[[#This Row],[Quantity]],"")</f>
        <v>2397</v>
      </c>
      <c r="S388">
        <f>IFERROR(Table1_1[[#This Row],[Gross_Sales]]*Table1_1[[#This Row],[Discount_%]],"")</f>
        <v>119.85000000000001</v>
      </c>
      <c r="T388">
        <f>IFERROR(Table1_1[[#This Row],[Gross_Sales]]-Table1_1[[#This Row],[Discount_amount]]+Table1_1[[#This Row],[Shipping_Cost]],"")</f>
        <v>2326.15</v>
      </c>
      <c r="U388">
        <f>IFERROR(Table1_1[[#This Row],[Net_Sale]]-(Table1_1[[#This Row],[Gross_Sales]]*70%),"")</f>
        <v>648.25000000000023</v>
      </c>
      <c r="V388" s="7">
        <f>IFERROR(Table1_1[[#This Row],[Profit]]/Table1_1[[#This Row],[Net_Sale]],"")</f>
        <v>0.27867936289577205</v>
      </c>
      <c r="W388" t="str">
        <f>TEXT(Table1_1[[#This Row],[Order_Date]],"mmm")</f>
        <v>Dec</v>
      </c>
    </row>
    <row r="389" spans="1:23" x14ac:dyDescent="0.25">
      <c r="A389" t="s">
        <v>711</v>
      </c>
      <c r="B389" t="s">
        <v>571</v>
      </c>
      <c r="C389" s="6">
        <v>45835</v>
      </c>
      <c r="D389" t="s">
        <v>25</v>
      </c>
      <c r="E389" t="s">
        <v>26</v>
      </c>
      <c r="F389" t="s">
        <v>27</v>
      </c>
      <c r="G389" t="s">
        <v>28</v>
      </c>
      <c r="H389">
        <v>1</v>
      </c>
      <c r="I389">
        <v>249</v>
      </c>
      <c r="J389">
        <v>0.15</v>
      </c>
      <c r="K389">
        <v>99</v>
      </c>
      <c r="L389" t="s">
        <v>39</v>
      </c>
      <c r="M389" t="s">
        <v>39</v>
      </c>
      <c r="N389" t="s">
        <v>31</v>
      </c>
      <c r="O389" t="s">
        <v>51</v>
      </c>
      <c r="P389" t="s">
        <v>80</v>
      </c>
      <c r="Q389">
        <v>4</v>
      </c>
      <c r="R389">
        <f>IFERROR(Table1_1[[#This Row],[Unit_Price]]*Table1_1[[#This Row],[Quantity]],"")</f>
        <v>249</v>
      </c>
      <c r="S389">
        <f>IFERROR(Table1_1[[#This Row],[Gross_Sales]]*Table1_1[[#This Row],[Discount_%]],"")</f>
        <v>37.35</v>
      </c>
      <c r="T389">
        <f>IFERROR(Table1_1[[#This Row],[Gross_Sales]]-Table1_1[[#This Row],[Discount_amount]]+Table1_1[[#This Row],[Shipping_Cost]],"")</f>
        <v>310.64999999999998</v>
      </c>
      <c r="U389">
        <f>IFERROR(Table1_1[[#This Row],[Net_Sale]]-(Table1_1[[#This Row],[Gross_Sales]]*70%),"")</f>
        <v>136.35</v>
      </c>
      <c r="V389" s="7">
        <f>IFERROR(Table1_1[[#This Row],[Profit]]/Table1_1[[#This Row],[Net_Sale]],"")</f>
        <v>0.43891839690970547</v>
      </c>
      <c r="W389" t="str">
        <f>TEXT(Table1_1[[#This Row],[Order_Date]],"mmm")</f>
        <v>Jun</v>
      </c>
    </row>
    <row r="390" spans="1:23" x14ac:dyDescent="0.25">
      <c r="A390" t="s">
        <v>712</v>
      </c>
      <c r="B390" t="s">
        <v>713</v>
      </c>
      <c r="C390" s="6">
        <v>45802</v>
      </c>
      <c r="D390" t="s">
        <v>55</v>
      </c>
      <c r="E390" t="s">
        <v>56</v>
      </c>
      <c r="F390" t="s">
        <v>37</v>
      </c>
      <c r="G390" t="s">
        <v>38</v>
      </c>
      <c r="H390">
        <v>1</v>
      </c>
      <c r="I390">
        <v>2499</v>
      </c>
      <c r="J390">
        <v>0.05</v>
      </c>
      <c r="K390">
        <v>99</v>
      </c>
      <c r="L390" t="s">
        <v>57</v>
      </c>
      <c r="M390" t="s">
        <v>58</v>
      </c>
      <c r="N390" t="s">
        <v>40</v>
      </c>
      <c r="O390" t="s">
        <v>59</v>
      </c>
      <c r="P390" t="s">
        <v>85</v>
      </c>
      <c r="Q390">
        <v>1</v>
      </c>
      <c r="R390">
        <f>IFERROR(Table1_1[[#This Row],[Unit_Price]]*Table1_1[[#This Row],[Quantity]],"")</f>
        <v>2499</v>
      </c>
      <c r="S390">
        <f>IFERROR(Table1_1[[#This Row],[Gross_Sales]]*Table1_1[[#This Row],[Discount_%]],"")</f>
        <v>124.95</v>
      </c>
      <c r="T390">
        <f>IFERROR(Table1_1[[#This Row],[Gross_Sales]]-Table1_1[[#This Row],[Discount_amount]]+Table1_1[[#This Row],[Shipping_Cost]],"")</f>
        <v>2473.0500000000002</v>
      </c>
      <c r="U390">
        <f>IFERROR(Table1_1[[#This Row],[Net_Sale]]-(Table1_1[[#This Row],[Gross_Sales]]*70%),"")</f>
        <v>723.75000000000023</v>
      </c>
      <c r="V390" s="7">
        <f>IFERROR(Table1_1[[#This Row],[Profit]]/Table1_1[[#This Row],[Net_Sale]],"")</f>
        <v>0.29265481894826234</v>
      </c>
      <c r="W390" t="str">
        <f>TEXT(Table1_1[[#This Row],[Order_Date]],"mmm")</f>
        <v>May</v>
      </c>
    </row>
    <row r="391" spans="1:23" x14ac:dyDescent="0.25">
      <c r="A391" t="s">
        <v>714</v>
      </c>
      <c r="B391" t="s">
        <v>715</v>
      </c>
      <c r="C391" s="6">
        <v>45700</v>
      </c>
      <c r="D391" t="s">
        <v>110</v>
      </c>
      <c r="E391" t="s">
        <v>111</v>
      </c>
      <c r="F391" t="s">
        <v>98</v>
      </c>
      <c r="G391" t="s">
        <v>112</v>
      </c>
      <c r="H391">
        <v>1</v>
      </c>
      <c r="I391">
        <v>2999</v>
      </c>
      <c r="J391">
        <v>0.15</v>
      </c>
      <c r="K391">
        <v>0</v>
      </c>
      <c r="L391" t="s">
        <v>113</v>
      </c>
      <c r="M391" t="s">
        <v>114</v>
      </c>
      <c r="N391" t="s">
        <v>50</v>
      </c>
      <c r="O391" t="s">
        <v>41</v>
      </c>
      <c r="P391" t="s">
        <v>85</v>
      </c>
      <c r="Q391">
        <v>3</v>
      </c>
      <c r="R391">
        <f>IFERROR(Table1_1[[#This Row],[Unit_Price]]*Table1_1[[#This Row],[Quantity]],"")</f>
        <v>2999</v>
      </c>
      <c r="S391">
        <f>IFERROR(Table1_1[[#This Row],[Gross_Sales]]*Table1_1[[#This Row],[Discount_%]],"")</f>
        <v>449.84999999999997</v>
      </c>
      <c r="T391">
        <f>IFERROR(Table1_1[[#This Row],[Gross_Sales]]-Table1_1[[#This Row],[Discount_amount]]+Table1_1[[#This Row],[Shipping_Cost]],"")</f>
        <v>2549.15</v>
      </c>
      <c r="U391">
        <f>IFERROR(Table1_1[[#This Row],[Net_Sale]]-(Table1_1[[#This Row],[Gross_Sales]]*70%),"")</f>
        <v>449.85000000000036</v>
      </c>
      <c r="V391" s="7">
        <f>IFERROR(Table1_1[[#This Row],[Profit]]/Table1_1[[#This Row],[Net_Sale]],"")</f>
        <v>0.17647058823529427</v>
      </c>
      <c r="W391" t="str">
        <f>TEXT(Table1_1[[#This Row],[Order_Date]],"mmm")</f>
        <v>Feb</v>
      </c>
    </row>
    <row r="392" spans="1:23" x14ac:dyDescent="0.25">
      <c r="A392" t="s">
        <v>716</v>
      </c>
      <c r="B392" t="s">
        <v>717</v>
      </c>
      <c r="C392" s="6">
        <v>45763</v>
      </c>
      <c r="D392" t="s">
        <v>25</v>
      </c>
      <c r="E392" t="s">
        <v>26</v>
      </c>
      <c r="F392" t="s">
        <v>27</v>
      </c>
      <c r="G392" t="s">
        <v>28</v>
      </c>
      <c r="H392">
        <v>3</v>
      </c>
      <c r="I392">
        <v>249</v>
      </c>
      <c r="J392">
        <v>0.2</v>
      </c>
      <c r="K392">
        <v>79</v>
      </c>
      <c r="L392" t="s">
        <v>57</v>
      </c>
      <c r="M392" t="s">
        <v>58</v>
      </c>
      <c r="N392" t="s">
        <v>50</v>
      </c>
      <c r="O392" t="s">
        <v>93</v>
      </c>
      <c r="P392" t="s">
        <v>80</v>
      </c>
      <c r="Q392">
        <v>4</v>
      </c>
      <c r="R392">
        <f>IFERROR(Table1_1[[#This Row],[Unit_Price]]*Table1_1[[#This Row],[Quantity]],"")</f>
        <v>747</v>
      </c>
      <c r="S392">
        <f>IFERROR(Table1_1[[#This Row],[Gross_Sales]]*Table1_1[[#This Row],[Discount_%]],"")</f>
        <v>149.4</v>
      </c>
      <c r="T392">
        <f>IFERROR(Table1_1[[#This Row],[Gross_Sales]]-Table1_1[[#This Row],[Discount_amount]]+Table1_1[[#This Row],[Shipping_Cost]],"")</f>
        <v>676.6</v>
      </c>
      <c r="U392">
        <f>IFERROR(Table1_1[[#This Row],[Net_Sale]]-(Table1_1[[#This Row],[Gross_Sales]]*70%),"")</f>
        <v>153.70000000000005</v>
      </c>
      <c r="V392" s="7">
        <f>IFERROR(Table1_1[[#This Row],[Profit]]/Table1_1[[#This Row],[Net_Sale]],"")</f>
        <v>0.22716523795447832</v>
      </c>
      <c r="W392" t="str">
        <f>TEXT(Table1_1[[#This Row],[Order_Date]],"mmm")</f>
        <v>Apr</v>
      </c>
    </row>
    <row r="393" spans="1:23" x14ac:dyDescent="0.25">
      <c r="A393" t="s">
        <v>718</v>
      </c>
      <c r="B393" t="s">
        <v>179</v>
      </c>
      <c r="C393" s="6">
        <v>45695</v>
      </c>
      <c r="D393" t="s">
        <v>77</v>
      </c>
      <c r="E393" t="s">
        <v>78</v>
      </c>
      <c r="F393" t="s">
        <v>79</v>
      </c>
      <c r="G393" t="s">
        <v>28</v>
      </c>
      <c r="H393">
        <v>1</v>
      </c>
      <c r="I393">
        <v>6499</v>
      </c>
      <c r="J393">
        <v>0.15</v>
      </c>
      <c r="K393">
        <v>0</v>
      </c>
      <c r="L393" t="s">
        <v>74</v>
      </c>
      <c r="M393" t="s">
        <v>49</v>
      </c>
      <c r="N393" t="s">
        <v>50</v>
      </c>
      <c r="O393" t="s">
        <v>51</v>
      </c>
      <c r="P393" t="s">
        <v>33</v>
      </c>
      <c r="Q393">
        <v>4</v>
      </c>
      <c r="R393">
        <f>IFERROR(Table1_1[[#This Row],[Unit_Price]]*Table1_1[[#This Row],[Quantity]],"")</f>
        <v>6499</v>
      </c>
      <c r="S393">
        <f>IFERROR(Table1_1[[#This Row],[Gross_Sales]]*Table1_1[[#This Row],[Discount_%]],"")</f>
        <v>974.84999999999991</v>
      </c>
      <c r="T393">
        <f>IFERROR(Table1_1[[#This Row],[Gross_Sales]]-Table1_1[[#This Row],[Discount_amount]]+Table1_1[[#This Row],[Shipping_Cost]],"")</f>
        <v>5524.15</v>
      </c>
      <c r="U393">
        <f>IFERROR(Table1_1[[#This Row],[Net_Sale]]-(Table1_1[[#This Row],[Gross_Sales]]*70%),"")</f>
        <v>974.85000000000036</v>
      </c>
      <c r="V393" s="7">
        <f>IFERROR(Table1_1[[#This Row],[Profit]]/Table1_1[[#This Row],[Net_Sale]],"")</f>
        <v>0.17647058823529418</v>
      </c>
      <c r="W393" t="str">
        <f>TEXT(Table1_1[[#This Row],[Order_Date]],"mmm")</f>
        <v>Feb</v>
      </c>
    </row>
    <row r="394" spans="1:23" x14ac:dyDescent="0.25">
      <c r="A394" t="s">
        <v>719</v>
      </c>
      <c r="B394" t="s">
        <v>224</v>
      </c>
      <c r="C394" s="6">
        <v>45879</v>
      </c>
      <c r="D394" t="s">
        <v>96</v>
      </c>
      <c r="E394" t="s">
        <v>97</v>
      </c>
      <c r="F394" t="s">
        <v>98</v>
      </c>
      <c r="G394" t="s">
        <v>99</v>
      </c>
      <c r="H394">
        <v>2</v>
      </c>
      <c r="I394">
        <v>1499</v>
      </c>
      <c r="J394">
        <v>0.2</v>
      </c>
      <c r="K394">
        <v>0</v>
      </c>
      <c r="L394" t="s">
        <v>119</v>
      </c>
      <c r="M394" t="s">
        <v>120</v>
      </c>
      <c r="N394" t="s">
        <v>31</v>
      </c>
      <c r="O394" t="s">
        <v>32</v>
      </c>
      <c r="P394" t="s">
        <v>52</v>
      </c>
      <c r="Q394">
        <v>1</v>
      </c>
      <c r="R394">
        <f>IFERROR(Table1_1[[#This Row],[Unit_Price]]*Table1_1[[#This Row],[Quantity]],"")</f>
        <v>2998</v>
      </c>
      <c r="S394">
        <f>IFERROR(Table1_1[[#This Row],[Gross_Sales]]*Table1_1[[#This Row],[Discount_%]],"")</f>
        <v>599.6</v>
      </c>
      <c r="T394">
        <f>IFERROR(Table1_1[[#This Row],[Gross_Sales]]-Table1_1[[#This Row],[Discount_amount]]+Table1_1[[#This Row],[Shipping_Cost]],"")</f>
        <v>2398.4</v>
      </c>
      <c r="U394">
        <f>IFERROR(Table1_1[[#This Row],[Net_Sale]]-(Table1_1[[#This Row],[Gross_Sales]]*70%),"")</f>
        <v>299.80000000000018</v>
      </c>
      <c r="V394" s="7">
        <f>IFERROR(Table1_1[[#This Row],[Profit]]/Table1_1[[#This Row],[Net_Sale]],"")</f>
        <v>0.12500000000000008</v>
      </c>
      <c r="W394" t="str">
        <f>TEXT(Table1_1[[#This Row],[Order_Date]],"mmm")</f>
        <v>Aug</v>
      </c>
    </row>
    <row r="395" spans="1:23" x14ac:dyDescent="0.25">
      <c r="A395" t="s">
        <v>720</v>
      </c>
      <c r="B395" t="s">
        <v>296</v>
      </c>
      <c r="C395" s="6">
        <v>45695</v>
      </c>
      <c r="D395" t="s">
        <v>77</v>
      </c>
      <c r="E395" t="s">
        <v>78</v>
      </c>
      <c r="F395" t="s">
        <v>79</v>
      </c>
      <c r="G395" t="s">
        <v>28</v>
      </c>
      <c r="H395">
        <v>1</v>
      </c>
      <c r="I395">
        <v>6499</v>
      </c>
      <c r="J395">
        <v>0</v>
      </c>
      <c r="K395">
        <v>59</v>
      </c>
      <c r="L395" t="s">
        <v>125</v>
      </c>
      <c r="M395" t="s">
        <v>126</v>
      </c>
      <c r="N395" t="s">
        <v>102</v>
      </c>
      <c r="O395" t="s">
        <v>93</v>
      </c>
      <c r="P395" t="s">
        <v>85</v>
      </c>
      <c r="Q395">
        <v>3</v>
      </c>
      <c r="R395">
        <f>IFERROR(Table1_1[[#This Row],[Unit_Price]]*Table1_1[[#This Row],[Quantity]],"")</f>
        <v>6499</v>
      </c>
      <c r="S395">
        <f>IFERROR(Table1_1[[#This Row],[Gross_Sales]]*Table1_1[[#This Row],[Discount_%]],"")</f>
        <v>0</v>
      </c>
      <c r="T395">
        <f>IFERROR(Table1_1[[#This Row],[Gross_Sales]]-Table1_1[[#This Row],[Discount_amount]]+Table1_1[[#This Row],[Shipping_Cost]],"")</f>
        <v>6558</v>
      </c>
      <c r="U395">
        <f>IFERROR(Table1_1[[#This Row],[Net_Sale]]-(Table1_1[[#This Row],[Gross_Sales]]*70%),"")</f>
        <v>2008.7000000000007</v>
      </c>
      <c r="V395" s="7">
        <f>IFERROR(Table1_1[[#This Row],[Profit]]/Table1_1[[#This Row],[Net_Sale]],"")</f>
        <v>0.30629765172308643</v>
      </c>
      <c r="W395" t="str">
        <f>TEXT(Table1_1[[#This Row],[Order_Date]],"mmm")</f>
        <v>Feb</v>
      </c>
    </row>
    <row r="396" spans="1:23" x14ac:dyDescent="0.25">
      <c r="A396" t="s">
        <v>721</v>
      </c>
      <c r="B396" t="s">
        <v>255</v>
      </c>
      <c r="C396" s="6">
        <v>45996</v>
      </c>
      <c r="D396" t="s">
        <v>90</v>
      </c>
      <c r="E396" t="s">
        <v>91</v>
      </c>
      <c r="F396" t="s">
        <v>37</v>
      </c>
      <c r="G396" t="s">
        <v>92</v>
      </c>
      <c r="H396">
        <v>1</v>
      </c>
      <c r="I396">
        <v>3499</v>
      </c>
      <c r="J396">
        <v>0.15</v>
      </c>
      <c r="K396">
        <v>49</v>
      </c>
      <c r="L396" t="s">
        <v>57</v>
      </c>
      <c r="M396" t="s">
        <v>58</v>
      </c>
      <c r="N396" t="s">
        <v>40</v>
      </c>
      <c r="O396" t="s">
        <v>32</v>
      </c>
      <c r="P396" t="s">
        <v>33</v>
      </c>
      <c r="Q396">
        <v>3</v>
      </c>
      <c r="R396">
        <f>IFERROR(Table1_1[[#This Row],[Unit_Price]]*Table1_1[[#This Row],[Quantity]],"")</f>
        <v>3499</v>
      </c>
      <c r="S396">
        <f>IFERROR(Table1_1[[#This Row],[Gross_Sales]]*Table1_1[[#This Row],[Discount_%]],"")</f>
        <v>524.85</v>
      </c>
      <c r="T396">
        <f>IFERROR(Table1_1[[#This Row],[Gross_Sales]]-Table1_1[[#This Row],[Discount_amount]]+Table1_1[[#This Row],[Shipping_Cost]],"")</f>
        <v>3023.15</v>
      </c>
      <c r="U396">
        <f>IFERROR(Table1_1[[#This Row],[Net_Sale]]-(Table1_1[[#This Row],[Gross_Sales]]*70%),"")</f>
        <v>573.85000000000036</v>
      </c>
      <c r="V396" s="7">
        <f>IFERROR(Table1_1[[#This Row],[Profit]]/Table1_1[[#This Row],[Net_Sale]],"")</f>
        <v>0.18981856672675862</v>
      </c>
      <c r="W396" t="str">
        <f>TEXT(Table1_1[[#This Row],[Order_Date]],"mmm")</f>
        <v>Dec</v>
      </c>
    </row>
    <row r="397" spans="1:23" x14ac:dyDescent="0.25">
      <c r="A397" t="s">
        <v>722</v>
      </c>
      <c r="B397" t="s">
        <v>690</v>
      </c>
      <c r="C397" s="6">
        <v>45989</v>
      </c>
      <c r="D397" t="s">
        <v>25</v>
      </c>
      <c r="E397" t="s">
        <v>26</v>
      </c>
      <c r="F397" t="s">
        <v>27</v>
      </c>
      <c r="G397" t="s">
        <v>28</v>
      </c>
      <c r="H397">
        <v>1</v>
      </c>
      <c r="I397">
        <v>249</v>
      </c>
      <c r="J397">
        <v>0.15</v>
      </c>
      <c r="K397">
        <v>49</v>
      </c>
      <c r="L397" t="s">
        <v>100</v>
      </c>
      <c r="M397" t="s">
        <v>101</v>
      </c>
      <c r="N397" t="s">
        <v>31</v>
      </c>
      <c r="O397" t="s">
        <v>93</v>
      </c>
      <c r="P397" t="s">
        <v>85</v>
      </c>
      <c r="Q397">
        <v>5</v>
      </c>
      <c r="R397">
        <f>IFERROR(Table1_1[[#This Row],[Unit_Price]]*Table1_1[[#This Row],[Quantity]],"")</f>
        <v>249</v>
      </c>
      <c r="S397">
        <f>IFERROR(Table1_1[[#This Row],[Gross_Sales]]*Table1_1[[#This Row],[Discount_%]],"")</f>
        <v>37.35</v>
      </c>
      <c r="T397">
        <f>IFERROR(Table1_1[[#This Row],[Gross_Sales]]-Table1_1[[#This Row],[Discount_amount]]+Table1_1[[#This Row],[Shipping_Cost]],"")</f>
        <v>260.64999999999998</v>
      </c>
      <c r="U397">
        <f>IFERROR(Table1_1[[#This Row],[Net_Sale]]-(Table1_1[[#This Row],[Gross_Sales]]*70%),"")</f>
        <v>86.35</v>
      </c>
      <c r="V397" s="7">
        <f>IFERROR(Table1_1[[#This Row],[Profit]]/Table1_1[[#This Row],[Net_Sale]],"")</f>
        <v>0.331287166698638</v>
      </c>
      <c r="W397" t="str">
        <f>TEXT(Table1_1[[#This Row],[Order_Date]],"mmm")</f>
        <v>Nov</v>
      </c>
    </row>
    <row r="398" spans="1:23" x14ac:dyDescent="0.25">
      <c r="A398" t="s">
        <v>723</v>
      </c>
      <c r="B398" t="s">
        <v>319</v>
      </c>
      <c r="C398" s="6">
        <v>45701</v>
      </c>
      <c r="D398" t="s">
        <v>44</v>
      </c>
      <c r="E398" t="s">
        <v>45</v>
      </c>
      <c r="F398" t="s">
        <v>46</v>
      </c>
      <c r="G398" t="s">
        <v>47</v>
      </c>
      <c r="H398">
        <v>2</v>
      </c>
      <c r="I398">
        <v>2017</v>
      </c>
      <c r="J398">
        <v>0.2</v>
      </c>
      <c r="K398">
        <v>59</v>
      </c>
      <c r="L398" t="s">
        <v>57</v>
      </c>
      <c r="M398" t="s">
        <v>58</v>
      </c>
      <c r="N398" t="s">
        <v>40</v>
      </c>
      <c r="O398" t="s">
        <v>32</v>
      </c>
      <c r="P398" t="s">
        <v>80</v>
      </c>
      <c r="Q398">
        <v>2</v>
      </c>
      <c r="R398">
        <f>IFERROR(Table1_1[[#This Row],[Unit_Price]]*Table1_1[[#This Row],[Quantity]],"")</f>
        <v>4034</v>
      </c>
      <c r="S398">
        <f>IFERROR(Table1_1[[#This Row],[Gross_Sales]]*Table1_1[[#This Row],[Discount_%]],"")</f>
        <v>806.80000000000007</v>
      </c>
      <c r="T398">
        <f>IFERROR(Table1_1[[#This Row],[Gross_Sales]]-Table1_1[[#This Row],[Discount_amount]]+Table1_1[[#This Row],[Shipping_Cost]],"")</f>
        <v>3286.2</v>
      </c>
      <c r="U398">
        <f>IFERROR(Table1_1[[#This Row],[Net_Sale]]-(Table1_1[[#This Row],[Gross_Sales]]*70%),"")</f>
        <v>462.40000000000009</v>
      </c>
      <c r="V398" s="7">
        <f>IFERROR(Table1_1[[#This Row],[Profit]]/Table1_1[[#This Row],[Net_Sale]],"")</f>
        <v>0.14070963422798372</v>
      </c>
      <c r="W398" t="str">
        <f>TEXT(Table1_1[[#This Row],[Order_Date]],"mmm")</f>
        <v>Feb</v>
      </c>
    </row>
    <row r="399" spans="1:23" x14ac:dyDescent="0.25">
      <c r="A399" t="s">
        <v>724</v>
      </c>
      <c r="B399" t="s">
        <v>356</v>
      </c>
      <c r="C399" s="6">
        <v>45787</v>
      </c>
      <c r="D399" t="s">
        <v>105</v>
      </c>
      <c r="E399" t="s">
        <v>106</v>
      </c>
      <c r="F399" t="s">
        <v>37</v>
      </c>
      <c r="G399" t="s">
        <v>107</v>
      </c>
      <c r="H399">
        <v>1</v>
      </c>
      <c r="I399">
        <v>1799</v>
      </c>
      <c r="J399">
        <v>0.2</v>
      </c>
      <c r="K399">
        <v>99</v>
      </c>
      <c r="L399" t="s">
        <v>100</v>
      </c>
      <c r="M399" t="s">
        <v>101</v>
      </c>
      <c r="N399" t="s">
        <v>102</v>
      </c>
      <c r="O399" t="s">
        <v>59</v>
      </c>
      <c r="P399" t="s">
        <v>33</v>
      </c>
      <c r="Q399">
        <v>3</v>
      </c>
      <c r="R399">
        <f>IFERROR(Table1_1[[#This Row],[Unit_Price]]*Table1_1[[#This Row],[Quantity]],"")</f>
        <v>1799</v>
      </c>
      <c r="S399">
        <f>IFERROR(Table1_1[[#This Row],[Gross_Sales]]*Table1_1[[#This Row],[Discount_%]],"")</f>
        <v>359.8</v>
      </c>
      <c r="T399">
        <f>IFERROR(Table1_1[[#This Row],[Gross_Sales]]-Table1_1[[#This Row],[Discount_amount]]+Table1_1[[#This Row],[Shipping_Cost]],"")</f>
        <v>1538.2</v>
      </c>
      <c r="U399">
        <f>IFERROR(Table1_1[[#This Row],[Net_Sale]]-(Table1_1[[#This Row],[Gross_Sales]]*70%),"")</f>
        <v>278.90000000000009</v>
      </c>
      <c r="V399" s="7">
        <f>IFERROR(Table1_1[[#This Row],[Profit]]/Table1_1[[#This Row],[Net_Sale]],"")</f>
        <v>0.18131582369002736</v>
      </c>
      <c r="W399" t="str">
        <f>TEXT(Table1_1[[#This Row],[Order_Date]],"mmm")</f>
        <v>May</v>
      </c>
    </row>
    <row r="400" spans="1:23" x14ac:dyDescent="0.25">
      <c r="A400" t="s">
        <v>725</v>
      </c>
      <c r="B400" t="s">
        <v>134</v>
      </c>
      <c r="C400" s="6">
        <v>45692</v>
      </c>
      <c r="D400" t="s">
        <v>62</v>
      </c>
      <c r="E400" t="s">
        <v>63</v>
      </c>
      <c r="F400" t="s">
        <v>46</v>
      </c>
      <c r="G400" t="s">
        <v>64</v>
      </c>
      <c r="H400">
        <v>1</v>
      </c>
      <c r="I400">
        <v>699</v>
      </c>
      <c r="J400">
        <v>0.2</v>
      </c>
      <c r="K400">
        <v>99</v>
      </c>
      <c r="L400" t="s">
        <v>29</v>
      </c>
      <c r="M400" t="s">
        <v>30</v>
      </c>
      <c r="N400" t="s">
        <v>71</v>
      </c>
      <c r="O400" t="s">
        <v>51</v>
      </c>
      <c r="P400" t="s">
        <v>33</v>
      </c>
      <c r="Q400">
        <v>2</v>
      </c>
      <c r="R400">
        <f>IFERROR(Table1_1[[#This Row],[Unit_Price]]*Table1_1[[#This Row],[Quantity]],"")</f>
        <v>699</v>
      </c>
      <c r="S400">
        <f>IFERROR(Table1_1[[#This Row],[Gross_Sales]]*Table1_1[[#This Row],[Discount_%]],"")</f>
        <v>139.80000000000001</v>
      </c>
      <c r="T400">
        <f>IFERROR(Table1_1[[#This Row],[Gross_Sales]]-Table1_1[[#This Row],[Discount_amount]]+Table1_1[[#This Row],[Shipping_Cost]],"")</f>
        <v>658.2</v>
      </c>
      <c r="U400">
        <f>IFERROR(Table1_1[[#This Row],[Net_Sale]]-(Table1_1[[#This Row],[Gross_Sales]]*70%),"")</f>
        <v>168.90000000000009</v>
      </c>
      <c r="V400" s="7">
        <f>IFERROR(Table1_1[[#This Row],[Profit]]/Table1_1[[#This Row],[Net_Sale]],"")</f>
        <v>0.25660893345487706</v>
      </c>
      <c r="W400" t="str">
        <f>TEXT(Table1_1[[#This Row],[Order_Date]],"mmm")</f>
        <v>Feb</v>
      </c>
    </row>
    <row r="401" spans="1:23" x14ac:dyDescent="0.25">
      <c r="A401" t="s">
        <v>726</v>
      </c>
      <c r="B401" t="s">
        <v>1618</v>
      </c>
      <c r="C401" s="6">
        <v>45975</v>
      </c>
      <c r="D401" t="s">
        <v>25</v>
      </c>
      <c r="E401" t="s">
        <v>26</v>
      </c>
      <c r="F401" t="s">
        <v>27</v>
      </c>
      <c r="G401" t="s">
        <v>28</v>
      </c>
      <c r="H401">
        <v>1</v>
      </c>
      <c r="I401">
        <v>249</v>
      </c>
      <c r="J401">
        <v>0.05</v>
      </c>
      <c r="K401">
        <v>79</v>
      </c>
      <c r="L401" t="s">
        <v>113</v>
      </c>
      <c r="M401" t="s">
        <v>114</v>
      </c>
      <c r="N401" t="s">
        <v>71</v>
      </c>
      <c r="O401" t="s">
        <v>32</v>
      </c>
      <c r="P401" t="s">
        <v>33</v>
      </c>
      <c r="Q401">
        <v>3</v>
      </c>
      <c r="R401">
        <f>IFERROR(Table1_1[[#This Row],[Unit_Price]]*Table1_1[[#This Row],[Quantity]],"")</f>
        <v>249</v>
      </c>
      <c r="S401">
        <f>IFERROR(Table1_1[[#This Row],[Gross_Sales]]*Table1_1[[#This Row],[Discount_%]],"")</f>
        <v>12.450000000000001</v>
      </c>
      <c r="T401">
        <f>IFERROR(Table1_1[[#This Row],[Gross_Sales]]-Table1_1[[#This Row],[Discount_amount]]+Table1_1[[#This Row],[Shipping_Cost]],"")</f>
        <v>315.55</v>
      </c>
      <c r="U401">
        <f>IFERROR(Table1_1[[#This Row],[Net_Sale]]-(Table1_1[[#This Row],[Gross_Sales]]*70%),"")</f>
        <v>141.25000000000003</v>
      </c>
      <c r="V401" s="7">
        <f>IFERROR(Table1_1[[#This Row],[Profit]]/Table1_1[[#This Row],[Net_Sale]],"")</f>
        <v>0.44763112026620194</v>
      </c>
      <c r="W401" t="str">
        <f>TEXT(Table1_1[[#This Row],[Order_Date]],"mmm")</f>
        <v>Nov</v>
      </c>
    </row>
    <row r="402" spans="1:23" x14ac:dyDescent="0.25">
      <c r="A402" t="s">
        <v>727</v>
      </c>
      <c r="B402" t="s">
        <v>656</v>
      </c>
      <c r="C402" s="6">
        <v>45948</v>
      </c>
      <c r="D402" t="s">
        <v>110</v>
      </c>
      <c r="E402" t="s">
        <v>111</v>
      </c>
      <c r="F402" t="s">
        <v>98</v>
      </c>
      <c r="G402" t="s">
        <v>112</v>
      </c>
      <c r="H402">
        <v>1</v>
      </c>
      <c r="I402">
        <v>2999</v>
      </c>
      <c r="J402">
        <v>0.1</v>
      </c>
      <c r="K402">
        <v>49</v>
      </c>
      <c r="L402" t="s">
        <v>125</v>
      </c>
      <c r="M402" t="s">
        <v>126</v>
      </c>
      <c r="N402" t="s">
        <v>71</v>
      </c>
      <c r="O402" t="s">
        <v>41</v>
      </c>
      <c r="P402" t="s">
        <v>33</v>
      </c>
      <c r="Q402">
        <v>3</v>
      </c>
      <c r="R402">
        <f>IFERROR(Table1_1[[#This Row],[Unit_Price]]*Table1_1[[#This Row],[Quantity]],"")</f>
        <v>2999</v>
      </c>
      <c r="S402">
        <f>IFERROR(Table1_1[[#This Row],[Gross_Sales]]*Table1_1[[#This Row],[Discount_%]],"")</f>
        <v>299.90000000000003</v>
      </c>
      <c r="T402">
        <f>IFERROR(Table1_1[[#This Row],[Gross_Sales]]-Table1_1[[#This Row],[Discount_amount]]+Table1_1[[#This Row],[Shipping_Cost]],"")</f>
        <v>2748.1</v>
      </c>
      <c r="U402">
        <f>IFERROR(Table1_1[[#This Row],[Net_Sale]]-(Table1_1[[#This Row],[Gross_Sales]]*70%),"")</f>
        <v>648.80000000000018</v>
      </c>
      <c r="V402" s="7">
        <f>IFERROR(Table1_1[[#This Row],[Profit]]/Table1_1[[#This Row],[Net_Sale]],"")</f>
        <v>0.23609038972380925</v>
      </c>
      <c r="W402" t="str">
        <f>TEXT(Table1_1[[#This Row],[Order_Date]],"mmm")</f>
        <v>Oct</v>
      </c>
    </row>
    <row r="403" spans="1:23" x14ac:dyDescent="0.25">
      <c r="A403" t="s">
        <v>728</v>
      </c>
      <c r="B403" t="s">
        <v>198</v>
      </c>
      <c r="C403" s="6">
        <v>45842</v>
      </c>
      <c r="D403" t="s">
        <v>67</v>
      </c>
      <c r="E403" t="s">
        <v>68</v>
      </c>
      <c r="F403" t="s">
        <v>37</v>
      </c>
      <c r="G403" t="s">
        <v>38</v>
      </c>
      <c r="H403">
        <v>1</v>
      </c>
      <c r="I403">
        <v>1299</v>
      </c>
      <c r="J403">
        <v>0.05</v>
      </c>
      <c r="K403">
        <v>79</v>
      </c>
      <c r="L403" t="s">
        <v>57</v>
      </c>
      <c r="M403" t="s">
        <v>58</v>
      </c>
      <c r="N403" t="s">
        <v>40</v>
      </c>
      <c r="O403" t="s">
        <v>51</v>
      </c>
      <c r="P403" t="s">
        <v>80</v>
      </c>
      <c r="Q403">
        <v>3</v>
      </c>
      <c r="R403">
        <f>IFERROR(Table1_1[[#This Row],[Unit_Price]]*Table1_1[[#This Row],[Quantity]],"")</f>
        <v>1299</v>
      </c>
      <c r="S403">
        <f>IFERROR(Table1_1[[#This Row],[Gross_Sales]]*Table1_1[[#This Row],[Discount_%]],"")</f>
        <v>64.95</v>
      </c>
      <c r="T403">
        <f>IFERROR(Table1_1[[#This Row],[Gross_Sales]]-Table1_1[[#This Row],[Discount_amount]]+Table1_1[[#This Row],[Shipping_Cost]],"")</f>
        <v>1313.05</v>
      </c>
      <c r="U403">
        <f>IFERROR(Table1_1[[#This Row],[Net_Sale]]-(Table1_1[[#This Row],[Gross_Sales]]*70%),"")</f>
        <v>403.75</v>
      </c>
      <c r="V403" s="7">
        <f>IFERROR(Table1_1[[#This Row],[Profit]]/Table1_1[[#This Row],[Net_Sale]],"")</f>
        <v>0.30749019458512622</v>
      </c>
      <c r="W403" t="str">
        <f>TEXT(Table1_1[[#This Row],[Order_Date]],"mmm")</f>
        <v>Jul</v>
      </c>
    </row>
    <row r="404" spans="1:23" x14ac:dyDescent="0.25">
      <c r="A404" t="s">
        <v>729</v>
      </c>
      <c r="B404" t="s">
        <v>211</v>
      </c>
      <c r="C404" s="6">
        <v>45747</v>
      </c>
      <c r="D404" t="s">
        <v>110</v>
      </c>
      <c r="E404" t="s">
        <v>111</v>
      </c>
      <c r="F404" t="s">
        <v>98</v>
      </c>
      <c r="G404" t="s">
        <v>112</v>
      </c>
      <c r="H404">
        <v>2</v>
      </c>
      <c r="I404">
        <v>2999</v>
      </c>
      <c r="J404">
        <v>0.05</v>
      </c>
      <c r="K404">
        <v>49</v>
      </c>
      <c r="L404" t="s">
        <v>119</v>
      </c>
      <c r="M404" t="s">
        <v>120</v>
      </c>
      <c r="N404" t="s">
        <v>50</v>
      </c>
      <c r="O404" t="s">
        <v>51</v>
      </c>
      <c r="P404" t="s">
        <v>33</v>
      </c>
      <c r="Q404">
        <v>3</v>
      </c>
      <c r="R404">
        <f>IFERROR(Table1_1[[#This Row],[Unit_Price]]*Table1_1[[#This Row],[Quantity]],"")</f>
        <v>5998</v>
      </c>
      <c r="S404">
        <f>IFERROR(Table1_1[[#This Row],[Gross_Sales]]*Table1_1[[#This Row],[Discount_%]],"")</f>
        <v>299.90000000000003</v>
      </c>
      <c r="T404">
        <f>IFERROR(Table1_1[[#This Row],[Gross_Sales]]-Table1_1[[#This Row],[Discount_amount]]+Table1_1[[#This Row],[Shipping_Cost]],"")</f>
        <v>5747.1</v>
      </c>
      <c r="U404">
        <f>IFERROR(Table1_1[[#This Row],[Net_Sale]]-(Table1_1[[#This Row],[Gross_Sales]]*70%),"")</f>
        <v>1548.5000000000009</v>
      </c>
      <c r="V404" s="7">
        <f>IFERROR(Table1_1[[#This Row],[Profit]]/Table1_1[[#This Row],[Net_Sale]],"")</f>
        <v>0.26944023942510148</v>
      </c>
      <c r="W404" t="str">
        <f>TEXT(Table1_1[[#This Row],[Order_Date]],"mmm")</f>
        <v>Mar</v>
      </c>
    </row>
    <row r="405" spans="1:23" x14ac:dyDescent="0.25">
      <c r="A405" t="s">
        <v>730</v>
      </c>
      <c r="B405" t="s">
        <v>731</v>
      </c>
      <c r="C405" s="6">
        <v>45667</v>
      </c>
      <c r="D405" t="s">
        <v>25</v>
      </c>
      <c r="E405" t="s">
        <v>26</v>
      </c>
      <c r="F405" t="s">
        <v>27</v>
      </c>
      <c r="G405" t="s">
        <v>28</v>
      </c>
      <c r="H405">
        <v>2</v>
      </c>
      <c r="I405">
        <v>249</v>
      </c>
      <c r="J405">
        <v>0.15</v>
      </c>
      <c r="K405">
        <v>99</v>
      </c>
      <c r="L405" t="s">
        <v>29</v>
      </c>
      <c r="M405" t="s">
        <v>30</v>
      </c>
      <c r="N405" t="s">
        <v>102</v>
      </c>
      <c r="O405" t="s">
        <v>41</v>
      </c>
      <c r="P405" t="s">
        <v>33</v>
      </c>
      <c r="Q405">
        <v>1</v>
      </c>
      <c r="R405">
        <f>IFERROR(Table1_1[[#This Row],[Unit_Price]]*Table1_1[[#This Row],[Quantity]],"")</f>
        <v>498</v>
      </c>
      <c r="S405">
        <f>IFERROR(Table1_1[[#This Row],[Gross_Sales]]*Table1_1[[#This Row],[Discount_%]],"")</f>
        <v>74.7</v>
      </c>
      <c r="T405">
        <f>IFERROR(Table1_1[[#This Row],[Gross_Sales]]-Table1_1[[#This Row],[Discount_amount]]+Table1_1[[#This Row],[Shipping_Cost]],"")</f>
        <v>522.29999999999995</v>
      </c>
      <c r="U405">
        <f>IFERROR(Table1_1[[#This Row],[Net_Sale]]-(Table1_1[[#This Row],[Gross_Sales]]*70%),"")</f>
        <v>173.7</v>
      </c>
      <c r="V405" s="7">
        <f>IFERROR(Table1_1[[#This Row],[Profit]]/Table1_1[[#This Row],[Net_Sale]],"")</f>
        <v>0.33256748994830559</v>
      </c>
      <c r="W405" t="str">
        <f>TEXT(Table1_1[[#This Row],[Order_Date]],"mmm")</f>
        <v>Jan</v>
      </c>
    </row>
    <row r="406" spans="1:23" x14ac:dyDescent="0.25">
      <c r="A406" t="s">
        <v>732</v>
      </c>
      <c r="B406" t="s">
        <v>733</v>
      </c>
      <c r="C406" s="6">
        <v>45934</v>
      </c>
      <c r="D406" t="s">
        <v>62</v>
      </c>
      <c r="E406" t="s">
        <v>63</v>
      </c>
      <c r="F406" t="s">
        <v>46</v>
      </c>
      <c r="G406" t="s">
        <v>64</v>
      </c>
      <c r="H406">
        <v>2</v>
      </c>
      <c r="I406">
        <v>699</v>
      </c>
      <c r="J406">
        <v>0.05</v>
      </c>
      <c r="K406">
        <v>79</v>
      </c>
      <c r="L406" t="s">
        <v>48</v>
      </c>
      <c r="M406" t="s">
        <v>49</v>
      </c>
      <c r="N406" t="s">
        <v>102</v>
      </c>
      <c r="O406" t="s">
        <v>51</v>
      </c>
      <c r="P406" t="s">
        <v>33</v>
      </c>
      <c r="Q406">
        <v>2</v>
      </c>
      <c r="R406">
        <f>IFERROR(Table1_1[[#This Row],[Unit_Price]]*Table1_1[[#This Row],[Quantity]],"")</f>
        <v>1398</v>
      </c>
      <c r="S406">
        <f>IFERROR(Table1_1[[#This Row],[Gross_Sales]]*Table1_1[[#This Row],[Discount_%]],"")</f>
        <v>69.900000000000006</v>
      </c>
      <c r="T406">
        <f>IFERROR(Table1_1[[#This Row],[Gross_Sales]]-Table1_1[[#This Row],[Discount_amount]]+Table1_1[[#This Row],[Shipping_Cost]],"")</f>
        <v>1407.1</v>
      </c>
      <c r="U406">
        <f>IFERROR(Table1_1[[#This Row],[Net_Sale]]-(Table1_1[[#This Row],[Gross_Sales]]*70%),"")</f>
        <v>428.5</v>
      </c>
      <c r="V406" s="7">
        <f>IFERROR(Table1_1[[#This Row],[Profit]]/Table1_1[[#This Row],[Net_Sale]],"")</f>
        <v>0.30452704143273401</v>
      </c>
      <c r="W406" t="str">
        <f>TEXT(Table1_1[[#This Row],[Order_Date]],"mmm")</f>
        <v>Oct</v>
      </c>
    </row>
    <row r="407" spans="1:23" x14ac:dyDescent="0.25">
      <c r="A407" t="s">
        <v>734</v>
      </c>
      <c r="B407" t="s">
        <v>660</v>
      </c>
      <c r="C407" s="6">
        <v>45861</v>
      </c>
      <c r="D407" t="s">
        <v>90</v>
      </c>
      <c r="E407" t="s">
        <v>91</v>
      </c>
      <c r="F407" t="s">
        <v>37</v>
      </c>
      <c r="G407" t="s">
        <v>92</v>
      </c>
      <c r="H407">
        <v>2</v>
      </c>
      <c r="I407">
        <v>3499</v>
      </c>
      <c r="J407">
        <v>0.2</v>
      </c>
      <c r="K407">
        <v>49</v>
      </c>
      <c r="L407" t="s">
        <v>83</v>
      </c>
      <c r="M407" t="s">
        <v>84</v>
      </c>
      <c r="N407" t="s">
        <v>102</v>
      </c>
      <c r="O407" t="s">
        <v>41</v>
      </c>
      <c r="P407" t="s">
        <v>33</v>
      </c>
      <c r="Q407">
        <v>4</v>
      </c>
      <c r="R407">
        <f>IFERROR(Table1_1[[#This Row],[Unit_Price]]*Table1_1[[#This Row],[Quantity]],"")</f>
        <v>6998</v>
      </c>
      <c r="S407">
        <f>IFERROR(Table1_1[[#This Row],[Gross_Sales]]*Table1_1[[#This Row],[Discount_%]],"")</f>
        <v>1399.6000000000001</v>
      </c>
      <c r="T407">
        <f>IFERROR(Table1_1[[#This Row],[Gross_Sales]]-Table1_1[[#This Row],[Discount_amount]]+Table1_1[[#This Row],[Shipping_Cost]],"")</f>
        <v>5647.4</v>
      </c>
      <c r="U407">
        <f>IFERROR(Table1_1[[#This Row],[Net_Sale]]-(Table1_1[[#This Row],[Gross_Sales]]*70%),"")</f>
        <v>748.80000000000018</v>
      </c>
      <c r="V407" s="7">
        <f>IFERROR(Table1_1[[#This Row],[Profit]]/Table1_1[[#This Row],[Net_Sale]],"")</f>
        <v>0.13259198923398383</v>
      </c>
      <c r="W407" t="str">
        <f>TEXT(Table1_1[[#This Row],[Order_Date]],"mmm")</f>
        <v>Jul</v>
      </c>
    </row>
    <row r="408" spans="1:23" x14ac:dyDescent="0.25">
      <c r="A408" t="s">
        <v>735</v>
      </c>
      <c r="B408" t="s">
        <v>289</v>
      </c>
      <c r="C408" s="6">
        <v>45947</v>
      </c>
      <c r="D408" t="s">
        <v>105</v>
      </c>
      <c r="E408" t="s">
        <v>106</v>
      </c>
      <c r="F408" t="s">
        <v>37</v>
      </c>
      <c r="G408" t="s">
        <v>107</v>
      </c>
      <c r="H408">
        <v>2</v>
      </c>
      <c r="I408">
        <v>1799</v>
      </c>
      <c r="J408">
        <v>0.2</v>
      </c>
      <c r="K408">
        <v>79</v>
      </c>
      <c r="L408" t="s">
        <v>100</v>
      </c>
      <c r="M408" t="s">
        <v>101</v>
      </c>
      <c r="N408" t="s">
        <v>31</v>
      </c>
      <c r="O408" t="s">
        <v>41</v>
      </c>
      <c r="P408" t="s">
        <v>33</v>
      </c>
      <c r="Q408">
        <v>3</v>
      </c>
      <c r="R408">
        <f>IFERROR(Table1_1[[#This Row],[Unit_Price]]*Table1_1[[#This Row],[Quantity]],"")</f>
        <v>3598</v>
      </c>
      <c r="S408">
        <f>IFERROR(Table1_1[[#This Row],[Gross_Sales]]*Table1_1[[#This Row],[Discount_%]],"")</f>
        <v>719.6</v>
      </c>
      <c r="T408">
        <f>IFERROR(Table1_1[[#This Row],[Gross_Sales]]-Table1_1[[#This Row],[Discount_amount]]+Table1_1[[#This Row],[Shipping_Cost]],"")</f>
        <v>2957.4</v>
      </c>
      <c r="U408">
        <f>IFERROR(Table1_1[[#This Row],[Net_Sale]]-(Table1_1[[#This Row],[Gross_Sales]]*70%),"")</f>
        <v>438.80000000000018</v>
      </c>
      <c r="V408" s="7">
        <f>IFERROR(Table1_1[[#This Row],[Profit]]/Table1_1[[#This Row],[Net_Sale]],"")</f>
        <v>0.14837357138026649</v>
      </c>
      <c r="W408" t="str">
        <f>TEXT(Table1_1[[#This Row],[Order_Date]],"mmm")</f>
        <v>Oct</v>
      </c>
    </row>
    <row r="409" spans="1:23" x14ac:dyDescent="0.25">
      <c r="A409" t="s">
        <v>736</v>
      </c>
      <c r="B409" t="s">
        <v>737</v>
      </c>
      <c r="C409" s="6">
        <v>45847</v>
      </c>
      <c r="D409" t="s">
        <v>90</v>
      </c>
      <c r="E409" t="s">
        <v>91</v>
      </c>
      <c r="F409" t="s">
        <v>37</v>
      </c>
      <c r="G409" t="s">
        <v>92</v>
      </c>
      <c r="H409">
        <v>1</v>
      </c>
      <c r="I409">
        <v>3499</v>
      </c>
      <c r="J409">
        <v>0</v>
      </c>
      <c r="K409">
        <v>99</v>
      </c>
      <c r="L409" t="s">
        <v>113</v>
      </c>
      <c r="M409" t="s">
        <v>114</v>
      </c>
      <c r="N409" t="s">
        <v>40</v>
      </c>
      <c r="O409" t="s">
        <v>59</v>
      </c>
      <c r="P409" t="s">
        <v>80</v>
      </c>
      <c r="Q409">
        <v>4</v>
      </c>
      <c r="R409">
        <f>IFERROR(Table1_1[[#This Row],[Unit_Price]]*Table1_1[[#This Row],[Quantity]],"")</f>
        <v>3499</v>
      </c>
      <c r="S409">
        <f>IFERROR(Table1_1[[#This Row],[Gross_Sales]]*Table1_1[[#This Row],[Discount_%]],"")</f>
        <v>0</v>
      </c>
      <c r="T409">
        <f>IFERROR(Table1_1[[#This Row],[Gross_Sales]]-Table1_1[[#This Row],[Discount_amount]]+Table1_1[[#This Row],[Shipping_Cost]],"")</f>
        <v>3598</v>
      </c>
      <c r="U409">
        <f>IFERROR(Table1_1[[#This Row],[Net_Sale]]-(Table1_1[[#This Row],[Gross_Sales]]*70%),"")</f>
        <v>1148.7000000000003</v>
      </c>
      <c r="V409" s="7">
        <f>IFERROR(Table1_1[[#This Row],[Profit]]/Table1_1[[#This Row],[Net_Sale]],"")</f>
        <v>0.31926070038910515</v>
      </c>
      <c r="W409" t="str">
        <f>TEXT(Table1_1[[#This Row],[Order_Date]],"mmm")</f>
        <v>Jul</v>
      </c>
    </row>
    <row r="410" spans="1:23" x14ac:dyDescent="0.25">
      <c r="A410" t="s">
        <v>738</v>
      </c>
      <c r="B410" t="s">
        <v>739</v>
      </c>
      <c r="C410" s="6">
        <v>45823</v>
      </c>
      <c r="D410" t="s">
        <v>35</v>
      </c>
      <c r="E410" t="s">
        <v>36</v>
      </c>
      <c r="F410" t="s">
        <v>37</v>
      </c>
      <c r="G410" t="s">
        <v>38</v>
      </c>
      <c r="H410">
        <v>5</v>
      </c>
      <c r="I410">
        <v>599</v>
      </c>
      <c r="J410">
        <v>0.2</v>
      </c>
      <c r="K410">
        <v>59</v>
      </c>
      <c r="L410" t="s">
        <v>39</v>
      </c>
      <c r="M410" t="s">
        <v>39</v>
      </c>
      <c r="N410" t="s">
        <v>102</v>
      </c>
      <c r="O410" t="s">
        <v>32</v>
      </c>
      <c r="P410" t="s">
        <v>85</v>
      </c>
      <c r="Q410">
        <v>5</v>
      </c>
      <c r="R410">
        <f>IFERROR(Table1_1[[#This Row],[Unit_Price]]*Table1_1[[#This Row],[Quantity]],"")</f>
        <v>2995</v>
      </c>
      <c r="S410">
        <f>IFERROR(Table1_1[[#This Row],[Gross_Sales]]*Table1_1[[#This Row],[Discount_%]],"")</f>
        <v>599</v>
      </c>
      <c r="T410">
        <f>IFERROR(Table1_1[[#This Row],[Gross_Sales]]-Table1_1[[#This Row],[Discount_amount]]+Table1_1[[#This Row],[Shipping_Cost]],"")</f>
        <v>2455</v>
      </c>
      <c r="U410">
        <f>IFERROR(Table1_1[[#This Row],[Net_Sale]]-(Table1_1[[#This Row],[Gross_Sales]]*70%),"")</f>
        <v>358.5</v>
      </c>
      <c r="V410" s="7">
        <f>IFERROR(Table1_1[[#This Row],[Profit]]/Table1_1[[#This Row],[Net_Sale]],"")</f>
        <v>0.14602851323828919</v>
      </c>
      <c r="W410" t="str">
        <f>TEXT(Table1_1[[#This Row],[Order_Date]],"mmm")</f>
        <v>Jun</v>
      </c>
    </row>
    <row r="411" spans="1:23" x14ac:dyDescent="0.25">
      <c r="A411" t="s">
        <v>740</v>
      </c>
      <c r="B411" t="s">
        <v>347</v>
      </c>
      <c r="C411" s="6">
        <v>45845</v>
      </c>
      <c r="D411" t="s">
        <v>105</v>
      </c>
      <c r="E411" t="s">
        <v>106</v>
      </c>
      <c r="F411" t="s">
        <v>37</v>
      </c>
      <c r="G411" t="s">
        <v>107</v>
      </c>
      <c r="H411">
        <v>2</v>
      </c>
      <c r="I411">
        <v>1799</v>
      </c>
      <c r="J411">
        <v>0.15</v>
      </c>
      <c r="K411">
        <v>59</v>
      </c>
      <c r="L411" t="s">
        <v>57</v>
      </c>
      <c r="M411" t="s">
        <v>58</v>
      </c>
      <c r="N411" t="s">
        <v>50</v>
      </c>
      <c r="O411" t="s">
        <v>32</v>
      </c>
      <c r="P411" t="s">
        <v>33</v>
      </c>
      <c r="Q411">
        <v>4</v>
      </c>
      <c r="R411">
        <f>IFERROR(Table1_1[[#This Row],[Unit_Price]]*Table1_1[[#This Row],[Quantity]],"")</f>
        <v>3598</v>
      </c>
      <c r="S411">
        <f>IFERROR(Table1_1[[#This Row],[Gross_Sales]]*Table1_1[[#This Row],[Discount_%]],"")</f>
        <v>539.69999999999993</v>
      </c>
      <c r="T411">
        <f>IFERROR(Table1_1[[#This Row],[Gross_Sales]]-Table1_1[[#This Row],[Discount_amount]]+Table1_1[[#This Row],[Shipping_Cost]],"")</f>
        <v>3117.3</v>
      </c>
      <c r="U411">
        <f>IFERROR(Table1_1[[#This Row],[Net_Sale]]-(Table1_1[[#This Row],[Gross_Sales]]*70%),"")</f>
        <v>598.70000000000027</v>
      </c>
      <c r="V411" s="7">
        <f>IFERROR(Table1_1[[#This Row],[Profit]]/Table1_1[[#This Row],[Net_Sale]],"")</f>
        <v>0.19205722901228636</v>
      </c>
      <c r="W411" t="str">
        <f>TEXT(Table1_1[[#This Row],[Order_Date]],"mmm")</f>
        <v>Jul</v>
      </c>
    </row>
    <row r="412" spans="1:23" x14ac:dyDescent="0.25">
      <c r="A412" t="s">
        <v>741</v>
      </c>
      <c r="B412" t="s">
        <v>660</v>
      </c>
      <c r="C412" s="6">
        <v>45904</v>
      </c>
      <c r="D412" t="s">
        <v>169</v>
      </c>
      <c r="E412" t="s">
        <v>170</v>
      </c>
      <c r="F412" t="s">
        <v>98</v>
      </c>
      <c r="G412" t="s">
        <v>171</v>
      </c>
      <c r="H412">
        <v>2</v>
      </c>
      <c r="I412">
        <v>799</v>
      </c>
      <c r="J412">
        <v>0</v>
      </c>
      <c r="K412">
        <v>79</v>
      </c>
      <c r="L412" t="s">
        <v>74</v>
      </c>
      <c r="M412" t="s">
        <v>49</v>
      </c>
      <c r="N412" t="s">
        <v>430</v>
      </c>
      <c r="O412" t="s">
        <v>93</v>
      </c>
      <c r="P412" t="s">
        <v>85</v>
      </c>
      <c r="Q412">
        <v>5</v>
      </c>
      <c r="R412">
        <f>IFERROR(Table1_1[[#This Row],[Unit_Price]]*Table1_1[[#This Row],[Quantity]],"")</f>
        <v>1598</v>
      </c>
      <c r="S412">
        <f>IFERROR(Table1_1[[#This Row],[Gross_Sales]]*Table1_1[[#This Row],[Discount_%]],"")</f>
        <v>0</v>
      </c>
      <c r="T412">
        <f>IFERROR(Table1_1[[#This Row],[Gross_Sales]]-Table1_1[[#This Row],[Discount_amount]]+Table1_1[[#This Row],[Shipping_Cost]],"")</f>
        <v>1677</v>
      </c>
      <c r="U412">
        <f>IFERROR(Table1_1[[#This Row],[Net_Sale]]-(Table1_1[[#This Row],[Gross_Sales]]*70%),"")</f>
        <v>558.40000000000009</v>
      </c>
      <c r="V412" s="7">
        <f>IFERROR(Table1_1[[#This Row],[Profit]]/Table1_1[[#This Row],[Net_Sale]],"")</f>
        <v>0.33297555158020281</v>
      </c>
      <c r="W412" t="str">
        <f>TEXT(Table1_1[[#This Row],[Order_Date]],"mmm")</f>
        <v>Sep</v>
      </c>
    </row>
    <row r="413" spans="1:23" x14ac:dyDescent="0.25">
      <c r="A413" t="s">
        <v>742</v>
      </c>
      <c r="B413" t="s">
        <v>118</v>
      </c>
      <c r="C413" s="6">
        <v>45753</v>
      </c>
      <c r="D413" t="s">
        <v>25</v>
      </c>
      <c r="E413" t="s">
        <v>26</v>
      </c>
      <c r="F413" t="s">
        <v>27</v>
      </c>
      <c r="G413" t="s">
        <v>28</v>
      </c>
      <c r="H413">
        <v>1</v>
      </c>
      <c r="I413">
        <v>249</v>
      </c>
      <c r="J413">
        <v>0.2</v>
      </c>
      <c r="K413">
        <v>0</v>
      </c>
      <c r="L413" t="s">
        <v>743</v>
      </c>
      <c r="M413" t="s">
        <v>49</v>
      </c>
      <c r="N413" t="s">
        <v>40</v>
      </c>
      <c r="O413" t="s">
        <v>51</v>
      </c>
      <c r="P413" t="s">
        <v>85</v>
      </c>
      <c r="Q413">
        <v>3</v>
      </c>
      <c r="R413">
        <f>IFERROR(Table1_1[[#This Row],[Unit_Price]]*Table1_1[[#This Row],[Quantity]],"")</f>
        <v>249</v>
      </c>
      <c r="S413">
        <f>IFERROR(Table1_1[[#This Row],[Gross_Sales]]*Table1_1[[#This Row],[Discount_%]],"")</f>
        <v>49.800000000000004</v>
      </c>
      <c r="T413">
        <f>IFERROR(Table1_1[[#This Row],[Gross_Sales]]-Table1_1[[#This Row],[Discount_amount]]+Table1_1[[#This Row],[Shipping_Cost]],"")</f>
        <v>199.2</v>
      </c>
      <c r="U413">
        <f>IFERROR(Table1_1[[#This Row],[Net_Sale]]-(Table1_1[[#This Row],[Gross_Sales]]*70%),"")</f>
        <v>24.900000000000006</v>
      </c>
      <c r="V413" s="7">
        <f>IFERROR(Table1_1[[#This Row],[Profit]]/Table1_1[[#This Row],[Net_Sale]],"")</f>
        <v>0.12500000000000003</v>
      </c>
      <c r="W413" t="str">
        <f>TEXT(Table1_1[[#This Row],[Order_Date]],"mmm")</f>
        <v>Apr</v>
      </c>
    </row>
    <row r="414" spans="1:23" x14ac:dyDescent="0.25">
      <c r="A414" t="s">
        <v>744</v>
      </c>
      <c r="B414" t="s">
        <v>745</v>
      </c>
      <c r="C414" s="6">
        <v>45903</v>
      </c>
      <c r="D414" t="s">
        <v>55</v>
      </c>
      <c r="E414" t="s">
        <v>56</v>
      </c>
      <c r="F414" t="s">
        <v>37</v>
      </c>
      <c r="G414" t="s">
        <v>38</v>
      </c>
      <c r="H414">
        <v>2</v>
      </c>
      <c r="I414">
        <v>2499</v>
      </c>
      <c r="J414">
        <v>0.2</v>
      </c>
      <c r="K414">
        <v>79</v>
      </c>
      <c r="L414" t="s">
        <v>119</v>
      </c>
      <c r="M414" t="s">
        <v>120</v>
      </c>
      <c r="N414" t="s">
        <v>50</v>
      </c>
      <c r="O414" t="s">
        <v>93</v>
      </c>
      <c r="P414" t="s">
        <v>33</v>
      </c>
      <c r="Q414">
        <v>2</v>
      </c>
      <c r="R414">
        <f>IFERROR(Table1_1[[#This Row],[Unit_Price]]*Table1_1[[#This Row],[Quantity]],"")</f>
        <v>4998</v>
      </c>
      <c r="S414">
        <f>IFERROR(Table1_1[[#This Row],[Gross_Sales]]*Table1_1[[#This Row],[Discount_%]],"")</f>
        <v>999.6</v>
      </c>
      <c r="T414">
        <f>IFERROR(Table1_1[[#This Row],[Gross_Sales]]-Table1_1[[#This Row],[Discount_amount]]+Table1_1[[#This Row],[Shipping_Cost]],"")</f>
        <v>4077.4</v>
      </c>
      <c r="U414">
        <f>IFERROR(Table1_1[[#This Row],[Net_Sale]]-(Table1_1[[#This Row],[Gross_Sales]]*70%),"")</f>
        <v>578.80000000000018</v>
      </c>
      <c r="V414" s="7">
        <f>IFERROR(Table1_1[[#This Row],[Profit]]/Table1_1[[#This Row],[Net_Sale]],"")</f>
        <v>0.14195320547407667</v>
      </c>
      <c r="W414" t="str">
        <f>TEXT(Table1_1[[#This Row],[Order_Date]],"mmm")</f>
        <v>Sep</v>
      </c>
    </row>
    <row r="415" spans="1:23" x14ac:dyDescent="0.25">
      <c r="A415" t="s">
        <v>746</v>
      </c>
      <c r="B415" t="s">
        <v>510</v>
      </c>
      <c r="C415" s="6">
        <v>45980</v>
      </c>
      <c r="D415" t="s">
        <v>44</v>
      </c>
      <c r="E415" t="s">
        <v>45</v>
      </c>
      <c r="F415" t="s">
        <v>46</v>
      </c>
      <c r="G415" t="s">
        <v>47</v>
      </c>
      <c r="H415">
        <v>1</v>
      </c>
      <c r="I415">
        <v>1199</v>
      </c>
      <c r="J415">
        <v>0</v>
      </c>
      <c r="K415">
        <v>0</v>
      </c>
      <c r="L415" t="s">
        <v>125</v>
      </c>
      <c r="M415" t="s">
        <v>126</v>
      </c>
      <c r="N415" t="s">
        <v>71</v>
      </c>
      <c r="O415" t="s">
        <v>41</v>
      </c>
      <c r="P415" t="s">
        <v>85</v>
      </c>
      <c r="Q415">
        <v>5</v>
      </c>
      <c r="R415">
        <f>IFERROR(Table1_1[[#This Row],[Unit_Price]]*Table1_1[[#This Row],[Quantity]],"")</f>
        <v>1199</v>
      </c>
      <c r="S415">
        <f>IFERROR(Table1_1[[#This Row],[Gross_Sales]]*Table1_1[[#This Row],[Discount_%]],"")</f>
        <v>0</v>
      </c>
      <c r="T415">
        <f>IFERROR(Table1_1[[#This Row],[Gross_Sales]]-Table1_1[[#This Row],[Discount_amount]]+Table1_1[[#This Row],[Shipping_Cost]],"")</f>
        <v>1199</v>
      </c>
      <c r="U415">
        <f>IFERROR(Table1_1[[#This Row],[Net_Sale]]-(Table1_1[[#This Row],[Gross_Sales]]*70%),"")</f>
        <v>359.70000000000005</v>
      </c>
      <c r="V415" s="7">
        <f>IFERROR(Table1_1[[#This Row],[Profit]]/Table1_1[[#This Row],[Net_Sale]],"")</f>
        <v>0.30000000000000004</v>
      </c>
      <c r="W415" t="str">
        <f>TEXT(Table1_1[[#This Row],[Order_Date]],"mmm")</f>
        <v>Nov</v>
      </c>
    </row>
    <row r="416" spans="1:23" x14ac:dyDescent="0.25">
      <c r="A416" t="s">
        <v>747</v>
      </c>
      <c r="B416" t="s">
        <v>748</v>
      </c>
      <c r="C416" s="6">
        <v>45984</v>
      </c>
      <c r="D416" t="s">
        <v>96</v>
      </c>
      <c r="E416" t="s">
        <v>97</v>
      </c>
      <c r="F416" t="s">
        <v>98</v>
      </c>
      <c r="G416" t="s">
        <v>99</v>
      </c>
      <c r="H416">
        <v>4</v>
      </c>
      <c r="I416">
        <v>1499</v>
      </c>
      <c r="J416">
        <v>0.2</v>
      </c>
      <c r="K416">
        <v>59</v>
      </c>
      <c r="L416" t="s">
        <v>125</v>
      </c>
      <c r="M416" t="s">
        <v>126</v>
      </c>
      <c r="N416" t="s">
        <v>50</v>
      </c>
      <c r="O416" t="s">
        <v>59</v>
      </c>
      <c r="P416" t="s">
        <v>80</v>
      </c>
      <c r="Q416">
        <v>5</v>
      </c>
      <c r="R416">
        <f>IFERROR(Table1_1[[#This Row],[Unit_Price]]*Table1_1[[#This Row],[Quantity]],"")</f>
        <v>5996</v>
      </c>
      <c r="S416">
        <f>IFERROR(Table1_1[[#This Row],[Gross_Sales]]*Table1_1[[#This Row],[Discount_%]],"")</f>
        <v>1199.2</v>
      </c>
      <c r="T416">
        <f>IFERROR(Table1_1[[#This Row],[Gross_Sales]]-Table1_1[[#This Row],[Discount_amount]]+Table1_1[[#This Row],[Shipping_Cost]],"")</f>
        <v>4855.8</v>
      </c>
      <c r="U416">
        <f>IFERROR(Table1_1[[#This Row],[Net_Sale]]-(Table1_1[[#This Row],[Gross_Sales]]*70%),"")</f>
        <v>658.60000000000036</v>
      </c>
      <c r="V416" s="7">
        <f>IFERROR(Table1_1[[#This Row],[Profit]]/Table1_1[[#This Row],[Net_Sale]],"")</f>
        <v>0.13563161579966232</v>
      </c>
      <c r="W416" t="str">
        <f>TEXT(Table1_1[[#This Row],[Order_Date]],"mmm")</f>
        <v>Nov</v>
      </c>
    </row>
    <row r="417" spans="1:23" x14ac:dyDescent="0.25">
      <c r="A417" t="s">
        <v>749</v>
      </c>
      <c r="B417" t="s">
        <v>164</v>
      </c>
      <c r="C417" s="6">
        <v>45868</v>
      </c>
      <c r="D417" t="s">
        <v>90</v>
      </c>
      <c r="E417" t="s">
        <v>91</v>
      </c>
      <c r="F417" t="s">
        <v>37</v>
      </c>
      <c r="G417" t="s">
        <v>92</v>
      </c>
      <c r="H417">
        <v>1</v>
      </c>
      <c r="I417">
        <v>3499</v>
      </c>
      <c r="J417">
        <v>0</v>
      </c>
      <c r="K417">
        <v>99</v>
      </c>
      <c r="L417" t="s">
        <v>119</v>
      </c>
      <c r="M417" t="s">
        <v>120</v>
      </c>
      <c r="N417" t="s">
        <v>71</v>
      </c>
      <c r="O417" t="s">
        <v>41</v>
      </c>
      <c r="P417" t="s">
        <v>85</v>
      </c>
      <c r="Q417">
        <v>3</v>
      </c>
      <c r="R417">
        <f>IFERROR(Table1_1[[#This Row],[Unit_Price]]*Table1_1[[#This Row],[Quantity]],"")</f>
        <v>3499</v>
      </c>
      <c r="S417">
        <f>IFERROR(Table1_1[[#This Row],[Gross_Sales]]*Table1_1[[#This Row],[Discount_%]],"")</f>
        <v>0</v>
      </c>
      <c r="T417">
        <f>IFERROR(Table1_1[[#This Row],[Gross_Sales]]-Table1_1[[#This Row],[Discount_amount]]+Table1_1[[#This Row],[Shipping_Cost]],"")</f>
        <v>3598</v>
      </c>
      <c r="U417">
        <f>IFERROR(Table1_1[[#This Row],[Net_Sale]]-(Table1_1[[#This Row],[Gross_Sales]]*70%),"")</f>
        <v>1148.7000000000003</v>
      </c>
      <c r="V417" s="7">
        <f>IFERROR(Table1_1[[#This Row],[Profit]]/Table1_1[[#This Row],[Net_Sale]],"")</f>
        <v>0.31926070038910515</v>
      </c>
      <c r="W417" t="str">
        <f>TEXT(Table1_1[[#This Row],[Order_Date]],"mmm")</f>
        <v>Jul</v>
      </c>
    </row>
    <row r="418" spans="1:23" x14ac:dyDescent="0.25">
      <c r="A418" t="s">
        <v>750</v>
      </c>
      <c r="B418" t="s">
        <v>697</v>
      </c>
      <c r="C418" s="6">
        <v>45963</v>
      </c>
      <c r="D418" t="s">
        <v>25</v>
      </c>
      <c r="E418" t="s">
        <v>26</v>
      </c>
      <c r="F418" t="s">
        <v>27</v>
      </c>
      <c r="G418" t="s">
        <v>28</v>
      </c>
      <c r="H418">
        <v>4</v>
      </c>
      <c r="I418">
        <v>249</v>
      </c>
      <c r="J418">
        <v>0.1</v>
      </c>
      <c r="K418">
        <v>79</v>
      </c>
      <c r="L418" t="s">
        <v>74</v>
      </c>
      <c r="M418" t="s">
        <v>49</v>
      </c>
      <c r="N418" t="s">
        <v>31</v>
      </c>
      <c r="O418" t="s">
        <v>93</v>
      </c>
      <c r="P418" t="s">
        <v>33</v>
      </c>
      <c r="Q418">
        <v>2</v>
      </c>
      <c r="R418">
        <f>IFERROR(Table1_1[[#This Row],[Unit_Price]]*Table1_1[[#This Row],[Quantity]],"")</f>
        <v>996</v>
      </c>
      <c r="S418">
        <f>IFERROR(Table1_1[[#This Row],[Gross_Sales]]*Table1_1[[#This Row],[Discount_%]],"")</f>
        <v>99.600000000000009</v>
      </c>
      <c r="T418">
        <f>IFERROR(Table1_1[[#This Row],[Gross_Sales]]-Table1_1[[#This Row],[Discount_amount]]+Table1_1[[#This Row],[Shipping_Cost]],"")</f>
        <v>975.4</v>
      </c>
      <c r="U418">
        <f>IFERROR(Table1_1[[#This Row],[Net_Sale]]-(Table1_1[[#This Row],[Gross_Sales]]*70%),"")</f>
        <v>278.20000000000005</v>
      </c>
      <c r="V418" s="7">
        <f>IFERROR(Table1_1[[#This Row],[Profit]]/Table1_1[[#This Row],[Net_Sale]],"")</f>
        <v>0.28521632150912452</v>
      </c>
      <c r="W418" t="str">
        <f>TEXT(Table1_1[[#This Row],[Order_Date]],"mmm")</f>
        <v>Nov</v>
      </c>
    </row>
    <row r="419" spans="1:23" x14ac:dyDescent="0.25">
      <c r="A419" t="s">
        <v>751</v>
      </c>
      <c r="B419" t="s">
        <v>662</v>
      </c>
      <c r="C419" s="6">
        <v>45734</v>
      </c>
      <c r="D419" t="s">
        <v>62</v>
      </c>
      <c r="E419" t="s">
        <v>63</v>
      </c>
      <c r="F419" t="s">
        <v>46</v>
      </c>
      <c r="G419" t="s">
        <v>64</v>
      </c>
      <c r="H419">
        <v>2</v>
      </c>
      <c r="I419">
        <v>699</v>
      </c>
      <c r="J419">
        <v>0.1</v>
      </c>
      <c r="K419">
        <v>99</v>
      </c>
      <c r="L419" t="s">
        <v>83</v>
      </c>
      <c r="M419" t="s">
        <v>84</v>
      </c>
      <c r="N419" t="s">
        <v>102</v>
      </c>
      <c r="O419" t="s">
        <v>32</v>
      </c>
      <c r="P419" t="s">
        <v>33</v>
      </c>
      <c r="Q419">
        <v>3</v>
      </c>
      <c r="R419">
        <f>IFERROR(Table1_1[[#This Row],[Unit_Price]]*Table1_1[[#This Row],[Quantity]],"")</f>
        <v>1398</v>
      </c>
      <c r="S419">
        <f>IFERROR(Table1_1[[#This Row],[Gross_Sales]]*Table1_1[[#This Row],[Discount_%]],"")</f>
        <v>139.80000000000001</v>
      </c>
      <c r="T419">
        <f>IFERROR(Table1_1[[#This Row],[Gross_Sales]]-Table1_1[[#This Row],[Discount_amount]]+Table1_1[[#This Row],[Shipping_Cost]],"")</f>
        <v>1357.2</v>
      </c>
      <c r="U419">
        <f>IFERROR(Table1_1[[#This Row],[Net_Sale]]-(Table1_1[[#This Row],[Gross_Sales]]*70%),"")</f>
        <v>378.60000000000014</v>
      </c>
      <c r="V419" s="7">
        <f>IFERROR(Table1_1[[#This Row],[Profit]]/Table1_1[[#This Row],[Net_Sale]],"")</f>
        <v>0.27895667550839975</v>
      </c>
      <c r="W419" t="str">
        <f>TEXT(Table1_1[[#This Row],[Order_Date]],"mmm")</f>
        <v>Mar</v>
      </c>
    </row>
    <row r="420" spans="1:23" x14ac:dyDescent="0.25">
      <c r="A420" t="s">
        <v>752</v>
      </c>
      <c r="B420" t="s">
        <v>623</v>
      </c>
      <c r="C420" s="6">
        <v>45724</v>
      </c>
      <c r="D420" t="s">
        <v>55</v>
      </c>
      <c r="E420" t="s">
        <v>56</v>
      </c>
      <c r="F420" t="s">
        <v>37</v>
      </c>
      <c r="G420" t="s">
        <v>38</v>
      </c>
      <c r="H420">
        <v>2</v>
      </c>
      <c r="I420">
        <v>2499</v>
      </c>
      <c r="J420">
        <v>0.2</v>
      </c>
      <c r="K420">
        <v>79</v>
      </c>
      <c r="L420" t="s">
        <v>29</v>
      </c>
      <c r="M420" t="s">
        <v>30</v>
      </c>
      <c r="N420" t="s">
        <v>40</v>
      </c>
      <c r="O420" t="s">
        <v>51</v>
      </c>
      <c r="P420" t="s">
        <v>33</v>
      </c>
      <c r="Q420">
        <v>3</v>
      </c>
      <c r="R420">
        <f>IFERROR(Table1_1[[#This Row],[Unit_Price]]*Table1_1[[#This Row],[Quantity]],"")</f>
        <v>4998</v>
      </c>
      <c r="S420">
        <f>IFERROR(Table1_1[[#This Row],[Gross_Sales]]*Table1_1[[#This Row],[Discount_%]],"")</f>
        <v>999.6</v>
      </c>
      <c r="T420">
        <f>IFERROR(Table1_1[[#This Row],[Gross_Sales]]-Table1_1[[#This Row],[Discount_amount]]+Table1_1[[#This Row],[Shipping_Cost]],"")</f>
        <v>4077.4</v>
      </c>
      <c r="U420">
        <f>IFERROR(Table1_1[[#This Row],[Net_Sale]]-(Table1_1[[#This Row],[Gross_Sales]]*70%),"")</f>
        <v>578.80000000000018</v>
      </c>
      <c r="V420" s="7">
        <f>IFERROR(Table1_1[[#This Row],[Profit]]/Table1_1[[#This Row],[Net_Sale]],"")</f>
        <v>0.14195320547407667</v>
      </c>
      <c r="W420" t="str">
        <f>TEXT(Table1_1[[#This Row],[Order_Date]],"mmm")</f>
        <v>Mar</v>
      </c>
    </row>
    <row r="421" spans="1:23" x14ac:dyDescent="0.25">
      <c r="A421" t="s">
        <v>753</v>
      </c>
      <c r="B421" t="s">
        <v>754</v>
      </c>
      <c r="C421" s="6">
        <v>45904</v>
      </c>
      <c r="D421" t="s">
        <v>35</v>
      </c>
      <c r="E421" t="s">
        <v>36</v>
      </c>
      <c r="F421" t="s">
        <v>37</v>
      </c>
      <c r="G421" t="s">
        <v>38</v>
      </c>
      <c r="H421">
        <v>1</v>
      </c>
      <c r="I421">
        <v>599</v>
      </c>
      <c r="J421">
        <v>0.2</v>
      </c>
      <c r="K421">
        <v>99</v>
      </c>
      <c r="L421" t="s">
        <v>83</v>
      </c>
      <c r="M421" t="s">
        <v>84</v>
      </c>
      <c r="N421" t="s">
        <v>40</v>
      </c>
      <c r="O421" t="s">
        <v>41</v>
      </c>
      <c r="P421" t="s">
        <v>85</v>
      </c>
      <c r="Q421">
        <v>3</v>
      </c>
      <c r="R421">
        <f>IFERROR(Table1_1[[#This Row],[Unit_Price]]*Table1_1[[#This Row],[Quantity]],"")</f>
        <v>599</v>
      </c>
      <c r="S421">
        <f>IFERROR(Table1_1[[#This Row],[Gross_Sales]]*Table1_1[[#This Row],[Discount_%]],"")</f>
        <v>119.80000000000001</v>
      </c>
      <c r="T421">
        <f>IFERROR(Table1_1[[#This Row],[Gross_Sales]]-Table1_1[[#This Row],[Discount_amount]]+Table1_1[[#This Row],[Shipping_Cost]],"")</f>
        <v>578.20000000000005</v>
      </c>
      <c r="U421">
        <f>IFERROR(Table1_1[[#This Row],[Net_Sale]]-(Table1_1[[#This Row],[Gross_Sales]]*70%),"")</f>
        <v>158.90000000000009</v>
      </c>
      <c r="V421" s="7">
        <f>IFERROR(Table1_1[[#This Row],[Profit]]/Table1_1[[#This Row],[Net_Sale]],"")</f>
        <v>0.27481840193704615</v>
      </c>
      <c r="W421" t="str">
        <f>TEXT(Table1_1[[#This Row],[Order_Date]],"mmm")</f>
        <v>Sep</v>
      </c>
    </row>
    <row r="422" spans="1:23" x14ac:dyDescent="0.25">
      <c r="A422" t="s">
        <v>755</v>
      </c>
      <c r="B422" t="s">
        <v>466</v>
      </c>
      <c r="C422" s="6">
        <v>45700</v>
      </c>
      <c r="D422" t="s">
        <v>90</v>
      </c>
      <c r="E422" t="s">
        <v>91</v>
      </c>
      <c r="F422" t="s">
        <v>37</v>
      </c>
      <c r="G422" t="s">
        <v>92</v>
      </c>
      <c r="H422">
        <v>4</v>
      </c>
      <c r="I422">
        <v>3499</v>
      </c>
      <c r="J422">
        <v>0.1</v>
      </c>
      <c r="K422">
        <v>59</v>
      </c>
      <c r="L422" t="s">
        <v>113</v>
      </c>
      <c r="M422" t="s">
        <v>114</v>
      </c>
      <c r="N422" t="s">
        <v>31</v>
      </c>
      <c r="O422" t="s">
        <v>93</v>
      </c>
      <c r="P422" t="s">
        <v>85</v>
      </c>
      <c r="Q422">
        <v>5</v>
      </c>
      <c r="R422">
        <f>IFERROR(Table1_1[[#This Row],[Unit_Price]]*Table1_1[[#This Row],[Quantity]],"")</f>
        <v>13996</v>
      </c>
      <c r="S422">
        <f>IFERROR(Table1_1[[#This Row],[Gross_Sales]]*Table1_1[[#This Row],[Discount_%]],"")</f>
        <v>1399.6000000000001</v>
      </c>
      <c r="T422">
        <f>IFERROR(Table1_1[[#This Row],[Gross_Sales]]-Table1_1[[#This Row],[Discount_amount]]+Table1_1[[#This Row],[Shipping_Cost]],"")</f>
        <v>12655.4</v>
      </c>
      <c r="U422">
        <f>IFERROR(Table1_1[[#This Row],[Net_Sale]]-(Table1_1[[#This Row],[Gross_Sales]]*70%),"")</f>
        <v>2858.2000000000007</v>
      </c>
      <c r="V422" s="7">
        <f>IFERROR(Table1_1[[#This Row],[Profit]]/Table1_1[[#This Row],[Net_Sale]],"")</f>
        <v>0.22584825450005538</v>
      </c>
      <c r="W422" t="str">
        <f>TEXT(Table1_1[[#This Row],[Order_Date]],"mmm")</f>
        <v>Feb</v>
      </c>
    </row>
    <row r="423" spans="1:23" x14ac:dyDescent="0.25">
      <c r="A423" t="s">
        <v>756</v>
      </c>
      <c r="B423" t="s">
        <v>387</v>
      </c>
      <c r="C423" s="6">
        <v>45850</v>
      </c>
      <c r="D423" t="s">
        <v>62</v>
      </c>
      <c r="E423" t="s">
        <v>63</v>
      </c>
      <c r="F423" t="s">
        <v>46</v>
      </c>
      <c r="G423" t="s">
        <v>64</v>
      </c>
      <c r="H423">
        <v>2</v>
      </c>
      <c r="I423">
        <v>699</v>
      </c>
      <c r="J423">
        <v>0.05</v>
      </c>
      <c r="K423">
        <v>79</v>
      </c>
      <c r="L423" t="s">
        <v>29</v>
      </c>
      <c r="M423" t="s">
        <v>30</v>
      </c>
      <c r="N423" t="s">
        <v>31</v>
      </c>
      <c r="O423" t="s">
        <v>41</v>
      </c>
      <c r="P423" t="s">
        <v>80</v>
      </c>
      <c r="Q423">
        <v>4</v>
      </c>
      <c r="R423">
        <f>IFERROR(Table1_1[[#This Row],[Unit_Price]]*Table1_1[[#This Row],[Quantity]],"")</f>
        <v>1398</v>
      </c>
      <c r="S423">
        <f>IFERROR(Table1_1[[#This Row],[Gross_Sales]]*Table1_1[[#This Row],[Discount_%]],"")</f>
        <v>69.900000000000006</v>
      </c>
      <c r="T423">
        <f>IFERROR(Table1_1[[#This Row],[Gross_Sales]]-Table1_1[[#This Row],[Discount_amount]]+Table1_1[[#This Row],[Shipping_Cost]],"")</f>
        <v>1407.1</v>
      </c>
      <c r="U423">
        <f>IFERROR(Table1_1[[#This Row],[Net_Sale]]-(Table1_1[[#This Row],[Gross_Sales]]*70%),"")</f>
        <v>428.5</v>
      </c>
      <c r="V423" s="7">
        <f>IFERROR(Table1_1[[#This Row],[Profit]]/Table1_1[[#This Row],[Net_Sale]],"")</f>
        <v>0.30452704143273401</v>
      </c>
      <c r="W423" t="str">
        <f>TEXT(Table1_1[[#This Row],[Order_Date]],"mmm")</f>
        <v>Jul</v>
      </c>
    </row>
    <row r="424" spans="1:23" x14ac:dyDescent="0.25">
      <c r="A424" t="s">
        <v>757</v>
      </c>
      <c r="B424" t="s">
        <v>280</v>
      </c>
      <c r="C424" s="6">
        <v>45932</v>
      </c>
      <c r="D424" t="s">
        <v>25</v>
      </c>
      <c r="E424" t="s">
        <v>26</v>
      </c>
      <c r="F424" t="s">
        <v>27</v>
      </c>
      <c r="G424" t="s">
        <v>28</v>
      </c>
      <c r="H424">
        <v>1</v>
      </c>
      <c r="I424">
        <v>249</v>
      </c>
      <c r="J424">
        <v>0.15</v>
      </c>
      <c r="K424">
        <v>59</v>
      </c>
      <c r="L424" t="s">
        <v>125</v>
      </c>
      <c r="M424" t="s">
        <v>126</v>
      </c>
      <c r="N424" t="s">
        <v>50</v>
      </c>
      <c r="O424" t="s">
        <v>59</v>
      </c>
      <c r="P424" t="s">
        <v>33</v>
      </c>
      <c r="Q424">
        <v>5</v>
      </c>
      <c r="R424">
        <f>IFERROR(Table1_1[[#This Row],[Unit_Price]]*Table1_1[[#This Row],[Quantity]],"")</f>
        <v>249</v>
      </c>
      <c r="S424">
        <f>IFERROR(Table1_1[[#This Row],[Gross_Sales]]*Table1_1[[#This Row],[Discount_%]],"")</f>
        <v>37.35</v>
      </c>
      <c r="T424">
        <f>IFERROR(Table1_1[[#This Row],[Gross_Sales]]-Table1_1[[#This Row],[Discount_amount]]+Table1_1[[#This Row],[Shipping_Cost]],"")</f>
        <v>270.64999999999998</v>
      </c>
      <c r="U424">
        <f>IFERROR(Table1_1[[#This Row],[Net_Sale]]-(Table1_1[[#This Row],[Gross_Sales]]*70%),"")</f>
        <v>96.35</v>
      </c>
      <c r="V424" s="7">
        <f>IFERROR(Table1_1[[#This Row],[Profit]]/Table1_1[[#This Row],[Net_Sale]],"")</f>
        <v>0.35599482726768888</v>
      </c>
      <c r="W424" t="str">
        <f>TEXT(Table1_1[[#This Row],[Order_Date]],"mmm")</f>
        <v>Oct</v>
      </c>
    </row>
    <row r="425" spans="1:23" x14ac:dyDescent="0.25">
      <c r="A425" t="s">
        <v>758</v>
      </c>
      <c r="B425" t="s">
        <v>759</v>
      </c>
      <c r="C425" s="6">
        <v>45944</v>
      </c>
      <c r="D425" t="s">
        <v>62</v>
      </c>
      <c r="E425" t="s">
        <v>63</v>
      </c>
      <c r="F425" t="s">
        <v>46</v>
      </c>
      <c r="G425" t="s">
        <v>64</v>
      </c>
      <c r="H425">
        <v>1</v>
      </c>
      <c r="I425">
        <v>699</v>
      </c>
      <c r="J425">
        <v>0.05</v>
      </c>
      <c r="K425">
        <v>99</v>
      </c>
      <c r="L425" t="s">
        <v>760</v>
      </c>
      <c r="M425" t="s">
        <v>120</v>
      </c>
      <c r="N425" t="s">
        <v>40</v>
      </c>
      <c r="O425" t="s">
        <v>41</v>
      </c>
      <c r="P425" t="s">
        <v>33</v>
      </c>
      <c r="Q425">
        <v>3</v>
      </c>
      <c r="R425">
        <f>IFERROR(Table1_1[[#This Row],[Unit_Price]]*Table1_1[[#This Row],[Quantity]],"")</f>
        <v>699</v>
      </c>
      <c r="S425">
        <f>IFERROR(Table1_1[[#This Row],[Gross_Sales]]*Table1_1[[#This Row],[Discount_%]],"")</f>
        <v>34.950000000000003</v>
      </c>
      <c r="T425">
        <f>IFERROR(Table1_1[[#This Row],[Gross_Sales]]-Table1_1[[#This Row],[Discount_amount]]+Table1_1[[#This Row],[Shipping_Cost]],"")</f>
        <v>763.05</v>
      </c>
      <c r="U425">
        <f>IFERROR(Table1_1[[#This Row],[Net_Sale]]-(Table1_1[[#This Row],[Gross_Sales]]*70%),"")</f>
        <v>273.75</v>
      </c>
      <c r="V425" s="7">
        <f>IFERROR(Table1_1[[#This Row],[Profit]]/Table1_1[[#This Row],[Net_Sale]],"")</f>
        <v>0.35875761745626106</v>
      </c>
      <c r="W425" t="str">
        <f>TEXT(Table1_1[[#This Row],[Order_Date]],"mmm")</f>
        <v>Oct</v>
      </c>
    </row>
    <row r="426" spans="1:23" x14ac:dyDescent="0.25">
      <c r="A426" t="s">
        <v>761</v>
      </c>
      <c r="B426" t="s">
        <v>228</v>
      </c>
      <c r="C426" s="6">
        <v>45886</v>
      </c>
      <c r="D426" t="s">
        <v>25</v>
      </c>
      <c r="E426" t="s">
        <v>26</v>
      </c>
      <c r="F426" t="s">
        <v>27</v>
      </c>
      <c r="G426" t="s">
        <v>28</v>
      </c>
      <c r="H426">
        <v>2</v>
      </c>
      <c r="I426">
        <v>249</v>
      </c>
      <c r="J426">
        <v>0</v>
      </c>
      <c r="K426">
        <v>99</v>
      </c>
      <c r="L426" t="s">
        <v>29</v>
      </c>
      <c r="M426" t="s">
        <v>30</v>
      </c>
      <c r="N426" t="s">
        <v>71</v>
      </c>
      <c r="O426" t="s">
        <v>32</v>
      </c>
      <c r="P426" t="s">
        <v>33</v>
      </c>
      <c r="Q426">
        <v>5</v>
      </c>
      <c r="R426">
        <f>IFERROR(Table1_1[[#This Row],[Unit_Price]]*Table1_1[[#This Row],[Quantity]],"")</f>
        <v>498</v>
      </c>
      <c r="S426">
        <f>IFERROR(Table1_1[[#This Row],[Gross_Sales]]*Table1_1[[#This Row],[Discount_%]],"")</f>
        <v>0</v>
      </c>
      <c r="T426">
        <f>IFERROR(Table1_1[[#This Row],[Gross_Sales]]-Table1_1[[#This Row],[Discount_amount]]+Table1_1[[#This Row],[Shipping_Cost]],"")</f>
        <v>597</v>
      </c>
      <c r="U426">
        <f>IFERROR(Table1_1[[#This Row],[Net_Sale]]-(Table1_1[[#This Row],[Gross_Sales]]*70%),"")</f>
        <v>248.40000000000003</v>
      </c>
      <c r="V426" s="7">
        <f>IFERROR(Table1_1[[#This Row],[Profit]]/Table1_1[[#This Row],[Net_Sale]],"")</f>
        <v>0.41608040201005031</v>
      </c>
      <c r="W426" t="str">
        <f>TEXT(Table1_1[[#This Row],[Order_Date]],"mmm")</f>
        <v>Aug</v>
      </c>
    </row>
    <row r="427" spans="1:23" x14ac:dyDescent="0.25">
      <c r="A427" t="s">
        <v>762</v>
      </c>
      <c r="B427" t="s">
        <v>265</v>
      </c>
      <c r="C427" s="6">
        <v>45983</v>
      </c>
      <c r="D427" t="s">
        <v>77</v>
      </c>
      <c r="E427" t="s">
        <v>78</v>
      </c>
      <c r="F427" t="s">
        <v>79</v>
      </c>
      <c r="G427" t="s">
        <v>28</v>
      </c>
      <c r="H427">
        <v>1</v>
      </c>
      <c r="I427">
        <v>6499</v>
      </c>
      <c r="J427">
        <v>0</v>
      </c>
      <c r="K427">
        <v>79</v>
      </c>
      <c r="L427" t="s">
        <v>39</v>
      </c>
      <c r="M427" t="s">
        <v>39</v>
      </c>
      <c r="N427" t="s">
        <v>31</v>
      </c>
      <c r="O427" t="s">
        <v>93</v>
      </c>
      <c r="P427" t="s">
        <v>33</v>
      </c>
      <c r="Q427">
        <v>3</v>
      </c>
      <c r="R427">
        <f>IFERROR(Table1_1[[#This Row],[Unit_Price]]*Table1_1[[#This Row],[Quantity]],"")</f>
        <v>6499</v>
      </c>
      <c r="S427">
        <f>IFERROR(Table1_1[[#This Row],[Gross_Sales]]*Table1_1[[#This Row],[Discount_%]],"")</f>
        <v>0</v>
      </c>
      <c r="T427">
        <f>IFERROR(Table1_1[[#This Row],[Gross_Sales]]-Table1_1[[#This Row],[Discount_amount]]+Table1_1[[#This Row],[Shipping_Cost]],"")</f>
        <v>6578</v>
      </c>
      <c r="U427">
        <f>IFERROR(Table1_1[[#This Row],[Net_Sale]]-(Table1_1[[#This Row],[Gross_Sales]]*70%),"")</f>
        <v>2028.7000000000007</v>
      </c>
      <c r="V427" s="7">
        <f>IFERROR(Table1_1[[#This Row],[Profit]]/Table1_1[[#This Row],[Net_Sale]],"")</f>
        <v>0.30840681058072372</v>
      </c>
      <c r="W427" t="str">
        <f>TEXT(Table1_1[[#This Row],[Order_Date]],"mmm")</f>
        <v>Nov</v>
      </c>
    </row>
    <row r="428" spans="1:23" x14ac:dyDescent="0.25">
      <c r="A428" t="s">
        <v>763</v>
      </c>
      <c r="B428" t="s">
        <v>332</v>
      </c>
      <c r="C428" s="6">
        <v>45677</v>
      </c>
      <c r="D428" t="s">
        <v>67</v>
      </c>
      <c r="E428" t="s">
        <v>68</v>
      </c>
      <c r="F428" t="s">
        <v>37</v>
      </c>
      <c r="G428" t="s">
        <v>38</v>
      </c>
      <c r="H428">
        <v>1</v>
      </c>
      <c r="I428">
        <v>1299</v>
      </c>
      <c r="J428">
        <v>0.15</v>
      </c>
      <c r="K428">
        <v>99</v>
      </c>
      <c r="L428" t="s">
        <v>74</v>
      </c>
      <c r="M428" t="s">
        <v>49</v>
      </c>
      <c r="N428" t="s">
        <v>102</v>
      </c>
      <c r="O428" t="s">
        <v>93</v>
      </c>
      <c r="P428" t="s">
        <v>52</v>
      </c>
      <c r="Q428">
        <v>3</v>
      </c>
      <c r="R428">
        <f>IFERROR(Table1_1[[#This Row],[Unit_Price]]*Table1_1[[#This Row],[Quantity]],"")</f>
        <v>1299</v>
      </c>
      <c r="S428">
        <f>IFERROR(Table1_1[[#This Row],[Gross_Sales]]*Table1_1[[#This Row],[Discount_%]],"")</f>
        <v>194.85</v>
      </c>
      <c r="T428">
        <f>IFERROR(Table1_1[[#This Row],[Gross_Sales]]-Table1_1[[#This Row],[Discount_amount]]+Table1_1[[#This Row],[Shipping_Cost]],"")</f>
        <v>1203.1500000000001</v>
      </c>
      <c r="U428">
        <f>IFERROR(Table1_1[[#This Row],[Net_Sale]]-(Table1_1[[#This Row],[Gross_Sales]]*70%),"")</f>
        <v>293.85000000000014</v>
      </c>
      <c r="V428" s="7">
        <f>IFERROR(Table1_1[[#This Row],[Profit]]/Table1_1[[#This Row],[Net_Sale]],"")</f>
        <v>0.24423388604912116</v>
      </c>
      <c r="W428" t="str">
        <f>TEXT(Table1_1[[#This Row],[Order_Date]],"mmm")</f>
        <v>Jan</v>
      </c>
    </row>
    <row r="429" spans="1:23" x14ac:dyDescent="0.25">
      <c r="A429" t="s">
        <v>764</v>
      </c>
      <c r="B429" t="s">
        <v>765</v>
      </c>
      <c r="C429" s="6">
        <v>45761</v>
      </c>
      <c r="D429" t="s">
        <v>105</v>
      </c>
      <c r="E429" t="s">
        <v>106</v>
      </c>
      <c r="F429" t="s">
        <v>37</v>
      </c>
      <c r="G429" t="s">
        <v>107</v>
      </c>
      <c r="H429">
        <v>1</v>
      </c>
      <c r="I429">
        <v>1799</v>
      </c>
      <c r="J429">
        <v>0.05</v>
      </c>
      <c r="K429">
        <v>49</v>
      </c>
      <c r="L429" t="s">
        <v>119</v>
      </c>
      <c r="M429" t="s">
        <v>120</v>
      </c>
      <c r="N429" t="s">
        <v>102</v>
      </c>
      <c r="O429" t="s">
        <v>32</v>
      </c>
      <c r="P429" t="s">
        <v>85</v>
      </c>
      <c r="Q429">
        <v>5</v>
      </c>
      <c r="R429">
        <f>IFERROR(Table1_1[[#This Row],[Unit_Price]]*Table1_1[[#This Row],[Quantity]],"")</f>
        <v>1799</v>
      </c>
      <c r="S429">
        <f>IFERROR(Table1_1[[#This Row],[Gross_Sales]]*Table1_1[[#This Row],[Discount_%]],"")</f>
        <v>89.95</v>
      </c>
      <c r="T429">
        <f>IFERROR(Table1_1[[#This Row],[Gross_Sales]]-Table1_1[[#This Row],[Discount_amount]]+Table1_1[[#This Row],[Shipping_Cost]],"")</f>
        <v>1758.05</v>
      </c>
      <c r="U429">
        <f>IFERROR(Table1_1[[#This Row],[Net_Sale]]-(Table1_1[[#This Row],[Gross_Sales]]*70%),"")</f>
        <v>498.75</v>
      </c>
      <c r="V429" s="7">
        <f>IFERROR(Table1_1[[#This Row],[Profit]]/Table1_1[[#This Row],[Net_Sale]],"")</f>
        <v>0.28369500298626321</v>
      </c>
      <c r="W429" t="str">
        <f>TEXT(Table1_1[[#This Row],[Order_Date]],"mmm")</f>
        <v>Apr</v>
      </c>
    </row>
    <row r="430" spans="1:23" x14ac:dyDescent="0.25">
      <c r="A430" t="s">
        <v>766</v>
      </c>
      <c r="B430" t="s">
        <v>234</v>
      </c>
      <c r="C430" s="6">
        <v>46003</v>
      </c>
      <c r="D430" t="s">
        <v>77</v>
      </c>
      <c r="E430" t="s">
        <v>78</v>
      </c>
      <c r="F430" t="s">
        <v>79</v>
      </c>
      <c r="G430" t="s">
        <v>28</v>
      </c>
      <c r="H430">
        <v>2</v>
      </c>
      <c r="I430">
        <v>6499</v>
      </c>
      <c r="J430">
        <v>0.2</v>
      </c>
      <c r="K430">
        <v>0</v>
      </c>
      <c r="L430" t="s">
        <v>113</v>
      </c>
      <c r="M430" t="s">
        <v>114</v>
      </c>
      <c r="N430" t="s">
        <v>31</v>
      </c>
      <c r="O430" t="s">
        <v>51</v>
      </c>
      <c r="P430" t="s">
        <v>33</v>
      </c>
      <c r="Q430">
        <v>3</v>
      </c>
      <c r="R430">
        <f>IFERROR(Table1_1[[#This Row],[Unit_Price]]*Table1_1[[#This Row],[Quantity]],"")</f>
        <v>12998</v>
      </c>
      <c r="S430">
        <f>IFERROR(Table1_1[[#This Row],[Gross_Sales]]*Table1_1[[#This Row],[Discount_%]],"")</f>
        <v>2599.6000000000004</v>
      </c>
      <c r="T430">
        <f>IFERROR(Table1_1[[#This Row],[Gross_Sales]]-Table1_1[[#This Row],[Discount_amount]]+Table1_1[[#This Row],[Shipping_Cost]],"")</f>
        <v>10398.4</v>
      </c>
      <c r="U430">
        <f>IFERROR(Table1_1[[#This Row],[Net_Sale]]-(Table1_1[[#This Row],[Gross_Sales]]*70%),"")</f>
        <v>1299.8000000000011</v>
      </c>
      <c r="V430" s="7">
        <f>IFERROR(Table1_1[[#This Row],[Profit]]/Table1_1[[#This Row],[Net_Sale]],"")</f>
        <v>0.12500000000000011</v>
      </c>
      <c r="W430" t="str">
        <f>TEXT(Table1_1[[#This Row],[Order_Date]],"mmm")</f>
        <v>Dec</v>
      </c>
    </row>
    <row r="431" spans="1:23" x14ac:dyDescent="0.25">
      <c r="A431" t="s">
        <v>767</v>
      </c>
      <c r="B431" t="s">
        <v>582</v>
      </c>
      <c r="C431" s="6">
        <v>45865</v>
      </c>
      <c r="D431" t="s">
        <v>96</v>
      </c>
      <c r="E431" t="s">
        <v>97</v>
      </c>
      <c r="F431" t="s">
        <v>98</v>
      </c>
      <c r="G431" t="s">
        <v>99</v>
      </c>
      <c r="H431">
        <v>2</v>
      </c>
      <c r="I431">
        <v>1499</v>
      </c>
      <c r="J431">
        <v>0</v>
      </c>
      <c r="K431">
        <v>0</v>
      </c>
      <c r="L431" t="s">
        <v>74</v>
      </c>
      <c r="M431" t="s">
        <v>49</v>
      </c>
      <c r="N431" t="s">
        <v>102</v>
      </c>
      <c r="O431" t="s">
        <v>51</v>
      </c>
      <c r="P431" t="s">
        <v>85</v>
      </c>
      <c r="Q431">
        <v>3</v>
      </c>
      <c r="R431">
        <f>IFERROR(Table1_1[[#This Row],[Unit_Price]]*Table1_1[[#This Row],[Quantity]],"")</f>
        <v>2998</v>
      </c>
      <c r="S431">
        <f>IFERROR(Table1_1[[#This Row],[Gross_Sales]]*Table1_1[[#This Row],[Discount_%]],"")</f>
        <v>0</v>
      </c>
      <c r="T431">
        <f>IFERROR(Table1_1[[#This Row],[Gross_Sales]]-Table1_1[[#This Row],[Discount_amount]]+Table1_1[[#This Row],[Shipping_Cost]],"")</f>
        <v>2998</v>
      </c>
      <c r="U431">
        <f>IFERROR(Table1_1[[#This Row],[Net_Sale]]-(Table1_1[[#This Row],[Gross_Sales]]*70%),"")</f>
        <v>899.40000000000009</v>
      </c>
      <c r="V431" s="7">
        <f>IFERROR(Table1_1[[#This Row],[Profit]]/Table1_1[[#This Row],[Net_Sale]],"")</f>
        <v>0.30000000000000004</v>
      </c>
      <c r="W431" t="str">
        <f>TEXT(Table1_1[[#This Row],[Order_Date]],"mmm")</f>
        <v>Jul</v>
      </c>
    </row>
    <row r="432" spans="1:23" x14ac:dyDescent="0.25">
      <c r="A432" t="s">
        <v>768</v>
      </c>
      <c r="B432" t="s">
        <v>179</v>
      </c>
      <c r="C432" s="6">
        <v>45799</v>
      </c>
      <c r="D432" t="s">
        <v>62</v>
      </c>
      <c r="E432" t="s">
        <v>63</v>
      </c>
      <c r="F432" t="s">
        <v>46</v>
      </c>
      <c r="G432" t="s">
        <v>64</v>
      </c>
      <c r="H432">
        <v>1</v>
      </c>
      <c r="I432">
        <v>699</v>
      </c>
      <c r="J432">
        <v>0.1</v>
      </c>
      <c r="K432">
        <v>79</v>
      </c>
      <c r="L432" t="s">
        <v>125</v>
      </c>
      <c r="M432" t="s">
        <v>126</v>
      </c>
      <c r="N432" t="s">
        <v>31</v>
      </c>
      <c r="O432" t="s">
        <v>51</v>
      </c>
      <c r="P432" t="s">
        <v>33</v>
      </c>
      <c r="Q432">
        <v>2</v>
      </c>
      <c r="R432">
        <f>IFERROR(Table1_1[[#This Row],[Unit_Price]]*Table1_1[[#This Row],[Quantity]],"")</f>
        <v>699</v>
      </c>
      <c r="S432">
        <f>IFERROR(Table1_1[[#This Row],[Gross_Sales]]*Table1_1[[#This Row],[Discount_%]],"")</f>
        <v>69.900000000000006</v>
      </c>
      <c r="T432">
        <f>IFERROR(Table1_1[[#This Row],[Gross_Sales]]-Table1_1[[#This Row],[Discount_amount]]+Table1_1[[#This Row],[Shipping_Cost]],"")</f>
        <v>708.1</v>
      </c>
      <c r="U432">
        <f>IFERROR(Table1_1[[#This Row],[Net_Sale]]-(Table1_1[[#This Row],[Gross_Sales]]*70%),"")</f>
        <v>218.80000000000007</v>
      </c>
      <c r="V432" s="7">
        <f>IFERROR(Table1_1[[#This Row],[Profit]]/Table1_1[[#This Row],[Net_Sale]],"")</f>
        <v>0.30899590453325809</v>
      </c>
      <c r="W432" t="str">
        <f>TEXT(Table1_1[[#This Row],[Order_Date]],"mmm")</f>
        <v>May</v>
      </c>
    </row>
    <row r="433" spans="1:23" x14ac:dyDescent="0.25">
      <c r="A433" t="s">
        <v>769</v>
      </c>
      <c r="B433" t="s">
        <v>360</v>
      </c>
      <c r="C433" s="6">
        <v>45695</v>
      </c>
      <c r="D433" t="s">
        <v>96</v>
      </c>
      <c r="E433" t="s">
        <v>97</v>
      </c>
      <c r="F433" t="s">
        <v>98</v>
      </c>
      <c r="G433" t="s">
        <v>99</v>
      </c>
      <c r="H433">
        <v>1</v>
      </c>
      <c r="I433">
        <v>1499</v>
      </c>
      <c r="J433">
        <v>0</v>
      </c>
      <c r="K433">
        <v>99</v>
      </c>
      <c r="L433" t="s">
        <v>83</v>
      </c>
      <c r="M433" t="s">
        <v>84</v>
      </c>
      <c r="N433" t="s">
        <v>102</v>
      </c>
      <c r="O433" t="s">
        <v>32</v>
      </c>
      <c r="P433" t="s">
        <v>33</v>
      </c>
      <c r="Q433">
        <v>3</v>
      </c>
      <c r="R433">
        <f>IFERROR(Table1_1[[#This Row],[Unit_Price]]*Table1_1[[#This Row],[Quantity]],"")</f>
        <v>1499</v>
      </c>
      <c r="S433">
        <f>IFERROR(Table1_1[[#This Row],[Gross_Sales]]*Table1_1[[#This Row],[Discount_%]],"")</f>
        <v>0</v>
      </c>
      <c r="T433">
        <f>IFERROR(Table1_1[[#This Row],[Gross_Sales]]-Table1_1[[#This Row],[Discount_amount]]+Table1_1[[#This Row],[Shipping_Cost]],"")</f>
        <v>1598</v>
      </c>
      <c r="U433">
        <f>IFERROR(Table1_1[[#This Row],[Net_Sale]]-(Table1_1[[#This Row],[Gross_Sales]]*70%),"")</f>
        <v>548.70000000000005</v>
      </c>
      <c r="V433" s="7">
        <f>IFERROR(Table1_1[[#This Row],[Profit]]/Table1_1[[#This Row],[Net_Sale]],"")</f>
        <v>0.34336670838548189</v>
      </c>
      <c r="W433" t="str">
        <f>TEXT(Table1_1[[#This Row],[Order_Date]],"mmm")</f>
        <v>Feb</v>
      </c>
    </row>
    <row r="434" spans="1:23" x14ac:dyDescent="0.25">
      <c r="A434" t="s">
        <v>770</v>
      </c>
      <c r="B434" t="s">
        <v>454</v>
      </c>
      <c r="C434" s="6">
        <v>45946</v>
      </c>
      <c r="D434" t="s">
        <v>77</v>
      </c>
      <c r="E434" t="s">
        <v>78</v>
      </c>
      <c r="F434" t="s">
        <v>79</v>
      </c>
      <c r="G434" t="s">
        <v>28</v>
      </c>
      <c r="H434">
        <v>4</v>
      </c>
      <c r="I434">
        <v>6499</v>
      </c>
      <c r="J434">
        <v>0.05</v>
      </c>
      <c r="K434">
        <v>79</v>
      </c>
      <c r="L434" t="s">
        <v>119</v>
      </c>
      <c r="M434" t="s">
        <v>120</v>
      </c>
      <c r="N434" t="s">
        <v>102</v>
      </c>
      <c r="O434" t="s">
        <v>93</v>
      </c>
      <c r="P434" t="s">
        <v>33</v>
      </c>
      <c r="Q434">
        <v>4</v>
      </c>
      <c r="R434">
        <f>IFERROR(Table1_1[[#This Row],[Unit_Price]]*Table1_1[[#This Row],[Quantity]],"")</f>
        <v>25996</v>
      </c>
      <c r="S434">
        <f>IFERROR(Table1_1[[#This Row],[Gross_Sales]]*Table1_1[[#This Row],[Discount_%]],"")</f>
        <v>1299.8000000000002</v>
      </c>
      <c r="T434">
        <f>IFERROR(Table1_1[[#This Row],[Gross_Sales]]-Table1_1[[#This Row],[Discount_amount]]+Table1_1[[#This Row],[Shipping_Cost]],"")</f>
        <v>24775.200000000001</v>
      </c>
      <c r="U434">
        <f>IFERROR(Table1_1[[#This Row],[Net_Sale]]-(Table1_1[[#This Row],[Gross_Sales]]*70%),"")</f>
        <v>6578.0000000000036</v>
      </c>
      <c r="V434" s="7">
        <f>IFERROR(Table1_1[[#This Row],[Profit]]/Table1_1[[#This Row],[Net_Sale]],"")</f>
        <v>0.2655074429267979</v>
      </c>
      <c r="W434" t="str">
        <f>TEXT(Table1_1[[#This Row],[Order_Date]],"mmm")</f>
        <v>Oct</v>
      </c>
    </row>
    <row r="435" spans="1:23" x14ac:dyDescent="0.25">
      <c r="A435" t="s">
        <v>771</v>
      </c>
      <c r="B435" t="s">
        <v>683</v>
      </c>
      <c r="C435" s="6">
        <v>45982</v>
      </c>
      <c r="D435" t="s">
        <v>55</v>
      </c>
      <c r="E435" t="s">
        <v>56</v>
      </c>
      <c r="F435" t="s">
        <v>37</v>
      </c>
      <c r="G435" t="s">
        <v>38</v>
      </c>
      <c r="H435">
        <v>1</v>
      </c>
      <c r="I435">
        <v>2499</v>
      </c>
      <c r="J435">
        <v>0</v>
      </c>
      <c r="K435">
        <v>59</v>
      </c>
      <c r="L435" t="s">
        <v>48</v>
      </c>
      <c r="M435" t="s">
        <v>49</v>
      </c>
      <c r="N435" t="s">
        <v>71</v>
      </c>
      <c r="O435" t="s">
        <v>32</v>
      </c>
      <c r="P435" t="s">
        <v>80</v>
      </c>
      <c r="Q435">
        <v>5</v>
      </c>
      <c r="R435">
        <f>IFERROR(Table1_1[[#This Row],[Unit_Price]]*Table1_1[[#This Row],[Quantity]],"")</f>
        <v>2499</v>
      </c>
      <c r="S435">
        <f>IFERROR(Table1_1[[#This Row],[Gross_Sales]]*Table1_1[[#This Row],[Discount_%]],"")</f>
        <v>0</v>
      </c>
      <c r="T435">
        <f>IFERROR(Table1_1[[#This Row],[Gross_Sales]]-Table1_1[[#This Row],[Discount_amount]]+Table1_1[[#This Row],[Shipping_Cost]],"")</f>
        <v>2558</v>
      </c>
      <c r="U435">
        <f>IFERROR(Table1_1[[#This Row],[Net_Sale]]-(Table1_1[[#This Row],[Gross_Sales]]*70%),"")</f>
        <v>808.7</v>
      </c>
      <c r="V435" s="7">
        <f>IFERROR(Table1_1[[#This Row],[Profit]]/Table1_1[[#This Row],[Net_Sale]],"")</f>
        <v>0.3161454261141517</v>
      </c>
      <c r="W435" t="str">
        <f>TEXT(Table1_1[[#This Row],[Order_Date]],"mmm")</f>
        <v>Nov</v>
      </c>
    </row>
    <row r="436" spans="1:23" x14ac:dyDescent="0.25">
      <c r="A436" t="s">
        <v>772</v>
      </c>
      <c r="B436" t="s">
        <v>773</v>
      </c>
      <c r="C436" s="6">
        <v>45705</v>
      </c>
      <c r="D436" t="s">
        <v>35</v>
      </c>
      <c r="E436" t="s">
        <v>36</v>
      </c>
      <c r="F436" t="s">
        <v>37</v>
      </c>
      <c r="G436" t="s">
        <v>38</v>
      </c>
      <c r="H436">
        <v>1</v>
      </c>
      <c r="I436">
        <v>599</v>
      </c>
      <c r="J436">
        <v>0.05</v>
      </c>
      <c r="K436">
        <v>0</v>
      </c>
      <c r="L436" t="s">
        <v>48</v>
      </c>
      <c r="M436" t="s">
        <v>49</v>
      </c>
      <c r="N436" t="s">
        <v>50</v>
      </c>
      <c r="O436" t="s">
        <v>59</v>
      </c>
      <c r="P436" t="s">
        <v>80</v>
      </c>
      <c r="Q436">
        <v>3</v>
      </c>
      <c r="R436">
        <f>IFERROR(Table1_1[[#This Row],[Unit_Price]]*Table1_1[[#This Row],[Quantity]],"")</f>
        <v>599</v>
      </c>
      <c r="S436">
        <f>IFERROR(Table1_1[[#This Row],[Gross_Sales]]*Table1_1[[#This Row],[Discount_%]],"")</f>
        <v>29.950000000000003</v>
      </c>
      <c r="T436">
        <f>IFERROR(Table1_1[[#This Row],[Gross_Sales]]-Table1_1[[#This Row],[Discount_amount]]+Table1_1[[#This Row],[Shipping_Cost]],"")</f>
        <v>569.04999999999995</v>
      </c>
      <c r="U436">
        <f>IFERROR(Table1_1[[#This Row],[Net_Sale]]-(Table1_1[[#This Row],[Gross_Sales]]*70%),"")</f>
        <v>149.75</v>
      </c>
      <c r="V436" s="7">
        <f>IFERROR(Table1_1[[#This Row],[Profit]]/Table1_1[[#This Row],[Net_Sale]],"")</f>
        <v>0.26315789473684215</v>
      </c>
      <c r="W436" t="str">
        <f>TEXT(Table1_1[[#This Row],[Order_Date]],"mmm")</f>
        <v>Feb</v>
      </c>
    </row>
    <row r="437" spans="1:23" x14ac:dyDescent="0.25">
      <c r="A437" t="s">
        <v>774</v>
      </c>
      <c r="B437" t="s">
        <v>502</v>
      </c>
      <c r="C437" s="6">
        <v>45795</v>
      </c>
      <c r="D437" t="s">
        <v>169</v>
      </c>
      <c r="E437" t="s">
        <v>170</v>
      </c>
      <c r="F437" t="s">
        <v>98</v>
      </c>
      <c r="G437" t="s">
        <v>171</v>
      </c>
      <c r="H437">
        <v>3</v>
      </c>
      <c r="I437">
        <v>799</v>
      </c>
      <c r="J437">
        <v>0</v>
      </c>
      <c r="K437">
        <v>79</v>
      </c>
      <c r="L437" t="s">
        <v>113</v>
      </c>
      <c r="M437" t="s">
        <v>114</v>
      </c>
      <c r="N437" t="s">
        <v>50</v>
      </c>
      <c r="O437" t="s">
        <v>41</v>
      </c>
      <c r="P437" t="s">
        <v>80</v>
      </c>
      <c r="Q437">
        <v>3</v>
      </c>
      <c r="R437">
        <f>IFERROR(Table1_1[[#This Row],[Unit_Price]]*Table1_1[[#This Row],[Quantity]],"")</f>
        <v>2397</v>
      </c>
      <c r="S437">
        <f>IFERROR(Table1_1[[#This Row],[Gross_Sales]]*Table1_1[[#This Row],[Discount_%]],"")</f>
        <v>0</v>
      </c>
      <c r="T437">
        <f>IFERROR(Table1_1[[#This Row],[Gross_Sales]]-Table1_1[[#This Row],[Discount_amount]]+Table1_1[[#This Row],[Shipping_Cost]],"")</f>
        <v>2476</v>
      </c>
      <c r="U437">
        <f>IFERROR(Table1_1[[#This Row],[Net_Sale]]-(Table1_1[[#This Row],[Gross_Sales]]*70%),"")</f>
        <v>798.10000000000014</v>
      </c>
      <c r="V437" s="7">
        <f>IFERROR(Table1_1[[#This Row],[Profit]]/Table1_1[[#This Row],[Net_Sale]],"")</f>
        <v>0.32233441033925692</v>
      </c>
      <c r="W437" t="str">
        <f>TEXT(Table1_1[[#This Row],[Order_Date]],"mmm")</f>
        <v>May</v>
      </c>
    </row>
    <row r="438" spans="1:23" x14ac:dyDescent="0.25">
      <c r="A438" t="s">
        <v>775</v>
      </c>
      <c r="B438" t="s">
        <v>376</v>
      </c>
      <c r="C438" s="6">
        <v>45785</v>
      </c>
      <c r="D438" t="s">
        <v>110</v>
      </c>
      <c r="E438" t="s">
        <v>111</v>
      </c>
      <c r="F438" t="s">
        <v>98</v>
      </c>
      <c r="G438" t="s">
        <v>112</v>
      </c>
      <c r="H438">
        <v>1</v>
      </c>
      <c r="I438">
        <v>2999</v>
      </c>
      <c r="J438">
        <v>0</v>
      </c>
      <c r="K438">
        <v>0</v>
      </c>
      <c r="L438" t="s">
        <v>113</v>
      </c>
      <c r="M438" t="s">
        <v>114</v>
      </c>
      <c r="N438" t="s">
        <v>40</v>
      </c>
      <c r="O438" t="s">
        <v>32</v>
      </c>
      <c r="P438" t="s">
        <v>33</v>
      </c>
      <c r="Q438">
        <v>1</v>
      </c>
      <c r="R438">
        <f>IFERROR(Table1_1[[#This Row],[Unit_Price]]*Table1_1[[#This Row],[Quantity]],"")</f>
        <v>2999</v>
      </c>
      <c r="S438">
        <f>IFERROR(Table1_1[[#This Row],[Gross_Sales]]*Table1_1[[#This Row],[Discount_%]],"")</f>
        <v>0</v>
      </c>
      <c r="T438">
        <f>IFERROR(Table1_1[[#This Row],[Gross_Sales]]-Table1_1[[#This Row],[Discount_amount]]+Table1_1[[#This Row],[Shipping_Cost]],"")</f>
        <v>2999</v>
      </c>
      <c r="U438">
        <f>IFERROR(Table1_1[[#This Row],[Net_Sale]]-(Table1_1[[#This Row],[Gross_Sales]]*70%),"")</f>
        <v>899.70000000000027</v>
      </c>
      <c r="V438" s="7">
        <f>IFERROR(Table1_1[[#This Row],[Profit]]/Table1_1[[#This Row],[Net_Sale]],"")</f>
        <v>0.3000000000000001</v>
      </c>
      <c r="W438" t="str">
        <f>TEXT(Table1_1[[#This Row],[Order_Date]],"mmm")</f>
        <v>May</v>
      </c>
    </row>
    <row r="439" spans="1:23" x14ac:dyDescent="0.25">
      <c r="A439" t="s">
        <v>776</v>
      </c>
      <c r="B439" t="s">
        <v>707</v>
      </c>
      <c r="C439" s="6">
        <v>45848</v>
      </c>
      <c r="D439" t="s">
        <v>62</v>
      </c>
      <c r="E439" t="s">
        <v>63</v>
      </c>
      <c r="F439" t="s">
        <v>46</v>
      </c>
      <c r="G439" t="s">
        <v>64</v>
      </c>
      <c r="H439">
        <v>3</v>
      </c>
      <c r="I439">
        <v>699</v>
      </c>
      <c r="J439">
        <v>0.15</v>
      </c>
      <c r="K439">
        <v>59</v>
      </c>
      <c r="L439" t="s">
        <v>39</v>
      </c>
      <c r="M439" t="s">
        <v>39</v>
      </c>
      <c r="N439" t="s">
        <v>50</v>
      </c>
      <c r="O439" t="s">
        <v>32</v>
      </c>
      <c r="P439" t="s">
        <v>52</v>
      </c>
      <c r="Q439">
        <v>3</v>
      </c>
      <c r="R439">
        <f>IFERROR(Table1_1[[#This Row],[Unit_Price]]*Table1_1[[#This Row],[Quantity]],"")</f>
        <v>2097</v>
      </c>
      <c r="S439">
        <f>IFERROR(Table1_1[[#This Row],[Gross_Sales]]*Table1_1[[#This Row],[Discount_%]],"")</f>
        <v>314.55</v>
      </c>
      <c r="T439">
        <f>IFERROR(Table1_1[[#This Row],[Gross_Sales]]-Table1_1[[#This Row],[Discount_amount]]+Table1_1[[#This Row],[Shipping_Cost]],"")</f>
        <v>1841.45</v>
      </c>
      <c r="U439">
        <f>IFERROR(Table1_1[[#This Row],[Net_Sale]]-(Table1_1[[#This Row],[Gross_Sales]]*70%),"")</f>
        <v>373.55000000000018</v>
      </c>
      <c r="V439" s="7">
        <f>IFERROR(Table1_1[[#This Row],[Profit]]/Table1_1[[#This Row],[Net_Sale]],"")</f>
        <v>0.20285644464959687</v>
      </c>
      <c r="W439" t="str">
        <f>TEXT(Table1_1[[#This Row],[Order_Date]],"mmm")</f>
        <v>Jul</v>
      </c>
    </row>
    <row r="440" spans="1:23" x14ac:dyDescent="0.25">
      <c r="A440" t="s">
        <v>777</v>
      </c>
      <c r="B440" t="s">
        <v>381</v>
      </c>
      <c r="C440" s="6">
        <v>45723</v>
      </c>
      <c r="D440" t="s">
        <v>96</v>
      </c>
      <c r="E440" t="s">
        <v>97</v>
      </c>
      <c r="F440" t="s">
        <v>98</v>
      </c>
      <c r="G440" t="s">
        <v>99</v>
      </c>
      <c r="H440">
        <v>3</v>
      </c>
      <c r="I440">
        <v>1499</v>
      </c>
      <c r="J440">
        <v>0.1</v>
      </c>
      <c r="K440">
        <v>99</v>
      </c>
      <c r="L440" t="s">
        <v>113</v>
      </c>
      <c r="M440" t="s">
        <v>114</v>
      </c>
      <c r="N440" t="s">
        <v>102</v>
      </c>
      <c r="O440" t="s">
        <v>51</v>
      </c>
      <c r="P440" t="s">
        <v>52</v>
      </c>
      <c r="Q440">
        <v>4</v>
      </c>
      <c r="R440">
        <f>IFERROR(Table1_1[[#This Row],[Unit_Price]]*Table1_1[[#This Row],[Quantity]],"")</f>
        <v>4497</v>
      </c>
      <c r="S440">
        <f>IFERROR(Table1_1[[#This Row],[Gross_Sales]]*Table1_1[[#This Row],[Discount_%]],"")</f>
        <v>449.70000000000005</v>
      </c>
      <c r="T440">
        <f>IFERROR(Table1_1[[#This Row],[Gross_Sales]]-Table1_1[[#This Row],[Discount_amount]]+Table1_1[[#This Row],[Shipping_Cost]],"")</f>
        <v>4146.3</v>
      </c>
      <c r="U440">
        <f>IFERROR(Table1_1[[#This Row],[Net_Sale]]-(Table1_1[[#This Row],[Gross_Sales]]*70%),"")</f>
        <v>998.40000000000055</v>
      </c>
      <c r="V440" s="7">
        <f>IFERROR(Table1_1[[#This Row],[Profit]]/Table1_1[[#This Row],[Net_Sale]],"")</f>
        <v>0.2407929961652559</v>
      </c>
      <c r="W440" t="str">
        <f>TEXT(Table1_1[[#This Row],[Order_Date]],"mmm")</f>
        <v>Mar</v>
      </c>
    </row>
    <row r="441" spans="1:23" x14ac:dyDescent="0.25">
      <c r="A441" t="s">
        <v>778</v>
      </c>
      <c r="B441" t="s">
        <v>779</v>
      </c>
      <c r="C441" s="6">
        <v>45719</v>
      </c>
      <c r="D441" t="s">
        <v>25</v>
      </c>
      <c r="E441" t="s">
        <v>26</v>
      </c>
      <c r="F441" t="s">
        <v>27</v>
      </c>
      <c r="G441" t="s">
        <v>28</v>
      </c>
      <c r="H441">
        <v>2</v>
      </c>
      <c r="I441">
        <v>249</v>
      </c>
      <c r="J441">
        <v>0.05</v>
      </c>
      <c r="K441">
        <v>0</v>
      </c>
      <c r="L441" t="s">
        <v>780</v>
      </c>
      <c r="M441" t="s">
        <v>101</v>
      </c>
      <c r="N441" t="s">
        <v>50</v>
      </c>
      <c r="O441" t="s">
        <v>59</v>
      </c>
      <c r="P441" t="s">
        <v>52</v>
      </c>
      <c r="Q441">
        <v>5</v>
      </c>
      <c r="R441">
        <f>IFERROR(Table1_1[[#This Row],[Unit_Price]]*Table1_1[[#This Row],[Quantity]],"")</f>
        <v>498</v>
      </c>
      <c r="S441">
        <f>IFERROR(Table1_1[[#This Row],[Gross_Sales]]*Table1_1[[#This Row],[Discount_%]],"")</f>
        <v>24.900000000000002</v>
      </c>
      <c r="T441">
        <f>IFERROR(Table1_1[[#This Row],[Gross_Sales]]-Table1_1[[#This Row],[Discount_amount]]+Table1_1[[#This Row],[Shipping_Cost]],"")</f>
        <v>473.1</v>
      </c>
      <c r="U441">
        <f>IFERROR(Table1_1[[#This Row],[Net_Sale]]-(Table1_1[[#This Row],[Gross_Sales]]*70%),"")</f>
        <v>124.50000000000006</v>
      </c>
      <c r="V441" s="7">
        <f>IFERROR(Table1_1[[#This Row],[Profit]]/Table1_1[[#This Row],[Net_Sale]],"")</f>
        <v>0.2631578947368422</v>
      </c>
      <c r="W441" t="str">
        <f>TEXT(Table1_1[[#This Row],[Order_Date]],"mmm")</f>
        <v>Mar</v>
      </c>
    </row>
    <row r="442" spans="1:23" x14ac:dyDescent="0.25">
      <c r="A442" t="s">
        <v>781</v>
      </c>
      <c r="B442" t="s">
        <v>782</v>
      </c>
      <c r="C442" s="6">
        <v>45790</v>
      </c>
      <c r="D442" t="s">
        <v>55</v>
      </c>
      <c r="E442" t="s">
        <v>56</v>
      </c>
      <c r="F442" t="s">
        <v>37</v>
      </c>
      <c r="G442" t="s">
        <v>38</v>
      </c>
      <c r="H442">
        <v>1</v>
      </c>
      <c r="I442">
        <v>2499</v>
      </c>
      <c r="J442">
        <v>0</v>
      </c>
      <c r="K442">
        <v>59</v>
      </c>
      <c r="L442" t="s">
        <v>74</v>
      </c>
      <c r="M442" t="s">
        <v>49</v>
      </c>
      <c r="N442" t="s">
        <v>102</v>
      </c>
      <c r="O442" t="s">
        <v>51</v>
      </c>
      <c r="P442" t="s">
        <v>33</v>
      </c>
      <c r="Q442">
        <v>3</v>
      </c>
      <c r="R442">
        <f>IFERROR(Table1_1[[#This Row],[Unit_Price]]*Table1_1[[#This Row],[Quantity]],"")</f>
        <v>2499</v>
      </c>
      <c r="S442">
        <f>IFERROR(Table1_1[[#This Row],[Gross_Sales]]*Table1_1[[#This Row],[Discount_%]],"")</f>
        <v>0</v>
      </c>
      <c r="T442">
        <f>IFERROR(Table1_1[[#This Row],[Gross_Sales]]-Table1_1[[#This Row],[Discount_amount]]+Table1_1[[#This Row],[Shipping_Cost]],"")</f>
        <v>2558</v>
      </c>
      <c r="U442">
        <f>IFERROR(Table1_1[[#This Row],[Net_Sale]]-(Table1_1[[#This Row],[Gross_Sales]]*70%),"")</f>
        <v>808.7</v>
      </c>
      <c r="V442" s="7">
        <f>IFERROR(Table1_1[[#This Row],[Profit]]/Table1_1[[#This Row],[Net_Sale]],"")</f>
        <v>0.3161454261141517</v>
      </c>
      <c r="W442" t="str">
        <f>TEXT(Table1_1[[#This Row],[Order_Date]],"mmm")</f>
        <v>May</v>
      </c>
    </row>
    <row r="443" spans="1:23" x14ac:dyDescent="0.25">
      <c r="A443" t="s">
        <v>783</v>
      </c>
      <c r="B443" t="s">
        <v>214</v>
      </c>
      <c r="C443" s="6">
        <v>45872</v>
      </c>
      <c r="D443" t="s">
        <v>105</v>
      </c>
      <c r="E443" t="s">
        <v>106</v>
      </c>
      <c r="F443" t="s">
        <v>37</v>
      </c>
      <c r="G443" t="s">
        <v>107</v>
      </c>
      <c r="H443">
        <v>1</v>
      </c>
      <c r="I443">
        <v>1799</v>
      </c>
      <c r="J443">
        <v>0.05</v>
      </c>
      <c r="K443">
        <v>79</v>
      </c>
      <c r="L443" t="s">
        <v>119</v>
      </c>
      <c r="M443" t="s">
        <v>120</v>
      </c>
      <c r="N443" t="s">
        <v>40</v>
      </c>
      <c r="O443" t="s">
        <v>41</v>
      </c>
      <c r="P443" t="s">
        <v>33</v>
      </c>
      <c r="Q443">
        <v>5</v>
      </c>
      <c r="R443">
        <f>IFERROR(Table1_1[[#This Row],[Unit_Price]]*Table1_1[[#This Row],[Quantity]],"")</f>
        <v>1799</v>
      </c>
      <c r="S443">
        <f>IFERROR(Table1_1[[#This Row],[Gross_Sales]]*Table1_1[[#This Row],[Discount_%]],"")</f>
        <v>89.95</v>
      </c>
      <c r="T443">
        <f>IFERROR(Table1_1[[#This Row],[Gross_Sales]]-Table1_1[[#This Row],[Discount_amount]]+Table1_1[[#This Row],[Shipping_Cost]],"")</f>
        <v>1788.05</v>
      </c>
      <c r="U443">
        <f>IFERROR(Table1_1[[#This Row],[Net_Sale]]-(Table1_1[[#This Row],[Gross_Sales]]*70%),"")</f>
        <v>528.75</v>
      </c>
      <c r="V443" s="7">
        <f>IFERROR(Table1_1[[#This Row],[Profit]]/Table1_1[[#This Row],[Net_Sale]],"")</f>
        <v>0.29571320712508042</v>
      </c>
      <c r="W443" t="str">
        <f>TEXT(Table1_1[[#This Row],[Order_Date]],"mmm")</f>
        <v>Aug</v>
      </c>
    </row>
    <row r="444" spans="1:23" x14ac:dyDescent="0.25">
      <c r="A444" t="s">
        <v>784</v>
      </c>
      <c r="B444" t="s">
        <v>450</v>
      </c>
      <c r="C444" s="6">
        <v>45709</v>
      </c>
      <c r="D444" t="s">
        <v>105</v>
      </c>
      <c r="E444" t="s">
        <v>106</v>
      </c>
      <c r="F444" t="s">
        <v>37</v>
      </c>
      <c r="G444" t="s">
        <v>107</v>
      </c>
      <c r="H444">
        <v>2</v>
      </c>
      <c r="I444">
        <v>1799</v>
      </c>
      <c r="J444">
        <v>0.15</v>
      </c>
      <c r="K444">
        <v>79</v>
      </c>
      <c r="L444" t="s">
        <v>125</v>
      </c>
      <c r="M444" t="s">
        <v>126</v>
      </c>
      <c r="N444" t="s">
        <v>50</v>
      </c>
      <c r="O444" t="s">
        <v>41</v>
      </c>
      <c r="P444" t="s">
        <v>33</v>
      </c>
      <c r="Q444">
        <v>3</v>
      </c>
      <c r="R444">
        <f>IFERROR(Table1_1[[#This Row],[Unit_Price]]*Table1_1[[#This Row],[Quantity]],"")</f>
        <v>3598</v>
      </c>
      <c r="S444">
        <f>IFERROR(Table1_1[[#This Row],[Gross_Sales]]*Table1_1[[#This Row],[Discount_%]],"")</f>
        <v>539.69999999999993</v>
      </c>
      <c r="T444">
        <f>IFERROR(Table1_1[[#This Row],[Gross_Sales]]-Table1_1[[#This Row],[Discount_amount]]+Table1_1[[#This Row],[Shipping_Cost]],"")</f>
        <v>3137.3</v>
      </c>
      <c r="U444">
        <f>IFERROR(Table1_1[[#This Row],[Net_Sale]]-(Table1_1[[#This Row],[Gross_Sales]]*70%),"")</f>
        <v>618.70000000000027</v>
      </c>
      <c r="V444" s="7">
        <f>IFERROR(Table1_1[[#This Row],[Profit]]/Table1_1[[#This Row],[Net_Sale]],"")</f>
        <v>0.19720779013801684</v>
      </c>
      <c r="W444" t="str">
        <f>TEXT(Table1_1[[#This Row],[Order_Date]],"mmm")</f>
        <v>Feb</v>
      </c>
    </row>
    <row r="445" spans="1:23" x14ac:dyDescent="0.25">
      <c r="A445" t="s">
        <v>785</v>
      </c>
      <c r="B445" t="s">
        <v>224</v>
      </c>
      <c r="C445" s="6">
        <v>45662</v>
      </c>
      <c r="D445" t="s">
        <v>77</v>
      </c>
      <c r="E445" t="s">
        <v>78</v>
      </c>
      <c r="F445" t="s">
        <v>79</v>
      </c>
      <c r="G445" t="s">
        <v>28</v>
      </c>
      <c r="H445">
        <v>2</v>
      </c>
      <c r="I445">
        <v>6499</v>
      </c>
      <c r="J445">
        <v>0</v>
      </c>
      <c r="K445">
        <v>99</v>
      </c>
      <c r="L445" t="s">
        <v>100</v>
      </c>
      <c r="M445" t="s">
        <v>101</v>
      </c>
      <c r="N445" t="s">
        <v>71</v>
      </c>
      <c r="O445" t="s">
        <v>59</v>
      </c>
      <c r="P445" t="s">
        <v>52</v>
      </c>
      <c r="Q445">
        <v>3</v>
      </c>
      <c r="R445">
        <f>IFERROR(Table1_1[[#This Row],[Unit_Price]]*Table1_1[[#This Row],[Quantity]],"")</f>
        <v>12998</v>
      </c>
      <c r="S445">
        <f>IFERROR(Table1_1[[#This Row],[Gross_Sales]]*Table1_1[[#This Row],[Discount_%]],"")</f>
        <v>0</v>
      </c>
      <c r="T445">
        <f>IFERROR(Table1_1[[#This Row],[Gross_Sales]]-Table1_1[[#This Row],[Discount_amount]]+Table1_1[[#This Row],[Shipping_Cost]],"")</f>
        <v>13097</v>
      </c>
      <c r="U445">
        <f>IFERROR(Table1_1[[#This Row],[Net_Sale]]-(Table1_1[[#This Row],[Gross_Sales]]*70%),"")</f>
        <v>3998.4000000000015</v>
      </c>
      <c r="V445" s="7">
        <f>IFERROR(Table1_1[[#This Row],[Profit]]/Table1_1[[#This Row],[Net_Sale]],"")</f>
        <v>0.30529128808124006</v>
      </c>
      <c r="W445" t="str">
        <f>TEXT(Table1_1[[#This Row],[Order_Date]],"mmm")</f>
        <v>Jan</v>
      </c>
    </row>
    <row r="446" spans="1:23" x14ac:dyDescent="0.25">
      <c r="A446" t="s">
        <v>786</v>
      </c>
      <c r="B446" t="s">
        <v>302</v>
      </c>
      <c r="C446" s="6">
        <v>45682</v>
      </c>
      <c r="D446" t="s">
        <v>110</v>
      </c>
      <c r="E446" t="s">
        <v>111</v>
      </c>
      <c r="F446" t="s">
        <v>98</v>
      </c>
      <c r="G446" t="s">
        <v>112</v>
      </c>
      <c r="H446">
        <v>3</v>
      </c>
      <c r="I446">
        <v>2999</v>
      </c>
      <c r="J446">
        <v>0</v>
      </c>
      <c r="K446">
        <v>0</v>
      </c>
      <c r="L446" t="s">
        <v>83</v>
      </c>
      <c r="M446" t="s">
        <v>84</v>
      </c>
      <c r="N446" t="s">
        <v>71</v>
      </c>
      <c r="O446" t="s">
        <v>59</v>
      </c>
      <c r="P446" t="s">
        <v>80</v>
      </c>
      <c r="Q446">
        <v>3</v>
      </c>
      <c r="R446">
        <f>IFERROR(Table1_1[[#This Row],[Unit_Price]]*Table1_1[[#This Row],[Quantity]],"")</f>
        <v>8997</v>
      </c>
      <c r="S446">
        <f>IFERROR(Table1_1[[#This Row],[Gross_Sales]]*Table1_1[[#This Row],[Discount_%]],"")</f>
        <v>0</v>
      </c>
      <c r="T446">
        <f>IFERROR(Table1_1[[#This Row],[Gross_Sales]]-Table1_1[[#This Row],[Discount_amount]]+Table1_1[[#This Row],[Shipping_Cost]],"")</f>
        <v>8997</v>
      </c>
      <c r="U446">
        <f>IFERROR(Table1_1[[#This Row],[Net_Sale]]-(Table1_1[[#This Row],[Gross_Sales]]*70%),"")</f>
        <v>2699.1000000000004</v>
      </c>
      <c r="V446" s="7">
        <f>IFERROR(Table1_1[[#This Row],[Profit]]/Table1_1[[#This Row],[Net_Sale]],"")</f>
        <v>0.30000000000000004</v>
      </c>
      <c r="W446" t="str">
        <f>TEXT(Table1_1[[#This Row],[Order_Date]],"mmm")</f>
        <v>Jan</v>
      </c>
    </row>
    <row r="447" spans="1:23" x14ac:dyDescent="0.25">
      <c r="A447" t="s">
        <v>787</v>
      </c>
      <c r="B447" t="s">
        <v>360</v>
      </c>
      <c r="C447" s="6">
        <v>45829</v>
      </c>
      <c r="D447" t="s">
        <v>25</v>
      </c>
      <c r="E447" t="s">
        <v>26</v>
      </c>
      <c r="F447" t="s">
        <v>27</v>
      </c>
      <c r="G447" t="s">
        <v>28</v>
      </c>
      <c r="H447">
        <v>1</v>
      </c>
      <c r="I447">
        <v>249</v>
      </c>
      <c r="J447">
        <v>0.15</v>
      </c>
      <c r="K447">
        <v>99</v>
      </c>
      <c r="L447" t="s">
        <v>29</v>
      </c>
      <c r="M447" t="s">
        <v>30</v>
      </c>
      <c r="N447" t="s">
        <v>71</v>
      </c>
      <c r="O447" t="s">
        <v>93</v>
      </c>
      <c r="P447" t="s">
        <v>33</v>
      </c>
      <c r="Q447">
        <v>4</v>
      </c>
      <c r="R447">
        <f>IFERROR(Table1_1[[#This Row],[Unit_Price]]*Table1_1[[#This Row],[Quantity]],"")</f>
        <v>249</v>
      </c>
      <c r="S447">
        <f>IFERROR(Table1_1[[#This Row],[Gross_Sales]]*Table1_1[[#This Row],[Discount_%]],"")</f>
        <v>37.35</v>
      </c>
      <c r="T447">
        <f>IFERROR(Table1_1[[#This Row],[Gross_Sales]]-Table1_1[[#This Row],[Discount_amount]]+Table1_1[[#This Row],[Shipping_Cost]],"")</f>
        <v>310.64999999999998</v>
      </c>
      <c r="U447">
        <f>IFERROR(Table1_1[[#This Row],[Net_Sale]]-(Table1_1[[#This Row],[Gross_Sales]]*70%),"")</f>
        <v>136.35</v>
      </c>
      <c r="V447" s="7">
        <f>IFERROR(Table1_1[[#This Row],[Profit]]/Table1_1[[#This Row],[Net_Sale]],"")</f>
        <v>0.43891839690970547</v>
      </c>
      <c r="W447" t="str">
        <f>TEXT(Table1_1[[#This Row],[Order_Date]],"mmm")</f>
        <v>Jun</v>
      </c>
    </row>
    <row r="448" spans="1:23" x14ac:dyDescent="0.25">
      <c r="A448" t="s">
        <v>788</v>
      </c>
      <c r="B448" t="s">
        <v>561</v>
      </c>
      <c r="C448" s="6">
        <v>45968</v>
      </c>
      <c r="D448" t="s">
        <v>55</v>
      </c>
      <c r="E448" t="s">
        <v>56</v>
      </c>
      <c r="F448" t="s">
        <v>37</v>
      </c>
      <c r="G448" t="s">
        <v>38</v>
      </c>
      <c r="H448">
        <v>3</v>
      </c>
      <c r="I448">
        <v>2499</v>
      </c>
      <c r="J448">
        <v>0.2</v>
      </c>
      <c r="K448">
        <v>99</v>
      </c>
      <c r="L448" t="s">
        <v>74</v>
      </c>
      <c r="M448" t="s">
        <v>49</v>
      </c>
      <c r="N448" t="s">
        <v>71</v>
      </c>
      <c r="O448" t="s">
        <v>51</v>
      </c>
      <c r="P448" t="s">
        <v>85</v>
      </c>
      <c r="Q448">
        <v>3</v>
      </c>
      <c r="R448">
        <f>IFERROR(Table1_1[[#This Row],[Unit_Price]]*Table1_1[[#This Row],[Quantity]],"")</f>
        <v>7497</v>
      </c>
      <c r="S448">
        <f>IFERROR(Table1_1[[#This Row],[Gross_Sales]]*Table1_1[[#This Row],[Discount_%]],"")</f>
        <v>1499.4</v>
      </c>
      <c r="T448">
        <f>IFERROR(Table1_1[[#This Row],[Gross_Sales]]-Table1_1[[#This Row],[Discount_amount]]+Table1_1[[#This Row],[Shipping_Cost]],"")</f>
        <v>6096.6</v>
      </c>
      <c r="U448">
        <f>IFERROR(Table1_1[[#This Row],[Net_Sale]]-(Table1_1[[#This Row],[Gross_Sales]]*70%),"")</f>
        <v>848.70000000000073</v>
      </c>
      <c r="V448" s="7">
        <f>IFERROR(Table1_1[[#This Row],[Profit]]/Table1_1[[#This Row],[Net_Sale]],"")</f>
        <v>0.13920873929731337</v>
      </c>
      <c r="W448" t="str">
        <f>TEXT(Table1_1[[#This Row],[Order_Date]],"mmm")</f>
        <v>Nov</v>
      </c>
    </row>
    <row r="449" spans="1:23" x14ac:dyDescent="0.25">
      <c r="A449" t="s">
        <v>789</v>
      </c>
      <c r="B449" t="s">
        <v>358</v>
      </c>
      <c r="C449" s="6">
        <v>45886</v>
      </c>
      <c r="D449" t="s">
        <v>25</v>
      </c>
      <c r="E449" t="s">
        <v>26</v>
      </c>
      <c r="F449" t="s">
        <v>27</v>
      </c>
      <c r="G449" t="s">
        <v>28</v>
      </c>
      <c r="H449">
        <v>2</v>
      </c>
      <c r="I449">
        <v>249</v>
      </c>
      <c r="J449">
        <v>0.05</v>
      </c>
      <c r="K449">
        <v>79</v>
      </c>
      <c r="L449" t="s">
        <v>83</v>
      </c>
      <c r="M449" t="s">
        <v>84</v>
      </c>
      <c r="N449" t="s">
        <v>50</v>
      </c>
      <c r="O449" t="s">
        <v>51</v>
      </c>
      <c r="P449" t="s">
        <v>85</v>
      </c>
      <c r="Q449">
        <v>4</v>
      </c>
      <c r="R449">
        <f>IFERROR(Table1_1[[#This Row],[Unit_Price]]*Table1_1[[#This Row],[Quantity]],"")</f>
        <v>498</v>
      </c>
      <c r="S449">
        <f>IFERROR(Table1_1[[#This Row],[Gross_Sales]]*Table1_1[[#This Row],[Discount_%]],"")</f>
        <v>24.900000000000002</v>
      </c>
      <c r="T449">
        <f>IFERROR(Table1_1[[#This Row],[Gross_Sales]]-Table1_1[[#This Row],[Discount_amount]]+Table1_1[[#This Row],[Shipping_Cost]],"")</f>
        <v>552.1</v>
      </c>
      <c r="U449">
        <f>IFERROR(Table1_1[[#This Row],[Net_Sale]]-(Table1_1[[#This Row],[Gross_Sales]]*70%),"")</f>
        <v>203.50000000000006</v>
      </c>
      <c r="V449" s="7">
        <f>IFERROR(Table1_1[[#This Row],[Profit]]/Table1_1[[#This Row],[Net_Sale]],"")</f>
        <v>0.36859264625973565</v>
      </c>
      <c r="W449" t="str">
        <f>TEXT(Table1_1[[#This Row],[Order_Date]],"mmm")</f>
        <v>Aug</v>
      </c>
    </row>
    <row r="450" spans="1:23" x14ac:dyDescent="0.25">
      <c r="A450" t="s">
        <v>790</v>
      </c>
      <c r="B450" t="s">
        <v>425</v>
      </c>
      <c r="C450" s="6">
        <v>45694</v>
      </c>
      <c r="D450" t="s">
        <v>25</v>
      </c>
      <c r="E450" t="s">
        <v>26</v>
      </c>
      <c r="F450" t="s">
        <v>27</v>
      </c>
      <c r="G450" t="s">
        <v>28</v>
      </c>
      <c r="H450">
        <v>2</v>
      </c>
      <c r="I450">
        <v>249</v>
      </c>
      <c r="J450">
        <v>0</v>
      </c>
      <c r="K450">
        <v>59</v>
      </c>
      <c r="L450" t="s">
        <v>125</v>
      </c>
      <c r="M450" t="s">
        <v>126</v>
      </c>
      <c r="N450" t="s">
        <v>71</v>
      </c>
      <c r="O450" t="s">
        <v>51</v>
      </c>
      <c r="P450" t="s">
        <v>33</v>
      </c>
      <c r="Q450">
        <v>5</v>
      </c>
      <c r="R450">
        <f>IFERROR(Table1_1[[#This Row],[Unit_Price]]*Table1_1[[#This Row],[Quantity]],"")</f>
        <v>498</v>
      </c>
      <c r="S450">
        <f>IFERROR(Table1_1[[#This Row],[Gross_Sales]]*Table1_1[[#This Row],[Discount_%]],"")</f>
        <v>0</v>
      </c>
      <c r="T450">
        <f>IFERROR(Table1_1[[#This Row],[Gross_Sales]]-Table1_1[[#This Row],[Discount_amount]]+Table1_1[[#This Row],[Shipping_Cost]],"")</f>
        <v>557</v>
      </c>
      <c r="U450">
        <f>IFERROR(Table1_1[[#This Row],[Net_Sale]]-(Table1_1[[#This Row],[Gross_Sales]]*70%),"")</f>
        <v>208.40000000000003</v>
      </c>
      <c r="V450" s="7">
        <f>IFERROR(Table1_1[[#This Row],[Profit]]/Table1_1[[#This Row],[Net_Sale]],"")</f>
        <v>0.37414721723518857</v>
      </c>
      <c r="W450" t="str">
        <f>TEXT(Table1_1[[#This Row],[Order_Date]],"mmm")</f>
        <v>Feb</v>
      </c>
    </row>
    <row r="451" spans="1:23" x14ac:dyDescent="0.25">
      <c r="A451" t="s">
        <v>791</v>
      </c>
      <c r="B451" t="s">
        <v>683</v>
      </c>
      <c r="C451" s="6">
        <v>45885</v>
      </c>
      <c r="D451" t="s">
        <v>25</v>
      </c>
      <c r="E451" t="s">
        <v>26</v>
      </c>
      <c r="F451" t="s">
        <v>27</v>
      </c>
      <c r="G451" t="s">
        <v>28</v>
      </c>
      <c r="H451">
        <v>1</v>
      </c>
      <c r="I451">
        <v>249</v>
      </c>
      <c r="J451">
        <v>0.15</v>
      </c>
      <c r="K451">
        <v>79</v>
      </c>
      <c r="L451" t="s">
        <v>57</v>
      </c>
      <c r="M451" t="s">
        <v>58</v>
      </c>
      <c r="N451" t="s">
        <v>50</v>
      </c>
      <c r="O451" t="s">
        <v>41</v>
      </c>
      <c r="P451" t="s">
        <v>85</v>
      </c>
      <c r="Q451">
        <v>3</v>
      </c>
      <c r="R451">
        <f>IFERROR(Table1_1[[#This Row],[Unit_Price]]*Table1_1[[#This Row],[Quantity]],"")</f>
        <v>249</v>
      </c>
      <c r="S451">
        <f>IFERROR(Table1_1[[#This Row],[Gross_Sales]]*Table1_1[[#This Row],[Discount_%]],"")</f>
        <v>37.35</v>
      </c>
      <c r="T451">
        <f>IFERROR(Table1_1[[#This Row],[Gross_Sales]]-Table1_1[[#This Row],[Discount_amount]]+Table1_1[[#This Row],[Shipping_Cost]],"")</f>
        <v>290.64999999999998</v>
      </c>
      <c r="U451">
        <f>IFERROR(Table1_1[[#This Row],[Net_Sale]]-(Table1_1[[#This Row],[Gross_Sales]]*70%),"")</f>
        <v>116.35</v>
      </c>
      <c r="V451" s="7">
        <f>IFERROR(Table1_1[[#This Row],[Profit]]/Table1_1[[#This Row],[Net_Sale]],"")</f>
        <v>0.4003096507827284</v>
      </c>
      <c r="W451" t="str">
        <f>TEXT(Table1_1[[#This Row],[Order_Date]],"mmm")</f>
        <v>Aug</v>
      </c>
    </row>
    <row r="452" spans="1:23" x14ac:dyDescent="0.25">
      <c r="A452" t="s">
        <v>792</v>
      </c>
      <c r="B452" t="s">
        <v>148</v>
      </c>
      <c r="C452" s="6">
        <v>45996</v>
      </c>
      <c r="D452" t="s">
        <v>35</v>
      </c>
      <c r="E452" t="s">
        <v>36</v>
      </c>
      <c r="F452" t="s">
        <v>37</v>
      </c>
      <c r="G452" t="s">
        <v>38</v>
      </c>
      <c r="H452">
        <v>1</v>
      </c>
      <c r="I452">
        <v>599</v>
      </c>
      <c r="J452">
        <v>0.2</v>
      </c>
      <c r="K452">
        <v>0</v>
      </c>
      <c r="L452" t="s">
        <v>100</v>
      </c>
      <c r="M452" t="s">
        <v>101</v>
      </c>
      <c r="N452" t="s">
        <v>50</v>
      </c>
      <c r="O452" t="s">
        <v>59</v>
      </c>
      <c r="P452" t="s">
        <v>80</v>
      </c>
      <c r="Q452">
        <v>1</v>
      </c>
      <c r="R452">
        <f>IFERROR(Table1_1[[#This Row],[Unit_Price]]*Table1_1[[#This Row],[Quantity]],"")</f>
        <v>599</v>
      </c>
      <c r="S452">
        <f>IFERROR(Table1_1[[#This Row],[Gross_Sales]]*Table1_1[[#This Row],[Discount_%]],"")</f>
        <v>119.80000000000001</v>
      </c>
      <c r="T452">
        <f>IFERROR(Table1_1[[#This Row],[Gross_Sales]]-Table1_1[[#This Row],[Discount_amount]]+Table1_1[[#This Row],[Shipping_Cost]],"")</f>
        <v>479.2</v>
      </c>
      <c r="U452">
        <f>IFERROR(Table1_1[[#This Row],[Net_Sale]]-(Table1_1[[#This Row],[Gross_Sales]]*70%),"")</f>
        <v>59.900000000000034</v>
      </c>
      <c r="V452" s="7">
        <f>IFERROR(Table1_1[[#This Row],[Profit]]/Table1_1[[#This Row],[Net_Sale]],"")</f>
        <v>0.12500000000000008</v>
      </c>
      <c r="W452" t="str">
        <f>TEXT(Table1_1[[#This Row],[Order_Date]],"mmm")</f>
        <v>Dec</v>
      </c>
    </row>
    <row r="453" spans="1:23" x14ac:dyDescent="0.25">
      <c r="A453" t="s">
        <v>793</v>
      </c>
      <c r="B453" t="s">
        <v>527</v>
      </c>
      <c r="C453" s="6">
        <v>45900</v>
      </c>
      <c r="D453" t="s">
        <v>55</v>
      </c>
      <c r="E453" t="s">
        <v>56</v>
      </c>
      <c r="F453" t="s">
        <v>37</v>
      </c>
      <c r="G453" t="s">
        <v>38</v>
      </c>
      <c r="H453">
        <v>4</v>
      </c>
      <c r="I453">
        <v>2499</v>
      </c>
      <c r="J453">
        <v>0.1</v>
      </c>
      <c r="K453">
        <v>99</v>
      </c>
      <c r="L453" t="s">
        <v>29</v>
      </c>
      <c r="M453" t="s">
        <v>30</v>
      </c>
      <c r="N453" t="s">
        <v>31</v>
      </c>
      <c r="O453" t="s">
        <v>51</v>
      </c>
      <c r="P453" t="s">
        <v>33</v>
      </c>
      <c r="Q453">
        <v>5</v>
      </c>
      <c r="R453">
        <f>IFERROR(Table1_1[[#This Row],[Unit_Price]]*Table1_1[[#This Row],[Quantity]],"")</f>
        <v>9996</v>
      </c>
      <c r="S453">
        <f>IFERROR(Table1_1[[#This Row],[Gross_Sales]]*Table1_1[[#This Row],[Discount_%]],"")</f>
        <v>999.6</v>
      </c>
      <c r="T453">
        <f>IFERROR(Table1_1[[#This Row],[Gross_Sales]]-Table1_1[[#This Row],[Discount_amount]]+Table1_1[[#This Row],[Shipping_Cost]],"")</f>
        <v>9095.4</v>
      </c>
      <c r="U453">
        <f>IFERROR(Table1_1[[#This Row],[Net_Sale]]-(Table1_1[[#This Row],[Gross_Sales]]*70%),"")</f>
        <v>2098.1999999999998</v>
      </c>
      <c r="V453" s="7">
        <f>IFERROR(Table1_1[[#This Row],[Profit]]/Table1_1[[#This Row],[Net_Sale]],"")</f>
        <v>0.23068804010818655</v>
      </c>
      <c r="W453" t="str">
        <f>TEXT(Table1_1[[#This Row],[Order_Date]],"mmm")</f>
        <v>Aug</v>
      </c>
    </row>
    <row r="454" spans="1:23" x14ac:dyDescent="0.25">
      <c r="A454" t="s">
        <v>794</v>
      </c>
      <c r="B454" t="s">
        <v>175</v>
      </c>
      <c r="C454" s="6">
        <v>45857</v>
      </c>
      <c r="D454" t="s">
        <v>105</v>
      </c>
      <c r="E454" t="s">
        <v>106</v>
      </c>
      <c r="F454" t="s">
        <v>37</v>
      </c>
      <c r="G454" t="s">
        <v>107</v>
      </c>
      <c r="H454">
        <v>2</v>
      </c>
      <c r="I454">
        <v>1799</v>
      </c>
      <c r="J454">
        <v>0.2</v>
      </c>
      <c r="K454">
        <v>59</v>
      </c>
      <c r="L454" t="s">
        <v>29</v>
      </c>
      <c r="M454" t="s">
        <v>30</v>
      </c>
      <c r="N454" t="s">
        <v>50</v>
      </c>
      <c r="O454" t="s">
        <v>41</v>
      </c>
      <c r="P454" t="s">
        <v>33</v>
      </c>
      <c r="Q454">
        <v>5</v>
      </c>
      <c r="R454">
        <f>IFERROR(Table1_1[[#This Row],[Unit_Price]]*Table1_1[[#This Row],[Quantity]],"")</f>
        <v>3598</v>
      </c>
      <c r="S454">
        <f>IFERROR(Table1_1[[#This Row],[Gross_Sales]]*Table1_1[[#This Row],[Discount_%]],"")</f>
        <v>719.6</v>
      </c>
      <c r="T454">
        <f>IFERROR(Table1_1[[#This Row],[Gross_Sales]]-Table1_1[[#This Row],[Discount_amount]]+Table1_1[[#This Row],[Shipping_Cost]],"")</f>
        <v>2937.4</v>
      </c>
      <c r="U454">
        <f>IFERROR(Table1_1[[#This Row],[Net_Sale]]-(Table1_1[[#This Row],[Gross_Sales]]*70%),"")</f>
        <v>418.80000000000018</v>
      </c>
      <c r="V454" s="7">
        <f>IFERROR(Table1_1[[#This Row],[Profit]]/Table1_1[[#This Row],[Net_Sale]],"")</f>
        <v>0.1425750663852387</v>
      </c>
      <c r="W454" t="str">
        <f>TEXT(Table1_1[[#This Row],[Order_Date]],"mmm")</f>
        <v>Jul</v>
      </c>
    </row>
    <row r="455" spans="1:23" x14ac:dyDescent="0.25">
      <c r="A455" t="s">
        <v>795</v>
      </c>
      <c r="B455" t="s">
        <v>315</v>
      </c>
      <c r="C455" s="6">
        <v>45840</v>
      </c>
      <c r="D455" t="s">
        <v>105</v>
      </c>
      <c r="E455" t="s">
        <v>106</v>
      </c>
      <c r="F455" t="s">
        <v>37</v>
      </c>
      <c r="G455" t="s">
        <v>107</v>
      </c>
      <c r="H455">
        <v>1</v>
      </c>
      <c r="I455">
        <v>1799</v>
      </c>
      <c r="J455">
        <v>0.1</v>
      </c>
      <c r="K455">
        <v>99</v>
      </c>
      <c r="L455" t="s">
        <v>39</v>
      </c>
      <c r="M455" t="s">
        <v>39</v>
      </c>
      <c r="N455" t="s">
        <v>102</v>
      </c>
      <c r="O455" t="s">
        <v>59</v>
      </c>
      <c r="P455" t="s">
        <v>52</v>
      </c>
      <c r="Q455">
        <v>2</v>
      </c>
      <c r="R455">
        <f>IFERROR(Table1_1[[#This Row],[Unit_Price]]*Table1_1[[#This Row],[Quantity]],"")</f>
        <v>1799</v>
      </c>
      <c r="S455">
        <f>IFERROR(Table1_1[[#This Row],[Gross_Sales]]*Table1_1[[#This Row],[Discount_%]],"")</f>
        <v>179.9</v>
      </c>
      <c r="T455">
        <f>IFERROR(Table1_1[[#This Row],[Gross_Sales]]-Table1_1[[#This Row],[Discount_amount]]+Table1_1[[#This Row],[Shipping_Cost]],"")</f>
        <v>1718.1</v>
      </c>
      <c r="U455">
        <f>IFERROR(Table1_1[[#This Row],[Net_Sale]]-(Table1_1[[#This Row],[Gross_Sales]]*70%),"")</f>
        <v>458.79999999999995</v>
      </c>
      <c r="V455" s="7">
        <f>IFERROR(Table1_1[[#This Row],[Profit]]/Table1_1[[#This Row],[Net_Sale]],"")</f>
        <v>0.26703917117746345</v>
      </c>
      <c r="W455" t="str">
        <f>TEXT(Table1_1[[#This Row],[Order_Date]],"mmm")</f>
        <v>Jul</v>
      </c>
    </row>
    <row r="456" spans="1:23" x14ac:dyDescent="0.25">
      <c r="A456" t="s">
        <v>796</v>
      </c>
      <c r="B456" t="s">
        <v>265</v>
      </c>
      <c r="C456" s="6">
        <v>45963</v>
      </c>
      <c r="D456" t="s">
        <v>77</v>
      </c>
      <c r="E456" t="s">
        <v>78</v>
      </c>
      <c r="F456" t="s">
        <v>79</v>
      </c>
      <c r="G456" t="s">
        <v>28</v>
      </c>
      <c r="H456">
        <v>1</v>
      </c>
      <c r="I456">
        <v>6499</v>
      </c>
      <c r="J456">
        <v>0.2</v>
      </c>
      <c r="K456">
        <v>99</v>
      </c>
      <c r="L456" t="s">
        <v>83</v>
      </c>
      <c r="M456" t="s">
        <v>84</v>
      </c>
      <c r="N456" t="s">
        <v>102</v>
      </c>
      <c r="O456" t="s">
        <v>32</v>
      </c>
      <c r="P456" t="s">
        <v>80</v>
      </c>
      <c r="Q456">
        <v>3</v>
      </c>
      <c r="R456">
        <f>IFERROR(Table1_1[[#This Row],[Unit_Price]]*Table1_1[[#This Row],[Quantity]],"")</f>
        <v>6499</v>
      </c>
      <c r="S456">
        <f>IFERROR(Table1_1[[#This Row],[Gross_Sales]]*Table1_1[[#This Row],[Discount_%]],"")</f>
        <v>1299.8000000000002</v>
      </c>
      <c r="T456">
        <f>IFERROR(Table1_1[[#This Row],[Gross_Sales]]-Table1_1[[#This Row],[Discount_amount]]+Table1_1[[#This Row],[Shipping_Cost]],"")</f>
        <v>5298.2</v>
      </c>
      <c r="U456">
        <f>IFERROR(Table1_1[[#This Row],[Net_Sale]]-(Table1_1[[#This Row],[Gross_Sales]]*70%),"")</f>
        <v>748.90000000000055</v>
      </c>
      <c r="V456" s="7">
        <f>IFERROR(Table1_1[[#This Row],[Profit]]/Table1_1[[#This Row],[Net_Sale]],"")</f>
        <v>0.14134989241629242</v>
      </c>
      <c r="W456" t="str">
        <f>TEXT(Table1_1[[#This Row],[Order_Date]],"mmm")</f>
        <v>Nov</v>
      </c>
    </row>
    <row r="457" spans="1:23" x14ac:dyDescent="0.25">
      <c r="A457" t="s">
        <v>797</v>
      </c>
      <c r="B457" t="s">
        <v>43</v>
      </c>
      <c r="C457" s="6">
        <v>45703</v>
      </c>
      <c r="D457" t="s">
        <v>169</v>
      </c>
      <c r="E457" t="s">
        <v>170</v>
      </c>
      <c r="F457" t="s">
        <v>98</v>
      </c>
      <c r="G457" t="s">
        <v>171</v>
      </c>
      <c r="H457">
        <v>2</v>
      </c>
      <c r="I457">
        <v>799</v>
      </c>
      <c r="J457">
        <v>0.1</v>
      </c>
      <c r="K457">
        <v>59</v>
      </c>
      <c r="L457" t="s">
        <v>119</v>
      </c>
      <c r="M457" t="s">
        <v>120</v>
      </c>
      <c r="N457" t="s">
        <v>71</v>
      </c>
      <c r="O457" t="s">
        <v>93</v>
      </c>
      <c r="P457" t="s">
        <v>33</v>
      </c>
      <c r="Q457">
        <v>1</v>
      </c>
      <c r="R457">
        <f>IFERROR(Table1_1[[#This Row],[Unit_Price]]*Table1_1[[#This Row],[Quantity]],"")</f>
        <v>1598</v>
      </c>
      <c r="S457">
        <f>IFERROR(Table1_1[[#This Row],[Gross_Sales]]*Table1_1[[#This Row],[Discount_%]],"")</f>
        <v>159.80000000000001</v>
      </c>
      <c r="T457">
        <f>IFERROR(Table1_1[[#This Row],[Gross_Sales]]-Table1_1[[#This Row],[Discount_amount]]+Table1_1[[#This Row],[Shipping_Cost]],"")</f>
        <v>1497.2</v>
      </c>
      <c r="U457">
        <f>IFERROR(Table1_1[[#This Row],[Net_Sale]]-(Table1_1[[#This Row],[Gross_Sales]]*70%),"")</f>
        <v>378.60000000000014</v>
      </c>
      <c r="V457" s="7">
        <f>IFERROR(Table1_1[[#This Row],[Profit]]/Table1_1[[#This Row],[Net_Sale]],"")</f>
        <v>0.25287202778519913</v>
      </c>
      <c r="W457" t="str">
        <f>TEXT(Table1_1[[#This Row],[Order_Date]],"mmm")</f>
        <v>Feb</v>
      </c>
    </row>
    <row r="458" spans="1:23" x14ac:dyDescent="0.25">
      <c r="A458" t="s">
        <v>798</v>
      </c>
      <c r="B458" t="s">
        <v>634</v>
      </c>
      <c r="C458" s="6">
        <v>45898</v>
      </c>
      <c r="D458" t="s">
        <v>62</v>
      </c>
      <c r="E458" t="s">
        <v>63</v>
      </c>
      <c r="F458" t="s">
        <v>46</v>
      </c>
      <c r="G458" t="s">
        <v>64</v>
      </c>
      <c r="H458">
        <v>1</v>
      </c>
      <c r="I458">
        <v>699</v>
      </c>
      <c r="J458">
        <v>0</v>
      </c>
      <c r="K458">
        <v>79</v>
      </c>
      <c r="L458" t="s">
        <v>100</v>
      </c>
      <c r="M458" t="s">
        <v>101</v>
      </c>
      <c r="N458" t="s">
        <v>31</v>
      </c>
      <c r="O458" t="s">
        <v>59</v>
      </c>
      <c r="P458" t="s">
        <v>80</v>
      </c>
      <c r="Q458">
        <v>3</v>
      </c>
      <c r="R458">
        <f>IFERROR(Table1_1[[#This Row],[Unit_Price]]*Table1_1[[#This Row],[Quantity]],"")</f>
        <v>699</v>
      </c>
      <c r="S458">
        <f>IFERROR(Table1_1[[#This Row],[Gross_Sales]]*Table1_1[[#This Row],[Discount_%]],"")</f>
        <v>0</v>
      </c>
      <c r="T458">
        <f>IFERROR(Table1_1[[#This Row],[Gross_Sales]]-Table1_1[[#This Row],[Discount_amount]]+Table1_1[[#This Row],[Shipping_Cost]],"")</f>
        <v>778</v>
      </c>
      <c r="U458">
        <f>IFERROR(Table1_1[[#This Row],[Net_Sale]]-(Table1_1[[#This Row],[Gross_Sales]]*70%),"")</f>
        <v>288.70000000000005</v>
      </c>
      <c r="V458" s="7">
        <f>IFERROR(Table1_1[[#This Row],[Profit]]/Table1_1[[#This Row],[Net_Sale]],"")</f>
        <v>0.37107969151670955</v>
      </c>
      <c r="W458" t="str">
        <f>TEXT(Table1_1[[#This Row],[Order_Date]],"mmm")</f>
        <v>Aug</v>
      </c>
    </row>
    <row r="459" spans="1:23" x14ac:dyDescent="0.25">
      <c r="A459" t="s">
        <v>799</v>
      </c>
      <c r="B459" t="s">
        <v>800</v>
      </c>
      <c r="C459" s="6">
        <v>45661</v>
      </c>
      <c r="D459" t="s">
        <v>110</v>
      </c>
      <c r="E459" t="s">
        <v>111</v>
      </c>
      <c r="F459" t="s">
        <v>98</v>
      </c>
      <c r="G459" t="s">
        <v>112</v>
      </c>
      <c r="H459">
        <v>1</v>
      </c>
      <c r="I459">
        <v>2999</v>
      </c>
      <c r="J459">
        <v>0.1</v>
      </c>
      <c r="K459">
        <v>99</v>
      </c>
      <c r="L459" t="s">
        <v>125</v>
      </c>
      <c r="M459" t="s">
        <v>126</v>
      </c>
      <c r="N459" t="s">
        <v>40</v>
      </c>
      <c r="O459" t="s">
        <v>41</v>
      </c>
      <c r="P459" t="s">
        <v>33</v>
      </c>
      <c r="Q459">
        <v>2</v>
      </c>
      <c r="R459">
        <f>IFERROR(Table1_1[[#This Row],[Unit_Price]]*Table1_1[[#This Row],[Quantity]],"")</f>
        <v>2999</v>
      </c>
      <c r="S459">
        <f>IFERROR(Table1_1[[#This Row],[Gross_Sales]]*Table1_1[[#This Row],[Discount_%]],"")</f>
        <v>299.90000000000003</v>
      </c>
      <c r="T459">
        <f>IFERROR(Table1_1[[#This Row],[Gross_Sales]]-Table1_1[[#This Row],[Discount_amount]]+Table1_1[[#This Row],[Shipping_Cost]],"")</f>
        <v>2798.1</v>
      </c>
      <c r="U459">
        <f>IFERROR(Table1_1[[#This Row],[Net_Sale]]-(Table1_1[[#This Row],[Gross_Sales]]*70%),"")</f>
        <v>698.80000000000018</v>
      </c>
      <c r="V459" s="7">
        <f>IFERROR(Table1_1[[#This Row],[Profit]]/Table1_1[[#This Row],[Net_Sale]],"")</f>
        <v>0.24974089560773388</v>
      </c>
      <c r="W459" t="str">
        <f>TEXT(Table1_1[[#This Row],[Order_Date]],"mmm")</f>
        <v>Jan</v>
      </c>
    </row>
    <row r="460" spans="1:23" x14ac:dyDescent="0.25">
      <c r="A460" t="s">
        <v>801</v>
      </c>
      <c r="B460" t="s">
        <v>516</v>
      </c>
      <c r="C460" s="6">
        <v>45770</v>
      </c>
      <c r="D460" t="s">
        <v>77</v>
      </c>
      <c r="E460" t="s">
        <v>78</v>
      </c>
      <c r="F460" t="s">
        <v>79</v>
      </c>
      <c r="G460" t="s">
        <v>28</v>
      </c>
      <c r="H460">
        <v>3</v>
      </c>
      <c r="I460">
        <v>6499</v>
      </c>
      <c r="J460">
        <v>0.2</v>
      </c>
      <c r="K460">
        <v>49</v>
      </c>
      <c r="L460" t="s">
        <v>57</v>
      </c>
      <c r="M460" t="s">
        <v>58</v>
      </c>
      <c r="N460" t="s">
        <v>102</v>
      </c>
      <c r="O460" t="s">
        <v>51</v>
      </c>
      <c r="P460" t="s">
        <v>52</v>
      </c>
      <c r="Q460">
        <v>3</v>
      </c>
      <c r="R460">
        <f>IFERROR(Table1_1[[#This Row],[Unit_Price]]*Table1_1[[#This Row],[Quantity]],"")</f>
        <v>19497</v>
      </c>
      <c r="S460">
        <f>IFERROR(Table1_1[[#This Row],[Gross_Sales]]*Table1_1[[#This Row],[Discount_%]],"")</f>
        <v>3899.4</v>
      </c>
      <c r="T460">
        <f>IFERROR(Table1_1[[#This Row],[Gross_Sales]]-Table1_1[[#This Row],[Discount_amount]]+Table1_1[[#This Row],[Shipping_Cost]],"")</f>
        <v>15646.6</v>
      </c>
      <c r="U460">
        <f>IFERROR(Table1_1[[#This Row],[Net_Sale]]-(Table1_1[[#This Row],[Gross_Sales]]*70%),"")</f>
        <v>1998.7000000000007</v>
      </c>
      <c r="V460" s="7">
        <f>IFERROR(Table1_1[[#This Row],[Profit]]/Table1_1[[#This Row],[Net_Sale]],"")</f>
        <v>0.12774021193102658</v>
      </c>
      <c r="W460" t="str">
        <f>TEXT(Table1_1[[#This Row],[Order_Date]],"mmm")</f>
        <v>Apr</v>
      </c>
    </row>
    <row r="461" spans="1:23" x14ac:dyDescent="0.25">
      <c r="A461" t="s">
        <v>802</v>
      </c>
      <c r="B461" t="s">
        <v>403</v>
      </c>
      <c r="C461" s="6">
        <v>45869</v>
      </c>
      <c r="D461" t="s">
        <v>25</v>
      </c>
      <c r="E461" t="s">
        <v>26</v>
      </c>
      <c r="F461" t="s">
        <v>27</v>
      </c>
      <c r="G461" t="s">
        <v>28</v>
      </c>
      <c r="H461">
        <v>3</v>
      </c>
      <c r="I461">
        <v>249</v>
      </c>
      <c r="J461">
        <v>0</v>
      </c>
      <c r="K461">
        <v>49</v>
      </c>
      <c r="L461" t="s">
        <v>83</v>
      </c>
      <c r="M461" t="s">
        <v>84</v>
      </c>
      <c r="N461" t="s">
        <v>31</v>
      </c>
      <c r="O461" t="s">
        <v>59</v>
      </c>
      <c r="P461" t="s">
        <v>33</v>
      </c>
      <c r="Q461">
        <v>5</v>
      </c>
      <c r="R461">
        <f>IFERROR(Table1_1[[#This Row],[Unit_Price]]*Table1_1[[#This Row],[Quantity]],"")</f>
        <v>747</v>
      </c>
      <c r="S461">
        <f>IFERROR(Table1_1[[#This Row],[Gross_Sales]]*Table1_1[[#This Row],[Discount_%]],"")</f>
        <v>0</v>
      </c>
      <c r="T461">
        <f>IFERROR(Table1_1[[#This Row],[Gross_Sales]]-Table1_1[[#This Row],[Discount_amount]]+Table1_1[[#This Row],[Shipping_Cost]],"")</f>
        <v>796</v>
      </c>
      <c r="U461">
        <f>IFERROR(Table1_1[[#This Row],[Net_Sale]]-(Table1_1[[#This Row],[Gross_Sales]]*70%),"")</f>
        <v>273.10000000000002</v>
      </c>
      <c r="V461" s="7">
        <f>IFERROR(Table1_1[[#This Row],[Profit]]/Table1_1[[#This Row],[Net_Sale]],"")</f>
        <v>0.34309045226130658</v>
      </c>
      <c r="W461" t="str">
        <f>TEXT(Table1_1[[#This Row],[Order_Date]],"mmm")</f>
        <v>Jul</v>
      </c>
    </row>
    <row r="462" spans="1:23" x14ac:dyDescent="0.25">
      <c r="A462" t="s">
        <v>803</v>
      </c>
      <c r="B462" t="s">
        <v>224</v>
      </c>
      <c r="C462" s="6">
        <v>45909</v>
      </c>
      <c r="D462" t="s">
        <v>90</v>
      </c>
      <c r="E462" t="s">
        <v>91</v>
      </c>
      <c r="F462" t="s">
        <v>37</v>
      </c>
      <c r="G462" t="s">
        <v>92</v>
      </c>
      <c r="H462">
        <v>2</v>
      </c>
      <c r="I462">
        <v>3499</v>
      </c>
      <c r="J462">
        <v>0</v>
      </c>
      <c r="K462">
        <v>0</v>
      </c>
      <c r="L462" t="s">
        <v>48</v>
      </c>
      <c r="M462" t="s">
        <v>49</v>
      </c>
      <c r="N462" t="s">
        <v>31</v>
      </c>
      <c r="O462" t="s">
        <v>41</v>
      </c>
      <c r="P462" t="s">
        <v>33</v>
      </c>
      <c r="Q462">
        <v>1</v>
      </c>
      <c r="R462">
        <f>IFERROR(Table1_1[[#This Row],[Unit_Price]]*Table1_1[[#This Row],[Quantity]],"")</f>
        <v>6998</v>
      </c>
      <c r="S462">
        <f>IFERROR(Table1_1[[#This Row],[Gross_Sales]]*Table1_1[[#This Row],[Discount_%]],"")</f>
        <v>0</v>
      </c>
      <c r="T462">
        <f>IFERROR(Table1_1[[#This Row],[Gross_Sales]]-Table1_1[[#This Row],[Discount_amount]]+Table1_1[[#This Row],[Shipping_Cost]],"")</f>
        <v>6998</v>
      </c>
      <c r="U462">
        <f>IFERROR(Table1_1[[#This Row],[Net_Sale]]-(Table1_1[[#This Row],[Gross_Sales]]*70%),"")</f>
        <v>2099.4000000000005</v>
      </c>
      <c r="V462" s="7">
        <f>IFERROR(Table1_1[[#This Row],[Profit]]/Table1_1[[#This Row],[Net_Sale]],"")</f>
        <v>0.3000000000000001</v>
      </c>
      <c r="W462" t="str">
        <f>TEXT(Table1_1[[#This Row],[Order_Date]],"mmm")</f>
        <v>Sep</v>
      </c>
    </row>
    <row r="463" spans="1:23" x14ac:dyDescent="0.25">
      <c r="A463" t="s">
        <v>804</v>
      </c>
      <c r="B463" t="s">
        <v>805</v>
      </c>
      <c r="C463" s="6">
        <v>45882</v>
      </c>
      <c r="D463" t="s">
        <v>110</v>
      </c>
      <c r="E463" t="s">
        <v>111</v>
      </c>
      <c r="F463" t="s">
        <v>98</v>
      </c>
      <c r="G463" t="s">
        <v>112</v>
      </c>
      <c r="H463">
        <v>1</v>
      </c>
      <c r="I463">
        <v>2999</v>
      </c>
      <c r="J463">
        <v>0</v>
      </c>
      <c r="K463">
        <v>49</v>
      </c>
      <c r="L463" t="s">
        <v>48</v>
      </c>
      <c r="M463" t="s">
        <v>49</v>
      </c>
      <c r="N463" t="s">
        <v>40</v>
      </c>
      <c r="O463" t="s">
        <v>41</v>
      </c>
      <c r="P463" t="s">
        <v>33</v>
      </c>
      <c r="Q463">
        <v>3</v>
      </c>
      <c r="R463">
        <f>IFERROR(Table1_1[[#This Row],[Unit_Price]]*Table1_1[[#This Row],[Quantity]],"")</f>
        <v>2999</v>
      </c>
      <c r="S463">
        <f>IFERROR(Table1_1[[#This Row],[Gross_Sales]]*Table1_1[[#This Row],[Discount_%]],"")</f>
        <v>0</v>
      </c>
      <c r="T463">
        <f>IFERROR(Table1_1[[#This Row],[Gross_Sales]]-Table1_1[[#This Row],[Discount_amount]]+Table1_1[[#This Row],[Shipping_Cost]],"")</f>
        <v>3048</v>
      </c>
      <c r="U463">
        <f>IFERROR(Table1_1[[#This Row],[Net_Sale]]-(Table1_1[[#This Row],[Gross_Sales]]*70%),"")</f>
        <v>948.70000000000027</v>
      </c>
      <c r="V463" s="7">
        <f>IFERROR(Table1_1[[#This Row],[Profit]]/Table1_1[[#This Row],[Net_Sale]],"")</f>
        <v>0.31125328083989512</v>
      </c>
      <c r="W463" t="str">
        <f>TEXT(Table1_1[[#This Row],[Order_Date]],"mmm")</f>
        <v>Aug</v>
      </c>
    </row>
    <row r="464" spans="1:23" x14ac:dyDescent="0.25">
      <c r="A464" t="s">
        <v>806</v>
      </c>
      <c r="B464" t="s">
        <v>618</v>
      </c>
      <c r="C464" s="6">
        <v>45913</v>
      </c>
      <c r="D464" t="s">
        <v>96</v>
      </c>
      <c r="E464" t="s">
        <v>97</v>
      </c>
      <c r="F464" t="s">
        <v>98</v>
      </c>
      <c r="G464" t="s">
        <v>99</v>
      </c>
      <c r="H464">
        <v>3</v>
      </c>
      <c r="I464">
        <v>1499</v>
      </c>
      <c r="J464">
        <v>0</v>
      </c>
      <c r="K464">
        <v>59</v>
      </c>
      <c r="L464" t="s">
        <v>48</v>
      </c>
      <c r="M464" t="s">
        <v>49</v>
      </c>
      <c r="N464" t="s">
        <v>50</v>
      </c>
      <c r="O464" t="s">
        <v>93</v>
      </c>
      <c r="P464" t="s">
        <v>80</v>
      </c>
      <c r="Q464">
        <v>3</v>
      </c>
      <c r="R464">
        <f>IFERROR(Table1_1[[#This Row],[Unit_Price]]*Table1_1[[#This Row],[Quantity]],"")</f>
        <v>4497</v>
      </c>
      <c r="S464">
        <f>IFERROR(Table1_1[[#This Row],[Gross_Sales]]*Table1_1[[#This Row],[Discount_%]],"")</f>
        <v>0</v>
      </c>
      <c r="T464">
        <f>IFERROR(Table1_1[[#This Row],[Gross_Sales]]-Table1_1[[#This Row],[Discount_amount]]+Table1_1[[#This Row],[Shipping_Cost]],"")</f>
        <v>4556</v>
      </c>
      <c r="U464">
        <f>IFERROR(Table1_1[[#This Row],[Net_Sale]]-(Table1_1[[#This Row],[Gross_Sales]]*70%),"")</f>
        <v>1408.1000000000004</v>
      </c>
      <c r="V464" s="7">
        <f>IFERROR(Table1_1[[#This Row],[Profit]]/Table1_1[[#This Row],[Net_Sale]],"")</f>
        <v>0.30906496927129068</v>
      </c>
      <c r="W464" t="str">
        <f>TEXT(Table1_1[[#This Row],[Order_Date]],"mmm")</f>
        <v>Sep</v>
      </c>
    </row>
    <row r="465" spans="1:23" x14ac:dyDescent="0.25">
      <c r="A465" t="s">
        <v>807</v>
      </c>
      <c r="B465" t="s">
        <v>587</v>
      </c>
      <c r="C465" s="6">
        <v>45750</v>
      </c>
      <c r="D465" t="s">
        <v>96</v>
      </c>
      <c r="E465" t="s">
        <v>97</v>
      </c>
      <c r="F465" t="s">
        <v>98</v>
      </c>
      <c r="G465" t="s">
        <v>99</v>
      </c>
      <c r="H465">
        <v>2</v>
      </c>
      <c r="I465">
        <v>1499</v>
      </c>
      <c r="J465">
        <v>0.1</v>
      </c>
      <c r="K465">
        <v>0</v>
      </c>
      <c r="L465" t="s">
        <v>29</v>
      </c>
      <c r="M465" t="s">
        <v>30</v>
      </c>
      <c r="N465" t="s">
        <v>50</v>
      </c>
      <c r="O465" t="s">
        <v>59</v>
      </c>
      <c r="P465" t="s">
        <v>33</v>
      </c>
      <c r="Q465">
        <v>3</v>
      </c>
      <c r="R465">
        <f>IFERROR(Table1_1[[#This Row],[Unit_Price]]*Table1_1[[#This Row],[Quantity]],"")</f>
        <v>2998</v>
      </c>
      <c r="S465">
        <f>IFERROR(Table1_1[[#This Row],[Gross_Sales]]*Table1_1[[#This Row],[Discount_%]],"")</f>
        <v>299.8</v>
      </c>
      <c r="T465">
        <f>IFERROR(Table1_1[[#This Row],[Gross_Sales]]-Table1_1[[#This Row],[Discount_amount]]+Table1_1[[#This Row],[Shipping_Cost]],"")</f>
        <v>2698.2</v>
      </c>
      <c r="U465">
        <f>IFERROR(Table1_1[[#This Row],[Net_Sale]]-(Table1_1[[#This Row],[Gross_Sales]]*70%),"")</f>
        <v>599.59999999999991</v>
      </c>
      <c r="V465" s="7">
        <f>IFERROR(Table1_1[[#This Row],[Profit]]/Table1_1[[#This Row],[Net_Sale]],"")</f>
        <v>0.22222222222222221</v>
      </c>
      <c r="W465" t="str">
        <f>TEXT(Table1_1[[#This Row],[Order_Date]],"mmm")</f>
        <v>Apr</v>
      </c>
    </row>
    <row r="466" spans="1:23" x14ac:dyDescent="0.25">
      <c r="A466" t="s">
        <v>808</v>
      </c>
      <c r="B466" t="s">
        <v>809</v>
      </c>
      <c r="C466" s="6">
        <v>45675</v>
      </c>
      <c r="D466" t="s">
        <v>90</v>
      </c>
      <c r="E466" t="s">
        <v>91</v>
      </c>
      <c r="F466" t="s">
        <v>37</v>
      </c>
      <c r="G466" t="s">
        <v>92</v>
      </c>
      <c r="H466">
        <v>2</v>
      </c>
      <c r="I466">
        <v>3499</v>
      </c>
      <c r="J466">
        <v>0</v>
      </c>
      <c r="K466">
        <v>99</v>
      </c>
      <c r="L466" t="s">
        <v>113</v>
      </c>
      <c r="M466" t="s">
        <v>114</v>
      </c>
      <c r="N466" t="s">
        <v>40</v>
      </c>
      <c r="O466" t="s">
        <v>59</v>
      </c>
      <c r="P466" t="s">
        <v>80</v>
      </c>
      <c r="Q466">
        <v>3</v>
      </c>
      <c r="R466">
        <f>IFERROR(Table1_1[[#This Row],[Unit_Price]]*Table1_1[[#This Row],[Quantity]],"")</f>
        <v>6998</v>
      </c>
      <c r="S466">
        <f>IFERROR(Table1_1[[#This Row],[Gross_Sales]]*Table1_1[[#This Row],[Discount_%]],"")</f>
        <v>0</v>
      </c>
      <c r="T466">
        <f>IFERROR(Table1_1[[#This Row],[Gross_Sales]]-Table1_1[[#This Row],[Discount_amount]]+Table1_1[[#This Row],[Shipping_Cost]],"")</f>
        <v>7097</v>
      </c>
      <c r="U466">
        <f>IFERROR(Table1_1[[#This Row],[Net_Sale]]-(Table1_1[[#This Row],[Gross_Sales]]*70%),"")</f>
        <v>2198.4000000000005</v>
      </c>
      <c r="V466" s="7">
        <f>IFERROR(Table1_1[[#This Row],[Profit]]/Table1_1[[#This Row],[Net_Sale]],"")</f>
        <v>0.30976468930534035</v>
      </c>
      <c r="W466" t="str">
        <f>TEXT(Table1_1[[#This Row],[Order_Date]],"mmm")</f>
        <v>Jan</v>
      </c>
    </row>
    <row r="467" spans="1:23" x14ac:dyDescent="0.25">
      <c r="A467" t="s">
        <v>810</v>
      </c>
      <c r="B467" t="s">
        <v>1618</v>
      </c>
      <c r="C467" s="6">
        <v>45679</v>
      </c>
      <c r="D467" t="s">
        <v>110</v>
      </c>
      <c r="E467" t="s">
        <v>111</v>
      </c>
      <c r="F467" t="s">
        <v>98</v>
      </c>
      <c r="G467" t="s">
        <v>112</v>
      </c>
      <c r="H467">
        <v>1</v>
      </c>
      <c r="I467">
        <v>2999</v>
      </c>
      <c r="J467">
        <v>0.15</v>
      </c>
      <c r="K467">
        <v>0</v>
      </c>
      <c r="L467" t="s">
        <v>74</v>
      </c>
      <c r="M467" t="s">
        <v>49</v>
      </c>
      <c r="N467" t="s">
        <v>40</v>
      </c>
      <c r="O467" t="s">
        <v>51</v>
      </c>
      <c r="P467" t="s">
        <v>85</v>
      </c>
      <c r="Q467">
        <v>2</v>
      </c>
      <c r="R467">
        <f>IFERROR(Table1_1[[#This Row],[Unit_Price]]*Table1_1[[#This Row],[Quantity]],"")</f>
        <v>2999</v>
      </c>
      <c r="S467">
        <f>IFERROR(Table1_1[[#This Row],[Gross_Sales]]*Table1_1[[#This Row],[Discount_%]],"")</f>
        <v>449.84999999999997</v>
      </c>
      <c r="T467">
        <f>IFERROR(Table1_1[[#This Row],[Gross_Sales]]-Table1_1[[#This Row],[Discount_amount]]+Table1_1[[#This Row],[Shipping_Cost]],"")</f>
        <v>2549.15</v>
      </c>
      <c r="U467">
        <f>IFERROR(Table1_1[[#This Row],[Net_Sale]]-(Table1_1[[#This Row],[Gross_Sales]]*70%),"")</f>
        <v>449.85000000000036</v>
      </c>
      <c r="V467" s="7">
        <f>IFERROR(Table1_1[[#This Row],[Profit]]/Table1_1[[#This Row],[Net_Sale]],"")</f>
        <v>0.17647058823529427</v>
      </c>
      <c r="W467" t="str">
        <f>TEXT(Table1_1[[#This Row],[Order_Date]],"mmm")</f>
        <v>Jan</v>
      </c>
    </row>
    <row r="468" spans="1:23" x14ac:dyDescent="0.25">
      <c r="A468" t="s">
        <v>811</v>
      </c>
      <c r="B468" t="s">
        <v>805</v>
      </c>
      <c r="C468" s="6">
        <v>45769</v>
      </c>
      <c r="D468" t="s">
        <v>169</v>
      </c>
      <c r="E468" t="s">
        <v>170</v>
      </c>
      <c r="F468" t="s">
        <v>98</v>
      </c>
      <c r="G468" t="s">
        <v>171</v>
      </c>
      <c r="H468">
        <v>3</v>
      </c>
      <c r="I468">
        <v>799</v>
      </c>
      <c r="J468">
        <v>0.1</v>
      </c>
      <c r="K468">
        <v>59</v>
      </c>
      <c r="L468" t="s">
        <v>39</v>
      </c>
      <c r="M468" t="s">
        <v>39</v>
      </c>
      <c r="N468" t="s">
        <v>50</v>
      </c>
      <c r="O468" t="s">
        <v>51</v>
      </c>
      <c r="P468" t="s">
        <v>80</v>
      </c>
      <c r="Q468">
        <v>5</v>
      </c>
      <c r="R468">
        <f>IFERROR(Table1_1[[#This Row],[Unit_Price]]*Table1_1[[#This Row],[Quantity]],"")</f>
        <v>2397</v>
      </c>
      <c r="S468">
        <f>IFERROR(Table1_1[[#This Row],[Gross_Sales]]*Table1_1[[#This Row],[Discount_%]],"")</f>
        <v>239.70000000000002</v>
      </c>
      <c r="T468">
        <f>IFERROR(Table1_1[[#This Row],[Gross_Sales]]-Table1_1[[#This Row],[Discount_amount]]+Table1_1[[#This Row],[Shipping_Cost]],"")</f>
        <v>2216.3000000000002</v>
      </c>
      <c r="U468">
        <f>IFERROR(Table1_1[[#This Row],[Net_Sale]]-(Table1_1[[#This Row],[Gross_Sales]]*70%),"")</f>
        <v>538.40000000000032</v>
      </c>
      <c r="V468" s="7">
        <f>IFERROR(Table1_1[[#This Row],[Profit]]/Table1_1[[#This Row],[Net_Sale]],"")</f>
        <v>0.24292740152506442</v>
      </c>
      <c r="W468" t="str">
        <f>TEXT(Table1_1[[#This Row],[Order_Date]],"mmm")</f>
        <v>Apr</v>
      </c>
    </row>
    <row r="469" spans="1:23" x14ac:dyDescent="0.25">
      <c r="A469" t="s">
        <v>812</v>
      </c>
      <c r="B469" t="s">
        <v>43</v>
      </c>
      <c r="C469" s="6">
        <v>45662</v>
      </c>
      <c r="D469" t="s">
        <v>55</v>
      </c>
      <c r="E469" t="s">
        <v>56</v>
      </c>
      <c r="F469" t="s">
        <v>37</v>
      </c>
      <c r="G469" t="s">
        <v>38</v>
      </c>
      <c r="H469">
        <v>3</v>
      </c>
      <c r="I469">
        <v>2499</v>
      </c>
      <c r="J469">
        <v>0.1</v>
      </c>
      <c r="K469">
        <v>99</v>
      </c>
      <c r="L469" t="s">
        <v>57</v>
      </c>
      <c r="M469" t="s">
        <v>58</v>
      </c>
      <c r="N469" t="s">
        <v>71</v>
      </c>
      <c r="O469" t="s">
        <v>93</v>
      </c>
      <c r="P469" t="s">
        <v>80</v>
      </c>
      <c r="Q469">
        <v>2</v>
      </c>
      <c r="R469">
        <f>IFERROR(Table1_1[[#This Row],[Unit_Price]]*Table1_1[[#This Row],[Quantity]],"")</f>
        <v>7497</v>
      </c>
      <c r="S469">
        <f>IFERROR(Table1_1[[#This Row],[Gross_Sales]]*Table1_1[[#This Row],[Discount_%]],"")</f>
        <v>749.7</v>
      </c>
      <c r="T469">
        <f>IFERROR(Table1_1[[#This Row],[Gross_Sales]]-Table1_1[[#This Row],[Discount_amount]]+Table1_1[[#This Row],[Shipping_Cost]],"")</f>
        <v>6846.3</v>
      </c>
      <c r="U469">
        <f>IFERROR(Table1_1[[#This Row],[Net_Sale]]-(Table1_1[[#This Row],[Gross_Sales]]*70%),"")</f>
        <v>1598.4000000000005</v>
      </c>
      <c r="V469" s="7">
        <f>IFERROR(Table1_1[[#This Row],[Profit]]/Table1_1[[#This Row],[Net_Sale]],"")</f>
        <v>0.23346917313001189</v>
      </c>
      <c r="W469" t="str">
        <f>TEXT(Table1_1[[#This Row],[Order_Date]],"mmm")</f>
        <v>Jan</v>
      </c>
    </row>
    <row r="470" spans="1:23" x14ac:dyDescent="0.25">
      <c r="A470" t="s">
        <v>813</v>
      </c>
      <c r="B470" t="s">
        <v>814</v>
      </c>
      <c r="C470" s="6">
        <v>45974</v>
      </c>
      <c r="D470" t="s">
        <v>105</v>
      </c>
      <c r="E470" t="s">
        <v>106</v>
      </c>
      <c r="F470" t="s">
        <v>37</v>
      </c>
      <c r="G470" t="s">
        <v>107</v>
      </c>
      <c r="H470">
        <v>1</v>
      </c>
      <c r="I470">
        <v>1799</v>
      </c>
      <c r="J470">
        <v>0</v>
      </c>
      <c r="K470">
        <v>0</v>
      </c>
      <c r="L470" t="s">
        <v>119</v>
      </c>
      <c r="M470" t="s">
        <v>120</v>
      </c>
      <c r="N470" t="s">
        <v>50</v>
      </c>
      <c r="O470" t="s">
        <v>32</v>
      </c>
      <c r="P470" t="s">
        <v>80</v>
      </c>
      <c r="Q470">
        <v>3</v>
      </c>
      <c r="R470">
        <f>IFERROR(Table1_1[[#This Row],[Unit_Price]]*Table1_1[[#This Row],[Quantity]],"")</f>
        <v>1799</v>
      </c>
      <c r="S470">
        <f>IFERROR(Table1_1[[#This Row],[Gross_Sales]]*Table1_1[[#This Row],[Discount_%]],"")</f>
        <v>0</v>
      </c>
      <c r="T470">
        <f>IFERROR(Table1_1[[#This Row],[Gross_Sales]]-Table1_1[[#This Row],[Discount_amount]]+Table1_1[[#This Row],[Shipping_Cost]],"")</f>
        <v>1799</v>
      </c>
      <c r="U470">
        <f>IFERROR(Table1_1[[#This Row],[Net_Sale]]-(Table1_1[[#This Row],[Gross_Sales]]*70%),"")</f>
        <v>539.70000000000005</v>
      </c>
      <c r="V470" s="7">
        <f>IFERROR(Table1_1[[#This Row],[Profit]]/Table1_1[[#This Row],[Net_Sale]],"")</f>
        <v>0.30000000000000004</v>
      </c>
      <c r="W470" t="str">
        <f>TEXT(Table1_1[[#This Row],[Order_Date]],"mmm")</f>
        <v>Nov</v>
      </c>
    </row>
    <row r="471" spans="1:23" x14ac:dyDescent="0.25">
      <c r="A471" t="s">
        <v>815</v>
      </c>
      <c r="B471" t="s">
        <v>160</v>
      </c>
      <c r="C471" s="6">
        <v>45820</v>
      </c>
      <c r="D471" t="s">
        <v>55</v>
      </c>
      <c r="E471" t="s">
        <v>56</v>
      </c>
      <c r="F471" t="s">
        <v>37</v>
      </c>
      <c r="G471" t="s">
        <v>38</v>
      </c>
      <c r="H471">
        <v>2</v>
      </c>
      <c r="I471">
        <v>2499</v>
      </c>
      <c r="J471">
        <v>0.05</v>
      </c>
      <c r="K471">
        <v>79</v>
      </c>
      <c r="L471" t="s">
        <v>100</v>
      </c>
      <c r="M471" t="s">
        <v>101</v>
      </c>
      <c r="N471" t="s">
        <v>31</v>
      </c>
      <c r="O471" t="s">
        <v>59</v>
      </c>
      <c r="P471" t="s">
        <v>80</v>
      </c>
      <c r="Q471">
        <v>3</v>
      </c>
      <c r="R471">
        <f>IFERROR(Table1_1[[#This Row],[Unit_Price]]*Table1_1[[#This Row],[Quantity]],"")</f>
        <v>4998</v>
      </c>
      <c r="S471">
        <f>IFERROR(Table1_1[[#This Row],[Gross_Sales]]*Table1_1[[#This Row],[Discount_%]],"")</f>
        <v>249.9</v>
      </c>
      <c r="T471">
        <f>IFERROR(Table1_1[[#This Row],[Gross_Sales]]-Table1_1[[#This Row],[Discount_amount]]+Table1_1[[#This Row],[Shipping_Cost]],"")</f>
        <v>4827.1000000000004</v>
      </c>
      <c r="U471">
        <f>IFERROR(Table1_1[[#This Row],[Net_Sale]]-(Table1_1[[#This Row],[Gross_Sales]]*70%),"")</f>
        <v>1328.5000000000005</v>
      </c>
      <c r="V471" s="7">
        <f>IFERROR(Table1_1[[#This Row],[Profit]]/Table1_1[[#This Row],[Net_Sale]],"")</f>
        <v>0.27521700399825988</v>
      </c>
      <c r="W471" t="str">
        <f>TEXT(Table1_1[[#This Row],[Order_Date]],"mmm")</f>
        <v>Jun</v>
      </c>
    </row>
    <row r="472" spans="1:23" x14ac:dyDescent="0.25">
      <c r="A472" t="s">
        <v>816</v>
      </c>
      <c r="B472" t="s">
        <v>448</v>
      </c>
      <c r="C472" s="6">
        <v>45678</v>
      </c>
      <c r="D472" t="s">
        <v>77</v>
      </c>
      <c r="E472" t="s">
        <v>78</v>
      </c>
      <c r="F472" t="s">
        <v>79</v>
      </c>
      <c r="G472" t="s">
        <v>28</v>
      </c>
      <c r="H472">
        <v>1</v>
      </c>
      <c r="I472">
        <v>6499</v>
      </c>
      <c r="J472">
        <v>0.15</v>
      </c>
      <c r="K472">
        <v>59</v>
      </c>
      <c r="L472" t="s">
        <v>100</v>
      </c>
      <c r="M472" t="s">
        <v>101</v>
      </c>
      <c r="N472" t="s">
        <v>40</v>
      </c>
      <c r="O472" t="s">
        <v>41</v>
      </c>
      <c r="P472" t="s">
        <v>52</v>
      </c>
      <c r="Q472">
        <v>5</v>
      </c>
      <c r="R472">
        <f>IFERROR(Table1_1[[#This Row],[Unit_Price]]*Table1_1[[#This Row],[Quantity]],"")</f>
        <v>6499</v>
      </c>
      <c r="S472">
        <f>IFERROR(Table1_1[[#This Row],[Gross_Sales]]*Table1_1[[#This Row],[Discount_%]],"")</f>
        <v>974.84999999999991</v>
      </c>
      <c r="T472">
        <f>IFERROR(Table1_1[[#This Row],[Gross_Sales]]-Table1_1[[#This Row],[Discount_amount]]+Table1_1[[#This Row],[Shipping_Cost]],"")</f>
        <v>5583.15</v>
      </c>
      <c r="U472">
        <f>IFERROR(Table1_1[[#This Row],[Net_Sale]]-(Table1_1[[#This Row],[Gross_Sales]]*70%),"")</f>
        <v>1033.8500000000004</v>
      </c>
      <c r="V472" s="7">
        <f>IFERROR(Table1_1[[#This Row],[Profit]]/Table1_1[[#This Row],[Net_Sale]],"")</f>
        <v>0.18517324449459543</v>
      </c>
      <c r="W472" t="str">
        <f>TEXT(Table1_1[[#This Row],[Order_Date]],"mmm")</f>
        <v>Jan</v>
      </c>
    </row>
    <row r="473" spans="1:23" x14ac:dyDescent="0.25">
      <c r="A473" t="s">
        <v>817</v>
      </c>
      <c r="B473" t="s">
        <v>818</v>
      </c>
      <c r="C473" s="6">
        <v>45897</v>
      </c>
      <c r="D473" t="s">
        <v>105</v>
      </c>
      <c r="E473" t="s">
        <v>106</v>
      </c>
      <c r="F473" t="s">
        <v>37</v>
      </c>
      <c r="G473" t="s">
        <v>107</v>
      </c>
      <c r="H473">
        <v>1</v>
      </c>
      <c r="I473">
        <v>1799</v>
      </c>
      <c r="J473">
        <v>0.15</v>
      </c>
      <c r="K473">
        <v>49</v>
      </c>
      <c r="L473" t="s">
        <v>83</v>
      </c>
      <c r="M473" t="s">
        <v>84</v>
      </c>
      <c r="N473" t="s">
        <v>102</v>
      </c>
      <c r="O473" t="s">
        <v>41</v>
      </c>
      <c r="P473" t="s">
        <v>85</v>
      </c>
      <c r="Q473">
        <v>4</v>
      </c>
      <c r="R473">
        <f>IFERROR(Table1_1[[#This Row],[Unit_Price]]*Table1_1[[#This Row],[Quantity]],"")</f>
        <v>1799</v>
      </c>
      <c r="S473">
        <f>IFERROR(Table1_1[[#This Row],[Gross_Sales]]*Table1_1[[#This Row],[Discount_%]],"")</f>
        <v>269.84999999999997</v>
      </c>
      <c r="T473">
        <f>IFERROR(Table1_1[[#This Row],[Gross_Sales]]-Table1_1[[#This Row],[Discount_amount]]+Table1_1[[#This Row],[Shipping_Cost]],"")</f>
        <v>1578.15</v>
      </c>
      <c r="U473">
        <f>IFERROR(Table1_1[[#This Row],[Net_Sale]]-(Table1_1[[#This Row],[Gross_Sales]]*70%),"")</f>
        <v>318.85000000000014</v>
      </c>
      <c r="V473" s="7">
        <f>IFERROR(Table1_1[[#This Row],[Profit]]/Table1_1[[#This Row],[Net_Sale]],"")</f>
        <v>0.20204036371701051</v>
      </c>
      <c r="W473" t="str">
        <f>TEXT(Table1_1[[#This Row],[Order_Date]],"mmm")</f>
        <v>Aug</v>
      </c>
    </row>
    <row r="474" spans="1:23" x14ac:dyDescent="0.25">
      <c r="A474" t="s">
        <v>819</v>
      </c>
      <c r="B474" t="s">
        <v>620</v>
      </c>
      <c r="C474" s="6">
        <v>45890</v>
      </c>
      <c r="D474" t="s">
        <v>110</v>
      </c>
      <c r="E474" t="s">
        <v>111</v>
      </c>
      <c r="F474" t="s">
        <v>98</v>
      </c>
      <c r="G474" t="s">
        <v>112</v>
      </c>
      <c r="H474">
        <v>2</v>
      </c>
      <c r="I474">
        <v>2999</v>
      </c>
      <c r="J474">
        <v>0.15</v>
      </c>
      <c r="K474">
        <v>79</v>
      </c>
      <c r="L474" t="s">
        <v>48</v>
      </c>
      <c r="M474" t="s">
        <v>49</v>
      </c>
      <c r="N474" t="s">
        <v>31</v>
      </c>
      <c r="O474" t="s">
        <v>32</v>
      </c>
      <c r="P474" t="s">
        <v>80</v>
      </c>
      <c r="Q474">
        <v>3</v>
      </c>
      <c r="R474">
        <f>IFERROR(Table1_1[[#This Row],[Unit_Price]]*Table1_1[[#This Row],[Quantity]],"")</f>
        <v>5998</v>
      </c>
      <c r="S474">
        <f>IFERROR(Table1_1[[#This Row],[Gross_Sales]]*Table1_1[[#This Row],[Discount_%]],"")</f>
        <v>899.69999999999993</v>
      </c>
      <c r="T474">
        <f>IFERROR(Table1_1[[#This Row],[Gross_Sales]]-Table1_1[[#This Row],[Discount_amount]]+Table1_1[[#This Row],[Shipping_Cost]],"")</f>
        <v>5177.3</v>
      </c>
      <c r="U474">
        <f>IFERROR(Table1_1[[#This Row],[Net_Sale]]-(Table1_1[[#This Row],[Gross_Sales]]*70%),"")</f>
        <v>978.70000000000073</v>
      </c>
      <c r="V474" s="7">
        <f>IFERROR(Table1_1[[#This Row],[Profit]]/Table1_1[[#This Row],[Net_Sale]],"")</f>
        <v>0.18903675661058866</v>
      </c>
      <c r="W474" t="str">
        <f>TEXT(Table1_1[[#This Row],[Order_Date]],"mmm")</f>
        <v>Aug</v>
      </c>
    </row>
    <row r="475" spans="1:23" x14ac:dyDescent="0.25">
      <c r="A475" t="s">
        <v>820</v>
      </c>
      <c r="B475" t="s">
        <v>607</v>
      </c>
      <c r="C475" s="6">
        <v>45690</v>
      </c>
      <c r="D475" t="s">
        <v>169</v>
      </c>
      <c r="E475" t="s">
        <v>170</v>
      </c>
      <c r="F475" t="s">
        <v>98</v>
      </c>
      <c r="G475" t="s">
        <v>171</v>
      </c>
      <c r="H475">
        <v>1</v>
      </c>
      <c r="I475">
        <v>799</v>
      </c>
      <c r="J475">
        <v>0</v>
      </c>
      <c r="K475">
        <v>99</v>
      </c>
      <c r="L475" t="s">
        <v>125</v>
      </c>
      <c r="M475" t="s">
        <v>126</v>
      </c>
      <c r="N475" t="s">
        <v>102</v>
      </c>
      <c r="O475" t="s">
        <v>41</v>
      </c>
      <c r="P475" t="s">
        <v>52</v>
      </c>
      <c r="Q475">
        <v>5</v>
      </c>
      <c r="R475">
        <f>IFERROR(Table1_1[[#This Row],[Unit_Price]]*Table1_1[[#This Row],[Quantity]],"")</f>
        <v>799</v>
      </c>
      <c r="S475">
        <f>IFERROR(Table1_1[[#This Row],[Gross_Sales]]*Table1_1[[#This Row],[Discount_%]],"")</f>
        <v>0</v>
      </c>
      <c r="T475">
        <f>IFERROR(Table1_1[[#This Row],[Gross_Sales]]-Table1_1[[#This Row],[Discount_amount]]+Table1_1[[#This Row],[Shipping_Cost]],"")</f>
        <v>898</v>
      </c>
      <c r="U475">
        <f>IFERROR(Table1_1[[#This Row],[Net_Sale]]-(Table1_1[[#This Row],[Gross_Sales]]*70%),"")</f>
        <v>338.70000000000005</v>
      </c>
      <c r="V475" s="7">
        <f>IFERROR(Table1_1[[#This Row],[Profit]]/Table1_1[[#This Row],[Net_Sale]],"")</f>
        <v>0.37717149220489982</v>
      </c>
      <c r="W475" t="str">
        <f>TEXT(Table1_1[[#This Row],[Order_Date]],"mmm")</f>
        <v>Feb</v>
      </c>
    </row>
    <row r="476" spans="1:23" x14ac:dyDescent="0.25">
      <c r="A476" t="s">
        <v>821</v>
      </c>
      <c r="B476" t="s">
        <v>150</v>
      </c>
      <c r="C476" s="6">
        <v>45822</v>
      </c>
      <c r="D476" t="s">
        <v>110</v>
      </c>
      <c r="E476" t="s">
        <v>111</v>
      </c>
      <c r="F476" t="s">
        <v>98</v>
      </c>
      <c r="G476" t="s">
        <v>112</v>
      </c>
      <c r="H476">
        <v>1</v>
      </c>
      <c r="I476">
        <v>2999</v>
      </c>
      <c r="J476">
        <v>0.2</v>
      </c>
      <c r="K476">
        <v>0</v>
      </c>
      <c r="L476" t="s">
        <v>74</v>
      </c>
      <c r="M476" t="s">
        <v>49</v>
      </c>
      <c r="N476" t="s">
        <v>50</v>
      </c>
      <c r="O476" t="s">
        <v>41</v>
      </c>
      <c r="P476" t="s">
        <v>85</v>
      </c>
      <c r="Q476">
        <v>3</v>
      </c>
      <c r="R476">
        <f>IFERROR(Table1_1[[#This Row],[Unit_Price]]*Table1_1[[#This Row],[Quantity]],"")</f>
        <v>2999</v>
      </c>
      <c r="S476">
        <f>IFERROR(Table1_1[[#This Row],[Gross_Sales]]*Table1_1[[#This Row],[Discount_%]],"")</f>
        <v>599.80000000000007</v>
      </c>
      <c r="T476">
        <f>IFERROR(Table1_1[[#This Row],[Gross_Sales]]-Table1_1[[#This Row],[Discount_amount]]+Table1_1[[#This Row],[Shipping_Cost]],"")</f>
        <v>2399.1999999999998</v>
      </c>
      <c r="U476">
        <f>IFERROR(Table1_1[[#This Row],[Net_Sale]]-(Table1_1[[#This Row],[Gross_Sales]]*70%),"")</f>
        <v>299.90000000000009</v>
      </c>
      <c r="V476" s="7">
        <f>IFERROR(Table1_1[[#This Row],[Profit]]/Table1_1[[#This Row],[Net_Sale]],"")</f>
        <v>0.12500000000000006</v>
      </c>
      <c r="W476" t="str">
        <f>TEXT(Table1_1[[#This Row],[Order_Date]],"mmm")</f>
        <v>Jun</v>
      </c>
    </row>
    <row r="477" spans="1:23" x14ac:dyDescent="0.25">
      <c r="A477" t="s">
        <v>822</v>
      </c>
      <c r="B477" t="s">
        <v>104</v>
      </c>
      <c r="C477" s="6">
        <v>45756</v>
      </c>
      <c r="D477" t="s">
        <v>35</v>
      </c>
      <c r="E477" t="s">
        <v>36</v>
      </c>
      <c r="F477" t="s">
        <v>37</v>
      </c>
      <c r="G477" t="s">
        <v>38</v>
      </c>
      <c r="H477">
        <v>1</v>
      </c>
      <c r="I477">
        <v>599</v>
      </c>
      <c r="J477">
        <v>0.2</v>
      </c>
      <c r="K477">
        <v>79</v>
      </c>
      <c r="L477" t="s">
        <v>113</v>
      </c>
      <c r="M477" t="s">
        <v>114</v>
      </c>
      <c r="N477" t="s">
        <v>102</v>
      </c>
      <c r="O477" t="s">
        <v>32</v>
      </c>
      <c r="P477" t="s">
        <v>85</v>
      </c>
      <c r="Q477">
        <v>3</v>
      </c>
      <c r="R477">
        <f>IFERROR(Table1_1[[#This Row],[Unit_Price]]*Table1_1[[#This Row],[Quantity]],"")</f>
        <v>599</v>
      </c>
      <c r="S477">
        <f>IFERROR(Table1_1[[#This Row],[Gross_Sales]]*Table1_1[[#This Row],[Discount_%]],"")</f>
        <v>119.80000000000001</v>
      </c>
      <c r="T477">
        <f>IFERROR(Table1_1[[#This Row],[Gross_Sales]]-Table1_1[[#This Row],[Discount_amount]]+Table1_1[[#This Row],[Shipping_Cost]],"")</f>
        <v>558.20000000000005</v>
      </c>
      <c r="U477">
        <f>IFERROR(Table1_1[[#This Row],[Net_Sale]]-(Table1_1[[#This Row],[Gross_Sales]]*70%),"")</f>
        <v>138.90000000000009</v>
      </c>
      <c r="V477" s="7">
        <f>IFERROR(Table1_1[[#This Row],[Profit]]/Table1_1[[#This Row],[Net_Sale]],"")</f>
        <v>0.24883554281619505</v>
      </c>
      <c r="W477" t="str">
        <f>TEXT(Table1_1[[#This Row],[Order_Date]],"mmm")</f>
        <v>Apr</v>
      </c>
    </row>
    <row r="478" spans="1:23" x14ac:dyDescent="0.25">
      <c r="A478" t="s">
        <v>823</v>
      </c>
      <c r="B478" t="s">
        <v>707</v>
      </c>
      <c r="C478" s="6">
        <v>45771</v>
      </c>
      <c r="D478" t="s">
        <v>44</v>
      </c>
      <c r="E478" t="s">
        <v>45</v>
      </c>
      <c r="F478" t="s">
        <v>46</v>
      </c>
      <c r="G478" t="s">
        <v>47</v>
      </c>
      <c r="H478">
        <v>1</v>
      </c>
      <c r="I478">
        <v>1199</v>
      </c>
      <c r="J478">
        <v>0</v>
      </c>
      <c r="K478">
        <v>49</v>
      </c>
      <c r="L478" t="s">
        <v>48</v>
      </c>
      <c r="M478" t="s">
        <v>49</v>
      </c>
      <c r="N478" t="s">
        <v>31</v>
      </c>
      <c r="O478" t="s">
        <v>59</v>
      </c>
      <c r="P478" t="s">
        <v>33</v>
      </c>
      <c r="Q478">
        <v>3</v>
      </c>
      <c r="R478">
        <f>IFERROR(Table1_1[[#This Row],[Unit_Price]]*Table1_1[[#This Row],[Quantity]],"")</f>
        <v>1199</v>
      </c>
      <c r="S478">
        <f>IFERROR(Table1_1[[#This Row],[Gross_Sales]]*Table1_1[[#This Row],[Discount_%]],"")</f>
        <v>0</v>
      </c>
      <c r="T478">
        <f>IFERROR(Table1_1[[#This Row],[Gross_Sales]]-Table1_1[[#This Row],[Discount_amount]]+Table1_1[[#This Row],[Shipping_Cost]],"")</f>
        <v>1248</v>
      </c>
      <c r="U478">
        <f>IFERROR(Table1_1[[#This Row],[Net_Sale]]-(Table1_1[[#This Row],[Gross_Sales]]*70%),"")</f>
        <v>408.70000000000005</v>
      </c>
      <c r="V478" s="7">
        <f>IFERROR(Table1_1[[#This Row],[Profit]]/Table1_1[[#This Row],[Net_Sale]],"")</f>
        <v>0.32748397435897442</v>
      </c>
      <c r="W478" t="str">
        <f>TEXT(Table1_1[[#This Row],[Order_Date]],"mmm")</f>
        <v>Apr</v>
      </c>
    </row>
    <row r="479" spans="1:23" x14ac:dyDescent="0.25">
      <c r="A479" t="s">
        <v>824</v>
      </c>
      <c r="B479" t="s">
        <v>89</v>
      </c>
      <c r="C479" s="6">
        <v>45870</v>
      </c>
      <c r="D479" t="s">
        <v>25</v>
      </c>
      <c r="E479" t="s">
        <v>26</v>
      </c>
      <c r="F479" t="s">
        <v>27</v>
      </c>
      <c r="G479" t="s">
        <v>28</v>
      </c>
      <c r="H479">
        <v>1</v>
      </c>
      <c r="I479">
        <v>249</v>
      </c>
      <c r="J479">
        <v>0</v>
      </c>
      <c r="K479">
        <v>99</v>
      </c>
      <c r="L479" t="s">
        <v>39</v>
      </c>
      <c r="M479" t="s">
        <v>39</v>
      </c>
      <c r="N479" t="s">
        <v>102</v>
      </c>
      <c r="O479" t="s">
        <v>93</v>
      </c>
      <c r="P479" t="s">
        <v>80</v>
      </c>
      <c r="Q479">
        <v>3</v>
      </c>
      <c r="R479">
        <f>IFERROR(Table1_1[[#This Row],[Unit_Price]]*Table1_1[[#This Row],[Quantity]],"")</f>
        <v>249</v>
      </c>
      <c r="S479">
        <f>IFERROR(Table1_1[[#This Row],[Gross_Sales]]*Table1_1[[#This Row],[Discount_%]],"")</f>
        <v>0</v>
      </c>
      <c r="T479">
        <f>IFERROR(Table1_1[[#This Row],[Gross_Sales]]-Table1_1[[#This Row],[Discount_amount]]+Table1_1[[#This Row],[Shipping_Cost]],"")</f>
        <v>348</v>
      </c>
      <c r="U479">
        <f>IFERROR(Table1_1[[#This Row],[Net_Sale]]-(Table1_1[[#This Row],[Gross_Sales]]*70%),"")</f>
        <v>173.70000000000002</v>
      </c>
      <c r="V479" s="7">
        <f>IFERROR(Table1_1[[#This Row],[Profit]]/Table1_1[[#This Row],[Net_Sale]],"")</f>
        <v>0.49913793103448278</v>
      </c>
      <c r="W479" t="str">
        <f>TEXT(Table1_1[[#This Row],[Order_Date]],"mmm")</f>
        <v>Aug</v>
      </c>
    </row>
    <row r="480" spans="1:23" x14ac:dyDescent="0.25">
      <c r="A480" t="s">
        <v>825</v>
      </c>
      <c r="B480" t="s">
        <v>109</v>
      </c>
      <c r="C480" s="6">
        <v>45768</v>
      </c>
      <c r="D480" t="s">
        <v>55</v>
      </c>
      <c r="E480" t="s">
        <v>56</v>
      </c>
      <c r="F480" t="s">
        <v>37</v>
      </c>
      <c r="G480" t="s">
        <v>38</v>
      </c>
      <c r="H480">
        <v>1</v>
      </c>
      <c r="I480">
        <v>2499</v>
      </c>
      <c r="J480">
        <v>0.2</v>
      </c>
      <c r="K480">
        <v>49</v>
      </c>
      <c r="L480" t="s">
        <v>48</v>
      </c>
      <c r="M480" t="s">
        <v>49</v>
      </c>
      <c r="N480" t="s">
        <v>40</v>
      </c>
      <c r="O480" t="s">
        <v>41</v>
      </c>
      <c r="P480" t="s">
        <v>33</v>
      </c>
      <c r="Q480">
        <v>2</v>
      </c>
      <c r="R480">
        <f>IFERROR(Table1_1[[#This Row],[Unit_Price]]*Table1_1[[#This Row],[Quantity]],"")</f>
        <v>2499</v>
      </c>
      <c r="S480">
        <f>IFERROR(Table1_1[[#This Row],[Gross_Sales]]*Table1_1[[#This Row],[Discount_%]],"")</f>
        <v>499.8</v>
      </c>
      <c r="T480">
        <f>IFERROR(Table1_1[[#This Row],[Gross_Sales]]-Table1_1[[#This Row],[Discount_amount]]+Table1_1[[#This Row],[Shipping_Cost]],"")</f>
        <v>2048.1999999999998</v>
      </c>
      <c r="U480">
        <f>IFERROR(Table1_1[[#This Row],[Net_Sale]]-(Table1_1[[#This Row],[Gross_Sales]]*70%),"")</f>
        <v>298.89999999999986</v>
      </c>
      <c r="V480" s="7">
        <f>IFERROR(Table1_1[[#This Row],[Profit]]/Table1_1[[#This Row],[Net_Sale]],"")</f>
        <v>0.14593301435406694</v>
      </c>
      <c r="W480" t="str">
        <f>TEXT(Table1_1[[#This Row],[Order_Date]],"mmm")</f>
        <v>Apr</v>
      </c>
    </row>
    <row r="481" spans="1:23" x14ac:dyDescent="0.25">
      <c r="A481" t="s">
        <v>826</v>
      </c>
      <c r="B481" t="s">
        <v>243</v>
      </c>
      <c r="C481" s="6">
        <v>45749</v>
      </c>
      <c r="D481" t="s">
        <v>62</v>
      </c>
      <c r="E481" t="s">
        <v>63</v>
      </c>
      <c r="F481" t="s">
        <v>46</v>
      </c>
      <c r="G481" t="s">
        <v>64</v>
      </c>
      <c r="H481">
        <v>2</v>
      </c>
      <c r="I481">
        <v>699</v>
      </c>
      <c r="J481">
        <v>0.1</v>
      </c>
      <c r="K481">
        <v>0</v>
      </c>
      <c r="L481" t="s">
        <v>113</v>
      </c>
      <c r="M481" t="s">
        <v>114</v>
      </c>
      <c r="N481" t="s">
        <v>71</v>
      </c>
      <c r="O481" t="s">
        <v>59</v>
      </c>
      <c r="P481" t="s">
        <v>85</v>
      </c>
      <c r="Q481">
        <v>3</v>
      </c>
      <c r="R481">
        <f>IFERROR(Table1_1[[#This Row],[Unit_Price]]*Table1_1[[#This Row],[Quantity]],"")</f>
        <v>1398</v>
      </c>
      <c r="S481">
        <f>IFERROR(Table1_1[[#This Row],[Gross_Sales]]*Table1_1[[#This Row],[Discount_%]],"")</f>
        <v>139.80000000000001</v>
      </c>
      <c r="T481">
        <f>IFERROR(Table1_1[[#This Row],[Gross_Sales]]-Table1_1[[#This Row],[Discount_amount]]+Table1_1[[#This Row],[Shipping_Cost]],"")</f>
        <v>1258.2</v>
      </c>
      <c r="U481">
        <f>IFERROR(Table1_1[[#This Row],[Net_Sale]]-(Table1_1[[#This Row],[Gross_Sales]]*70%),"")</f>
        <v>279.60000000000014</v>
      </c>
      <c r="V481" s="7">
        <f>IFERROR(Table1_1[[#This Row],[Profit]]/Table1_1[[#This Row],[Net_Sale]],"")</f>
        <v>0.22222222222222232</v>
      </c>
      <c r="W481" t="str">
        <f>TEXT(Table1_1[[#This Row],[Order_Date]],"mmm")</f>
        <v>Apr</v>
      </c>
    </row>
    <row r="482" spans="1:23" x14ac:dyDescent="0.25">
      <c r="A482" t="s">
        <v>827</v>
      </c>
      <c r="B482" t="s">
        <v>234</v>
      </c>
      <c r="C482" s="6">
        <v>45743</v>
      </c>
      <c r="D482" t="s">
        <v>25</v>
      </c>
      <c r="E482" t="s">
        <v>26</v>
      </c>
      <c r="F482" t="s">
        <v>27</v>
      </c>
      <c r="G482" t="s">
        <v>28</v>
      </c>
      <c r="H482">
        <v>3</v>
      </c>
      <c r="I482">
        <v>249</v>
      </c>
      <c r="J482">
        <v>0.15</v>
      </c>
      <c r="K482">
        <v>59</v>
      </c>
      <c r="L482" t="s">
        <v>57</v>
      </c>
      <c r="M482" t="s">
        <v>58</v>
      </c>
      <c r="N482" t="s">
        <v>102</v>
      </c>
      <c r="O482" t="s">
        <v>32</v>
      </c>
      <c r="P482" t="s">
        <v>52</v>
      </c>
      <c r="Q482">
        <v>4</v>
      </c>
      <c r="R482">
        <f>IFERROR(Table1_1[[#This Row],[Unit_Price]]*Table1_1[[#This Row],[Quantity]],"")</f>
        <v>747</v>
      </c>
      <c r="S482">
        <f>IFERROR(Table1_1[[#This Row],[Gross_Sales]]*Table1_1[[#This Row],[Discount_%]],"")</f>
        <v>112.05</v>
      </c>
      <c r="T482">
        <f>IFERROR(Table1_1[[#This Row],[Gross_Sales]]-Table1_1[[#This Row],[Discount_amount]]+Table1_1[[#This Row],[Shipping_Cost]],"")</f>
        <v>693.95</v>
      </c>
      <c r="U482">
        <f>IFERROR(Table1_1[[#This Row],[Net_Sale]]-(Table1_1[[#This Row],[Gross_Sales]]*70%),"")</f>
        <v>171.05000000000007</v>
      </c>
      <c r="V482" s="7">
        <f>IFERROR(Table1_1[[#This Row],[Profit]]/Table1_1[[#This Row],[Net_Sale]],"")</f>
        <v>0.24648749909935883</v>
      </c>
      <c r="W482" t="str">
        <f>TEXT(Table1_1[[#This Row],[Order_Date]],"mmm")</f>
        <v>Mar</v>
      </c>
    </row>
    <row r="483" spans="1:23" x14ac:dyDescent="0.25">
      <c r="A483" t="s">
        <v>828</v>
      </c>
      <c r="B483" t="s">
        <v>216</v>
      </c>
      <c r="C483" s="6">
        <v>45824</v>
      </c>
      <c r="D483" t="s">
        <v>169</v>
      </c>
      <c r="E483" t="s">
        <v>170</v>
      </c>
      <c r="F483" t="s">
        <v>98</v>
      </c>
      <c r="G483" t="s">
        <v>171</v>
      </c>
      <c r="H483">
        <v>2</v>
      </c>
      <c r="I483">
        <v>799</v>
      </c>
      <c r="J483">
        <v>0.1</v>
      </c>
      <c r="K483">
        <v>59</v>
      </c>
      <c r="L483" t="s">
        <v>74</v>
      </c>
      <c r="M483" t="s">
        <v>49</v>
      </c>
      <c r="N483" t="s">
        <v>102</v>
      </c>
      <c r="O483" t="s">
        <v>32</v>
      </c>
      <c r="P483" t="s">
        <v>80</v>
      </c>
      <c r="Q483">
        <v>2</v>
      </c>
      <c r="R483">
        <f>IFERROR(Table1_1[[#This Row],[Unit_Price]]*Table1_1[[#This Row],[Quantity]],"")</f>
        <v>1598</v>
      </c>
      <c r="S483">
        <f>IFERROR(Table1_1[[#This Row],[Gross_Sales]]*Table1_1[[#This Row],[Discount_%]],"")</f>
        <v>159.80000000000001</v>
      </c>
      <c r="T483">
        <f>IFERROR(Table1_1[[#This Row],[Gross_Sales]]-Table1_1[[#This Row],[Discount_amount]]+Table1_1[[#This Row],[Shipping_Cost]],"")</f>
        <v>1497.2</v>
      </c>
      <c r="U483">
        <f>IFERROR(Table1_1[[#This Row],[Net_Sale]]-(Table1_1[[#This Row],[Gross_Sales]]*70%),"")</f>
        <v>378.60000000000014</v>
      </c>
      <c r="V483" s="7">
        <f>IFERROR(Table1_1[[#This Row],[Profit]]/Table1_1[[#This Row],[Net_Sale]],"")</f>
        <v>0.25287202778519913</v>
      </c>
      <c r="W483" t="str">
        <f>TEXT(Table1_1[[#This Row],[Order_Date]],"mmm")</f>
        <v>Jun</v>
      </c>
    </row>
    <row r="484" spans="1:23" x14ac:dyDescent="0.25">
      <c r="A484" t="s">
        <v>829</v>
      </c>
      <c r="B484" t="s">
        <v>765</v>
      </c>
      <c r="C484" s="6">
        <v>45788</v>
      </c>
      <c r="D484" t="s">
        <v>96</v>
      </c>
      <c r="E484" t="s">
        <v>97</v>
      </c>
      <c r="F484" t="s">
        <v>98</v>
      </c>
      <c r="G484" t="s">
        <v>99</v>
      </c>
      <c r="H484">
        <v>4</v>
      </c>
      <c r="I484">
        <v>1499</v>
      </c>
      <c r="J484">
        <v>0.1</v>
      </c>
      <c r="K484">
        <v>0</v>
      </c>
      <c r="L484" t="s">
        <v>83</v>
      </c>
      <c r="M484" t="s">
        <v>84</v>
      </c>
      <c r="N484" t="s">
        <v>71</v>
      </c>
      <c r="O484" t="s">
        <v>32</v>
      </c>
      <c r="P484" t="s">
        <v>52</v>
      </c>
      <c r="Q484">
        <v>1</v>
      </c>
      <c r="R484">
        <f>IFERROR(Table1_1[[#This Row],[Unit_Price]]*Table1_1[[#This Row],[Quantity]],"")</f>
        <v>5996</v>
      </c>
      <c r="S484">
        <f>IFERROR(Table1_1[[#This Row],[Gross_Sales]]*Table1_1[[#This Row],[Discount_%]],"")</f>
        <v>599.6</v>
      </c>
      <c r="T484">
        <f>IFERROR(Table1_1[[#This Row],[Gross_Sales]]-Table1_1[[#This Row],[Discount_amount]]+Table1_1[[#This Row],[Shipping_Cost]],"")</f>
        <v>5396.4</v>
      </c>
      <c r="U484">
        <f>IFERROR(Table1_1[[#This Row],[Net_Sale]]-(Table1_1[[#This Row],[Gross_Sales]]*70%),"")</f>
        <v>1199.1999999999998</v>
      </c>
      <c r="V484" s="7">
        <f>IFERROR(Table1_1[[#This Row],[Profit]]/Table1_1[[#This Row],[Net_Sale]],"")</f>
        <v>0.22222222222222221</v>
      </c>
      <c r="W484" t="str">
        <f>TEXT(Table1_1[[#This Row],[Order_Date]],"mmm")</f>
        <v>May</v>
      </c>
    </row>
    <row r="485" spans="1:23" x14ac:dyDescent="0.25">
      <c r="A485" t="s">
        <v>830</v>
      </c>
      <c r="B485" t="s">
        <v>745</v>
      </c>
      <c r="C485" s="6">
        <v>45812</v>
      </c>
      <c r="D485" t="s">
        <v>62</v>
      </c>
      <c r="E485" t="s">
        <v>63</v>
      </c>
      <c r="F485" t="s">
        <v>46</v>
      </c>
      <c r="G485" t="s">
        <v>64</v>
      </c>
      <c r="H485">
        <v>5</v>
      </c>
      <c r="I485">
        <v>699</v>
      </c>
      <c r="J485">
        <v>0</v>
      </c>
      <c r="K485">
        <v>59</v>
      </c>
      <c r="L485" t="s">
        <v>100</v>
      </c>
      <c r="M485" t="s">
        <v>101</v>
      </c>
      <c r="N485" t="s">
        <v>71</v>
      </c>
      <c r="O485" t="s">
        <v>32</v>
      </c>
      <c r="P485" t="s">
        <v>33</v>
      </c>
      <c r="Q485">
        <v>5</v>
      </c>
      <c r="R485">
        <f>IFERROR(Table1_1[[#This Row],[Unit_Price]]*Table1_1[[#This Row],[Quantity]],"")</f>
        <v>3495</v>
      </c>
      <c r="S485">
        <f>IFERROR(Table1_1[[#This Row],[Gross_Sales]]*Table1_1[[#This Row],[Discount_%]],"")</f>
        <v>0</v>
      </c>
      <c r="T485">
        <f>IFERROR(Table1_1[[#This Row],[Gross_Sales]]-Table1_1[[#This Row],[Discount_amount]]+Table1_1[[#This Row],[Shipping_Cost]],"")</f>
        <v>3554</v>
      </c>
      <c r="U485">
        <f>IFERROR(Table1_1[[#This Row],[Net_Sale]]-(Table1_1[[#This Row],[Gross_Sales]]*70%),"")</f>
        <v>1107.5</v>
      </c>
      <c r="V485" s="7">
        <f>IFERROR(Table1_1[[#This Row],[Profit]]/Table1_1[[#This Row],[Net_Sale]],"")</f>
        <v>0.31162070906021383</v>
      </c>
      <c r="W485" t="str">
        <f>TEXT(Table1_1[[#This Row],[Order_Date]],"mmm")</f>
        <v>Jun</v>
      </c>
    </row>
    <row r="486" spans="1:23" x14ac:dyDescent="0.25">
      <c r="A486" t="s">
        <v>831</v>
      </c>
      <c r="B486" t="s">
        <v>345</v>
      </c>
      <c r="C486" s="6">
        <v>45737</v>
      </c>
      <c r="D486" t="s">
        <v>62</v>
      </c>
      <c r="E486" t="s">
        <v>63</v>
      </c>
      <c r="F486" t="s">
        <v>46</v>
      </c>
      <c r="G486" t="s">
        <v>64</v>
      </c>
      <c r="H486">
        <v>4</v>
      </c>
      <c r="I486">
        <v>699</v>
      </c>
      <c r="J486">
        <v>0</v>
      </c>
      <c r="K486">
        <v>49</v>
      </c>
      <c r="L486" t="s">
        <v>125</v>
      </c>
      <c r="M486" t="s">
        <v>126</v>
      </c>
      <c r="N486" t="s">
        <v>71</v>
      </c>
      <c r="O486" t="s">
        <v>51</v>
      </c>
      <c r="P486" t="s">
        <v>52</v>
      </c>
      <c r="Q486">
        <v>5</v>
      </c>
      <c r="R486">
        <f>IFERROR(Table1_1[[#This Row],[Unit_Price]]*Table1_1[[#This Row],[Quantity]],"")</f>
        <v>2796</v>
      </c>
      <c r="S486">
        <f>IFERROR(Table1_1[[#This Row],[Gross_Sales]]*Table1_1[[#This Row],[Discount_%]],"")</f>
        <v>0</v>
      </c>
      <c r="T486">
        <f>IFERROR(Table1_1[[#This Row],[Gross_Sales]]-Table1_1[[#This Row],[Discount_amount]]+Table1_1[[#This Row],[Shipping_Cost]],"")</f>
        <v>2845</v>
      </c>
      <c r="U486">
        <f>IFERROR(Table1_1[[#This Row],[Net_Sale]]-(Table1_1[[#This Row],[Gross_Sales]]*70%),"")</f>
        <v>887.80000000000018</v>
      </c>
      <c r="V486" s="7">
        <f>IFERROR(Table1_1[[#This Row],[Profit]]/Table1_1[[#This Row],[Net_Sale]],"")</f>
        <v>0.3120562390158173</v>
      </c>
      <c r="W486" t="str">
        <f>TEXT(Table1_1[[#This Row],[Order_Date]],"mmm")</f>
        <v>Mar</v>
      </c>
    </row>
    <row r="487" spans="1:23" x14ac:dyDescent="0.25">
      <c r="A487" t="s">
        <v>832</v>
      </c>
      <c r="B487" t="s">
        <v>1618</v>
      </c>
      <c r="C487" s="6">
        <v>45811</v>
      </c>
      <c r="D487" t="s">
        <v>67</v>
      </c>
      <c r="E487" t="s">
        <v>68</v>
      </c>
      <c r="F487" t="s">
        <v>37</v>
      </c>
      <c r="G487" t="s">
        <v>38</v>
      </c>
      <c r="H487">
        <v>1</v>
      </c>
      <c r="I487">
        <v>1299</v>
      </c>
      <c r="J487">
        <v>0.15</v>
      </c>
      <c r="K487">
        <v>49</v>
      </c>
      <c r="L487" t="s">
        <v>113</v>
      </c>
      <c r="M487" t="s">
        <v>114</v>
      </c>
      <c r="N487" t="s">
        <v>71</v>
      </c>
      <c r="O487" t="s">
        <v>59</v>
      </c>
      <c r="P487" t="s">
        <v>52</v>
      </c>
      <c r="Q487">
        <v>2</v>
      </c>
      <c r="R487">
        <f>IFERROR(Table1_1[[#This Row],[Unit_Price]]*Table1_1[[#This Row],[Quantity]],"")</f>
        <v>1299</v>
      </c>
      <c r="S487">
        <f>IFERROR(Table1_1[[#This Row],[Gross_Sales]]*Table1_1[[#This Row],[Discount_%]],"")</f>
        <v>194.85</v>
      </c>
      <c r="T487">
        <f>IFERROR(Table1_1[[#This Row],[Gross_Sales]]-Table1_1[[#This Row],[Discount_amount]]+Table1_1[[#This Row],[Shipping_Cost]],"")</f>
        <v>1153.1500000000001</v>
      </c>
      <c r="U487">
        <f>IFERROR(Table1_1[[#This Row],[Net_Sale]]-(Table1_1[[#This Row],[Gross_Sales]]*70%),"")</f>
        <v>243.85000000000014</v>
      </c>
      <c r="V487" s="7">
        <f>IFERROR(Table1_1[[#This Row],[Profit]]/Table1_1[[#This Row],[Net_Sale]],"")</f>
        <v>0.21146425009755895</v>
      </c>
      <c r="W487" t="str">
        <f>TEXT(Table1_1[[#This Row],[Order_Date]],"mmm")</f>
        <v>Jun</v>
      </c>
    </row>
    <row r="488" spans="1:23" x14ac:dyDescent="0.25">
      <c r="A488" t="s">
        <v>833</v>
      </c>
      <c r="B488" t="s">
        <v>450</v>
      </c>
      <c r="C488" s="6">
        <v>45706</v>
      </c>
      <c r="D488" t="s">
        <v>90</v>
      </c>
      <c r="E488" t="s">
        <v>91</v>
      </c>
      <c r="F488" t="s">
        <v>37</v>
      </c>
      <c r="G488" t="s">
        <v>92</v>
      </c>
      <c r="H488">
        <v>3</v>
      </c>
      <c r="I488">
        <v>3499</v>
      </c>
      <c r="J488">
        <v>0</v>
      </c>
      <c r="K488">
        <v>99</v>
      </c>
      <c r="L488" t="s">
        <v>125</v>
      </c>
      <c r="M488" t="s">
        <v>126</v>
      </c>
      <c r="N488" t="s">
        <v>31</v>
      </c>
      <c r="O488" t="s">
        <v>93</v>
      </c>
      <c r="P488" t="s">
        <v>33</v>
      </c>
      <c r="Q488">
        <v>3</v>
      </c>
      <c r="R488">
        <f>IFERROR(Table1_1[[#This Row],[Unit_Price]]*Table1_1[[#This Row],[Quantity]],"")</f>
        <v>10497</v>
      </c>
      <c r="S488">
        <f>IFERROR(Table1_1[[#This Row],[Gross_Sales]]*Table1_1[[#This Row],[Discount_%]],"")</f>
        <v>0</v>
      </c>
      <c r="T488">
        <f>IFERROR(Table1_1[[#This Row],[Gross_Sales]]-Table1_1[[#This Row],[Discount_amount]]+Table1_1[[#This Row],[Shipping_Cost]],"")</f>
        <v>10596</v>
      </c>
      <c r="U488">
        <f>IFERROR(Table1_1[[#This Row],[Net_Sale]]-(Table1_1[[#This Row],[Gross_Sales]]*70%),"")</f>
        <v>3248.1000000000004</v>
      </c>
      <c r="V488" s="7">
        <f>IFERROR(Table1_1[[#This Row],[Profit]]/Table1_1[[#This Row],[Net_Sale]],"")</f>
        <v>0.30654020385050967</v>
      </c>
      <c r="W488" t="str">
        <f>TEXT(Table1_1[[#This Row],[Order_Date]],"mmm")</f>
        <v>Feb</v>
      </c>
    </row>
    <row r="489" spans="1:23" x14ac:dyDescent="0.25">
      <c r="A489" t="s">
        <v>834</v>
      </c>
      <c r="B489" t="s">
        <v>835</v>
      </c>
      <c r="C489" s="6">
        <v>45880</v>
      </c>
      <c r="D489" t="s">
        <v>169</v>
      </c>
      <c r="E489" t="s">
        <v>170</v>
      </c>
      <c r="F489" t="s">
        <v>98</v>
      </c>
      <c r="G489" t="s">
        <v>171</v>
      </c>
      <c r="H489">
        <v>3</v>
      </c>
      <c r="I489">
        <v>799</v>
      </c>
      <c r="J489">
        <v>0</v>
      </c>
      <c r="K489">
        <v>99</v>
      </c>
      <c r="L489" t="s">
        <v>74</v>
      </c>
      <c r="M489" t="s">
        <v>49</v>
      </c>
      <c r="N489" t="s">
        <v>40</v>
      </c>
      <c r="O489" t="s">
        <v>93</v>
      </c>
      <c r="P489" t="s">
        <v>33</v>
      </c>
      <c r="Q489">
        <v>3</v>
      </c>
      <c r="R489">
        <f>IFERROR(Table1_1[[#This Row],[Unit_Price]]*Table1_1[[#This Row],[Quantity]],"")</f>
        <v>2397</v>
      </c>
      <c r="S489">
        <f>IFERROR(Table1_1[[#This Row],[Gross_Sales]]*Table1_1[[#This Row],[Discount_%]],"")</f>
        <v>0</v>
      </c>
      <c r="T489">
        <f>IFERROR(Table1_1[[#This Row],[Gross_Sales]]-Table1_1[[#This Row],[Discount_amount]]+Table1_1[[#This Row],[Shipping_Cost]],"")</f>
        <v>2496</v>
      </c>
      <c r="U489">
        <f>IFERROR(Table1_1[[#This Row],[Net_Sale]]-(Table1_1[[#This Row],[Gross_Sales]]*70%),"")</f>
        <v>818.10000000000014</v>
      </c>
      <c r="V489" s="7">
        <f>IFERROR(Table1_1[[#This Row],[Profit]]/Table1_1[[#This Row],[Net_Sale]],"")</f>
        <v>0.32776442307692311</v>
      </c>
      <c r="W489" t="str">
        <f>TEXT(Table1_1[[#This Row],[Order_Date]],"mmm")</f>
        <v>Aug</v>
      </c>
    </row>
    <row r="490" spans="1:23" x14ac:dyDescent="0.25">
      <c r="A490" t="s">
        <v>836</v>
      </c>
      <c r="B490" t="s">
        <v>837</v>
      </c>
      <c r="C490" s="6">
        <v>45947</v>
      </c>
      <c r="D490" t="s">
        <v>62</v>
      </c>
      <c r="E490" t="s">
        <v>63</v>
      </c>
      <c r="F490" t="s">
        <v>46</v>
      </c>
      <c r="G490" t="s">
        <v>64</v>
      </c>
      <c r="H490">
        <v>1</v>
      </c>
      <c r="I490">
        <v>699</v>
      </c>
      <c r="J490">
        <v>0.2</v>
      </c>
      <c r="K490">
        <v>49</v>
      </c>
      <c r="L490" t="s">
        <v>39</v>
      </c>
      <c r="M490" t="s">
        <v>39</v>
      </c>
      <c r="N490" t="s">
        <v>31</v>
      </c>
      <c r="O490" t="s">
        <v>59</v>
      </c>
      <c r="P490" t="s">
        <v>85</v>
      </c>
      <c r="Q490">
        <v>4</v>
      </c>
      <c r="R490">
        <f>IFERROR(Table1_1[[#This Row],[Unit_Price]]*Table1_1[[#This Row],[Quantity]],"")</f>
        <v>699</v>
      </c>
      <c r="S490">
        <f>IFERROR(Table1_1[[#This Row],[Gross_Sales]]*Table1_1[[#This Row],[Discount_%]],"")</f>
        <v>139.80000000000001</v>
      </c>
      <c r="T490">
        <f>IFERROR(Table1_1[[#This Row],[Gross_Sales]]-Table1_1[[#This Row],[Discount_amount]]+Table1_1[[#This Row],[Shipping_Cost]],"")</f>
        <v>608.20000000000005</v>
      </c>
      <c r="U490">
        <f>IFERROR(Table1_1[[#This Row],[Net_Sale]]-(Table1_1[[#This Row],[Gross_Sales]]*70%),"")</f>
        <v>118.90000000000009</v>
      </c>
      <c r="V490" s="7">
        <f>IFERROR(Table1_1[[#This Row],[Profit]]/Table1_1[[#This Row],[Net_Sale]],"")</f>
        <v>0.19549490299243683</v>
      </c>
      <c r="W490" t="str">
        <f>TEXT(Table1_1[[#This Row],[Order_Date]],"mmm")</f>
        <v>Oct</v>
      </c>
    </row>
    <row r="491" spans="1:23" x14ac:dyDescent="0.25">
      <c r="A491" t="s">
        <v>838</v>
      </c>
      <c r="B491" t="s">
        <v>539</v>
      </c>
      <c r="C491" s="6">
        <v>45771</v>
      </c>
      <c r="D491" t="s">
        <v>44</v>
      </c>
      <c r="E491" t="s">
        <v>45</v>
      </c>
      <c r="F491" t="s">
        <v>46</v>
      </c>
      <c r="G491" t="s">
        <v>47</v>
      </c>
      <c r="H491">
        <v>2</v>
      </c>
      <c r="I491">
        <v>1199</v>
      </c>
      <c r="J491">
        <v>0</v>
      </c>
      <c r="K491">
        <v>49</v>
      </c>
      <c r="L491" t="s">
        <v>125</v>
      </c>
      <c r="M491" t="s">
        <v>126</v>
      </c>
      <c r="N491" t="s">
        <v>31</v>
      </c>
      <c r="O491" t="s">
        <v>59</v>
      </c>
      <c r="P491" t="s">
        <v>52</v>
      </c>
      <c r="Q491">
        <v>5</v>
      </c>
      <c r="R491">
        <f>IFERROR(Table1_1[[#This Row],[Unit_Price]]*Table1_1[[#This Row],[Quantity]],"")</f>
        <v>2398</v>
      </c>
      <c r="S491">
        <f>IFERROR(Table1_1[[#This Row],[Gross_Sales]]*Table1_1[[#This Row],[Discount_%]],"")</f>
        <v>0</v>
      </c>
      <c r="T491">
        <f>IFERROR(Table1_1[[#This Row],[Gross_Sales]]-Table1_1[[#This Row],[Discount_amount]]+Table1_1[[#This Row],[Shipping_Cost]],"")</f>
        <v>2447</v>
      </c>
      <c r="U491">
        <f>IFERROR(Table1_1[[#This Row],[Net_Sale]]-(Table1_1[[#This Row],[Gross_Sales]]*70%),"")</f>
        <v>768.40000000000009</v>
      </c>
      <c r="V491" s="7">
        <f>IFERROR(Table1_1[[#This Row],[Profit]]/Table1_1[[#This Row],[Net_Sale]],"")</f>
        <v>0.31401716387413164</v>
      </c>
      <c r="W491" t="str">
        <f>TEXT(Table1_1[[#This Row],[Order_Date]],"mmm")</f>
        <v>Apr</v>
      </c>
    </row>
    <row r="492" spans="1:23" x14ac:dyDescent="0.25">
      <c r="A492" t="s">
        <v>839</v>
      </c>
      <c r="B492" t="s">
        <v>255</v>
      </c>
      <c r="C492" s="6">
        <v>45792</v>
      </c>
      <c r="D492" t="s">
        <v>77</v>
      </c>
      <c r="E492" t="s">
        <v>78</v>
      </c>
      <c r="F492" t="s">
        <v>79</v>
      </c>
      <c r="G492" t="s">
        <v>28</v>
      </c>
      <c r="H492">
        <v>2</v>
      </c>
      <c r="I492">
        <v>6499</v>
      </c>
      <c r="J492">
        <v>0.1</v>
      </c>
      <c r="K492">
        <v>49</v>
      </c>
      <c r="L492" t="s">
        <v>39</v>
      </c>
      <c r="M492" t="s">
        <v>39</v>
      </c>
      <c r="N492" t="s">
        <v>40</v>
      </c>
      <c r="O492" t="s">
        <v>32</v>
      </c>
      <c r="P492" t="s">
        <v>85</v>
      </c>
      <c r="Q492">
        <v>2</v>
      </c>
      <c r="R492">
        <f>IFERROR(Table1_1[[#This Row],[Unit_Price]]*Table1_1[[#This Row],[Quantity]],"")</f>
        <v>12998</v>
      </c>
      <c r="S492">
        <f>IFERROR(Table1_1[[#This Row],[Gross_Sales]]*Table1_1[[#This Row],[Discount_%]],"")</f>
        <v>1299.8000000000002</v>
      </c>
      <c r="T492">
        <f>IFERROR(Table1_1[[#This Row],[Gross_Sales]]-Table1_1[[#This Row],[Discount_amount]]+Table1_1[[#This Row],[Shipping_Cost]],"")</f>
        <v>11747.2</v>
      </c>
      <c r="U492">
        <f>IFERROR(Table1_1[[#This Row],[Net_Sale]]-(Table1_1[[#This Row],[Gross_Sales]]*70%),"")</f>
        <v>2648.6000000000022</v>
      </c>
      <c r="V492" s="7">
        <f>IFERROR(Table1_1[[#This Row],[Profit]]/Table1_1[[#This Row],[Net_Sale]],"")</f>
        <v>0.22546649414328537</v>
      </c>
      <c r="W492" t="str">
        <f>TEXT(Table1_1[[#This Row],[Order_Date]],"mmm")</f>
        <v>May</v>
      </c>
    </row>
    <row r="493" spans="1:23" x14ac:dyDescent="0.25">
      <c r="A493" t="s">
        <v>840</v>
      </c>
      <c r="B493" t="s">
        <v>571</v>
      </c>
      <c r="C493" s="6">
        <v>45758</v>
      </c>
      <c r="D493" t="s">
        <v>90</v>
      </c>
      <c r="E493" t="s">
        <v>91</v>
      </c>
      <c r="F493" t="s">
        <v>37</v>
      </c>
      <c r="G493" t="s">
        <v>92</v>
      </c>
      <c r="H493">
        <v>2</v>
      </c>
      <c r="I493">
        <v>3499</v>
      </c>
      <c r="J493">
        <v>0.15</v>
      </c>
      <c r="K493">
        <v>49</v>
      </c>
      <c r="L493" t="s">
        <v>57</v>
      </c>
      <c r="M493" t="s">
        <v>58</v>
      </c>
      <c r="N493" t="s">
        <v>31</v>
      </c>
      <c r="O493" t="s">
        <v>51</v>
      </c>
      <c r="P493" t="s">
        <v>80</v>
      </c>
      <c r="Q493">
        <v>3</v>
      </c>
      <c r="R493">
        <f>IFERROR(Table1_1[[#This Row],[Unit_Price]]*Table1_1[[#This Row],[Quantity]],"")</f>
        <v>6998</v>
      </c>
      <c r="S493">
        <f>IFERROR(Table1_1[[#This Row],[Gross_Sales]]*Table1_1[[#This Row],[Discount_%]],"")</f>
        <v>1049.7</v>
      </c>
      <c r="T493">
        <f>IFERROR(Table1_1[[#This Row],[Gross_Sales]]-Table1_1[[#This Row],[Discount_amount]]+Table1_1[[#This Row],[Shipping_Cost]],"")</f>
        <v>5997.3</v>
      </c>
      <c r="U493">
        <f>IFERROR(Table1_1[[#This Row],[Net_Sale]]-(Table1_1[[#This Row],[Gross_Sales]]*70%),"")</f>
        <v>1098.7000000000007</v>
      </c>
      <c r="V493" s="7">
        <f>IFERROR(Table1_1[[#This Row],[Profit]]/Table1_1[[#This Row],[Net_Sale]],"")</f>
        <v>0.18319910626448579</v>
      </c>
      <c r="W493" t="str">
        <f>TEXT(Table1_1[[#This Row],[Order_Date]],"mmm")</f>
        <v>Apr</v>
      </c>
    </row>
    <row r="494" spans="1:23" x14ac:dyDescent="0.25">
      <c r="A494" t="s">
        <v>841</v>
      </c>
      <c r="B494" t="s">
        <v>842</v>
      </c>
      <c r="C494" s="6">
        <v>45952</v>
      </c>
      <c r="D494" t="s">
        <v>96</v>
      </c>
      <c r="E494" t="s">
        <v>97</v>
      </c>
      <c r="F494" t="s">
        <v>98</v>
      </c>
      <c r="G494" t="s">
        <v>99</v>
      </c>
      <c r="H494">
        <v>2</v>
      </c>
      <c r="I494">
        <v>1499</v>
      </c>
      <c r="J494">
        <v>0.1</v>
      </c>
      <c r="K494">
        <v>79</v>
      </c>
      <c r="L494" t="s">
        <v>74</v>
      </c>
      <c r="M494" t="s">
        <v>49</v>
      </c>
      <c r="N494" t="s">
        <v>71</v>
      </c>
      <c r="O494" t="s">
        <v>41</v>
      </c>
      <c r="P494" t="s">
        <v>80</v>
      </c>
      <c r="Q494">
        <v>3</v>
      </c>
      <c r="R494">
        <f>IFERROR(Table1_1[[#This Row],[Unit_Price]]*Table1_1[[#This Row],[Quantity]],"")</f>
        <v>2998</v>
      </c>
      <c r="S494">
        <f>IFERROR(Table1_1[[#This Row],[Gross_Sales]]*Table1_1[[#This Row],[Discount_%]],"")</f>
        <v>299.8</v>
      </c>
      <c r="T494">
        <f>IFERROR(Table1_1[[#This Row],[Gross_Sales]]-Table1_1[[#This Row],[Discount_amount]]+Table1_1[[#This Row],[Shipping_Cost]],"")</f>
        <v>2777.2</v>
      </c>
      <c r="U494">
        <f>IFERROR(Table1_1[[#This Row],[Net_Sale]]-(Table1_1[[#This Row],[Gross_Sales]]*70%),"")</f>
        <v>678.59999999999991</v>
      </c>
      <c r="V494" s="7">
        <f>IFERROR(Table1_1[[#This Row],[Profit]]/Table1_1[[#This Row],[Net_Sale]],"")</f>
        <v>0.24434682413942099</v>
      </c>
      <c r="W494" t="str">
        <f>TEXT(Table1_1[[#This Row],[Order_Date]],"mmm")</f>
        <v>Oct</v>
      </c>
    </row>
    <row r="495" spans="1:23" x14ac:dyDescent="0.25">
      <c r="A495" t="s">
        <v>843</v>
      </c>
      <c r="B495" t="s">
        <v>358</v>
      </c>
      <c r="C495" s="6">
        <v>45814</v>
      </c>
      <c r="D495" t="s">
        <v>169</v>
      </c>
      <c r="E495" t="s">
        <v>170</v>
      </c>
      <c r="F495" t="s">
        <v>98</v>
      </c>
      <c r="G495" t="s">
        <v>171</v>
      </c>
      <c r="H495">
        <v>2</v>
      </c>
      <c r="I495">
        <v>799</v>
      </c>
      <c r="J495">
        <v>0.1</v>
      </c>
      <c r="K495">
        <v>99</v>
      </c>
      <c r="L495" t="s">
        <v>125</v>
      </c>
      <c r="M495" t="s">
        <v>126</v>
      </c>
      <c r="N495" t="s">
        <v>40</v>
      </c>
      <c r="O495" t="s">
        <v>93</v>
      </c>
      <c r="P495" t="s">
        <v>85</v>
      </c>
      <c r="Q495">
        <v>3</v>
      </c>
      <c r="R495">
        <f>IFERROR(Table1_1[[#This Row],[Unit_Price]]*Table1_1[[#This Row],[Quantity]],"")</f>
        <v>1598</v>
      </c>
      <c r="S495">
        <f>IFERROR(Table1_1[[#This Row],[Gross_Sales]]*Table1_1[[#This Row],[Discount_%]],"")</f>
        <v>159.80000000000001</v>
      </c>
      <c r="T495">
        <f>IFERROR(Table1_1[[#This Row],[Gross_Sales]]-Table1_1[[#This Row],[Discount_amount]]+Table1_1[[#This Row],[Shipping_Cost]],"")</f>
        <v>1537.2</v>
      </c>
      <c r="U495">
        <f>IFERROR(Table1_1[[#This Row],[Net_Sale]]-(Table1_1[[#This Row],[Gross_Sales]]*70%),"")</f>
        <v>418.60000000000014</v>
      </c>
      <c r="V495" s="7">
        <f>IFERROR(Table1_1[[#This Row],[Profit]]/Table1_1[[#This Row],[Net_Sale]],"")</f>
        <v>0.2723132969034609</v>
      </c>
      <c r="W495" t="str">
        <f>TEXT(Table1_1[[#This Row],[Order_Date]],"mmm")</f>
        <v>Jun</v>
      </c>
    </row>
    <row r="496" spans="1:23" x14ac:dyDescent="0.25">
      <c r="A496" t="s">
        <v>844</v>
      </c>
      <c r="B496" t="s">
        <v>571</v>
      </c>
      <c r="C496" s="6">
        <v>45737</v>
      </c>
      <c r="D496" t="s">
        <v>67</v>
      </c>
      <c r="E496" t="s">
        <v>68</v>
      </c>
      <c r="F496" t="s">
        <v>37</v>
      </c>
      <c r="G496" t="s">
        <v>38</v>
      </c>
      <c r="H496">
        <v>2</v>
      </c>
      <c r="I496">
        <v>1299</v>
      </c>
      <c r="J496">
        <v>0</v>
      </c>
      <c r="K496">
        <v>0</v>
      </c>
      <c r="L496" t="s">
        <v>113</v>
      </c>
      <c r="M496" t="s">
        <v>114</v>
      </c>
      <c r="N496" t="s">
        <v>102</v>
      </c>
      <c r="O496" t="s">
        <v>41</v>
      </c>
      <c r="P496" t="s">
        <v>33</v>
      </c>
      <c r="Q496">
        <v>3</v>
      </c>
      <c r="R496">
        <f>IFERROR(Table1_1[[#This Row],[Unit_Price]]*Table1_1[[#This Row],[Quantity]],"")</f>
        <v>2598</v>
      </c>
      <c r="S496">
        <f>IFERROR(Table1_1[[#This Row],[Gross_Sales]]*Table1_1[[#This Row],[Discount_%]],"")</f>
        <v>0</v>
      </c>
      <c r="T496">
        <f>IFERROR(Table1_1[[#This Row],[Gross_Sales]]-Table1_1[[#This Row],[Discount_amount]]+Table1_1[[#This Row],[Shipping_Cost]],"")</f>
        <v>2598</v>
      </c>
      <c r="U496">
        <f>IFERROR(Table1_1[[#This Row],[Net_Sale]]-(Table1_1[[#This Row],[Gross_Sales]]*70%),"")</f>
        <v>779.40000000000009</v>
      </c>
      <c r="V496" s="7">
        <f>IFERROR(Table1_1[[#This Row],[Profit]]/Table1_1[[#This Row],[Net_Sale]],"")</f>
        <v>0.30000000000000004</v>
      </c>
      <c r="W496" t="str">
        <f>TEXT(Table1_1[[#This Row],[Order_Date]],"mmm")</f>
        <v>Mar</v>
      </c>
    </row>
    <row r="497" spans="1:23" x14ac:dyDescent="0.25">
      <c r="A497" t="s">
        <v>845</v>
      </c>
      <c r="B497" t="s">
        <v>148</v>
      </c>
      <c r="C497" s="6">
        <v>45714</v>
      </c>
      <c r="D497" t="s">
        <v>110</v>
      </c>
      <c r="E497" t="s">
        <v>111</v>
      </c>
      <c r="F497" t="s">
        <v>98</v>
      </c>
      <c r="G497" t="s">
        <v>112</v>
      </c>
      <c r="H497">
        <v>1</v>
      </c>
      <c r="I497">
        <v>2999</v>
      </c>
      <c r="J497">
        <v>0</v>
      </c>
      <c r="K497">
        <v>59</v>
      </c>
      <c r="L497" t="s">
        <v>39</v>
      </c>
      <c r="M497" t="s">
        <v>39</v>
      </c>
      <c r="N497" t="s">
        <v>102</v>
      </c>
      <c r="O497" t="s">
        <v>41</v>
      </c>
      <c r="P497" t="s">
        <v>52</v>
      </c>
      <c r="Q497">
        <v>2</v>
      </c>
      <c r="R497">
        <f>IFERROR(Table1_1[[#This Row],[Unit_Price]]*Table1_1[[#This Row],[Quantity]],"")</f>
        <v>2999</v>
      </c>
      <c r="S497">
        <f>IFERROR(Table1_1[[#This Row],[Gross_Sales]]*Table1_1[[#This Row],[Discount_%]],"")</f>
        <v>0</v>
      </c>
      <c r="T497">
        <f>IFERROR(Table1_1[[#This Row],[Gross_Sales]]-Table1_1[[#This Row],[Discount_amount]]+Table1_1[[#This Row],[Shipping_Cost]],"")</f>
        <v>3058</v>
      </c>
      <c r="U497">
        <f>IFERROR(Table1_1[[#This Row],[Net_Sale]]-(Table1_1[[#This Row],[Gross_Sales]]*70%),"")</f>
        <v>958.70000000000027</v>
      </c>
      <c r="V497" s="7">
        <f>IFERROR(Table1_1[[#This Row],[Profit]]/Table1_1[[#This Row],[Net_Sale]],"")</f>
        <v>0.31350555918901252</v>
      </c>
      <c r="W497" t="str">
        <f>TEXT(Table1_1[[#This Row],[Order_Date]],"mmm")</f>
        <v>Feb</v>
      </c>
    </row>
    <row r="498" spans="1:23" x14ac:dyDescent="0.25">
      <c r="A498" t="s">
        <v>846</v>
      </c>
      <c r="B498" t="s">
        <v>347</v>
      </c>
      <c r="C498" s="6">
        <v>45938</v>
      </c>
      <c r="D498" t="s">
        <v>62</v>
      </c>
      <c r="E498" t="s">
        <v>63</v>
      </c>
      <c r="F498" t="s">
        <v>46</v>
      </c>
      <c r="G498" t="s">
        <v>64</v>
      </c>
      <c r="H498">
        <v>3</v>
      </c>
      <c r="I498">
        <v>699</v>
      </c>
      <c r="J498">
        <v>0</v>
      </c>
      <c r="K498">
        <v>0</v>
      </c>
      <c r="L498" t="s">
        <v>83</v>
      </c>
      <c r="M498" t="s">
        <v>84</v>
      </c>
      <c r="N498" t="s">
        <v>102</v>
      </c>
      <c r="O498" t="s">
        <v>32</v>
      </c>
      <c r="P498" t="s">
        <v>80</v>
      </c>
      <c r="Q498">
        <v>1</v>
      </c>
      <c r="R498">
        <f>IFERROR(Table1_1[[#This Row],[Unit_Price]]*Table1_1[[#This Row],[Quantity]],"")</f>
        <v>2097</v>
      </c>
      <c r="S498">
        <f>IFERROR(Table1_1[[#This Row],[Gross_Sales]]*Table1_1[[#This Row],[Discount_%]],"")</f>
        <v>0</v>
      </c>
      <c r="T498">
        <f>IFERROR(Table1_1[[#This Row],[Gross_Sales]]-Table1_1[[#This Row],[Discount_amount]]+Table1_1[[#This Row],[Shipping_Cost]],"")</f>
        <v>2097</v>
      </c>
      <c r="U498">
        <f>IFERROR(Table1_1[[#This Row],[Net_Sale]]-(Table1_1[[#This Row],[Gross_Sales]]*70%),"")</f>
        <v>629.10000000000014</v>
      </c>
      <c r="V498" s="7">
        <f>IFERROR(Table1_1[[#This Row],[Profit]]/Table1_1[[#This Row],[Net_Sale]],"")</f>
        <v>0.30000000000000004</v>
      </c>
      <c r="W498" t="str">
        <f>TEXT(Table1_1[[#This Row],[Order_Date]],"mmm")</f>
        <v>Oct</v>
      </c>
    </row>
    <row r="499" spans="1:23" x14ac:dyDescent="0.25">
      <c r="A499" t="s">
        <v>847</v>
      </c>
      <c r="B499" t="s">
        <v>146</v>
      </c>
      <c r="C499" s="6">
        <v>45760</v>
      </c>
      <c r="D499" t="s">
        <v>110</v>
      </c>
      <c r="E499" t="s">
        <v>111</v>
      </c>
      <c r="F499" t="s">
        <v>98</v>
      </c>
      <c r="G499" t="s">
        <v>112</v>
      </c>
      <c r="H499">
        <v>1</v>
      </c>
      <c r="I499">
        <v>2999</v>
      </c>
      <c r="J499">
        <v>0</v>
      </c>
      <c r="K499">
        <v>79</v>
      </c>
      <c r="L499" t="s">
        <v>100</v>
      </c>
      <c r="M499" t="s">
        <v>101</v>
      </c>
      <c r="N499" t="s">
        <v>31</v>
      </c>
      <c r="O499" t="s">
        <v>59</v>
      </c>
      <c r="P499" t="s">
        <v>33</v>
      </c>
      <c r="Q499">
        <v>3</v>
      </c>
      <c r="R499">
        <f>IFERROR(Table1_1[[#This Row],[Unit_Price]]*Table1_1[[#This Row],[Quantity]],"")</f>
        <v>2999</v>
      </c>
      <c r="S499">
        <f>IFERROR(Table1_1[[#This Row],[Gross_Sales]]*Table1_1[[#This Row],[Discount_%]],"")</f>
        <v>0</v>
      </c>
      <c r="T499">
        <f>IFERROR(Table1_1[[#This Row],[Gross_Sales]]-Table1_1[[#This Row],[Discount_amount]]+Table1_1[[#This Row],[Shipping_Cost]],"")</f>
        <v>3078</v>
      </c>
      <c r="U499">
        <f>IFERROR(Table1_1[[#This Row],[Net_Sale]]-(Table1_1[[#This Row],[Gross_Sales]]*70%),"")</f>
        <v>978.70000000000027</v>
      </c>
      <c r="V499" s="7">
        <f>IFERROR(Table1_1[[#This Row],[Profit]]/Table1_1[[#This Row],[Net_Sale]],"")</f>
        <v>0.31796621182586104</v>
      </c>
      <c r="W499" t="str">
        <f>TEXT(Table1_1[[#This Row],[Order_Date]],"mmm")</f>
        <v>Apr</v>
      </c>
    </row>
    <row r="500" spans="1:23" x14ac:dyDescent="0.25">
      <c r="A500" t="s">
        <v>848</v>
      </c>
      <c r="B500" t="s">
        <v>70</v>
      </c>
      <c r="C500" s="6">
        <v>45667</v>
      </c>
      <c r="D500" t="s">
        <v>110</v>
      </c>
      <c r="E500" t="s">
        <v>111</v>
      </c>
      <c r="F500" t="s">
        <v>98</v>
      </c>
      <c r="G500" t="s">
        <v>112</v>
      </c>
      <c r="H500">
        <v>3</v>
      </c>
      <c r="I500">
        <v>2999</v>
      </c>
      <c r="J500">
        <v>0.1</v>
      </c>
      <c r="K500">
        <v>49</v>
      </c>
      <c r="L500" t="s">
        <v>74</v>
      </c>
      <c r="M500" t="s">
        <v>49</v>
      </c>
      <c r="N500" t="s">
        <v>253</v>
      </c>
      <c r="O500" t="s">
        <v>93</v>
      </c>
      <c r="P500" t="s">
        <v>80</v>
      </c>
      <c r="Q500">
        <v>3</v>
      </c>
      <c r="R500">
        <f>IFERROR(Table1_1[[#This Row],[Unit_Price]]*Table1_1[[#This Row],[Quantity]],"")</f>
        <v>8997</v>
      </c>
      <c r="S500">
        <f>IFERROR(Table1_1[[#This Row],[Gross_Sales]]*Table1_1[[#This Row],[Discount_%]],"")</f>
        <v>899.7</v>
      </c>
      <c r="T500">
        <f>IFERROR(Table1_1[[#This Row],[Gross_Sales]]-Table1_1[[#This Row],[Discount_amount]]+Table1_1[[#This Row],[Shipping_Cost]],"")</f>
        <v>8146.3</v>
      </c>
      <c r="U500">
        <f>IFERROR(Table1_1[[#This Row],[Net_Sale]]-(Table1_1[[#This Row],[Gross_Sales]]*70%),"")</f>
        <v>1848.4000000000005</v>
      </c>
      <c r="V500" s="7">
        <f>IFERROR(Table1_1[[#This Row],[Profit]]/Table1_1[[#This Row],[Net_Sale]],"")</f>
        <v>0.22690055608067472</v>
      </c>
      <c r="W500" t="str">
        <f>TEXT(Table1_1[[#This Row],[Order_Date]],"mmm")</f>
        <v>Jan</v>
      </c>
    </row>
    <row r="501" spans="1:23" x14ac:dyDescent="0.25">
      <c r="A501" t="s">
        <v>849</v>
      </c>
      <c r="B501" t="s">
        <v>154</v>
      </c>
      <c r="C501" s="6">
        <v>45753</v>
      </c>
      <c r="D501" t="s">
        <v>90</v>
      </c>
      <c r="E501" t="s">
        <v>91</v>
      </c>
      <c r="F501" t="s">
        <v>37</v>
      </c>
      <c r="G501" t="s">
        <v>92</v>
      </c>
      <c r="H501">
        <v>2</v>
      </c>
      <c r="I501">
        <v>3499</v>
      </c>
      <c r="J501">
        <v>0.15</v>
      </c>
      <c r="K501">
        <v>0</v>
      </c>
      <c r="L501" t="s">
        <v>125</v>
      </c>
      <c r="M501" t="s">
        <v>126</v>
      </c>
      <c r="N501" t="s">
        <v>50</v>
      </c>
      <c r="O501" t="s">
        <v>32</v>
      </c>
      <c r="P501" t="s">
        <v>52</v>
      </c>
      <c r="Q501">
        <v>3</v>
      </c>
      <c r="R501">
        <f>IFERROR(Table1_1[[#This Row],[Unit_Price]]*Table1_1[[#This Row],[Quantity]],"")</f>
        <v>6998</v>
      </c>
      <c r="S501">
        <f>IFERROR(Table1_1[[#This Row],[Gross_Sales]]*Table1_1[[#This Row],[Discount_%]],"")</f>
        <v>1049.7</v>
      </c>
      <c r="T501">
        <f>IFERROR(Table1_1[[#This Row],[Gross_Sales]]-Table1_1[[#This Row],[Discount_amount]]+Table1_1[[#This Row],[Shipping_Cost]],"")</f>
        <v>5948.3</v>
      </c>
      <c r="U501">
        <f>IFERROR(Table1_1[[#This Row],[Net_Sale]]-(Table1_1[[#This Row],[Gross_Sales]]*70%),"")</f>
        <v>1049.7000000000007</v>
      </c>
      <c r="V501" s="7">
        <f>IFERROR(Table1_1[[#This Row],[Profit]]/Table1_1[[#This Row],[Net_Sale]],"")</f>
        <v>0.17647058823529424</v>
      </c>
      <c r="W501" t="str">
        <f>TEXT(Table1_1[[#This Row],[Order_Date]],"mmm")</f>
        <v>Apr</v>
      </c>
    </row>
    <row r="502" spans="1:23" x14ac:dyDescent="0.25">
      <c r="A502" t="s">
        <v>850</v>
      </c>
      <c r="B502" t="s">
        <v>296</v>
      </c>
      <c r="C502" s="6">
        <v>45738</v>
      </c>
      <c r="D502" t="s">
        <v>169</v>
      </c>
      <c r="E502" t="s">
        <v>170</v>
      </c>
      <c r="F502" t="s">
        <v>98</v>
      </c>
      <c r="G502" t="s">
        <v>171</v>
      </c>
      <c r="H502">
        <v>1</v>
      </c>
      <c r="I502">
        <v>799</v>
      </c>
      <c r="J502">
        <v>0.05</v>
      </c>
      <c r="K502">
        <v>59</v>
      </c>
      <c r="L502" t="s">
        <v>119</v>
      </c>
      <c r="M502" t="s">
        <v>120</v>
      </c>
      <c r="N502" t="s">
        <v>50</v>
      </c>
      <c r="O502" t="s">
        <v>32</v>
      </c>
      <c r="P502" t="s">
        <v>80</v>
      </c>
      <c r="Q502">
        <v>3</v>
      </c>
      <c r="R502">
        <f>IFERROR(Table1_1[[#This Row],[Unit_Price]]*Table1_1[[#This Row],[Quantity]],"")</f>
        <v>799</v>
      </c>
      <c r="S502">
        <f>IFERROR(Table1_1[[#This Row],[Gross_Sales]]*Table1_1[[#This Row],[Discount_%]],"")</f>
        <v>39.950000000000003</v>
      </c>
      <c r="T502">
        <f>IFERROR(Table1_1[[#This Row],[Gross_Sales]]-Table1_1[[#This Row],[Discount_amount]]+Table1_1[[#This Row],[Shipping_Cost]],"")</f>
        <v>818.05</v>
      </c>
      <c r="U502">
        <f>IFERROR(Table1_1[[#This Row],[Net_Sale]]-(Table1_1[[#This Row],[Gross_Sales]]*70%),"")</f>
        <v>258.75</v>
      </c>
      <c r="V502" s="7">
        <f>IFERROR(Table1_1[[#This Row],[Profit]]/Table1_1[[#This Row],[Net_Sale]],"")</f>
        <v>0.31630095959904653</v>
      </c>
      <c r="W502" t="str">
        <f>TEXT(Table1_1[[#This Row],[Order_Date]],"mmm")</f>
        <v>Mar</v>
      </c>
    </row>
    <row r="503" spans="1:23" x14ac:dyDescent="0.25">
      <c r="A503" t="s">
        <v>851</v>
      </c>
      <c r="B503" t="s">
        <v>852</v>
      </c>
      <c r="C503" s="6">
        <v>45673</v>
      </c>
      <c r="D503" t="s">
        <v>35</v>
      </c>
      <c r="E503" t="s">
        <v>36</v>
      </c>
      <c r="F503" t="s">
        <v>37</v>
      </c>
      <c r="G503" t="s">
        <v>38</v>
      </c>
      <c r="H503">
        <v>3</v>
      </c>
      <c r="I503">
        <v>599</v>
      </c>
      <c r="J503">
        <v>0</v>
      </c>
      <c r="K503">
        <v>59</v>
      </c>
      <c r="L503" t="s">
        <v>48</v>
      </c>
      <c r="M503" t="s">
        <v>49</v>
      </c>
      <c r="N503" t="s">
        <v>50</v>
      </c>
      <c r="O503" t="s">
        <v>93</v>
      </c>
      <c r="P503" t="s">
        <v>33</v>
      </c>
      <c r="Q503">
        <v>3</v>
      </c>
      <c r="R503">
        <f>IFERROR(Table1_1[[#This Row],[Unit_Price]]*Table1_1[[#This Row],[Quantity]],"")</f>
        <v>1797</v>
      </c>
      <c r="S503">
        <f>IFERROR(Table1_1[[#This Row],[Gross_Sales]]*Table1_1[[#This Row],[Discount_%]],"")</f>
        <v>0</v>
      </c>
      <c r="T503">
        <f>IFERROR(Table1_1[[#This Row],[Gross_Sales]]-Table1_1[[#This Row],[Discount_amount]]+Table1_1[[#This Row],[Shipping_Cost]],"")</f>
        <v>1856</v>
      </c>
      <c r="U503">
        <f>IFERROR(Table1_1[[#This Row],[Net_Sale]]-(Table1_1[[#This Row],[Gross_Sales]]*70%),"")</f>
        <v>598.10000000000014</v>
      </c>
      <c r="V503" s="7">
        <f>IFERROR(Table1_1[[#This Row],[Profit]]/Table1_1[[#This Row],[Net_Sale]],"")</f>
        <v>0.32225215517241385</v>
      </c>
      <c r="W503" t="str">
        <f>TEXT(Table1_1[[#This Row],[Order_Date]],"mmm")</f>
        <v>Jan</v>
      </c>
    </row>
    <row r="504" spans="1:23" x14ac:dyDescent="0.25">
      <c r="A504" t="s">
        <v>853</v>
      </c>
      <c r="B504" t="s">
        <v>226</v>
      </c>
      <c r="C504" s="6">
        <v>45971</v>
      </c>
      <c r="D504" t="s">
        <v>96</v>
      </c>
      <c r="E504" t="s">
        <v>97</v>
      </c>
      <c r="F504" t="s">
        <v>98</v>
      </c>
      <c r="G504" t="s">
        <v>99</v>
      </c>
      <c r="H504">
        <v>4</v>
      </c>
      <c r="I504">
        <v>1499</v>
      </c>
      <c r="J504">
        <v>0.1</v>
      </c>
      <c r="K504">
        <v>49</v>
      </c>
      <c r="L504" t="s">
        <v>83</v>
      </c>
      <c r="M504" t="s">
        <v>84</v>
      </c>
      <c r="N504" t="s">
        <v>50</v>
      </c>
      <c r="O504" t="s">
        <v>59</v>
      </c>
      <c r="P504" t="s">
        <v>33</v>
      </c>
      <c r="Q504">
        <v>3</v>
      </c>
      <c r="R504">
        <f>IFERROR(Table1_1[[#This Row],[Unit_Price]]*Table1_1[[#This Row],[Quantity]],"")</f>
        <v>5996</v>
      </c>
      <c r="S504">
        <f>IFERROR(Table1_1[[#This Row],[Gross_Sales]]*Table1_1[[#This Row],[Discount_%]],"")</f>
        <v>599.6</v>
      </c>
      <c r="T504">
        <f>IFERROR(Table1_1[[#This Row],[Gross_Sales]]-Table1_1[[#This Row],[Discount_amount]]+Table1_1[[#This Row],[Shipping_Cost]],"")</f>
        <v>5445.4</v>
      </c>
      <c r="U504">
        <f>IFERROR(Table1_1[[#This Row],[Net_Sale]]-(Table1_1[[#This Row],[Gross_Sales]]*70%),"")</f>
        <v>1248.1999999999998</v>
      </c>
      <c r="V504" s="7">
        <f>IFERROR(Table1_1[[#This Row],[Profit]]/Table1_1[[#This Row],[Net_Sale]],"")</f>
        <v>0.22922099386638262</v>
      </c>
      <c r="W504" t="str">
        <f>TEXT(Table1_1[[#This Row],[Order_Date]],"mmm")</f>
        <v>Nov</v>
      </c>
    </row>
    <row r="505" spans="1:23" x14ac:dyDescent="0.25">
      <c r="A505" t="s">
        <v>854</v>
      </c>
      <c r="B505" t="s">
        <v>428</v>
      </c>
      <c r="C505" s="6">
        <v>45725</v>
      </c>
      <c r="D505" t="s">
        <v>44</v>
      </c>
      <c r="E505" t="s">
        <v>45</v>
      </c>
      <c r="F505" t="s">
        <v>46</v>
      </c>
      <c r="G505" t="s">
        <v>47</v>
      </c>
      <c r="H505">
        <v>1</v>
      </c>
      <c r="I505">
        <v>1199</v>
      </c>
      <c r="J505">
        <v>0.15</v>
      </c>
      <c r="K505">
        <v>99</v>
      </c>
      <c r="L505" t="s">
        <v>74</v>
      </c>
      <c r="M505" t="s">
        <v>49</v>
      </c>
      <c r="N505" t="s">
        <v>50</v>
      </c>
      <c r="O505" t="s">
        <v>51</v>
      </c>
      <c r="P505" t="s">
        <v>33</v>
      </c>
      <c r="Q505">
        <v>3</v>
      </c>
      <c r="R505">
        <f>IFERROR(Table1_1[[#This Row],[Unit_Price]]*Table1_1[[#This Row],[Quantity]],"")</f>
        <v>1199</v>
      </c>
      <c r="S505">
        <f>IFERROR(Table1_1[[#This Row],[Gross_Sales]]*Table1_1[[#This Row],[Discount_%]],"")</f>
        <v>179.85</v>
      </c>
      <c r="T505">
        <f>IFERROR(Table1_1[[#This Row],[Gross_Sales]]-Table1_1[[#This Row],[Discount_amount]]+Table1_1[[#This Row],[Shipping_Cost]],"")</f>
        <v>1118.1500000000001</v>
      </c>
      <c r="U505">
        <f>IFERROR(Table1_1[[#This Row],[Net_Sale]]-(Table1_1[[#This Row],[Gross_Sales]]*70%),"")</f>
        <v>278.85000000000014</v>
      </c>
      <c r="V505" s="7">
        <f>IFERROR(Table1_1[[#This Row],[Profit]]/Table1_1[[#This Row],[Net_Sale]],"")</f>
        <v>0.24938514510575516</v>
      </c>
      <c r="W505" t="str">
        <f>TEXT(Table1_1[[#This Row],[Order_Date]],"mmm")</f>
        <v>Mar</v>
      </c>
    </row>
    <row r="506" spans="1:23" x14ac:dyDescent="0.25">
      <c r="A506" t="s">
        <v>855</v>
      </c>
      <c r="B506" t="s">
        <v>138</v>
      </c>
      <c r="C506" s="6">
        <v>45878</v>
      </c>
      <c r="D506" t="s">
        <v>77</v>
      </c>
      <c r="E506" t="s">
        <v>78</v>
      </c>
      <c r="F506" t="s">
        <v>79</v>
      </c>
      <c r="G506" t="s">
        <v>28</v>
      </c>
      <c r="H506">
        <v>4</v>
      </c>
      <c r="I506">
        <v>2017</v>
      </c>
      <c r="J506">
        <v>0</v>
      </c>
      <c r="K506">
        <v>59</v>
      </c>
      <c r="L506" t="s">
        <v>83</v>
      </c>
      <c r="M506" t="s">
        <v>84</v>
      </c>
      <c r="N506" t="s">
        <v>102</v>
      </c>
      <c r="O506" t="s">
        <v>32</v>
      </c>
      <c r="P506" t="s">
        <v>85</v>
      </c>
      <c r="Q506">
        <v>3</v>
      </c>
      <c r="R506">
        <f>IFERROR(Table1_1[[#This Row],[Unit_Price]]*Table1_1[[#This Row],[Quantity]],"")</f>
        <v>8068</v>
      </c>
      <c r="S506">
        <f>IFERROR(Table1_1[[#This Row],[Gross_Sales]]*Table1_1[[#This Row],[Discount_%]],"")</f>
        <v>0</v>
      </c>
      <c r="T506">
        <f>IFERROR(Table1_1[[#This Row],[Gross_Sales]]-Table1_1[[#This Row],[Discount_amount]]+Table1_1[[#This Row],[Shipping_Cost]],"")</f>
        <v>8127</v>
      </c>
      <c r="U506">
        <f>IFERROR(Table1_1[[#This Row],[Net_Sale]]-(Table1_1[[#This Row],[Gross_Sales]]*70%),"")</f>
        <v>2479.4000000000005</v>
      </c>
      <c r="V506" s="7">
        <f>IFERROR(Table1_1[[#This Row],[Profit]]/Table1_1[[#This Row],[Net_Sale]],"")</f>
        <v>0.30508182601205863</v>
      </c>
      <c r="W506" t="str">
        <f>TEXT(Table1_1[[#This Row],[Order_Date]],"mmm")</f>
        <v>Aug</v>
      </c>
    </row>
    <row r="507" spans="1:23" x14ac:dyDescent="0.25">
      <c r="A507" t="s">
        <v>856</v>
      </c>
      <c r="B507" t="s">
        <v>857</v>
      </c>
      <c r="C507" s="6">
        <v>45732</v>
      </c>
      <c r="D507" t="s">
        <v>55</v>
      </c>
      <c r="E507" t="s">
        <v>56</v>
      </c>
      <c r="F507" t="s">
        <v>37</v>
      </c>
      <c r="G507" t="s">
        <v>38</v>
      </c>
      <c r="H507">
        <v>1</v>
      </c>
      <c r="I507">
        <v>2499</v>
      </c>
      <c r="J507">
        <v>0.1</v>
      </c>
      <c r="K507">
        <v>79</v>
      </c>
      <c r="L507" t="s">
        <v>100</v>
      </c>
      <c r="M507" t="s">
        <v>101</v>
      </c>
      <c r="N507" t="s">
        <v>40</v>
      </c>
      <c r="O507" t="s">
        <v>51</v>
      </c>
      <c r="P507" t="s">
        <v>33</v>
      </c>
      <c r="Q507">
        <v>2</v>
      </c>
      <c r="R507">
        <f>IFERROR(Table1_1[[#This Row],[Unit_Price]]*Table1_1[[#This Row],[Quantity]],"")</f>
        <v>2499</v>
      </c>
      <c r="S507">
        <f>IFERROR(Table1_1[[#This Row],[Gross_Sales]]*Table1_1[[#This Row],[Discount_%]],"")</f>
        <v>249.9</v>
      </c>
      <c r="T507">
        <f>IFERROR(Table1_1[[#This Row],[Gross_Sales]]-Table1_1[[#This Row],[Discount_amount]]+Table1_1[[#This Row],[Shipping_Cost]],"")</f>
        <v>2328.1</v>
      </c>
      <c r="U507">
        <f>IFERROR(Table1_1[[#This Row],[Net_Sale]]-(Table1_1[[#This Row],[Gross_Sales]]*70%),"")</f>
        <v>578.79999999999995</v>
      </c>
      <c r="V507" s="7">
        <f>IFERROR(Table1_1[[#This Row],[Profit]]/Table1_1[[#This Row],[Net_Sale]],"")</f>
        <v>0.24861475022550578</v>
      </c>
      <c r="W507" t="str">
        <f>TEXT(Table1_1[[#This Row],[Order_Date]],"mmm")</f>
        <v>Mar</v>
      </c>
    </row>
    <row r="508" spans="1:23" x14ac:dyDescent="0.25">
      <c r="A508" t="s">
        <v>858</v>
      </c>
      <c r="B508" t="s">
        <v>236</v>
      </c>
      <c r="C508" s="6">
        <v>45671</v>
      </c>
      <c r="D508" t="s">
        <v>67</v>
      </c>
      <c r="E508" t="s">
        <v>68</v>
      </c>
      <c r="F508" t="s">
        <v>37</v>
      </c>
      <c r="G508" t="s">
        <v>38</v>
      </c>
      <c r="H508">
        <v>1</v>
      </c>
      <c r="I508">
        <v>1299</v>
      </c>
      <c r="J508">
        <v>0.15</v>
      </c>
      <c r="K508">
        <v>99</v>
      </c>
      <c r="L508" t="s">
        <v>29</v>
      </c>
      <c r="M508" t="s">
        <v>30</v>
      </c>
      <c r="N508" t="s">
        <v>102</v>
      </c>
      <c r="O508" t="s">
        <v>41</v>
      </c>
      <c r="P508" t="s">
        <v>33</v>
      </c>
      <c r="Q508">
        <v>2</v>
      </c>
      <c r="R508">
        <f>IFERROR(Table1_1[[#This Row],[Unit_Price]]*Table1_1[[#This Row],[Quantity]],"")</f>
        <v>1299</v>
      </c>
      <c r="S508">
        <f>IFERROR(Table1_1[[#This Row],[Gross_Sales]]*Table1_1[[#This Row],[Discount_%]],"")</f>
        <v>194.85</v>
      </c>
      <c r="T508">
        <f>IFERROR(Table1_1[[#This Row],[Gross_Sales]]-Table1_1[[#This Row],[Discount_amount]]+Table1_1[[#This Row],[Shipping_Cost]],"")</f>
        <v>1203.1500000000001</v>
      </c>
      <c r="U508">
        <f>IFERROR(Table1_1[[#This Row],[Net_Sale]]-(Table1_1[[#This Row],[Gross_Sales]]*70%),"")</f>
        <v>293.85000000000014</v>
      </c>
      <c r="V508" s="7">
        <f>IFERROR(Table1_1[[#This Row],[Profit]]/Table1_1[[#This Row],[Net_Sale]],"")</f>
        <v>0.24423388604912116</v>
      </c>
      <c r="W508" t="str">
        <f>TEXT(Table1_1[[#This Row],[Order_Date]],"mmm")</f>
        <v>Jan</v>
      </c>
    </row>
    <row r="509" spans="1:23" x14ac:dyDescent="0.25">
      <c r="A509" t="s">
        <v>859</v>
      </c>
      <c r="B509" t="s">
        <v>267</v>
      </c>
      <c r="C509" s="6">
        <v>46010</v>
      </c>
      <c r="D509" t="s">
        <v>25</v>
      </c>
      <c r="E509" t="s">
        <v>26</v>
      </c>
      <c r="F509" t="s">
        <v>27</v>
      </c>
      <c r="G509" t="s">
        <v>28</v>
      </c>
      <c r="H509">
        <v>1</v>
      </c>
      <c r="I509">
        <v>249</v>
      </c>
      <c r="J509">
        <v>0.15</v>
      </c>
      <c r="K509">
        <v>79</v>
      </c>
      <c r="L509" t="s">
        <v>39</v>
      </c>
      <c r="M509" t="s">
        <v>39</v>
      </c>
      <c r="N509" t="s">
        <v>50</v>
      </c>
      <c r="O509" t="s">
        <v>59</v>
      </c>
      <c r="P509" t="s">
        <v>85</v>
      </c>
      <c r="Q509">
        <v>4</v>
      </c>
      <c r="R509">
        <f>IFERROR(Table1_1[[#This Row],[Unit_Price]]*Table1_1[[#This Row],[Quantity]],"")</f>
        <v>249</v>
      </c>
      <c r="S509">
        <f>IFERROR(Table1_1[[#This Row],[Gross_Sales]]*Table1_1[[#This Row],[Discount_%]],"")</f>
        <v>37.35</v>
      </c>
      <c r="T509">
        <f>IFERROR(Table1_1[[#This Row],[Gross_Sales]]-Table1_1[[#This Row],[Discount_amount]]+Table1_1[[#This Row],[Shipping_Cost]],"")</f>
        <v>290.64999999999998</v>
      </c>
      <c r="U509">
        <f>IFERROR(Table1_1[[#This Row],[Net_Sale]]-(Table1_1[[#This Row],[Gross_Sales]]*70%),"")</f>
        <v>116.35</v>
      </c>
      <c r="V509" s="7">
        <f>IFERROR(Table1_1[[#This Row],[Profit]]/Table1_1[[#This Row],[Net_Sale]],"")</f>
        <v>0.4003096507827284</v>
      </c>
      <c r="W509" t="str">
        <f>TEXT(Table1_1[[#This Row],[Order_Date]],"mmm")</f>
        <v>Dec</v>
      </c>
    </row>
    <row r="510" spans="1:23" x14ac:dyDescent="0.25">
      <c r="A510" t="s">
        <v>860</v>
      </c>
      <c r="B510" t="s">
        <v>325</v>
      </c>
      <c r="C510" s="6">
        <v>45773</v>
      </c>
      <c r="D510" t="s">
        <v>90</v>
      </c>
      <c r="E510" t="s">
        <v>91</v>
      </c>
      <c r="F510" t="s">
        <v>37</v>
      </c>
      <c r="G510" t="s">
        <v>92</v>
      </c>
      <c r="H510">
        <v>1</v>
      </c>
      <c r="I510">
        <v>3499</v>
      </c>
      <c r="J510">
        <v>0.05</v>
      </c>
      <c r="K510">
        <v>79</v>
      </c>
      <c r="L510" t="s">
        <v>100</v>
      </c>
      <c r="M510" t="s">
        <v>101</v>
      </c>
      <c r="N510" t="s">
        <v>50</v>
      </c>
      <c r="O510" t="s">
        <v>41</v>
      </c>
      <c r="P510" t="s">
        <v>33</v>
      </c>
      <c r="Q510">
        <v>1</v>
      </c>
      <c r="R510">
        <f>IFERROR(Table1_1[[#This Row],[Unit_Price]]*Table1_1[[#This Row],[Quantity]],"")</f>
        <v>3499</v>
      </c>
      <c r="S510">
        <f>IFERROR(Table1_1[[#This Row],[Gross_Sales]]*Table1_1[[#This Row],[Discount_%]],"")</f>
        <v>174.95000000000002</v>
      </c>
      <c r="T510">
        <f>IFERROR(Table1_1[[#This Row],[Gross_Sales]]-Table1_1[[#This Row],[Discount_amount]]+Table1_1[[#This Row],[Shipping_Cost]],"")</f>
        <v>3403.05</v>
      </c>
      <c r="U510">
        <f>IFERROR(Table1_1[[#This Row],[Net_Sale]]-(Table1_1[[#This Row],[Gross_Sales]]*70%),"")</f>
        <v>953.75000000000045</v>
      </c>
      <c r="V510" s="7">
        <f>IFERROR(Table1_1[[#This Row],[Profit]]/Table1_1[[#This Row],[Net_Sale]],"")</f>
        <v>0.28026329322225663</v>
      </c>
      <c r="W510" t="str">
        <f>TEXT(Table1_1[[#This Row],[Order_Date]],"mmm")</f>
        <v>Apr</v>
      </c>
    </row>
    <row r="511" spans="1:23" x14ac:dyDescent="0.25">
      <c r="A511" t="s">
        <v>861</v>
      </c>
      <c r="B511" t="s">
        <v>731</v>
      </c>
      <c r="C511" s="6">
        <v>45908</v>
      </c>
      <c r="D511" t="s">
        <v>105</v>
      </c>
      <c r="E511" t="s">
        <v>106</v>
      </c>
      <c r="F511" t="s">
        <v>37</v>
      </c>
      <c r="G511" t="s">
        <v>107</v>
      </c>
      <c r="H511">
        <v>3</v>
      </c>
      <c r="I511">
        <v>1799</v>
      </c>
      <c r="J511">
        <v>0</v>
      </c>
      <c r="K511">
        <v>79</v>
      </c>
      <c r="L511" t="s">
        <v>119</v>
      </c>
      <c r="M511" t="s">
        <v>120</v>
      </c>
      <c r="N511" t="s">
        <v>31</v>
      </c>
      <c r="O511" t="s">
        <v>32</v>
      </c>
      <c r="P511" t="s">
        <v>52</v>
      </c>
      <c r="Q511">
        <v>3</v>
      </c>
      <c r="R511">
        <f>IFERROR(Table1_1[[#This Row],[Unit_Price]]*Table1_1[[#This Row],[Quantity]],"")</f>
        <v>5397</v>
      </c>
      <c r="S511">
        <f>IFERROR(Table1_1[[#This Row],[Gross_Sales]]*Table1_1[[#This Row],[Discount_%]],"")</f>
        <v>0</v>
      </c>
      <c r="T511">
        <f>IFERROR(Table1_1[[#This Row],[Gross_Sales]]-Table1_1[[#This Row],[Discount_amount]]+Table1_1[[#This Row],[Shipping_Cost]],"")</f>
        <v>5476</v>
      </c>
      <c r="U511">
        <f>IFERROR(Table1_1[[#This Row],[Net_Sale]]-(Table1_1[[#This Row],[Gross_Sales]]*70%),"")</f>
        <v>1698.1000000000004</v>
      </c>
      <c r="V511" s="7">
        <f>IFERROR(Table1_1[[#This Row],[Profit]]/Table1_1[[#This Row],[Net_Sale]],"")</f>
        <v>0.31009861212563922</v>
      </c>
      <c r="W511" t="str">
        <f>TEXT(Table1_1[[#This Row],[Order_Date]],"mmm")</f>
        <v>Sep</v>
      </c>
    </row>
    <row r="512" spans="1:23" x14ac:dyDescent="0.25">
      <c r="A512" t="s">
        <v>862</v>
      </c>
      <c r="B512" t="s">
        <v>576</v>
      </c>
      <c r="C512" s="6">
        <v>45950</v>
      </c>
      <c r="D512" t="s">
        <v>96</v>
      </c>
      <c r="E512" t="s">
        <v>97</v>
      </c>
      <c r="F512" t="s">
        <v>98</v>
      </c>
      <c r="G512" t="s">
        <v>99</v>
      </c>
      <c r="H512">
        <v>1</v>
      </c>
      <c r="I512">
        <v>1499</v>
      </c>
      <c r="J512">
        <v>0.2</v>
      </c>
      <c r="K512">
        <v>0</v>
      </c>
      <c r="L512" t="s">
        <v>74</v>
      </c>
      <c r="M512" t="s">
        <v>49</v>
      </c>
      <c r="N512" t="s">
        <v>863</v>
      </c>
      <c r="O512" t="s">
        <v>59</v>
      </c>
      <c r="P512" t="s">
        <v>85</v>
      </c>
      <c r="Q512">
        <v>4</v>
      </c>
      <c r="R512">
        <f>IFERROR(Table1_1[[#This Row],[Unit_Price]]*Table1_1[[#This Row],[Quantity]],"")</f>
        <v>1499</v>
      </c>
      <c r="S512">
        <f>IFERROR(Table1_1[[#This Row],[Gross_Sales]]*Table1_1[[#This Row],[Discount_%]],"")</f>
        <v>299.8</v>
      </c>
      <c r="T512">
        <f>IFERROR(Table1_1[[#This Row],[Gross_Sales]]-Table1_1[[#This Row],[Discount_amount]]+Table1_1[[#This Row],[Shipping_Cost]],"")</f>
        <v>1199.2</v>
      </c>
      <c r="U512">
        <f>IFERROR(Table1_1[[#This Row],[Net_Sale]]-(Table1_1[[#This Row],[Gross_Sales]]*70%),"")</f>
        <v>149.90000000000009</v>
      </c>
      <c r="V512" s="7">
        <f>IFERROR(Table1_1[[#This Row],[Profit]]/Table1_1[[#This Row],[Net_Sale]],"")</f>
        <v>0.12500000000000008</v>
      </c>
      <c r="W512" t="str">
        <f>TEXT(Table1_1[[#This Row],[Order_Date]],"mmm")</f>
        <v>Oct</v>
      </c>
    </row>
    <row r="513" spans="1:23" x14ac:dyDescent="0.25">
      <c r="A513" t="s">
        <v>864</v>
      </c>
      <c r="B513" t="s">
        <v>865</v>
      </c>
      <c r="C513" s="6">
        <v>45860</v>
      </c>
      <c r="D513" t="s">
        <v>35</v>
      </c>
      <c r="E513" t="s">
        <v>36</v>
      </c>
      <c r="F513" t="s">
        <v>37</v>
      </c>
      <c r="G513" t="s">
        <v>38</v>
      </c>
      <c r="H513">
        <v>2</v>
      </c>
      <c r="I513">
        <v>599</v>
      </c>
      <c r="J513">
        <v>0.1</v>
      </c>
      <c r="K513">
        <v>99</v>
      </c>
      <c r="L513" t="s">
        <v>113</v>
      </c>
      <c r="M513" t="s">
        <v>114</v>
      </c>
      <c r="N513" t="s">
        <v>50</v>
      </c>
      <c r="O513" t="s">
        <v>51</v>
      </c>
      <c r="P513" t="s">
        <v>85</v>
      </c>
      <c r="Q513">
        <v>4</v>
      </c>
      <c r="R513">
        <f>IFERROR(Table1_1[[#This Row],[Unit_Price]]*Table1_1[[#This Row],[Quantity]],"")</f>
        <v>1198</v>
      </c>
      <c r="S513">
        <f>IFERROR(Table1_1[[#This Row],[Gross_Sales]]*Table1_1[[#This Row],[Discount_%]],"")</f>
        <v>119.80000000000001</v>
      </c>
      <c r="T513">
        <f>IFERROR(Table1_1[[#This Row],[Gross_Sales]]-Table1_1[[#This Row],[Discount_amount]]+Table1_1[[#This Row],[Shipping_Cost]],"")</f>
        <v>1177.2</v>
      </c>
      <c r="U513">
        <f>IFERROR(Table1_1[[#This Row],[Net_Sale]]-(Table1_1[[#This Row],[Gross_Sales]]*70%),"")</f>
        <v>338.60000000000014</v>
      </c>
      <c r="V513" s="7">
        <f>IFERROR(Table1_1[[#This Row],[Profit]]/Table1_1[[#This Row],[Net_Sale]],"")</f>
        <v>0.28763166836561344</v>
      </c>
      <c r="W513" t="str">
        <f>TEXT(Table1_1[[#This Row],[Order_Date]],"mmm")</f>
        <v>Jul</v>
      </c>
    </row>
    <row r="514" spans="1:23" x14ac:dyDescent="0.25">
      <c r="A514" t="s">
        <v>866</v>
      </c>
      <c r="B514" t="s">
        <v>356</v>
      </c>
      <c r="C514" s="6">
        <v>45804</v>
      </c>
      <c r="D514" t="s">
        <v>96</v>
      </c>
      <c r="E514" t="s">
        <v>97</v>
      </c>
      <c r="F514" t="s">
        <v>98</v>
      </c>
      <c r="G514" t="s">
        <v>99</v>
      </c>
      <c r="H514">
        <v>3</v>
      </c>
      <c r="I514">
        <v>1499</v>
      </c>
      <c r="J514">
        <v>0.05</v>
      </c>
      <c r="K514">
        <v>99</v>
      </c>
      <c r="L514" t="s">
        <v>48</v>
      </c>
      <c r="M514" t="s">
        <v>49</v>
      </c>
      <c r="N514" t="s">
        <v>102</v>
      </c>
      <c r="O514" t="s">
        <v>41</v>
      </c>
      <c r="P514" t="s">
        <v>52</v>
      </c>
      <c r="Q514">
        <v>4</v>
      </c>
      <c r="R514">
        <f>IFERROR(Table1_1[[#This Row],[Unit_Price]]*Table1_1[[#This Row],[Quantity]],"")</f>
        <v>4497</v>
      </c>
      <c r="S514">
        <f>IFERROR(Table1_1[[#This Row],[Gross_Sales]]*Table1_1[[#This Row],[Discount_%]],"")</f>
        <v>224.85000000000002</v>
      </c>
      <c r="T514">
        <f>IFERROR(Table1_1[[#This Row],[Gross_Sales]]-Table1_1[[#This Row],[Discount_amount]]+Table1_1[[#This Row],[Shipping_Cost]],"")</f>
        <v>4371.1499999999996</v>
      </c>
      <c r="U514">
        <f>IFERROR(Table1_1[[#This Row],[Net_Sale]]-(Table1_1[[#This Row],[Gross_Sales]]*70%),"")</f>
        <v>1223.25</v>
      </c>
      <c r="V514" s="7">
        <f>IFERROR(Table1_1[[#This Row],[Profit]]/Table1_1[[#This Row],[Net_Sale]],"")</f>
        <v>0.27984626471294743</v>
      </c>
      <c r="W514" t="str">
        <f>TEXT(Table1_1[[#This Row],[Order_Date]],"mmm")</f>
        <v>May</v>
      </c>
    </row>
    <row r="515" spans="1:23" x14ac:dyDescent="0.25">
      <c r="A515" t="s">
        <v>867</v>
      </c>
      <c r="B515" t="s">
        <v>255</v>
      </c>
      <c r="C515" s="6">
        <v>45914</v>
      </c>
      <c r="D515" t="s">
        <v>25</v>
      </c>
      <c r="E515" t="s">
        <v>26</v>
      </c>
      <c r="F515" t="s">
        <v>27</v>
      </c>
      <c r="G515" t="s">
        <v>28</v>
      </c>
      <c r="H515">
        <v>1</v>
      </c>
      <c r="I515">
        <v>249</v>
      </c>
      <c r="J515">
        <v>0.2</v>
      </c>
      <c r="K515">
        <v>99</v>
      </c>
      <c r="L515" t="s">
        <v>119</v>
      </c>
      <c r="M515" t="s">
        <v>120</v>
      </c>
      <c r="N515" t="s">
        <v>40</v>
      </c>
      <c r="O515" t="s">
        <v>59</v>
      </c>
      <c r="P515" t="s">
        <v>85</v>
      </c>
      <c r="Q515">
        <v>3</v>
      </c>
      <c r="R515">
        <f>IFERROR(Table1_1[[#This Row],[Unit_Price]]*Table1_1[[#This Row],[Quantity]],"")</f>
        <v>249</v>
      </c>
      <c r="S515">
        <f>IFERROR(Table1_1[[#This Row],[Gross_Sales]]*Table1_1[[#This Row],[Discount_%]],"")</f>
        <v>49.800000000000004</v>
      </c>
      <c r="T515">
        <f>IFERROR(Table1_1[[#This Row],[Gross_Sales]]-Table1_1[[#This Row],[Discount_amount]]+Table1_1[[#This Row],[Shipping_Cost]],"")</f>
        <v>298.2</v>
      </c>
      <c r="U515">
        <f>IFERROR(Table1_1[[#This Row],[Net_Sale]]-(Table1_1[[#This Row],[Gross_Sales]]*70%),"")</f>
        <v>123.9</v>
      </c>
      <c r="V515" s="7">
        <f>IFERROR(Table1_1[[#This Row],[Profit]]/Table1_1[[#This Row],[Net_Sale]],"")</f>
        <v>0.41549295774647893</v>
      </c>
      <c r="W515" t="str">
        <f>TEXT(Table1_1[[#This Row],[Order_Date]],"mmm")</f>
        <v>Sep</v>
      </c>
    </row>
    <row r="516" spans="1:23" x14ac:dyDescent="0.25">
      <c r="A516" t="s">
        <v>868</v>
      </c>
      <c r="B516" t="s">
        <v>352</v>
      </c>
      <c r="C516" s="6">
        <v>45960</v>
      </c>
      <c r="D516" t="s">
        <v>90</v>
      </c>
      <c r="E516" t="s">
        <v>91</v>
      </c>
      <c r="F516" t="s">
        <v>37</v>
      </c>
      <c r="G516" t="s">
        <v>92</v>
      </c>
      <c r="H516">
        <v>1</v>
      </c>
      <c r="I516">
        <v>3499</v>
      </c>
      <c r="J516">
        <v>0.1</v>
      </c>
      <c r="K516">
        <v>0</v>
      </c>
      <c r="L516" t="s">
        <v>39</v>
      </c>
      <c r="M516" t="s">
        <v>39</v>
      </c>
      <c r="N516" t="s">
        <v>71</v>
      </c>
      <c r="O516" t="s">
        <v>41</v>
      </c>
      <c r="P516" t="s">
        <v>33</v>
      </c>
      <c r="Q516">
        <v>3</v>
      </c>
      <c r="R516">
        <f>IFERROR(Table1_1[[#This Row],[Unit_Price]]*Table1_1[[#This Row],[Quantity]],"")</f>
        <v>3499</v>
      </c>
      <c r="S516">
        <f>IFERROR(Table1_1[[#This Row],[Gross_Sales]]*Table1_1[[#This Row],[Discount_%]],"")</f>
        <v>349.90000000000003</v>
      </c>
      <c r="T516">
        <f>IFERROR(Table1_1[[#This Row],[Gross_Sales]]-Table1_1[[#This Row],[Discount_amount]]+Table1_1[[#This Row],[Shipping_Cost]],"")</f>
        <v>3149.1</v>
      </c>
      <c r="U516">
        <f>IFERROR(Table1_1[[#This Row],[Net_Sale]]-(Table1_1[[#This Row],[Gross_Sales]]*70%),"")</f>
        <v>699.80000000000018</v>
      </c>
      <c r="V516" s="7">
        <f>IFERROR(Table1_1[[#This Row],[Profit]]/Table1_1[[#This Row],[Net_Sale]],"")</f>
        <v>0.22222222222222229</v>
      </c>
      <c r="W516" t="str">
        <f>TEXT(Table1_1[[#This Row],[Order_Date]],"mmm")</f>
        <v>Oct</v>
      </c>
    </row>
    <row r="517" spans="1:23" x14ac:dyDescent="0.25">
      <c r="A517" t="s">
        <v>869</v>
      </c>
      <c r="B517" t="s">
        <v>271</v>
      </c>
      <c r="C517" s="6">
        <v>46019</v>
      </c>
      <c r="D517" t="s">
        <v>77</v>
      </c>
      <c r="E517" t="s">
        <v>78</v>
      </c>
      <c r="F517" t="s">
        <v>79</v>
      </c>
      <c r="G517" t="s">
        <v>28</v>
      </c>
      <c r="H517">
        <v>1</v>
      </c>
      <c r="I517">
        <v>6499</v>
      </c>
      <c r="J517">
        <v>0</v>
      </c>
      <c r="K517">
        <v>99</v>
      </c>
      <c r="L517" t="s">
        <v>29</v>
      </c>
      <c r="M517" t="s">
        <v>30</v>
      </c>
      <c r="N517" t="s">
        <v>102</v>
      </c>
      <c r="O517" t="s">
        <v>32</v>
      </c>
      <c r="P517" t="s">
        <v>33</v>
      </c>
      <c r="Q517">
        <v>2</v>
      </c>
      <c r="R517">
        <f>IFERROR(Table1_1[[#This Row],[Unit_Price]]*Table1_1[[#This Row],[Quantity]],"")</f>
        <v>6499</v>
      </c>
      <c r="S517">
        <f>IFERROR(Table1_1[[#This Row],[Gross_Sales]]*Table1_1[[#This Row],[Discount_%]],"")</f>
        <v>0</v>
      </c>
      <c r="T517">
        <f>IFERROR(Table1_1[[#This Row],[Gross_Sales]]-Table1_1[[#This Row],[Discount_amount]]+Table1_1[[#This Row],[Shipping_Cost]],"")</f>
        <v>6598</v>
      </c>
      <c r="U517">
        <f>IFERROR(Table1_1[[#This Row],[Net_Sale]]-(Table1_1[[#This Row],[Gross_Sales]]*70%),"")</f>
        <v>2048.7000000000007</v>
      </c>
      <c r="V517" s="7">
        <f>IFERROR(Table1_1[[#This Row],[Profit]]/Table1_1[[#This Row],[Net_Sale]],"")</f>
        <v>0.31050318278266154</v>
      </c>
      <c r="W517" t="str">
        <f>TEXT(Table1_1[[#This Row],[Order_Date]],"mmm")</f>
        <v>Dec</v>
      </c>
    </row>
    <row r="518" spans="1:23" x14ac:dyDescent="0.25">
      <c r="A518" t="s">
        <v>870</v>
      </c>
      <c r="B518" t="s">
        <v>358</v>
      </c>
      <c r="C518" s="6">
        <v>45745</v>
      </c>
      <c r="D518" t="s">
        <v>96</v>
      </c>
      <c r="E518" t="s">
        <v>97</v>
      </c>
      <c r="F518" t="s">
        <v>98</v>
      </c>
      <c r="G518" t="s">
        <v>99</v>
      </c>
      <c r="H518">
        <v>1</v>
      </c>
      <c r="I518">
        <v>1499</v>
      </c>
      <c r="J518">
        <v>0</v>
      </c>
      <c r="K518">
        <v>49</v>
      </c>
      <c r="L518" t="s">
        <v>83</v>
      </c>
      <c r="M518" t="s">
        <v>84</v>
      </c>
      <c r="N518" t="s">
        <v>50</v>
      </c>
      <c r="O518" t="s">
        <v>93</v>
      </c>
      <c r="P518" t="s">
        <v>80</v>
      </c>
      <c r="Q518">
        <v>4</v>
      </c>
      <c r="R518">
        <f>IFERROR(Table1_1[[#This Row],[Unit_Price]]*Table1_1[[#This Row],[Quantity]],"")</f>
        <v>1499</v>
      </c>
      <c r="S518">
        <f>IFERROR(Table1_1[[#This Row],[Gross_Sales]]*Table1_1[[#This Row],[Discount_%]],"")</f>
        <v>0</v>
      </c>
      <c r="T518">
        <f>IFERROR(Table1_1[[#This Row],[Gross_Sales]]-Table1_1[[#This Row],[Discount_amount]]+Table1_1[[#This Row],[Shipping_Cost]],"")</f>
        <v>1548</v>
      </c>
      <c r="U518">
        <f>IFERROR(Table1_1[[#This Row],[Net_Sale]]-(Table1_1[[#This Row],[Gross_Sales]]*70%),"")</f>
        <v>498.70000000000005</v>
      </c>
      <c r="V518" s="7">
        <f>IFERROR(Table1_1[[#This Row],[Profit]]/Table1_1[[#This Row],[Net_Sale]],"")</f>
        <v>0.3221576227390181</v>
      </c>
      <c r="W518" t="str">
        <f>TEXT(Table1_1[[#This Row],[Order_Date]],"mmm")</f>
        <v>Mar</v>
      </c>
    </row>
    <row r="519" spans="1:23" x14ac:dyDescent="0.25">
      <c r="A519" t="s">
        <v>871</v>
      </c>
      <c r="B519" t="s">
        <v>428</v>
      </c>
      <c r="C519" s="6">
        <v>45886</v>
      </c>
      <c r="D519" t="s">
        <v>110</v>
      </c>
      <c r="E519" t="s">
        <v>111</v>
      </c>
      <c r="F519" t="s">
        <v>98</v>
      </c>
      <c r="G519" t="s">
        <v>112</v>
      </c>
      <c r="H519">
        <v>2</v>
      </c>
      <c r="I519">
        <v>2999</v>
      </c>
      <c r="J519">
        <v>0</v>
      </c>
      <c r="K519">
        <v>49</v>
      </c>
      <c r="L519" t="s">
        <v>48</v>
      </c>
      <c r="M519" t="s">
        <v>49</v>
      </c>
      <c r="N519" t="s">
        <v>31</v>
      </c>
      <c r="O519" t="s">
        <v>32</v>
      </c>
      <c r="P519" t="s">
        <v>33</v>
      </c>
      <c r="Q519">
        <v>3</v>
      </c>
      <c r="R519">
        <f>IFERROR(Table1_1[[#This Row],[Unit_Price]]*Table1_1[[#This Row],[Quantity]],"")</f>
        <v>5998</v>
      </c>
      <c r="S519">
        <f>IFERROR(Table1_1[[#This Row],[Gross_Sales]]*Table1_1[[#This Row],[Discount_%]],"")</f>
        <v>0</v>
      </c>
      <c r="T519">
        <f>IFERROR(Table1_1[[#This Row],[Gross_Sales]]-Table1_1[[#This Row],[Discount_amount]]+Table1_1[[#This Row],[Shipping_Cost]],"")</f>
        <v>6047</v>
      </c>
      <c r="U519">
        <f>IFERROR(Table1_1[[#This Row],[Net_Sale]]-(Table1_1[[#This Row],[Gross_Sales]]*70%),"")</f>
        <v>1848.4000000000005</v>
      </c>
      <c r="V519" s="7">
        <f>IFERROR(Table1_1[[#This Row],[Profit]]/Table1_1[[#This Row],[Net_Sale]],"")</f>
        <v>0.30567223416570211</v>
      </c>
      <c r="W519" t="str">
        <f>TEXT(Table1_1[[#This Row],[Order_Date]],"mmm")</f>
        <v>Aug</v>
      </c>
    </row>
    <row r="520" spans="1:23" x14ac:dyDescent="0.25">
      <c r="A520" t="s">
        <v>872</v>
      </c>
      <c r="B520" t="s">
        <v>349</v>
      </c>
      <c r="C520" s="6">
        <v>45913</v>
      </c>
      <c r="D520" t="s">
        <v>110</v>
      </c>
      <c r="E520" t="s">
        <v>111</v>
      </c>
      <c r="F520" t="s">
        <v>98</v>
      </c>
      <c r="G520" t="s">
        <v>112</v>
      </c>
      <c r="H520">
        <v>2</v>
      </c>
      <c r="I520">
        <v>2999</v>
      </c>
      <c r="J520">
        <v>0.15</v>
      </c>
      <c r="K520">
        <v>79</v>
      </c>
      <c r="L520" t="s">
        <v>39</v>
      </c>
      <c r="M520" t="s">
        <v>39</v>
      </c>
      <c r="N520" t="s">
        <v>50</v>
      </c>
      <c r="O520" t="s">
        <v>32</v>
      </c>
      <c r="P520" t="s">
        <v>33</v>
      </c>
      <c r="Q520">
        <v>3</v>
      </c>
      <c r="R520">
        <f>IFERROR(Table1_1[[#This Row],[Unit_Price]]*Table1_1[[#This Row],[Quantity]],"")</f>
        <v>5998</v>
      </c>
      <c r="S520">
        <f>IFERROR(Table1_1[[#This Row],[Gross_Sales]]*Table1_1[[#This Row],[Discount_%]],"")</f>
        <v>899.69999999999993</v>
      </c>
      <c r="T520">
        <f>IFERROR(Table1_1[[#This Row],[Gross_Sales]]-Table1_1[[#This Row],[Discount_amount]]+Table1_1[[#This Row],[Shipping_Cost]],"")</f>
        <v>5177.3</v>
      </c>
      <c r="U520">
        <f>IFERROR(Table1_1[[#This Row],[Net_Sale]]-(Table1_1[[#This Row],[Gross_Sales]]*70%),"")</f>
        <v>978.70000000000073</v>
      </c>
      <c r="V520" s="7">
        <f>IFERROR(Table1_1[[#This Row],[Profit]]/Table1_1[[#This Row],[Net_Sale]],"")</f>
        <v>0.18903675661058866</v>
      </c>
      <c r="W520" t="str">
        <f>TEXT(Table1_1[[#This Row],[Order_Date]],"mmm")</f>
        <v>Sep</v>
      </c>
    </row>
    <row r="521" spans="1:23" x14ac:dyDescent="0.25">
      <c r="A521" t="s">
        <v>873</v>
      </c>
      <c r="B521" t="s">
        <v>557</v>
      </c>
      <c r="C521" s="6">
        <v>45698</v>
      </c>
      <c r="D521" t="s">
        <v>90</v>
      </c>
      <c r="E521" t="s">
        <v>91</v>
      </c>
      <c r="F521" t="s">
        <v>37</v>
      </c>
      <c r="G521" t="s">
        <v>92</v>
      </c>
      <c r="H521">
        <v>1</v>
      </c>
      <c r="I521">
        <v>3499</v>
      </c>
      <c r="J521">
        <v>0</v>
      </c>
      <c r="K521">
        <v>99</v>
      </c>
      <c r="L521" t="s">
        <v>119</v>
      </c>
      <c r="M521" t="s">
        <v>120</v>
      </c>
      <c r="N521" t="s">
        <v>102</v>
      </c>
      <c r="O521" t="s">
        <v>32</v>
      </c>
      <c r="P521" t="s">
        <v>33</v>
      </c>
      <c r="Q521">
        <v>3</v>
      </c>
      <c r="R521">
        <f>IFERROR(Table1_1[[#This Row],[Unit_Price]]*Table1_1[[#This Row],[Quantity]],"")</f>
        <v>3499</v>
      </c>
      <c r="S521">
        <f>IFERROR(Table1_1[[#This Row],[Gross_Sales]]*Table1_1[[#This Row],[Discount_%]],"")</f>
        <v>0</v>
      </c>
      <c r="T521">
        <f>IFERROR(Table1_1[[#This Row],[Gross_Sales]]-Table1_1[[#This Row],[Discount_amount]]+Table1_1[[#This Row],[Shipping_Cost]],"")</f>
        <v>3598</v>
      </c>
      <c r="U521">
        <f>IFERROR(Table1_1[[#This Row],[Net_Sale]]-(Table1_1[[#This Row],[Gross_Sales]]*70%),"")</f>
        <v>1148.7000000000003</v>
      </c>
      <c r="V521" s="7">
        <f>IFERROR(Table1_1[[#This Row],[Profit]]/Table1_1[[#This Row],[Net_Sale]],"")</f>
        <v>0.31926070038910515</v>
      </c>
      <c r="W521" t="str">
        <f>TEXT(Table1_1[[#This Row],[Order_Date]],"mmm")</f>
        <v>Feb</v>
      </c>
    </row>
    <row r="522" spans="1:23" x14ac:dyDescent="0.25">
      <c r="A522" t="s">
        <v>874</v>
      </c>
      <c r="B522" t="s">
        <v>243</v>
      </c>
      <c r="C522" s="6">
        <v>45686</v>
      </c>
      <c r="D522" t="s">
        <v>67</v>
      </c>
      <c r="E522" t="s">
        <v>68</v>
      </c>
      <c r="F522" t="s">
        <v>37</v>
      </c>
      <c r="G522" t="s">
        <v>38</v>
      </c>
      <c r="H522">
        <v>1</v>
      </c>
      <c r="I522">
        <v>1299</v>
      </c>
      <c r="J522">
        <v>0</v>
      </c>
      <c r="K522">
        <v>0</v>
      </c>
      <c r="L522" t="s">
        <v>39</v>
      </c>
      <c r="M522" t="s">
        <v>39</v>
      </c>
      <c r="N522" t="s">
        <v>102</v>
      </c>
      <c r="O522" t="s">
        <v>51</v>
      </c>
      <c r="P522" t="s">
        <v>33</v>
      </c>
      <c r="Q522">
        <v>3</v>
      </c>
      <c r="R522">
        <f>IFERROR(Table1_1[[#This Row],[Unit_Price]]*Table1_1[[#This Row],[Quantity]],"")</f>
        <v>1299</v>
      </c>
      <c r="S522">
        <f>IFERROR(Table1_1[[#This Row],[Gross_Sales]]*Table1_1[[#This Row],[Discount_%]],"")</f>
        <v>0</v>
      </c>
      <c r="T522">
        <f>IFERROR(Table1_1[[#This Row],[Gross_Sales]]-Table1_1[[#This Row],[Discount_amount]]+Table1_1[[#This Row],[Shipping_Cost]],"")</f>
        <v>1299</v>
      </c>
      <c r="U522">
        <f>IFERROR(Table1_1[[#This Row],[Net_Sale]]-(Table1_1[[#This Row],[Gross_Sales]]*70%),"")</f>
        <v>389.70000000000005</v>
      </c>
      <c r="V522" s="7">
        <f>IFERROR(Table1_1[[#This Row],[Profit]]/Table1_1[[#This Row],[Net_Sale]],"")</f>
        <v>0.30000000000000004</v>
      </c>
      <c r="W522" t="str">
        <f>TEXT(Table1_1[[#This Row],[Order_Date]],"mmm")</f>
        <v>Jan</v>
      </c>
    </row>
    <row r="523" spans="1:23" x14ac:dyDescent="0.25">
      <c r="A523" t="s">
        <v>875</v>
      </c>
      <c r="B523" t="s">
        <v>226</v>
      </c>
      <c r="C523" s="6">
        <v>45749</v>
      </c>
      <c r="D523" t="s">
        <v>55</v>
      </c>
      <c r="E523" t="s">
        <v>56</v>
      </c>
      <c r="F523" t="s">
        <v>37</v>
      </c>
      <c r="G523" t="s">
        <v>38</v>
      </c>
      <c r="H523">
        <v>1</v>
      </c>
      <c r="I523">
        <v>2499</v>
      </c>
      <c r="J523">
        <v>0.15</v>
      </c>
      <c r="K523">
        <v>99</v>
      </c>
      <c r="L523" t="s">
        <v>39</v>
      </c>
      <c r="M523" t="s">
        <v>39</v>
      </c>
      <c r="N523" t="s">
        <v>102</v>
      </c>
      <c r="O523" t="s">
        <v>41</v>
      </c>
      <c r="P523" t="s">
        <v>33</v>
      </c>
      <c r="Q523">
        <v>4</v>
      </c>
      <c r="R523">
        <f>IFERROR(Table1_1[[#This Row],[Unit_Price]]*Table1_1[[#This Row],[Quantity]],"")</f>
        <v>2499</v>
      </c>
      <c r="S523">
        <f>IFERROR(Table1_1[[#This Row],[Gross_Sales]]*Table1_1[[#This Row],[Discount_%]],"")</f>
        <v>374.84999999999997</v>
      </c>
      <c r="T523">
        <f>IFERROR(Table1_1[[#This Row],[Gross_Sales]]-Table1_1[[#This Row],[Discount_amount]]+Table1_1[[#This Row],[Shipping_Cost]],"")</f>
        <v>2223.15</v>
      </c>
      <c r="U523">
        <f>IFERROR(Table1_1[[#This Row],[Net_Sale]]-(Table1_1[[#This Row],[Gross_Sales]]*70%),"")</f>
        <v>473.85000000000014</v>
      </c>
      <c r="V523" s="7">
        <f>IFERROR(Table1_1[[#This Row],[Profit]]/Table1_1[[#This Row],[Net_Sale]],"")</f>
        <v>0.21314351258349645</v>
      </c>
      <c r="W523" t="str">
        <f>TEXT(Table1_1[[#This Row],[Order_Date]],"mmm")</f>
        <v>Apr</v>
      </c>
    </row>
    <row r="524" spans="1:23" x14ac:dyDescent="0.25">
      <c r="A524" t="s">
        <v>876</v>
      </c>
      <c r="B524" t="s">
        <v>70</v>
      </c>
      <c r="C524" s="6">
        <v>45676</v>
      </c>
      <c r="D524" t="s">
        <v>77</v>
      </c>
      <c r="E524" t="s">
        <v>78</v>
      </c>
      <c r="F524" t="s">
        <v>79</v>
      </c>
      <c r="G524" t="s">
        <v>28</v>
      </c>
      <c r="H524">
        <v>1</v>
      </c>
      <c r="I524">
        <v>6499</v>
      </c>
      <c r="J524">
        <v>0.05</v>
      </c>
      <c r="K524">
        <v>59</v>
      </c>
      <c r="L524" t="s">
        <v>125</v>
      </c>
      <c r="M524" t="s">
        <v>126</v>
      </c>
      <c r="N524" t="s">
        <v>31</v>
      </c>
      <c r="O524" t="s">
        <v>59</v>
      </c>
      <c r="P524" t="s">
        <v>33</v>
      </c>
      <c r="Q524">
        <v>3</v>
      </c>
      <c r="R524">
        <f>IFERROR(Table1_1[[#This Row],[Unit_Price]]*Table1_1[[#This Row],[Quantity]],"")</f>
        <v>6499</v>
      </c>
      <c r="S524">
        <f>IFERROR(Table1_1[[#This Row],[Gross_Sales]]*Table1_1[[#This Row],[Discount_%]],"")</f>
        <v>324.95000000000005</v>
      </c>
      <c r="T524">
        <f>IFERROR(Table1_1[[#This Row],[Gross_Sales]]-Table1_1[[#This Row],[Discount_amount]]+Table1_1[[#This Row],[Shipping_Cost]],"")</f>
        <v>6233.05</v>
      </c>
      <c r="U524">
        <f>IFERROR(Table1_1[[#This Row],[Net_Sale]]-(Table1_1[[#This Row],[Gross_Sales]]*70%),"")</f>
        <v>1683.7500000000009</v>
      </c>
      <c r="V524" s="7">
        <f>IFERROR(Table1_1[[#This Row],[Profit]]/Table1_1[[#This Row],[Net_Sale]],"")</f>
        <v>0.27013259961014285</v>
      </c>
      <c r="W524" t="str">
        <f>TEXT(Table1_1[[#This Row],[Order_Date]],"mmm")</f>
        <v>Jan</v>
      </c>
    </row>
    <row r="525" spans="1:23" x14ac:dyDescent="0.25">
      <c r="A525" t="s">
        <v>877</v>
      </c>
      <c r="B525" t="s">
        <v>683</v>
      </c>
      <c r="C525" s="6">
        <v>45726</v>
      </c>
      <c r="D525" t="s">
        <v>62</v>
      </c>
      <c r="E525" t="s">
        <v>63</v>
      </c>
      <c r="F525" t="s">
        <v>46</v>
      </c>
      <c r="G525" t="s">
        <v>64</v>
      </c>
      <c r="H525">
        <v>1</v>
      </c>
      <c r="I525">
        <v>699</v>
      </c>
      <c r="J525">
        <v>0.05</v>
      </c>
      <c r="K525">
        <v>99</v>
      </c>
      <c r="L525" t="s">
        <v>29</v>
      </c>
      <c r="M525" t="s">
        <v>30</v>
      </c>
      <c r="N525" t="s">
        <v>102</v>
      </c>
      <c r="O525" t="s">
        <v>41</v>
      </c>
      <c r="P525" t="s">
        <v>33</v>
      </c>
      <c r="Q525">
        <v>3</v>
      </c>
      <c r="R525">
        <f>IFERROR(Table1_1[[#This Row],[Unit_Price]]*Table1_1[[#This Row],[Quantity]],"")</f>
        <v>699</v>
      </c>
      <c r="S525">
        <f>IFERROR(Table1_1[[#This Row],[Gross_Sales]]*Table1_1[[#This Row],[Discount_%]],"")</f>
        <v>34.950000000000003</v>
      </c>
      <c r="T525">
        <f>IFERROR(Table1_1[[#This Row],[Gross_Sales]]-Table1_1[[#This Row],[Discount_amount]]+Table1_1[[#This Row],[Shipping_Cost]],"")</f>
        <v>763.05</v>
      </c>
      <c r="U525">
        <f>IFERROR(Table1_1[[#This Row],[Net_Sale]]-(Table1_1[[#This Row],[Gross_Sales]]*70%),"")</f>
        <v>273.75</v>
      </c>
      <c r="V525" s="7">
        <f>IFERROR(Table1_1[[#This Row],[Profit]]/Table1_1[[#This Row],[Net_Sale]],"")</f>
        <v>0.35875761745626106</v>
      </c>
      <c r="W525" t="str">
        <f>TEXT(Table1_1[[#This Row],[Order_Date]],"mmm")</f>
        <v>Mar</v>
      </c>
    </row>
    <row r="526" spans="1:23" x14ac:dyDescent="0.25">
      <c r="A526" t="s">
        <v>878</v>
      </c>
      <c r="B526" t="s">
        <v>240</v>
      </c>
      <c r="C526" s="6">
        <v>45950</v>
      </c>
      <c r="D526" t="s">
        <v>67</v>
      </c>
      <c r="E526" t="s">
        <v>68</v>
      </c>
      <c r="F526" t="s">
        <v>37</v>
      </c>
      <c r="G526" t="s">
        <v>38</v>
      </c>
      <c r="H526">
        <v>1</v>
      </c>
      <c r="I526">
        <v>1299</v>
      </c>
      <c r="J526">
        <v>0</v>
      </c>
      <c r="K526">
        <v>79</v>
      </c>
      <c r="L526" t="s">
        <v>125</v>
      </c>
      <c r="M526" t="s">
        <v>126</v>
      </c>
      <c r="N526" t="s">
        <v>40</v>
      </c>
      <c r="O526" t="s">
        <v>32</v>
      </c>
      <c r="P526" t="s">
        <v>85</v>
      </c>
      <c r="Q526">
        <v>3</v>
      </c>
      <c r="R526">
        <f>IFERROR(Table1_1[[#This Row],[Unit_Price]]*Table1_1[[#This Row],[Quantity]],"")</f>
        <v>1299</v>
      </c>
      <c r="S526">
        <f>IFERROR(Table1_1[[#This Row],[Gross_Sales]]*Table1_1[[#This Row],[Discount_%]],"")</f>
        <v>0</v>
      </c>
      <c r="T526">
        <f>IFERROR(Table1_1[[#This Row],[Gross_Sales]]-Table1_1[[#This Row],[Discount_amount]]+Table1_1[[#This Row],[Shipping_Cost]],"")</f>
        <v>1378</v>
      </c>
      <c r="U526">
        <f>IFERROR(Table1_1[[#This Row],[Net_Sale]]-(Table1_1[[#This Row],[Gross_Sales]]*70%),"")</f>
        <v>468.70000000000005</v>
      </c>
      <c r="V526" s="7">
        <f>IFERROR(Table1_1[[#This Row],[Profit]]/Table1_1[[#This Row],[Net_Sale]],"")</f>
        <v>0.3401306240928883</v>
      </c>
      <c r="W526" t="str">
        <f>TEXT(Table1_1[[#This Row],[Order_Date]],"mmm")</f>
        <v>Oct</v>
      </c>
    </row>
    <row r="527" spans="1:23" x14ac:dyDescent="0.25">
      <c r="A527" t="s">
        <v>879</v>
      </c>
      <c r="B527" t="s">
        <v>607</v>
      </c>
      <c r="C527" s="6">
        <v>45977</v>
      </c>
      <c r="D527" t="s">
        <v>169</v>
      </c>
      <c r="E527" t="s">
        <v>170</v>
      </c>
      <c r="F527" t="s">
        <v>98</v>
      </c>
      <c r="G527" t="s">
        <v>171</v>
      </c>
      <c r="H527">
        <v>2</v>
      </c>
      <c r="I527">
        <v>799</v>
      </c>
      <c r="J527">
        <v>0.15</v>
      </c>
      <c r="K527">
        <v>99</v>
      </c>
      <c r="L527" t="s">
        <v>48</v>
      </c>
      <c r="M527" t="s">
        <v>49</v>
      </c>
      <c r="N527" t="s">
        <v>102</v>
      </c>
      <c r="O527" t="s">
        <v>59</v>
      </c>
      <c r="P527" t="s">
        <v>33</v>
      </c>
      <c r="Q527">
        <v>4</v>
      </c>
      <c r="R527">
        <f>IFERROR(Table1_1[[#This Row],[Unit_Price]]*Table1_1[[#This Row],[Quantity]],"")</f>
        <v>1598</v>
      </c>
      <c r="S527">
        <f>IFERROR(Table1_1[[#This Row],[Gross_Sales]]*Table1_1[[#This Row],[Discount_%]],"")</f>
        <v>239.7</v>
      </c>
      <c r="T527">
        <f>IFERROR(Table1_1[[#This Row],[Gross_Sales]]-Table1_1[[#This Row],[Discount_amount]]+Table1_1[[#This Row],[Shipping_Cost]],"")</f>
        <v>1457.3</v>
      </c>
      <c r="U527">
        <f>IFERROR(Table1_1[[#This Row],[Net_Sale]]-(Table1_1[[#This Row],[Gross_Sales]]*70%),"")</f>
        <v>338.70000000000005</v>
      </c>
      <c r="V527" s="7">
        <f>IFERROR(Table1_1[[#This Row],[Profit]]/Table1_1[[#This Row],[Net_Sale]],"")</f>
        <v>0.23241611198792292</v>
      </c>
      <c r="W527" t="str">
        <f>TEXT(Table1_1[[#This Row],[Order_Date]],"mmm")</f>
        <v>Nov</v>
      </c>
    </row>
    <row r="528" spans="1:23" x14ac:dyDescent="0.25">
      <c r="A528" t="s">
        <v>880</v>
      </c>
      <c r="B528" t="s">
        <v>411</v>
      </c>
      <c r="C528" s="6">
        <v>45806</v>
      </c>
      <c r="D528" t="s">
        <v>105</v>
      </c>
      <c r="E528" t="s">
        <v>106</v>
      </c>
      <c r="F528" t="s">
        <v>37</v>
      </c>
      <c r="G528" t="s">
        <v>107</v>
      </c>
      <c r="H528">
        <v>1</v>
      </c>
      <c r="I528">
        <v>1799</v>
      </c>
      <c r="J528">
        <v>0</v>
      </c>
      <c r="K528">
        <v>79</v>
      </c>
      <c r="L528" t="s">
        <v>125</v>
      </c>
      <c r="M528" t="s">
        <v>126</v>
      </c>
      <c r="N528" t="s">
        <v>50</v>
      </c>
      <c r="O528" t="s">
        <v>32</v>
      </c>
      <c r="P528" t="s">
        <v>33</v>
      </c>
      <c r="Q528">
        <v>4</v>
      </c>
      <c r="R528">
        <f>IFERROR(Table1_1[[#This Row],[Unit_Price]]*Table1_1[[#This Row],[Quantity]],"")</f>
        <v>1799</v>
      </c>
      <c r="S528">
        <f>IFERROR(Table1_1[[#This Row],[Gross_Sales]]*Table1_1[[#This Row],[Discount_%]],"")</f>
        <v>0</v>
      </c>
      <c r="T528">
        <f>IFERROR(Table1_1[[#This Row],[Gross_Sales]]-Table1_1[[#This Row],[Discount_amount]]+Table1_1[[#This Row],[Shipping_Cost]],"")</f>
        <v>1878</v>
      </c>
      <c r="U528">
        <f>IFERROR(Table1_1[[#This Row],[Net_Sale]]-(Table1_1[[#This Row],[Gross_Sales]]*70%),"")</f>
        <v>618.70000000000005</v>
      </c>
      <c r="V528" s="7">
        <f>IFERROR(Table1_1[[#This Row],[Profit]]/Table1_1[[#This Row],[Net_Sale]],"")</f>
        <v>0.32944621938232166</v>
      </c>
      <c r="W528" t="str">
        <f>TEXT(Table1_1[[#This Row],[Order_Date]],"mmm")</f>
        <v>May</v>
      </c>
    </row>
    <row r="529" spans="1:23" x14ac:dyDescent="0.25">
      <c r="A529" t="s">
        <v>881</v>
      </c>
      <c r="B529" t="s">
        <v>338</v>
      </c>
      <c r="C529" s="6">
        <v>45944</v>
      </c>
      <c r="D529" t="s">
        <v>96</v>
      </c>
      <c r="E529" t="s">
        <v>97</v>
      </c>
      <c r="F529" t="s">
        <v>98</v>
      </c>
      <c r="G529" t="s">
        <v>99</v>
      </c>
      <c r="H529">
        <v>1</v>
      </c>
      <c r="I529">
        <v>1499</v>
      </c>
      <c r="J529">
        <v>0.2</v>
      </c>
      <c r="K529">
        <v>49</v>
      </c>
      <c r="L529" t="s">
        <v>39</v>
      </c>
      <c r="M529" t="s">
        <v>39</v>
      </c>
      <c r="N529" t="s">
        <v>71</v>
      </c>
      <c r="O529" t="s">
        <v>93</v>
      </c>
      <c r="P529" t="s">
        <v>33</v>
      </c>
      <c r="Q529">
        <v>3</v>
      </c>
      <c r="R529">
        <f>IFERROR(Table1_1[[#This Row],[Unit_Price]]*Table1_1[[#This Row],[Quantity]],"")</f>
        <v>1499</v>
      </c>
      <c r="S529">
        <f>IFERROR(Table1_1[[#This Row],[Gross_Sales]]*Table1_1[[#This Row],[Discount_%]],"")</f>
        <v>299.8</v>
      </c>
      <c r="T529">
        <f>IFERROR(Table1_1[[#This Row],[Gross_Sales]]-Table1_1[[#This Row],[Discount_amount]]+Table1_1[[#This Row],[Shipping_Cost]],"")</f>
        <v>1248.2</v>
      </c>
      <c r="U529">
        <f>IFERROR(Table1_1[[#This Row],[Net_Sale]]-(Table1_1[[#This Row],[Gross_Sales]]*70%),"")</f>
        <v>198.90000000000009</v>
      </c>
      <c r="V529" s="7">
        <f>IFERROR(Table1_1[[#This Row],[Profit]]/Table1_1[[#This Row],[Net_Sale]],"")</f>
        <v>0.15934946322704702</v>
      </c>
      <c r="W529" t="str">
        <f>TEXT(Table1_1[[#This Row],[Order_Date]],"mmm")</f>
        <v>Oct</v>
      </c>
    </row>
    <row r="530" spans="1:23" x14ac:dyDescent="0.25">
      <c r="A530" t="s">
        <v>882</v>
      </c>
      <c r="B530" t="s">
        <v>173</v>
      </c>
      <c r="C530" s="6">
        <v>45661</v>
      </c>
      <c r="D530" t="s">
        <v>110</v>
      </c>
      <c r="E530" t="s">
        <v>111</v>
      </c>
      <c r="F530" t="s">
        <v>98</v>
      </c>
      <c r="G530" t="s">
        <v>112</v>
      </c>
      <c r="H530">
        <v>2</v>
      </c>
      <c r="I530">
        <v>2999</v>
      </c>
      <c r="J530">
        <v>0.05</v>
      </c>
      <c r="K530">
        <v>79</v>
      </c>
      <c r="L530" t="s">
        <v>83</v>
      </c>
      <c r="M530" t="s">
        <v>84</v>
      </c>
      <c r="N530" t="s">
        <v>253</v>
      </c>
      <c r="O530" t="s">
        <v>93</v>
      </c>
      <c r="P530" t="s">
        <v>33</v>
      </c>
      <c r="Q530">
        <v>3</v>
      </c>
      <c r="R530">
        <f>IFERROR(Table1_1[[#This Row],[Unit_Price]]*Table1_1[[#This Row],[Quantity]],"")</f>
        <v>5998</v>
      </c>
      <c r="S530">
        <f>IFERROR(Table1_1[[#This Row],[Gross_Sales]]*Table1_1[[#This Row],[Discount_%]],"")</f>
        <v>299.90000000000003</v>
      </c>
      <c r="T530">
        <f>IFERROR(Table1_1[[#This Row],[Gross_Sales]]-Table1_1[[#This Row],[Discount_amount]]+Table1_1[[#This Row],[Shipping_Cost]],"")</f>
        <v>5777.1</v>
      </c>
      <c r="U530">
        <f>IFERROR(Table1_1[[#This Row],[Net_Sale]]-(Table1_1[[#This Row],[Gross_Sales]]*70%),"")</f>
        <v>1578.5000000000009</v>
      </c>
      <c r="V530" s="7">
        <f>IFERROR(Table1_1[[#This Row],[Profit]]/Table1_1[[#This Row],[Net_Sale]],"")</f>
        <v>0.27323397552405199</v>
      </c>
      <c r="W530" t="str">
        <f>TEXT(Table1_1[[#This Row],[Order_Date]],"mmm")</f>
        <v>Jan</v>
      </c>
    </row>
    <row r="531" spans="1:23" x14ac:dyDescent="0.25">
      <c r="A531" t="s">
        <v>883</v>
      </c>
      <c r="B531" t="s">
        <v>884</v>
      </c>
      <c r="C531" s="6">
        <v>45831</v>
      </c>
      <c r="D531" t="s">
        <v>105</v>
      </c>
      <c r="E531" t="s">
        <v>106</v>
      </c>
      <c r="F531" t="s">
        <v>37</v>
      </c>
      <c r="G531" t="s">
        <v>107</v>
      </c>
      <c r="H531">
        <v>1</v>
      </c>
      <c r="I531">
        <v>1799</v>
      </c>
      <c r="J531">
        <v>0</v>
      </c>
      <c r="K531">
        <v>49</v>
      </c>
      <c r="L531" t="s">
        <v>113</v>
      </c>
      <c r="M531" t="s">
        <v>114</v>
      </c>
      <c r="N531" t="s">
        <v>50</v>
      </c>
      <c r="O531" t="s">
        <v>59</v>
      </c>
      <c r="P531" t="s">
        <v>52</v>
      </c>
      <c r="Q531">
        <v>3</v>
      </c>
      <c r="R531">
        <f>IFERROR(Table1_1[[#This Row],[Unit_Price]]*Table1_1[[#This Row],[Quantity]],"")</f>
        <v>1799</v>
      </c>
      <c r="S531">
        <f>IFERROR(Table1_1[[#This Row],[Gross_Sales]]*Table1_1[[#This Row],[Discount_%]],"")</f>
        <v>0</v>
      </c>
      <c r="T531">
        <f>IFERROR(Table1_1[[#This Row],[Gross_Sales]]-Table1_1[[#This Row],[Discount_amount]]+Table1_1[[#This Row],[Shipping_Cost]],"")</f>
        <v>1848</v>
      </c>
      <c r="U531">
        <f>IFERROR(Table1_1[[#This Row],[Net_Sale]]-(Table1_1[[#This Row],[Gross_Sales]]*70%),"")</f>
        <v>588.70000000000005</v>
      </c>
      <c r="V531" s="7">
        <f>IFERROR(Table1_1[[#This Row],[Profit]]/Table1_1[[#This Row],[Net_Sale]],"")</f>
        <v>0.3185606060606061</v>
      </c>
      <c r="W531" t="str">
        <f>TEXT(Table1_1[[#This Row],[Order_Date]],"mmm")</f>
        <v>Jun</v>
      </c>
    </row>
    <row r="532" spans="1:23" x14ac:dyDescent="0.25">
      <c r="A532" t="s">
        <v>885</v>
      </c>
      <c r="B532" t="s">
        <v>142</v>
      </c>
      <c r="C532" s="6">
        <v>45869</v>
      </c>
      <c r="D532" t="s">
        <v>62</v>
      </c>
      <c r="E532" t="s">
        <v>63</v>
      </c>
      <c r="F532" t="s">
        <v>46</v>
      </c>
      <c r="G532" t="s">
        <v>64</v>
      </c>
      <c r="H532">
        <v>2</v>
      </c>
      <c r="I532">
        <v>699</v>
      </c>
      <c r="J532">
        <v>0.05</v>
      </c>
      <c r="K532">
        <v>99</v>
      </c>
      <c r="L532" t="s">
        <v>74</v>
      </c>
      <c r="M532" t="s">
        <v>49</v>
      </c>
      <c r="N532" t="s">
        <v>102</v>
      </c>
      <c r="O532" t="s">
        <v>32</v>
      </c>
      <c r="P532" t="s">
        <v>85</v>
      </c>
      <c r="Q532">
        <v>1</v>
      </c>
      <c r="R532">
        <f>IFERROR(Table1_1[[#This Row],[Unit_Price]]*Table1_1[[#This Row],[Quantity]],"")</f>
        <v>1398</v>
      </c>
      <c r="S532">
        <f>IFERROR(Table1_1[[#This Row],[Gross_Sales]]*Table1_1[[#This Row],[Discount_%]],"")</f>
        <v>69.900000000000006</v>
      </c>
      <c r="T532">
        <f>IFERROR(Table1_1[[#This Row],[Gross_Sales]]-Table1_1[[#This Row],[Discount_amount]]+Table1_1[[#This Row],[Shipping_Cost]],"")</f>
        <v>1427.1</v>
      </c>
      <c r="U532">
        <f>IFERROR(Table1_1[[#This Row],[Net_Sale]]-(Table1_1[[#This Row],[Gross_Sales]]*70%),"")</f>
        <v>448.5</v>
      </c>
      <c r="V532" s="7">
        <f>IFERROR(Table1_1[[#This Row],[Profit]]/Table1_1[[#This Row],[Net_Sale]],"")</f>
        <v>0.31427370191297038</v>
      </c>
      <c r="W532" t="str">
        <f>TEXT(Table1_1[[#This Row],[Order_Date]],"mmm")</f>
        <v>Jul</v>
      </c>
    </row>
    <row r="533" spans="1:23" x14ac:dyDescent="0.25">
      <c r="A533" t="s">
        <v>886</v>
      </c>
      <c r="B533" t="s">
        <v>347</v>
      </c>
      <c r="C533" s="6">
        <v>45839</v>
      </c>
      <c r="D533" t="s">
        <v>67</v>
      </c>
      <c r="E533" t="s">
        <v>68</v>
      </c>
      <c r="F533" t="s">
        <v>37</v>
      </c>
      <c r="G533" t="s">
        <v>38</v>
      </c>
      <c r="H533">
        <v>2</v>
      </c>
      <c r="I533">
        <v>1299</v>
      </c>
      <c r="J533">
        <v>0</v>
      </c>
      <c r="K533">
        <v>59</v>
      </c>
      <c r="L533" t="s">
        <v>125</v>
      </c>
      <c r="M533" t="s">
        <v>126</v>
      </c>
      <c r="N533" t="s">
        <v>102</v>
      </c>
      <c r="O533" t="s">
        <v>41</v>
      </c>
      <c r="P533" t="s">
        <v>33</v>
      </c>
      <c r="Q533">
        <v>5</v>
      </c>
      <c r="R533">
        <f>IFERROR(Table1_1[[#This Row],[Unit_Price]]*Table1_1[[#This Row],[Quantity]],"")</f>
        <v>2598</v>
      </c>
      <c r="S533">
        <f>IFERROR(Table1_1[[#This Row],[Gross_Sales]]*Table1_1[[#This Row],[Discount_%]],"")</f>
        <v>0</v>
      </c>
      <c r="T533">
        <f>IFERROR(Table1_1[[#This Row],[Gross_Sales]]-Table1_1[[#This Row],[Discount_amount]]+Table1_1[[#This Row],[Shipping_Cost]],"")</f>
        <v>2657</v>
      </c>
      <c r="U533">
        <f>IFERROR(Table1_1[[#This Row],[Net_Sale]]-(Table1_1[[#This Row],[Gross_Sales]]*70%),"")</f>
        <v>838.40000000000009</v>
      </c>
      <c r="V533" s="7">
        <f>IFERROR(Table1_1[[#This Row],[Profit]]/Table1_1[[#This Row],[Net_Sale]],"")</f>
        <v>0.3155438464433572</v>
      </c>
      <c r="W533" t="str">
        <f>TEXT(Table1_1[[#This Row],[Order_Date]],"mmm")</f>
        <v>Jul</v>
      </c>
    </row>
    <row r="534" spans="1:23" x14ac:dyDescent="0.25">
      <c r="A534" t="s">
        <v>887</v>
      </c>
      <c r="B534" t="s">
        <v>315</v>
      </c>
      <c r="C534" s="6">
        <v>45717</v>
      </c>
      <c r="D534" t="s">
        <v>44</v>
      </c>
      <c r="E534" t="s">
        <v>45</v>
      </c>
      <c r="F534" t="s">
        <v>46</v>
      </c>
      <c r="G534" t="s">
        <v>47</v>
      </c>
      <c r="H534">
        <v>1</v>
      </c>
      <c r="I534">
        <v>1199</v>
      </c>
      <c r="J534">
        <v>0.2</v>
      </c>
      <c r="K534">
        <v>0</v>
      </c>
      <c r="L534" t="s">
        <v>57</v>
      </c>
      <c r="M534" t="s">
        <v>58</v>
      </c>
      <c r="N534" t="s">
        <v>40</v>
      </c>
      <c r="O534" t="s">
        <v>93</v>
      </c>
      <c r="P534" t="s">
        <v>33</v>
      </c>
      <c r="Q534">
        <v>4</v>
      </c>
      <c r="R534">
        <f>IFERROR(Table1_1[[#This Row],[Unit_Price]]*Table1_1[[#This Row],[Quantity]],"")</f>
        <v>1199</v>
      </c>
      <c r="S534">
        <f>IFERROR(Table1_1[[#This Row],[Gross_Sales]]*Table1_1[[#This Row],[Discount_%]],"")</f>
        <v>239.8</v>
      </c>
      <c r="T534">
        <f>IFERROR(Table1_1[[#This Row],[Gross_Sales]]-Table1_1[[#This Row],[Discount_amount]]+Table1_1[[#This Row],[Shipping_Cost]],"")</f>
        <v>959.2</v>
      </c>
      <c r="U534">
        <f>IFERROR(Table1_1[[#This Row],[Net_Sale]]-(Table1_1[[#This Row],[Gross_Sales]]*70%),"")</f>
        <v>119.90000000000009</v>
      </c>
      <c r="V534" s="7">
        <f>IFERROR(Table1_1[[#This Row],[Profit]]/Table1_1[[#This Row],[Net_Sale]],"")</f>
        <v>0.12500000000000008</v>
      </c>
      <c r="W534" t="str">
        <f>TEXT(Table1_1[[#This Row],[Order_Date]],"mmm")</f>
        <v>Mar</v>
      </c>
    </row>
    <row r="535" spans="1:23" x14ac:dyDescent="0.25">
      <c r="A535" t="s">
        <v>888</v>
      </c>
      <c r="B535" t="s">
        <v>267</v>
      </c>
      <c r="C535" s="6">
        <v>45812</v>
      </c>
      <c r="D535" t="s">
        <v>67</v>
      </c>
      <c r="E535" t="s">
        <v>68</v>
      </c>
      <c r="F535" t="s">
        <v>37</v>
      </c>
      <c r="G535" t="s">
        <v>38</v>
      </c>
      <c r="H535">
        <v>2</v>
      </c>
      <c r="I535">
        <v>1299</v>
      </c>
      <c r="J535">
        <v>0</v>
      </c>
      <c r="K535">
        <v>0</v>
      </c>
      <c r="L535" t="s">
        <v>74</v>
      </c>
      <c r="M535" t="s">
        <v>49</v>
      </c>
      <c r="N535" t="s">
        <v>31</v>
      </c>
      <c r="O535" t="s">
        <v>41</v>
      </c>
      <c r="P535" t="s">
        <v>33</v>
      </c>
      <c r="Q535">
        <v>1</v>
      </c>
      <c r="R535">
        <f>IFERROR(Table1_1[[#This Row],[Unit_Price]]*Table1_1[[#This Row],[Quantity]],"")</f>
        <v>2598</v>
      </c>
      <c r="S535">
        <f>IFERROR(Table1_1[[#This Row],[Gross_Sales]]*Table1_1[[#This Row],[Discount_%]],"")</f>
        <v>0</v>
      </c>
      <c r="T535">
        <f>IFERROR(Table1_1[[#This Row],[Gross_Sales]]-Table1_1[[#This Row],[Discount_amount]]+Table1_1[[#This Row],[Shipping_Cost]],"")</f>
        <v>2598</v>
      </c>
      <c r="U535">
        <f>IFERROR(Table1_1[[#This Row],[Net_Sale]]-(Table1_1[[#This Row],[Gross_Sales]]*70%),"")</f>
        <v>779.40000000000009</v>
      </c>
      <c r="V535" s="7">
        <f>IFERROR(Table1_1[[#This Row],[Profit]]/Table1_1[[#This Row],[Net_Sale]],"")</f>
        <v>0.30000000000000004</v>
      </c>
      <c r="W535" t="str">
        <f>TEXT(Table1_1[[#This Row],[Order_Date]],"mmm")</f>
        <v>Jun</v>
      </c>
    </row>
    <row r="536" spans="1:23" x14ac:dyDescent="0.25">
      <c r="A536" t="s">
        <v>889</v>
      </c>
      <c r="B536" t="s">
        <v>364</v>
      </c>
      <c r="C536" s="6">
        <v>45905</v>
      </c>
      <c r="D536" t="s">
        <v>90</v>
      </c>
      <c r="E536" t="s">
        <v>91</v>
      </c>
      <c r="F536" t="s">
        <v>37</v>
      </c>
      <c r="G536" t="s">
        <v>92</v>
      </c>
      <c r="H536">
        <v>1</v>
      </c>
      <c r="I536">
        <v>3499</v>
      </c>
      <c r="J536">
        <v>0.05</v>
      </c>
      <c r="K536">
        <v>79</v>
      </c>
      <c r="L536" t="s">
        <v>83</v>
      </c>
      <c r="M536" t="s">
        <v>84</v>
      </c>
      <c r="N536" t="s">
        <v>71</v>
      </c>
      <c r="O536" t="s">
        <v>51</v>
      </c>
      <c r="P536" t="s">
        <v>33</v>
      </c>
      <c r="Q536">
        <v>2</v>
      </c>
      <c r="R536">
        <f>IFERROR(Table1_1[[#This Row],[Unit_Price]]*Table1_1[[#This Row],[Quantity]],"")</f>
        <v>3499</v>
      </c>
      <c r="S536">
        <f>IFERROR(Table1_1[[#This Row],[Gross_Sales]]*Table1_1[[#This Row],[Discount_%]],"")</f>
        <v>174.95000000000002</v>
      </c>
      <c r="T536">
        <f>IFERROR(Table1_1[[#This Row],[Gross_Sales]]-Table1_1[[#This Row],[Discount_amount]]+Table1_1[[#This Row],[Shipping_Cost]],"")</f>
        <v>3403.05</v>
      </c>
      <c r="U536">
        <f>IFERROR(Table1_1[[#This Row],[Net_Sale]]-(Table1_1[[#This Row],[Gross_Sales]]*70%),"")</f>
        <v>953.75000000000045</v>
      </c>
      <c r="V536" s="7">
        <f>IFERROR(Table1_1[[#This Row],[Profit]]/Table1_1[[#This Row],[Net_Sale]],"")</f>
        <v>0.28026329322225663</v>
      </c>
      <c r="W536" t="str">
        <f>TEXT(Table1_1[[#This Row],[Order_Date]],"mmm")</f>
        <v>Sep</v>
      </c>
    </row>
    <row r="537" spans="1:23" x14ac:dyDescent="0.25">
      <c r="A537" t="s">
        <v>890</v>
      </c>
      <c r="B537" t="s">
        <v>623</v>
      </c>
      <c r="C537" s="6">
        <v>45725</v>
      </c>
      <c r="D537" t="s">
        <v>55</v>
      </c>
      <c r="E537" t="s">
        <v>56</v>
      </c>
      <c r="F537" t="s">
        <v>37</v>
      </c>
      <c r="G537" t="s">
        <v>38</v>
      </c>
      <c r="H537">
        <v>2</v>
      </c>
      <c r="I537">
        <v>2499</v>
      </c>
      <c r="J537">
        <v>0.1</v>
      </c>
      <c r="K537">
        <v>79</v>
      </c>
      <c r="L537" t="s">
        <v>83</v>
      </c>
      <c r="M537" t="s">
        <v>84</v>
      </c>
      <c r="N537" t="s">
        <v>31</v>
      </c>
      <c r="O537" t="s">
        <v>93</v>
      </c>
      <c r="P537" t="s">
        <v>33</v>
      </c>
      <c r="Q537">
        <v>3</v>
      </c>
      <c r="R537">
        <f>IFERROR(Table1_1[[#This Row],[Unit_Price]]*Table1_1[[#This Row],[Quantity]],"")</f>
        <v>4998</v>
      </c>
      <c r="S537">
        <f>IFERROR(Table1_1[[#This Row],[Gross_Sales]]*Table1_1[[#This Row],[Discount_%]],"")</f>
        <v>499.8</v>
      </c>
      <c r="T537">
        <f>IFERROR(Table1_1[[#This Row],[Gross_Sales]]-Table1_1[[#This Row],[Discount_amount]]+Table1_1[[#This Row],[Shipping_Cost]],"")</f>
        <v>4577.2</v>
      </c>
      <c r="U537">
        <f>IFERROR(Table1_1[[#This Row],[Net_Sale]]-(Table1_1[[#This Row],[Gross_Sales]]*70%),"")</f>
        <v>1078.5999999999999</v>
      </c>
      <c r="V537" s="7">
        <f>IFERROR(Table1_1[[#This Row],[Profit]]/Table1_1[[#This Row],[Net_Sale]],"")</f>
        <v>0.23564624661365025</v>
      </c>
      <c r="W537" t="str">
        <f>TEXT(Table1_1[[#This Row],[Order_Date]],"mmm")</f>
        <v>Mar</v>
      </c>
    </row>
    <row r="538" spans="1:23" x14ac:dyDescent="0.25">
      <c r="A538" t="s">
        <v>891</v>
      </c>
      <c r="B538" t="s">
        <v>116</v>
      </c>
      <c r="C538" s="6">
        <v>45828</v>
      </c>
      <c r="D538" t="s">
        <v>35</v>
      </c>
      <c r="E538" t="s">
        <v>36</v>
      </c>
      <c r="F538" t="s">
        <v>37</v>
      </c>
      <c r="G538" t="s">
        <v>38</v>
      </c>
      <c r="H538">
        <v>3</v>
      </c>
      <c r="I538">
        <v>599</v>
      </c>
      <c r="J538">
        <v>0</v>
      </c>
      <c r="K538">
        <v>99</v>
      </c>
      <c r="L538" t="s">
        <v>125</v>
      </c>
      <c r="M538" t="s">
        <v>126</v>
      </c>
      <c r="N538" t="s">
        <v>31</v>
      </c>
      <c r="O538" t="s">
        <v>32</v>
      </c>
      <c r="P538" t="s">
        <v>33</v>
      </c>
      <c r="Q538">
        <v>3</v>
      </c>
      <c r="R538">
        <f>IFERROR(Table1_1[[#This Row],[Unit_Price]]*Table1_1[[#This Row],[Quantity]],"")</f>
        <v>1797</v>
      </c>
      <c r="S538">
        <f>IFERROR(Table1_1[[#This Row],[Gross_Sales]]*Table1_1[[#This Row],[Discount_%]],"")</f>
        <v>0</v>
      </c>
      <c r="T538">
        <f>IFERROR(Table1_1[[#This Row],[Gross_Sales]]-Table1_1[[#This Row],[Discount_amount]]+Table1_1[[#This Row],[Shipping_Cost]],"")</f>
        <v>1896</v>
      </c>
      <c r="U538">
        <f>IFERROR(Table1_1[[#This Row],[Net_Sale]]-(Table1_1[[#This Row],[Gross_Sales]]*70%),"")</f>
        <v>638.10000000000014</v>
      </c>
      <c r="V538" s="7">
        <f>IFERROR(Table1_1[[#This Row],[Profit]]/Table1_1[[#This Row],[Net_Sale]],"")</f>
        <v>0.33655063291139248</v>
      </c>
      <c r="W538" t="str">
        <f>TEXT(Table1_1[[#This Row],[Order_Date]],"mmm")</f>
        <v>Jun</v>
      </c>
    </row>
    <row r="539" spans="1:23" x14ac:dyDescent="0.25">
      <c r="A539" t="s">
        <v>892</v>
      </c>
      <c r="B539" t="s">
        <v>411</v>
      </c>
      <c r="C539" s="6">
        <v>45756</v>
      </c>
      <c r="D539" t="s">
        <v>110</v>
      </c>
      <c r="E539" t="s">
        <v>111</v>
      </c>
      <c r="F539" t="s">
        <v>98</v>
      </c>
      <c r="G539" t="s">
        <v>112</v>
      </c>
      <c r="H539">
        <v>1</v>
      </c>
      <c r="I539">
        <v>2999</v>
      </c>
      <c r="J539">
        <v>0.05</v>
      </c>
      <c r="K539">
        <v>79</v>
      </c>
      <c r="L539" t="s">
        <v>113</v>
      </c>
      <c r="M539" t="s">
        <v>114</v>
      </c>
      <c r="N539" t="s">
        <v>71</v>
      </c>
      <c r="O539" t="s">
        <v>41</v>
      </c>
      <c r="P539" t="s">
        <v>85</v>
      </c>
      <c r="Q539">
        <v>2</v>
      </c>
      <c r="R539">
        <f>IFERROR(Table1_1[[#This Row],[Unit_Price]]*Table1_1[[#This Row],[Quantity]],"")</f>
        <v>2999</v>
      </c>
      <c r="S539">
        <f>IFERROR(Table1_1[[#This Row],[Gross_Sales]]*Table1_1[[#This Row],[Discount_%]],"")</f>
        <v>149.95000000000002</v>
      </c>
      <c r="T539">
        <f>IFERROR(Table1_1[[#This Row],[Gross_Sales]]-Table1_1[[#This Row],[Discount_amount]]+Table1_1[[#This Row],[Shipping_Cost]],"")</f>
        <v>2928.05</v>
      </c>
      <c r="U539">
        <f>IFERROR(Table1_1[[#This Row],[Net_Sale]]-(Table1_1[[#This Row],[Gross_Sales]]*70%),"")</f>
        <v>828.75000000000045</v>
      </c>
      <c r="V539" s="7">
        <f>IFERROR(Table1_1[[#This Row],[Profit]]/Table1_1[[#This Row],[Net_Sale]],"")</f>
        <v>0.28303819948429854</v>
      </c>
      <c r="W539" t="str">
        <f>TEXT(Table1_1[[#This Row],[Order_Date]],"mmm")</f>
        <v>Apr</v>
      </c>
    </row>
    <row r="540" spans="1:23" x14ac:dyDescent="0.25">
      <c r="A540" t="s">
        <v>893</v>
      </c>
      <c r="B540" t="s">
        <v>894</v>
      </c>
      <c r="C540" s="6">
        <v>45976</v>
      </c>
      <c r="D540" t="s">
        <v>110</v>
      </c>
      <c r="E540" t="s">
        <v>111</v>
      </c>
      <c r="F540" t="s">
        <v>98</v>
      </c>
      <c r="G540" t="s">
        <v>112</v>
      </c>
      <c r="H540">
        <v>1</v>
      </c>
      <c r="I540">
        <v>2999</v>
      </c>
      <c r="J540">
        <v>0</v>
      </c>
      <c r="K540">
        <v>99</v>
      </c>
      <c r="L540" t="s">
        <v>29</v>
      </c>
      <c r="M540" t="s">
        <v>30</v>
      </c>
      <c r="N540" t="s">
        <v>102</v>
      </c>
      <c r="O540" t="s">
        <v>51</v>
      </c>
      <c r="P540" t="s">
        <v>33</v>
      </c>
      <c r="Q540">
        <v>3</v>
      </c>
      <c r="R540">
        <f>IFERROR(Table1_1[[#This Row],[Unit_Price]]*Table1_1[[#This Row],[Quantity]],"")</f>
        <v>2999</v>
      </c>
      <c r="S540">
        <f>IFERROR(Table1_1[[#This Row],[Gross_Sales]]*Table1_1[[#This Row],[Discount_%]],"")</f>
        <v>0</v>
      </c>
      <c r="T540">
        <f>IFERROR(Table1_1[[#This Row],[Gross_Sales]]-Table1_1[[#This Row],[Discount_amount]]+Table1_1[[#This Row],[Shipping_Cost]],"")</f>
        <v>3098</v>
      </c>
      <c r="U540">
        <f>IFERROR(Table1_1[[#This Row],[Net_Sale]]-(Table1_1[[#This Row],[Gross_Sales]]*70%),"")</f>
        <v>998.70000000000027</v>
      </c>
      <c r="V540" s="7">
        <f>IFERROR(Table1_1[[#This Row],[Profit]]/Table1_1[[#This Row],[Net_Sale]],"")</f>
        <v>0.32236927049709496</v>
      </c>
      <c r="W540" t="str">
        <f>TEXT(Table1_1[[#This Row],[Order_Date]],"mmm")</f>
        <v>Nov</v>
      </c>
    </row>
    <row r="541" spans="1:23" x14ac:dyDescent="0.25">
      <c r="A541" t="s">
        <v>895</v>
      </c>
      <c r="B541" t="s">
        <v>681</v>
      </c>
      <c r="C541" s="6">
        <v>45745</v>
      </c>
      <c r="D541" t="s">
        <v>105</v>
      </c>
      <c r="E541" t="s">
        <v>106</v>
      </c>
      <c r="F541" t="s">
        <v>37</v>
      </c>
      <c r="G541" t="s">
        <v>107</v>
      </c>
      <c r="H541">
        <v>2</v>
      </c>
      <c r="I541">
        <v>1799</v>
      </c>
      <c r="J541">
        <v>0.05</v>
      </c>
      <c r="K541">
        <v>99</v>
      </c>
      <c r="L541" t="s">
        <v>48</v>
      </c>
      <c r="M541" t="s">
        <v>49</v>
      </c>
      <c r="N541" t="s">
        <v>31</v>
      </c>
      <c r="O541" t="s">
        <v>41</v>
      </c>
      <c r="P541" t="s">
        <v>85</v>
      </c>
      <c r="Q541">
        <v>1</v>
      </c>
      <c r="R541">
        <f>IFERROR(Table1_1[[#This Row],[Unit_Price]]*Table1_1[[#This Row],[Quantity]],"")</f>
        <v>3598</v>
      </c>
      <c r="S541">
        <f>IFERROR(Table1_1[[#This Row],[Gross_Sales]]*Table1_1[[#This Row],[Discount_%]],"")</f>
        <v>179.9</v>
      </c>
      <c r="T541">
        <f>IFERROR(Table1_1[[#This Row],[Gross_Sales]]-Table1_1[[#This Row],[Discount_amount]]+Table1_1[[#This Row],[Shipping_Cost]],"")</f>
        <v>3517.1</v>
      </c>
      <c r="U541">
        <f>IFERROR(Table1_1[[#This Row],[Net_Sale]]-(Table1_1[[#This Row],[Gross_Sales]]*70%),"")</f>
        <v>998.5</v>
      </c>
      <c r="V541" s="7">
        <f>IFERROR(Table1_1[[#This Row],[Profit]]/Table1_1[[#This Row],[Net_Sale]],"")</f>
        <v>0.2838986665150266</v>
      </c>
      <c r="W541" t="str">
        <f>TEXT(Table1_1[[#This Row],[Order_Date]],"mmm")</f>
        <v>Mar</v>
      </c>
    </row>
    <row r="542" spans="1:23" x14ac:dyDescent="0.25">
      <c r="A542" t="s">
        <v>896</v>
      </c>
      <c r="B542" t="s">
        <v>609</v>
      </c>
      <c r="C542" s="6">
        <v>45685</v>
      </c>
      <c r="D542" t="s">
        <v>90</v>
      </c>
      <c r="E542" t="s">
        <v>91</v>
      </c>
      <c r="F542" t="s">
        <v>37</v>
      </c>
      <c r="G542" t="s">
        <v>92</v>
      </c>
      <c r="H542">
        <v>1</v>
      </c>
      <c r="I542">
        <v>3499</v>
      </c>
      <c r="J542">
        <v>0</v>
      </c>
      <c r="K542">
        <v>99</v>
      </c>
      <c r="L542" t="s">
        <v>39</v>
      </c>
      <c r="M542" t="s">
        <v>39</v>
      </c>
      <c r="N542" t="s">
        <v>102</v>
      </c>
      <c r="O542" t="s">
        <v>51</v>
      </c>
      <c r="P542" t="s">
        <v>52</v>
      </c>
      <c r="Q542">
        <v>3</v>
      </c>
      <c r="R542">
        <f>IFERROR(Table1_1[[#This Row],[Unit_Price]]*Table1_1[[#This Row],[Quantity]],"")</f>
        <v>3499</v>
      </c>
      <c r="S542">
        <f>IFERROR(Table1_1[[#This Row],[Gross_Sales]]*Table1_1[[#This Row],[Discount_%]],"")</f>
        <v>0</v>
      </c>
      <c r="T542">
        <f>IFERROR(Table1_1[[#This Row],[Gross_Sales]]-Table1_1[[#This Row],[Discount_amount]]+Table1_1[[#This Row],[Shipping_Cost]],"")</f>
        <v>3598</v>
      </c>
      <c r="U542">
        <f>IFERROR(Table1_1[[#This Row],[Net_Sale]]-(Table1_1[[#This Row],[Gross_Sales]]*70%),"")</f>
        <v>1148.7000000000003</v>
      </c>
      <c r="V542" s="7">
        <f>IFERROR(Table1_1[[#This Row],[Profit]]/Table1_1[[#This Row],[Net_Sale]],"")</f>
        <v>0.31926070038910515</v>
      </c>
      <c r="W542" t="str">
        <f>TEXT(Table1_1[[#This Row],[Order_Date]],"mmm")</f>
        <v>Jan</v>
      </c>
    </row>
    <row r="543" spans="1:23" x14ac:dyDescent="0.25">
      <c r="A543" t="s">
        <v>897</v>
      </c>
      <c r="B543" t="s">
        <v>177</v>
      </c>
      <c r="C543" s="6">
        <v>46001</v>
      </c>
      <c r="D543" t="s">
        <v>169</v>
      </c>
      <c r="E543" t="s">
        <v>170</v>
      </c>
      <c r="F543" t="s">
        <v>98</v>
      </c>
      <c r="G543" t="s">
        <v>171</v>
      </c>
      <c r="H543">
        <v>2</v>
      </c>
      <c r="I543">
        <v>799</v>
      </c>
      <c r="J543">
        <v>0.15</v>
      </c>
      <c r="K543">
        <v>49</v>
      </c>
      <c r="L543" t="s">
        <v>113</v>
      </c>
      <c r="M543" t="s">
        <v>114</v>
      </c>
      <c r="N543" t="s">
        <v>40</v>
      </c>
      <c r="O543" t="s">
        <v>93</v>
      </c>
      <c r="P543" t="s">
        <v>52</v>
      </c>
      <c r="Q543">
        <v>4</v>
      </c>
      <c r="R543">
        <f>IFERROR(Table1_1[[#This Row],[Unit_Price]]*Table1_1[[#This Row],[Quantity]],"")</f>
        <v>1598</v>
      </c>
      <c r="S543">
        <f>IFERROR(Table1_1[[#This Row],[Gross_Sales]]*Table1_1[[#This Row],[Discount_%]],"")</f>
        <v>239.7</v>
      </c>
      <c r="T543">
        <f>IFERROR(Table1_1[[#This Row],[Gross_Sales]]-Table1_1[[#This Row],[Discount_amount]]+Table1_1[[#This Row],[Shipping_Cost]],"")</f>
        <v>1407.3</v>
      </c>
      <c r="U543">
        <f>IFERROR(Table1_1[[#This Row],[Net_Sale]]-(Table1_1[[#This Row],[Gross_Sales]]*70%),"")</f>
        <v>288.70000000000005</v>
      </c>
      <c r="V543" s="7">
        <f>IFERROR(Table1_1[[#This Row],[Profit]]/Table1_1[[#This Row],[Net_Sale]],"")</f>
        <v>0.20514460314076605</v>
      </c>
      <c r="W543" t="str">
        <f>TEXT(Table1_1[[#This Row],[Order_Date]],"mmm")</f>
        <v>Dec</v>
      </c>
    </row>
    <row r="544" spans="1:23" x14ac:dyDescent="0.25">
      <c r="A544" t="s">
        <v>898</v>
      </c>
      <c r="B544" t="s">
        <v>899</v>
      </c>
      <c r="C544" s="6">
        <v>45772</v>
      </c>
      <c r="D544" t="s">
        <v>110</v>
      </c>
      <c r="E544" t="s">
        <v>111</v>
      </c>
      <c r="F544" t="s">
        <v>98</v>
      </c>
      <c r="G544" t="s">
        <v>112</v>
      </c>
      <c r="H544">
        <v>2</v>
      </c>
      <c r="I544">
        <v>2999</v>
      </c>
      <c r="J544">
        <v>0.05</v>
      </c>
      <c r="K544">
        <v>59</v>
      </c>
      <c r="L544" t="s">
        <v>119</v>
      </c>
      <c r="M544" t="s">
        <v>120</v>
      </c>
      <c r="N544" t="s">
        <v>50</v>
      </c>
      <c r="O544" t="s">
        <v>51</v>
      </c>
      <c r="P544" t="s">
        <v>85</v>
      </c>
      <c r="Q544">
        <v>3</v>
      </c>
      <c r="R544">
        <f>IFERROR(Table1_1[[#This Row],[Unit_Price]]*Table1_1[[#This Row],[Quantity]],"")</f>
        <v>5998</v>
      </c>
      <c r="S544">
        <f>IFERROR(Table1_1[[#This Row],[Gross_Sales]]*Table1_1[[#This Row],[Discount_%]],"")</f>
        <v>299.90000000000003</v>
      </c>
      <c r="T544">
        <f>IFERROR(Table1_1[[#This Row],[Gross_Sales]]-Table1_1[[#This Row],[Discount_amount]]+Table1_1[[#This Row],[Shipping_Cost]],"")</f>
        <v>5757.1</v>
      </c>
      <c r="U544">
        <f>IFERROR(Table1_1[[#This Row],[Net_Sale]]-(Table1_1[[#This Row],[Gross_Sales]]*70%),"")</f>
        <v>1558.5000000000009</v>
      </c>
      <c r="V544" s="7">
        <f>IFERROR(Table1_1[[#This Row],[Profit]]/Table1_1[[#This Row],[Net_Sale]],"")</f>
        <v>0.27070921123482322</v>
      </c>
      <c r="W544" t="str">
        <f>TEXT(Table1_1[[#This Row],[Order_Date]],"mmm")</f>
        <v>Apr</v>
      </c>
    </row>
    <row r="545" spans="1:23" x14ac:dyDescent="0.25">
      <c r="A545" t="s">
        <v>900</v>
      </c>
      <c r="B545" t="s">
        <v>901</v>
      </c>
      <c r="C545" s="6">
        <v>45691</v>
      </c>
      <c r="D545" t="s">
        <v>169</v>
      </c>
      <c r="E545" t="s">
        <v>170</v>
      </c>
      <c r="F545" t="s">
        <v>98</v>
      </c>
      <c r="G545" t="s">
        <v>171</v>
      </c>
      <c r="H545">
        <v>2</v>
      </c>
      <c r="I545">
        <v>799</v>
      </c>
      <c r="J545">
        <v>0.1</v>
      </c>
      <c r="K545">
        <v>79</v>
      </c>
      <c r="L545" t="s">
        <v>119</v>
      </c>
      <c r="M545" t="s">
        <v>120</v>
      </c>
      <c r="N545" t="s">
        <v>71</v>
      </c>
      <c r="O545" t="s">
        <v>51</v>
      </c>
      <c r="P545" t="s">
        <v>33</v>
      </c>
      <c r="Q545">
        <v>5</v>
      </c>
      <c r="R545">
        <f>IFERROR(Table1_1[[#This Row],[Unit_Price]]*Table1_1[[#This Row],[Quantity]],"")</f>
        <v>1598</v>
      </c>
      <c r="S545">
        <f>IFERROR(Table1_1[[#This Row],[Gross_Sales]]*Table1_1[[#This Row],[Discount_%]],"")</f>
        <v>159.80000000000001</v>
      </c>
      <c r="T545">
        <f>IFERROR(Table1_1[[#This Row],[Gross_Sales]]-Table1_1[[#This Row],[Discount_amount]]+Table1_1[[#This Row],[Shipping_Cost]],"")</f>
        <v>1517.2</v>
      </c>
      <c r="U545">
        <f>IFERROR(Table1_1[[#This Row],[Net_Sale]]-(Table1_1[[#This Row],[Gross_Sales]]*70%),"")</f>
        <v>398.60000000000014</v>
      </c>
      <c r="V545" s="7">
        <f>IFERROR(Table1_1[[#This Row],[Profit]]/Table1_1[[#This Row],[Net_Sale]],"")</f>
        <v>0.26272080147640398</v>
      </c>
      <c r="W545" t="str">
        <f>TEXT(Table1_1[[#This Row],[Order_Date]],"mmm")</f>
        <v>Feb</v>
      </c>
    </row>
    <row r="546" spans="1:23" x14ac:dyDescent="0.25">
      <c r="A546" t="s">
        <v>902</v>
      </c>
      <c r="B546" t="s">
        <v>717</v>
      </c>
      <c r="C546" s="6">
        <v>45865</v>
      </c>
      <c r="D546" t="s">
        <v>44</v>
      </c>
      <c r="E546" t="s">
        <v>45</v>
      </c>
      <c r="F546" t="s">
        <v>46</v>
      </c>
      <c r="G546" t="s">
        <v>47</v>
      </c>
      <c r="H546">
        <v>2</v>
      </c>
      <c r="I546">
        <v>1199</v>
      </c>
      <c r="J546">
        <v>0.05</v>
      </c>
      <c r="K546">
        <v>99</v>
      </c>
      <c r="L546" t="s">
        <v>100</v>
      </c>
      <c r="M546" t="s">
        <v>101</v>
      </c>
      <c r="N546" t="s">
        <v>71</v>
      </c>
      <c r="O546" t="s">
        <v>32</v>
      </c>
      <c r="P546" t="s">
        <v>33</v>
      </c>
      <c r="Q546">
        <v>4</v>
      </c>
      <c r="R546">
        <f>IFERROR(Table1_1[[#This Row],[Unit_Price]]*Table1_1[[#This Row],[Quantity]],"")</f>
        <v>2398</v>
      </c>
      <c r="S546">
        <f>IFERROR(Table1_1[[#This Row],[Gross_Sales]]*Table1_1[[#This Row],[Discount_%]],"")</f>
        <v>119.9</v>
      </c>
      <c r="T546">
        <f>IFERROR(Table1_1[[#This Row],[Gross_Sales]]-Table1_1[[#This Row],[Discount_amount]]+Table1_1[[#This Row],[Shipping_Cost]],"")</f>
        <v>2377.1</v>
      </c>
      <c r="U546">
        <f>IFERROR(Table1_1[[#This Row],[Net_Sale]]-(Table1_1[[#This Row],[Gross_Sales]]*70%),"")</f>
        <v>698.5</v>
      </c>
      <c r="V546" s="7">
        <f>IFERROR(Table1_1[[#This Row],[Profit]]/Table1_1[[#This Row],[Net_Sale]],"")</f>
        <v>0.2938454419250347</v>
      </c>
      <c r="W546" t="str">
        <f>TEXT(Table1_1[[#This Row],[Order_Date]],"mmm")</f>
        <v>Jul</v>
      </c>
    </row>
    <row r="547" spans="1:23" x14ac:dyDescent="0.25">
      <c r="A547" t="s">
        <v>903</v>
      </c>
      <c r="B547" t="s">
        <v>715</v>
      </c>
      <c r="C547" s="6">
        <v>45975</v>
      </c>
      <c r="D547" t="s">
        <v>96</v>
      </c>
      <c r="E547" t="s">
        <v>97</v>
      </c>
      <c r="F547" t="s">
        <v>98</v>
      </c>
      <c r="G547" t="s">
        <v>99</v>
      </c>
      <c r="H547">
        <v>1</v>
      </c>
      <c r="I547">
        <v>1499</v>
      </c>
      <c r="J547">
        <v>0.1</v>
      </c>
      <c r="K547">
        <v>79</v>
      </c>
      <c r="L547" t="s">
        <v>125</v>
      </c>
      <c r="M547" t="s">
        <v>126</v>
      </c>
      <c r="N547" t="s">
        <v>71</v>
      </c>
      <c r="O547" t="s">
        <v>41</v>
      </c>
      <c r="P547" t="s">
        <v>33</v>
      </c>
      <c r="Q547">
        <v>3</v>
      </c>
      <c r="R547">
        <f>IFERROR(Table1_1[[#This Row],[Unit_Price]]*Table1_1[[#This Row],[Quantity]],"")</f>
        <v>1499</v>
      </c>
      <c r="S547">
        <f>IFERROR(Table1_1[[#This Row],[Gross_Sales]]*Table1_1[[#This Row],[Discount_%]],"")</f>
        <v>149.9</v>
      </c>
      <c r="T547">
        <f>IFERROR(Table1_1[[#This Row],[Gross_Sales]]-Table1_1[[#This Row],[Discount_amount]]+Table1_1[[#This Row],[Shipping_Cost]],"")</f>
        <v>1428.1</v>
      </c>
      <c r="U547">
        <f>IFERROR(Table1_1[[#This Row],[Net_Sale]]-(Table1_1[[#This Row],[Gross_Sales]]*70%),"")</f>
        <v>378.79999999999995</v>
      </c>
      <c r="V547" s="7">
        <f>IFERROR(Table1_1[[#This Row],[Profit]]/Table1_1[[#This Row],[Net_Sale]],"")</f>
        <v>0.26524753168545617</v>
      </c>
      <c r="W547" t="str">
        <f>TEXT(Table1_1[[#This Row],[Order_Date]],"mmm")</f>
        <v>Nov</v>
      </c>
    </row>
    <row r="548" spans="1:23" x14ac:dyDescent="0.25">
      <c r="A548" t="s">
        <v>904</v>
      </c>
      <c r="B548" t="s">
        <v>589</v>
      </c>
      <c r="C548" s="6">
        <v>45880</v>
      </c>
      <c r="D548" t="s">
        <v>77</v>
      </c>
      <c r="E548" t="s">
        <v>78</v>
      </c>
      <c r="F548" t="s">
        <v>79</v>
      </c>
      <c r="G548" t="s">
        <v>28</v>
      </c>
      <c r="H548">
        <v>1</v>
      </c>
      <c r="I548">
        <v>6499</v>
      </c>
      <c r="J548">
        <v>0.15</v>
      </c>
      <c r="K548">
        <v>49</v>
      </c>
      <c r="L548" t="s">
        <v>125</v>
      </c>
      <c r="M548" t="s">
        <v>126</v>
      </c>
      <c r="N548" t="s">
        <v>31</v>
      </c>
      <c r="O548" t="s">
        <v>32</v>
      </c>
      <c r="P548" t="s">
        <v>33</v>
      </c>
      <c r="Q548">
        <v>3</v>
      </c>
      <c r="R548">
        <f>IFERROR(Table1_1[[#This Row],[Unit_Price]]*Table1_1[[#This Row],[Quantity]],"")</f>
        <v>6499</v>
      </c>
      <c r="S548">
        <f>IFERROR(Table1_1[[#This Row],[Gross_Sales]]*Table1_1[[#This Row],[Discount_%]],"")</f>
        <v>974.84999999999991</v>
      </c>
      <c r="T548">
        <f>IFERROR(Table1_1[[#This Row],[Gross_Sales]]-Table1_1[[#This Row],[Discount_amount]]+Table1_1[[#This Row],[Shipping_Cost]],"")</f>
        <v>5573.15</v>
      </c>
      <c r="U548">
        <f>IFERROR(Table1_1[[#This Row],[Net_Sale]]-(Table1_1[[#This Row],[Gross_Sales]]*70%),"")</f>
        <v>1023.8500000000004</v>
      </c>
      <c r="V548" s="7">
        <f>IFERROR(Table1_1[[#This Row],[Profit]]/Table1_1[[#This Row],[Net_Sale]],"")</f>
        <v>0.18371118667181047</v>
      </c>
      <c r="W548" t="str">
        <f>TEXT(Table1_1[[#This Row],[Order_Date]],"mmm")</f>
        <v>Aug</v>
      </c>
    </row>
    <row r="549" spans="1:23" x14ac:dyDescent="0.25">
      <c r="A549" t="s">
        <v>905</v>
      </c>
      <c r="B549" t="s">
        <v>906</v>
      </c>
      <c r="C549" s="6">
        <v>45895</v>
      </c>
      <c r="D549" t="s">
        <v>90</v>
      </c>
      <c r="E549" t="s">
        <v>91</v>
      </c>
      <c r="F549" t="s">
        <v>37</v>
      </c>
      <c r="G549" t="s">
        <v>92</v>
      </c>
      <c r="H549">
        <v>2</v>
      </c>
      <c r="I549">
        <v>3499</v>
      </c>
      <c r="J549">
        <v>0.1</v>
      </c>
      <c r="K549">
        <v>49</v>
      </c>
      <c r="L549" t="s">
        <v>29</v>
      </c>
      <c r="M549" t="s">
        <v>30</v>
      </c>
      <c r="N549" t="s">
        <v>40</v>
      </c>
      <c r="O549" t="s">
        <v>93</v>
      </c>
      <c r="P549" t="s">
        <v>33</v>
      </c>
      <c r="Q549">
        <v>5</v>
      </c>
      <c r="R549">
        <f>IFERROR(Table1_1[[#This Row],[Unit_Price]]*Table1_1[[#This Row],[Quantity]],"")</f>
        <v>6998</v>
      </c>
      <c r="S549">
        <f>IFERROR(Table1_1[[#This Row],[Gross_Sales]]*Table1_1[[#This Row],[Discount_%]],"")</f>
        <v>699.80000000000007</v>
      </c>
      <c r="T549">
        <f>IFERROR(Table1_1[[#This Row],[Gross_Sales]]-Table1_1[[#This Row],[Discount_amount]]+Table1_1[[#This Row],[Shipping_Cost]],"")</f>
        <v>6347.2</v>
      </c>
      <c r="U549">
        <f>IFERROR(Table1_1[[#This Row],[Net_Sale]]-(Table1_1[[#This Row],[Gross_Sales]]*70%),"")</f>
        <v>1448.6000000000004</v>
      </c>
      <c r="V549" s="7">
        <f>IFERROR(Table1_1[[#This Row],[Profit]]/Table1_1[[#This Row],[Net_Sale]],"")</f>
        <v>0.22822661961179738</v>
      </c>
      <c r="W549" t="str">
        <f>TEXT(Table1_1[[#This Row],[Order_Date]],"mmm")</f>
        <v>Aug</v>
      </c>
    </row>
    <row r="550" spans="1:23" x14ac:dyDescent="0.25">
      <c r="A550" t="s">
        <v>907</v>
      </c>
      <c r="B550" t="s">
        <v>582</v>
      </c>
      <c r="C550" s="6">
        <v>45852</v>
      </c>
      <c r="D550" t="s">
        <v>55</v>
      </c>
      <c r="E550" t="s">
        <v>56</v>
      </c>
      <c r="F550" t="s">
        <v>37</v>
      </c>
      <c r="G550" t="s">
        <v>38</v>
      </c>
      <c r="H550">
        <v>3</v>
      </c>
      <c r="I550">
        <v>2499</v>
      </c>
      <c r="J550">
        <v>0.2</v>
      </c>
      <c r="K550">
        <v>0</v>
      </c>
      <c r="L550" t="s">
        <v>125</v>
      </c>
      <c r="M550" t="s">
        <v>126</v>
      </c>
      <c r="N550" t="s">
        <v>50</v>
      </c>
      <c r="O550" t="s">
        <v>41</v>
      </c>
      <c r="P550" t="s">
        <v>80</v>
      </c>
      <c r="Q550">
        <v>5</v>
      </c>
      <c r="R550">
        <f>IFERROR(Table1_1[[#This Row],[Unit_Price]]*Table1_1[[#This Row],[Quantity]],"")</f>
        <v>7497</v>
      </c>
      <c r="S550">
        <f>IFERROR(Table1_1[[#This Row],[Gross_Sales]]*Table1_1[[#This Row],[Discount_%]],"")</f>
        <v>1499.4</v>
      </c>
      <c r="T550">
        <f>IFERROR(Table1_1[[#This Row],[Gross_Sales]]-Table1_1[[#This Row],[Discount_amount]]+Table1_1[[#This Row],[Shipping_Cost]],"")</f>
        <v>5997.6</v>
      </c>
      <c r="U550">
        <f>IFERROR(Table1_1[[#This Row],[Net_Sale]]-(Table1_1[[#This Row],[Gross_Sales]]*70%),"")</f>
        <v>749.70000000000073</v>
      </c>
      <c r="V550" s="7">
        <f>IFERROR(Table1_1[[#This Row],[Profit]]/Table1_1[[#This Row],[Net_Sale]],"")</f>
        <v>0.12500000000000011</v>
      </c>
      <c r="W550" t="str">
        <f>TEXT(Table1_1[[#This Row],[Order_Date]],"mmm")</f>
        <v>Jul</v>
      </c>
    </row>
    <row r="551" spans="1:23" x14ac:dyDescent="0.25">
      <c r="A551" t="s">
        <v>908</v>
      </c>
      <c r="B551" t="s">
        <v>243</v>
      </c>
      <c r="C551" s="6">
        <v>45996</v>
      </c>
      <c r="D551" t="s">
        <v>25</v>
      </c>
      <c r="E551" t="s">
        <v>26</v>
      </c>
      <c r="F551" t="s">
        <v>27</v>
      </c>
      <c r="G551" t="s">
        <v>28</v>
      </c>
      <c r="H551">
        <v>3</v>
      </c>
      <c r="I551">
        <v>249</v>
      </c>
      <c r="J551">
        <v>0.05</v>
      </c>
      <c r="K551">
        <v>79</v>
      </c>
      <c r="L551" t="s">
        <v>39</v>
      </c>
      <c r="M551" t="s">
        <v>39</v>
      </c>
      <c r="N551" t="s">
        <v>40</v>
      </c>
      <c r="O551" t="s">
        <v>41</v>
      </c>
      <c r="P551" t="s">
        <v>85</v>
      </c>
      <c r="Q551">
        <v>2</v>
      </c>
      <c r="R551">
        <f>IFERROR(Table1_1[[#This Row],[Unit_Price]]*Table1_1[[#This Row],[Quantity]],"")</f>
        <v>747</v>
      </c>
      <c r="S551">
        <f>IFERROR(Table1_1[[#This Row],[Gross_Sales]]*Table1_1[[#This Row],[Discount_%]],"")</f>
        <v>37.35</v>
      </c>
      <c r="T551">
        <f>IFERROR(Table1_1[[#This Row],[Gross_Sales]]-Table1_1[[#This Row],[Discount_amount]]+Table1_1[[#This Row],[Shipping_Cost]],"")</f>
        <v>788.65</v>
      </c>
      <c r="U551">
        <f>IFERROR(Table1_1[[#This Row],[Net_Sale]]-(Table1_1[[#This Row],[Gross_Sales]]*70%),"")</f>
        <v>265.75</v>
      </c>
      <c r="V551" s="7">
        <f>IFERROR(Table1_1[[#This Row],[Profit]]/Table1_1[[#This Row],[Net_Sale]],"")</f>
        <v>0.33696823686045774</v>
      </c>
      <c r="W551" t="str">
        <f>TEXT(Table1_1[[#This Row],[Order_Date]],"mmm")</f>
        <v>Dec</v>
      </c>
    </row>
    <row r="552" spans="1:23" x14ac:dyDescent="0.25">
      <c r="A552" t="s">
        <v>909</v>
      </c>
      <c r="B552" t="s">
        <v>323</v>
      </c>
      <c r="C552" s="6">
        <v>46005</v>
      </c>
      <c r="D552" t="s">
        <v>25</v>
      </c>
      <c r="E552" t="s">
        <v>26</v>
      </c>
      <c r="F552" t="s">
        <v>27</v>
      </c>
      <c r="G552" t="s">
        <v>28</v>
      </c>
      <c r="H552">
        <v>1</v>
      </c>
      <c r="I552">
        <v>249</v>
      </c>
      <c r="J552">
        <v>0.2</v>
      </c>
      <c r="K552">
        <v>59</v>
      </c>
      <c r="L552" t="s">
        <v>74</v>
      </c>
      <c r="M552" t="s">
        <v>49</v>
      </c>
      <c r="N552" t="s">
        <v>102</v>
      </c>
      <c r="O552" t="s">
        <v>93</v>
      </c>
      <c r="P552" t="s">
        <v>52</v>
      </c>
      <c r="Q552">
        <v>5</v>
      </c>
      <c r="R552">
        <f>IFERROR(Table1_1[[#This Row],[Unit_Price]]*Table1_1[[#This Row],[Quantity]],"")</f>
        <v>249</v>
      </c>
      <c r="S552">
        <f>IFERROR(Table1_1[[#This Row],[Gross_Sales]]*Table1_1[[#This Row],[Discount_%]],"")</f>
        <v>49.800000000000004</v>
      </c>
      <c r="T552">
        <f>IFERROR(Table1_1[[#This Row],[Gross_Sales]]-Table1_1[[#This Row],[Discount_amount]]+Table1_1[[#This Row],[Shipping_Cost]],"")</f>
        <v>258.2</v>
      </c>
      <c r="U552">
        <f>IFERROR(Table1_1[[#This Row],[Net_Sale]]-(Table1_1[[#This Row],[Gross_Sales]]*70%),"")</f>
        <v>83.9</v>
      </c>
      <c r="V552" s="7">
        <f>IFERROR(Table1_1[[#This Row],[Profit]]/Table1_1[[#This Row],[Net_Sale]],"")</f>
        <v>0.32494190549961272</v>
      </c>
      <c r="W552" t="str">
        <f>TEXT(Table1_1[[#This Row],[Order_Date]],"mmm")</f>
        <v>Dec</v>
      </c>
    </row>
    <row r="553" spans="1:23" x14ac:dyDescent="0.25">
      <c r="A553" t="s">
        <v>910</v>
      </c>
      <c r="B553" t="s">
        <v>184</v>
      </c>
      <c r="C553" s="6">
        <v>45808</v>
      </c>
      <c r="D553" t="s">
        <v>62</v>
      </c>
      <c r="E553" t="s">
        <v>63</v>
      </c>
      <c r="F553" t="s">
        <v>46</v>
      </c>
      <c r="G553" t="s">
        <v>64</v>
      </c>
      <c r="H553">
        <v>3</v>
      </c>
      <c r="I553">
        <v>699</v>
      </c>
      <c r="J553">
        <v>0</v>
      </c>
      <c r="K553">
        <v>0</v>
      </c>
      <c r="L553" t="s">
        <v>57</v>
      </c>
      <c r="M553" t="s">
        <v>58</v>
      </c>
      <c r="N553" t="s">
        <v>71</v>
      </c>
      <c r="O553" t="s">
        <v>93</v>
      </c>
      <c r="P553" t="s">
        <v>85</v>
      </c>
      <c r="Q553">
        <v>3</v>
      </c>
      <c r="R553">
        <f>IFERROR(Table1_1[[#This Row],[Unit_Price]]*Table1_1[[#This Row],[Quantity]],"")</f>
        <v>2097</v>
      </c>
      <c r="S553">
        <f>IFERROR(Table1_1[[#This Row],[Gross_Sales]]*Table1_1[[#This Row],[Discount_%]],"")</f>
        <v>0</v>
      </c>
      <c r="T553">
        <f>IFERROR(Table1_1[[#This Row],[Gross_Sales]]-Table1_1[[#This Row],[Discount_amount]]+Table1_1[[#This Row],[Shipping_Cost]],"")</f>
        <v>2097</v>
      </c>
      <c r="U553">
        <f>IFERROR(Table1_1[[#This Row],[Net_Sale]]-(Table1_1[[#This Row],[Gross_Sales]]*70%),"")</f>
        <v>629.10000000000014</v>
      </c>
      <c r="V553" s="7">
        <f>IFERROR(Table1_1[[#This Row],[Profit]]/Table1_1[[#This Row],[Net_Sale]],"")</f>
        <v>0.30000000000000004</v>
      </c>
      <c r="W553" t="str">
        <f>TEXT(Table1_1[[#This Row],[Order_Date]],"mmm")</f>
        <v>May</v>
      </c>
    </row>
    <row r="554" spans="1:23" x14ac:dyDescent="0.25">
      <c r="A554" t="s">
        <v>911</v>
      </c>
      <c r="B554" t="s">
        <v>731</v>
      </c>
      <c r="C554" s="6">
        <v>46017</v>
      </c>
      <c r="D554" t="s">
        <v>110</v>
      </c>
      <c r="E554" t="s">
        <v>111</v>
      </c>
      <c r="F554" t="s">
        <v>98</v>
      </c>
      <c r="G554" t="s">
        <v>112</v>
      </c>
      <c r="H554">
        <v>1</v>
      </c>
      <c r="I554">
        <v>2999</v>
      </c>
      <c r="J554">
        <v>0.05</v>
      </c>
      <c r="K554">
        <v>79</v>
      </c>
      <c r="L554" t="s">
        <v>39</v>
      </c>
      <c r="M554" t="s">
        <v>39</v>
      </c>
      <c r="N554" t="s">
        <v>40</v>
      </c>
      <c r="O554" t="s">
        <v>59</v>
      </c>
      <c r="P554" t="s">
        <v>80</v>
      </c>
      <c r="Q554">
        <v>5</v>
      </c>
      <c r="R554">
        <f>IFERROR(Table1_1[[#This Row],[Unit_Price]]*Table1_1[[#This Row],[Quantity]],"")</f>
        <v>2999</v>
      </c>
      <c r="S554">
        <f>IFERROR(Table1_1[[#This Row],[Gross_Sales]]*Table1_1[[#This Row],[Discount_%]],"")</f>
        <v>149.95000000000002</v>
      </c>
      <c r="T554">
        <f>IFERROR(Table1_1[[#This Row],[Gross_Sales]]-Table1_1[[#This Row],[Discount_amount]]+Table1_1[[#This Row],[Shipping_Cost]],"")</f>
        <v>2928.05</v>
      </c>
      <c r="U554">
        <f>IFERROR(Table1_1[[#This Row],[Net_Sale]]-(Table1_1[[#This Row],[Gross_Sales]]*70%),"")</f>
        <v>828.75000000000045</v>
      </c>
      <c r="V554" s="7">
        <f>IFERROR(Table1_1[[#This Row],[Profit]]/Table1_1[[#This Row],[Net_Sale]],"")</f>
        <v>0.28303819948429854</v>
      </c>
      <c r="W554" t="str">
        <f>TEXT(Table1_1[[#This Row],[Order_Date]],"mmm")</f>
        <v>Dec</v>
      </c>
    </row>
    <row r="555" spans="1:23" x14ac:dyDescent="0.25">
      <c r="A555" t="s">
        <v>912</v>
      </c>
      <c r="B555" t="s">
        <v>240</v>
      </c>
      <c r="C555" s="6">
        <v>45754</v>
      </c>
      <c r="D555" t="s">
        <v>67</v>
      </c>
      <c r="E555" t="s">
        <v>68</v>
      </c>
      <c r="F555" t="s">
        <v>37</v>
      </c>
      <c r="G555" t="s">
        <v>38</v>
      </c>
      <c r="H555">
        <v>2</v>
      </c>
      <c r="I555">
        <v>1299</v>
      </c>
      <c r="J555">
        <v>0.1</v>
      </c>
      <c r="K555">
        <v>49</v>
      </c>
      <c r="L555" t="s">
        <v>100</v>
      </c>
      <c r="M555" t="s">
        <v>101</v>
      </c>
      <c r="N555" t="s">
        <v>50</v>
      </c>
      <c r="O555" t="s">
        <v>41</v>
      </c>
      <c r="P555" t="s">
        <v>33</v>
      </c>
      <c r="Q555">
        <v>1</v>
      </c>
      <c r="R555">
        <f>IFERROR(Table1_1[[#This Row],[Unit_Price]]*Table1_1[[#This Row],[Quantity]],"")</f>
        <v>2598</v>
      </c>
      <c r="S555">
        <f>IFERROR(Table1_1[[#This Row],[Gross_Sales]]*Table1_1[[#This Row],[Discount_%]],"")</f>
        <v>259.8</v>
      </c>
      <c r="T555">
        <f>IFERROR(Table1_1[[#This Row],[Gross_Sales]]-Table1_1[[#This Row],[Discount_amount]]+Table1_1[[#This Row],[Shipping_Cost]],"")</f>
        <v>2387.1999999999998</v>
      </c>
      <c r="U555">
        <f>IFERROR(Table1_1[[#This Row],[Net_Sale]]-(Table1_1[[#This Row],[Gross_Sales]]*70%),"")</f>
        <v>568.59999999999991</v>
      </c>
      <c r="V555" s="7">
        <f>IFERROR(Table1_1[[#This Row],[Profit]]/Table1_1[[#This Row],[Net_Sale]],"")</f>
        <v>0.23818699731903484</v>
      </c>
      <c r="W555" t="str">
        <f>TEXT(Table1_1[[#This Row],[Order_Date]],"mmm")</f>
        <v>Apr</v>
      </c>
    </row>
    <row r="556" spans="1:23" x14ac:dyDescent="0.25">
      <c r="A556" t="s">
        <v>913</v>
      </c>
      <c r="B556" t="s">
        <v>914</v>
      </c>
      <c r="C556" s="6">
        <v>45907</v>
      </c>
      <c r="D556" t="s">
        <v>55</v>
      </c>
      <c r="E556" t="s">
        <v>56</v>
      </c>
      <c r="F556" t="s">
        <v>37</v>
      </c>
      <c r="G556" t="s">
        <v>38</v>
      </c>
      <c r="H556">
        <v>1</v>
      </c>
      <c r="I556">
        <v>2499</v>
      </c>
      <c r="J556">
        <v>0</v>
      </c>
      <c r="K556">
        <v>49</v>
      </c>
      <c r="L556" t="s">
        <v>39</v>
      </c>
      <c r="M556" t="s">
        <v>39</v>
      </c>
      <c r="N556" t="s">
        <v>40</v>
      </c>
      <c r="O556" t="s">
        <v>32</v>
      </c>
      <c r="P556" t="s">
        <v>33</v>
      </c>
      <c r="Q556">
        <v>4</v>
      </c>
      <c r="R556">
        <f>IFERROR(Table1_1[[#This Row],[Unit_Price]]*Table1_1[[#This Row],[Quantity]],"")</f>
        <v>2499</v>
      </c>
      <c r="S556">
        <f>IFERROR(Table1_1[[#This Row],[Gross_Sales]]*Table1_1[[#This Row],[Discount_%]],"")</f>
        <v>0</v>
      </c>
      <c r="T556">
        <f>IFERROR(Table1_1[[#This Row],[Gross_Sales]]-Table1_1[[#This Row],[Discount_amount]]+Table1_1[[#This Row],[Shipping_Cost]],"")</f>
        <v>2548</v>
      </c>
      <c r="U556">
        <f>IFERROR(Table1_1[[#This Row],[Net_Sale]]-(Table1_1[[#This Row],[Gross_Sales]]*70%),"")</f>
        <v>798.7</v>
      </c>
      <c r="V556" s="7">
        <f>IFERROR(Table1_1[[#This Row],[Profit]]/Table1_1[[#This Row],[Net_Sale]],"")</f>
        <v>0.31346153846153846</v>
      </c>
      <c r="W556" t="str">
        <f>TEXT(Table1_1[[#This Row],[Order_Date]],"mmm")</f>
        <v>Sep</v>
      </c>
    </row>
    <row r="557" spans="1:23" x14ac:dyDescent="0.25">
      <c r="A557" t="s">
        <v>915</v>
      </c>
      <c r="B557" t="s">
        <v>642</v>
      </c>
      <c r="C557" s="6">
        <v>45875</v>
      </c>
      <c r="D557" t="s">
        <v>44</v>
      </c>
      <c r="E557" t="s">
        <v>45</v>
      </c>
      <c r="F557" t="s">
        <v>46</v>
      </c>
      <c r="G557" t="s">
        <v>47</v>
      </c>
      <c r="H557">
        <v>2</v>
      </c>
      <c r="I557">
        <v>1199</v>
      </c>
      <c r="J557">
        <v>0.1</v>
      </c>
      <c r="K557">
        <v>59</v>
      </c>
      <c r="L557" t="s">
        <v>100</v>
      </c>
      <c r="M557" t="s">
        <v>101</v>
      </c>
      <c r="N557" t="s">
        <v>50</v>
      </c>
      <c r="O557" t="s">
        <v>59</v>
      </c>
      <c r="P557" t="s">
        <v>52</v>
      </c>
      <c r="Q557">
        <v>5</v>
      </c>
      <c r="R557">
        <f>IFERROR(Table1_1[[#This Row],[Unit_Price]]*Table1_1[[#This Row],[Quantity]],"")</f>
        <v>2398</v>
      </c>
      <c r="S557">
        <f>IFERROR(Table1_1[[#This Row],[Gross_Sales]]*Table1_1[[#This Row],[Discount_%]],"")</f>
        <v>239.8</v>
      </c>
      <c r="T557">
        <f>IFERROR(Table1_1[[#This Row],[Gross_Sales]]-Table1_1[[#This Row],[Discount_amount]]+Table1_1[[#This Row],[Shipping_Cost]],"")</f>
        <v>2217.1999999999998</v>
      </c>
      <c r="U557">
        <f>IFERROR(Table1_1[[#This Row],[Net_Sale]]-(Table1_1[[#This Row],[Gross_Sales]]*70%),"")</f>
        <v>538.59999999999991</v>
      </c>
      <c r="V557" s="7">
        <f>IFERROR(Table1_1[[#This Row],[Profit]]/Table1_1[[#This Row],[Net_Sale]],"")</f>
        <v>0.2429189969330687</v>
      </c>
      <c r="W557" t="str">
        <f>TEXT(Table1_1[[#This Row],[Order_Date]],"mmm")</f>
        <v>Aug</v>
      </c>
    </row>
    <row r="558" spans="1:23" x14ac:dyDescent="0.25">
      <c r="A558" t="s">
        <v>916</v>
      </c>
      <c r="B558" t="s">
        <v>243</v>
      </c>
      <c r="C558" s="6">
        <v>45779</v>
      </c>
      <c r="D558" t="s">
        <v>35</v>
      </c>
      <c r="E558" t="s">
        <v>36</v>
      </c>
      <c r="F558" t="s">
        <v>37</v>
      </c>
      <c r="G558" t="s">
        <v>38</v>
      </c>
      <c r="H558">
        <v>2</v>
      </c>
      <c r="I558">
        <v>599</v>
      </c>
      <c r="J558">
        <v>0.1</v>
      </c>
      <c r="K558">
        <v>99</v>
      </c>
      <c r="L558" t="s">
        <v>125</v>
      </c>
      <c r="M558" t="s">
        <v>126</v>
      </c>
      <c r="N558" t="s">
        <v>71</v>
      </c>
      <c r="O558" t="s">
        <v>93</v>
      </c>
      <c r="P558" t="s">
        <v>33</v>
      </c>
      <c r="Q558">
        <v>1</v>
      </c>
      <c r="R558">
        <f>IFERROR(Table1_1[[#This Row],[Unit_Price]]*Table1_1[[#This Row],[Quantity]],"")</f>
        <v>1198</v>
      </c>
      <c r="S558">
        <f>IFERROR(Table1_1[[#This Row],[Gross_Sales]]*Table1_1[[#This Row],[Discount_%]],"")</f>
        <v>119.80000000000001</v>
      </c>
      <c r="T558">
        <f>IFERROR(Table1_1[[#This Row],[Gross_Sales]]-Table1_1[[#This Row],[Discount_amount]]+Table1_1[[#This Row],[Shipping_Cost]],"")</f>
        <v>1177.2</v>
      </c>
      <c r="U558">
        <f>IFERROR(Table1_1[[#This Row],[Net_Sale]]-(Table1_1[[#This Row],[Gross_Sales]]*70%),"")</f>
        <v>338.60000000000014</v>
      </c>
      <c r="V558" s="7">
        <f>IFERROR(Table1_1[[#This Row],[Profit]]/Table1_1[[#This Row],[Net_Sale]],"")</f>
        <v>0.28763166836561344</v>
      </c>
      <c r="W558" t="str">
        <f>TEXT(Table1_1[[#This Row],[Order_Date]],"mmm")</f>
        <v>May</v>
      </c>
    </row>
    <row r="559" spans="1:23" x14ac:dyDescent="0.25">
      <c r="A559" t="s">
        <v>917</v>
      </c>
      <c r="B559" t="s">
        <v>422</v>
      </c>
      <c r="C559" s="6">
        <v>45715</v>
      </c>
      <c r="D559" t="s">
        <v>44</v>
      </c>
      <c r="E559" t="s">
        <v>45</v>
      </c>
      <c r="F559" t="s">
        <v>46</v>
      </c>
      <c r="G559" t="s">
        <v>47</v>
      </c>
      <c r="H559">
        <v>2</v>
      </c>
      <c r="I559">
        <v>1199</v>
      </c>
      <c r="J559">
        <v>0</v>
      </c>
      <c r="K559">
        <v>49</v>
      </c>
      <c r="L559" t="s">
        <v>119</v>
      </c>
      <c r="M559" t="s">
        <v>120</v>
      </c>
      <c r="N559" t="s">
        <v>71</v>
      </c>
      <c r="O559" t="s">
        <v>59</v>
      </c>
      <c r="P559" t="s">
        <v>80</v>
      </c>
      <c r="Q559">
        <v>5</v>
      </c>
      <c r="R559">
        <f>IFERROR(Table1_1[[#This Row],[Unit_Price]]*Table1_1[[#This Row],[Quantity]],"")</f>
        <v>2398</v>
      </c>
      <c r="S559">
        <f>IFERROR(Table1_1[[#This Row],[Gross_Sales]]*Table1_1[[#This Row],[Discount_%]],"")</f>
        <v>0</v>
      </c>
      <c r="T559">
        <f>IFERROR(Table1_1[[#This Row],[Gross_Sales]]-Table1_1[[#This Row],[Discount_amount]]+Table1_1[[#This Row],[Shipping_Cost]],"")</f>
        <v>2447</v>
      </c>
      <c r="U559">
        <f>IFERROR(Table1_1[[#This Row],[Net_Sale]]-(Table1_1[[#This Row],[Gross_Sales]]*70%),"")</f>
        <v>768.40000000000009</v>
      </c>
      <c r="V559" s="7">
        <f>IFERROR(Table1_1[[#This Row],[Profit]]/Table1_1[[#This Row],[Net_Sale]],"")</f>
        <v>0.31401716387413164</v>
      </c>
      <c r="W559" t="str">
        <f>TEXT(Table1_1[[#This Row],[Order_Date]],"mmm")</f>
        <v>Feb</v>
      </c>
    </row>
    <row r="560" spans="1:23" x14ac:dyDescent="0.25">
      <c r="A560" t="s">
        <v>918</v>
      </c>
      <c r="B560" t="s">
        <v>919</v>
      </c>
      <c r="C560" s="6">
        <v>45703</v>
      </c>
      <c r="D560" t="s">
        <v>55</v>
      </c>
      <c r="E560" t="s">
        <v>56</v>
      </c>
      <c r="F560" t="s">
        <v>37</v>
      </c>
      <c r="G560" t="s">
        <v>38</v>
      </c>
      <c r="H560">
        <v>3</v>
      </c>
      <c r="I560">
        <v>2499</v>
      </c>
      <c r="J560">
        <v>0.2</v>
      </c>
      <c r="K560">
        <v>0</v>
      </c>
      <c r="L560" t="s">
        <v>83</v>
      </c>
      <c r="M560" t="s">
        <v>84</v>
      </c>
      <c r="N560" t="s">
        <v>102</v>
      </c>
      <c r="O560" t="s">
        <v>51</v>
      </c>
      <c r="P560" t="s">
        <v>80</v>
      </c>
      <c r="Q560">
        <v>5</v>
      </c>
      <c r="R560">
        <f>IFERROR(Table1_1[[#This Row],[Unit_Price]]*Table1_1[[#This Row],[Quantity]],"")</f>
        <v>7497</v>
      </c>
      <c r="S560">
        <f>IFERROR(Table1_1[[#This Row],[Gross_Sales]]*Table1_1[[#This Row],[Discount_%]],"")</f>
        <v>1499.4</v>
      </c>
      <c r="T560">
        <f>IFERROR(Table1_1[[#This Row],[Gross_Sales]]-Table1_1[[#This Row],[Discount_amount]]+Table1_1[[#This Row],[Shipping_Cost]],"")</f>
        <v>5997.6</v>
      </c>
      <c r="U560">
        <f>IFERROR(Table1_1[[#This Row],[Net_Sale]]-(Table1_1[[#This Row],[Gross_Sales]]*70%),"")</f>
        <v>749.70000000000073</v>
      </c>
      <c r="V560" s="7">
        <f>IFERROR(Table1_1[[#This Row],[Profit]]/Table1_1[[#This Row],[Net_Sale]],"")</f>
        <v>0.12500000000000011</v>
      </c>
      <c r="W560" t="str">
        <f>TEXT(Table1_1[[#This Row],[Order_Date]],"mmm")</f>
        <v>Feb</v>
      </c>
    </row>
    <row r="561" spans="1:23" x14ac:dyDescent="0.25">
      <c r="A561" t="s">
        <v>920</v>
      </c>
      <c r="B561" t="s">
        <v>483</v>
      </c>
      <c r="C561" s="6">
        <v>45663</v>
      </c>
      <c r="D561" t="s">
        <v>35</v>
      </c>
      <c r="E561" t="s">
        <v>36</v>
      </c>
      <c r="F561" t="s">
        <v>37</v>
      </c>
      <c r="G561" t="s">
        <v>38</v>
      </c>
      <c r="H561">
        <v>2</v>
      </c>
      <c r="I561">
        <v>599</v>
      </c>
      <c r="J561">
        <v>0.1</v>
      </c>
      <c r="K561">
        <v>99</v>
      </c>
      <c r="L561" t="s">
        <v>74</v>
      </c>
      <c r="M561" t="s">
        <v>49</v>
      </c>
      <c r="N561" t="s">
        <v>40</v>
      </c>
      <c r="O561" t="s">
        <v>51</v>
      </c>
      <c r="P561" t="s">
        <v>85</v>
      </c>
      <c r="Q561">
        <v>3</v>
      </c>
      <c r="R561">
        <f>IFERROR(Table1_1[[#This Row],[Unit_Price]]*Table1_1[[#This Row],[Quantity]],"")</f>
        <v>1198</v>
      </c>
      <c r="S561">
        <f>IFERROR(Table1_1[[#This Row],[Gross_Sales]]*Table1_1[[#This Row],[Discount_%]],"")</f>
        <v>119.80000000000001</v>
      </c>
      <c r="T561">
        <f>IFERROR(Table1_1[[#This Row],[Gross_Sales]]-Table1_1[[#This Row],[Discount_amount]]+Table1_1[[#This Row],[Shipping_Cost]],"")</f>
        <v>1177.2</v>
      </c>
      <c r="U561">
        <f>IFERROR(Table1_1[[#This Row],[Net_Sale]]-(Table1_1[[#This Row],[Gross_Sales]]*70%),"")</f>
        <v>338.60000000000014</v>
      </c>
      <c r="V561" s="7">
        <f>IFERROR(Table1_1[[#This Row],[Profit]]/Table1_1[[#This Row],[Net_Sale]],"")</f>
        <v>0.28763166836561344</v>
      </c>
      <c r="W561" t="str">
        <f>TEXT(Table1_1[[#This Row],[Order_Date]],"mmm")</f>
        <v>Jan</v>
      </c>
    </row>
    <row r="562" spans="1:23" x14ac:dyDescent="0.25">
      <c r="A562" t="s">
        <v>921</v>
      </c>
      <c r="B562" t="s">
        <v>922</v>
      </c>
      <c r="C562" s="6">
        <v>46013</v>
      </c>
      <c r="D562" t="s">
        <v>110</v>
      </c>
      <c r="E562" t="s">
        <v>111</v>
      </c>
      <c r="F562" t="s">
        <v>98</v>
      </c>
      <c r="G562" t="s">
        <v>112</v>
      </c>
      <c r="H562">
        <v>1</v>
      </c>
      <c r="I562">
        <v>2999</v>
      </c>
      <c r="J562">
        <v>0.2</v>
      </c>
      <c r="K562">
        <v>99</v>
      </c>
      <c r="L562" t="s">
        <v>48</v>
      </c>
      <c r="M562" t="s">
        <v>49</v>
      </c>
      <c r="N562" t="s">
        <v>31</v>
      </c>
      <c r="O562" t="s">
        <v>59</v>
      </c>
      <c r="P562" t="s">
        <v>33</v>
      </c>
      <c r="Q562">
        <v>5</v>
      </c>
      <c r="R562">
        <f>IFERROR(Table1_1[[#This Row],[Unit_Price]]*Table1_1[[#This Row],[Quantity]],"")</f>
        <v>2999</v>
      </c>
      <c r="S562">
        <f>IFERROR(Table1_1[[#This Row],[Gross_Sales]]*Table1_1[[#This Row],[Discount_%]],"")</f>
        <v>599.80000000000007</v>
      </c>
      <c r="T562">
        <f>IFERROR(Table1_1[[#This Row],[Gross_Sales]]-Table1_1[[#This Row],[Discount_amount]]+Table1_1[[#This Row],[Shipping_Cost]],"")</f>
        <v>2498.1999999999998</v>
      </c>
      <c r="U562">
        <f>IFERROR(Table1_1[[#This Row],[Net_Sale]]-(Table1_1[[#This Row],[Gross_Sales]]*70%),"")</f>
        <v>398.90000000000009</v>
      </c>
      <c r="V562" s="7">
        <f>IFERROR(Table1_1[[#This Row],[Profit]]/Table1_1[[#This Row],[Net_Sale]],"")</f>
        <v>0.1596749659755024</v>
      </c>
      <c r="W562" t="str">
        <f>TEXT(Table1_1[[#This Row],[Order_Date]],"mmm")</f>
        <v>Dec</v>
      </c>
    </row>
    <row r="563" spans="1:23" x14ac:dyDescent="0.25">
      <c r="A563" t="s">
        <v>923</v>
      </c>
      <c r="B563" t="s">
        <v>527</v>
      </c>
      <c r="C563" s="6">
        <v>45807</v>
      </c>
      <c r="D563" t="s">
        <v>105</v>
      </c>
      <c r="E563" t="s">
        <v>106</v>
      </c>
      <c r="F563" t="s">
        <v>37</v>
      </c>
      <c r="G563" t="s">
        <v>107</v>
      </c>
      <c r="H563">
        <v>1</v>
      </c>
      <c r="I563">
        <v>1799</v>
      </c>
      <c r="J563">
        <v>0.05</v>
      </c>
      <c r="K563">
        <v>79</v>
      </c>
      <c r="L563" t="s">
        <v>125</v>
      </c>
      <c r="M563" t="s">
        <v>126</v>
      </c>
      <c r="N563" t="s">
        <v>50</v>
      </c>
      <c r="O563" t="s">
        <v>32</v>
      </c>
      <c r="P563" t="s">
        <v>33</v>
      </c>
      <c r="Q563">
        <v>1</v>
      </c>
      <c r="R563">
        <f>IFERROR(Table1_1[[#This Row],[Unit_Price]]*Table1_1[[#This Row],[Quantity]],"")</f>
        <v>1799</v>
      </c>
      <c r="S563">
        <f>IFERROR(Table1_1[[#This Row],[Gross_Sales]]*Table1_1[[#This Row],[Discount_%]],"")</f>
        <v>89.95</v>
      </c>
      <c r="T563">
        <f>IFERROR(Table1_1[[#This Row],[Gross_Sales]]-Table1_1[[#This Row],[Discount_amount]]+Table1_1[[#This Row],[Shipping_Cost]],"")</f>
        <v>1788.05</v>
      </c>
      <c r="U563">
        <f>IFERROR(Table1_1[[#This Row],[Net_Sale]]-(Table1_1[[#This Row],[Gross_Sales]]*70%),"")</f>
        <v>528.75</v>
      </c>
      <c r="V563" s="7">
        <f>IFERROR(Table1_1[[#This Row],[Profit]]/Table1_1[[#This Row],[Net_Sale]],"")</f>
        <v>0.29571320712508042</v>
      </c>
      <c r="W563" t="str">
        <f>TEXT(Table1_1[[#This Row],[Order_Date]],"mmm")</f>
        <v>May</v>
      </c>
    </row>
    <row r="564" spans="1:23" x14ac:dyDescent="0.25">
      <c r="A564" t="s">
        <v>924</v>
      </c>
      <c r="B564" t="s">
        <v>561</v>
      </c>
      <c r="C564" s="6">
        <v>45801</v>
      </c>
      <c r="D564" t="s">
        <v>110</v>
      </c>
      <c r="E564" t="s">
        <v>111</v>
      </c>
      <c r="F564" t="s">
        <v>98</v>
      </c>
      <c r="G564" t="s">
        <v>112</v>
      </c>
      <c r="H564">
        <v>1</v>
      </c>
      <c r="I564">
        <v>2999</v>
      </c>
      <c r="J564">
        <v>0</v>
      </c>
      <c r="K564">
        <v>0</v>
      </c>
      <c r="L564" t="s">
        <v>48</v>
      </c>
      <c r="M564" t="s">
        <v>49</v>
      </c>
      <c r="N564" t="s">
        <v>102</v>
      </c>
      <c r="O564" t="s">
        <v>41</v>
      </c>
      <c r="P564" t="s">
        <v>33</v>
      </c>
      <c r="Q564">
        <v>3</v>
      </c>
      <c r="R564">
        <f>IFERROR(Table1_1[[#This Row],[Unit_Price]]*Table1_1[[#This Row],[Quantity]],"")</f>
        <v>2999</v>
      </c>
      <c r="S564">
        <f>IFERROR(Table1_1[[#This Row],[Gross_Sales]]*Table1_1[[#This Row],[Discount_%]],"")</f>
        <v>0</v>
      </c>
      <c r="T564">
        <f>IFERROR(Table1_1[[#This Row],[Gross_Sales]]-Table1_1[[#This Row],[Discount_amount]]+Table1_1[[#This Row],[Shipping_Cost]],"")</f>
        <v>2999</v>
      </c>
      <c r="U564">
        <f>IFERROR(Table1_1[[#This Row],[Net_Sale]]-(Table1_1[[#This Row],[Gross_Sales]]*70%),"")</f>
        <v>899.70000000000027</v>
      </c>
      <c r="V564" s="7">
        <f>IFERROR(Table1_1[[#This Row],[Profit]]/Table1_1[[#This Row],[Net_Sale]],"")</f>
        <v>0.3000000000000001</v>
      </c>
      <c r="W564" t="str">
        <f>TEXT(Table1_1[[#This Row],[Order_Date]],"mmm")</f>
        <v>May</v>
      </c>
    </row>
    <row r="565" spans="1:23" x14ac:dyDescent="0.25">
      <c r="A565" t="s">
        <v>925</v>
      </c>
      <c r="B565" t="s">
        <v>381</v>
      </c>
      <c r="C565" s="6">
        <v>45791</v>
      </c>
      <c r="D565" t="s">
        <v>90</v>
      </c>
      <c r="E565" t="s">
        <v>91</v>
      </c>
      <c r="F565" t="s">
        <v>37</v>
      </c>
      <c r="G565" t="s">
        <v>92</v>
      </c>
      <c r="H565">
        <v>3</v>
      </c>
      <c r="I565">
        <v>3499</v>
      </c>
      <c r="J565">
        <v>0</v>
      </c>
      <c r="K565">
        <v>99</v>
      </c>
      <c r="L565" t="s">
        <v>74</v>
      </c>
      <c r="M565" t="s">
        <v>49</v>
      </c>
      <c r="N565" t="s">
        <v>71</v>
      </c>
      <c r="O565" t="s">
        <v>93</v>
      </c>
      <c r="P565" t="s">
        <v>52</v>
      </c>
      <c r="Q565">
        <v>2</v>
      </c>
      <c r="R565">
        <f>IFERROR(Table1_1[[#This Row],[Unit_Price]]*Table1_1[[#This Row],[Quantity]],"")</f>
        <v>10497</v>
      </c>
      <c r="S565">
        <f>IFERROR(Table1_1[[#This Row],[Gross_Sales]]*Table1_1[[#This Row],[Discount_%]],"")</f>
        <v>0</v>
      </c>
      <c r="T565">
        <f>IFERROR(Table1_1[[#This Row],[Gross_Sales]]-Table1_1[[#This Row],[Discount_amount]]+Table1_1[[#This Row],[Shipping_Cost]],"")</f>
        <v>10596</v>
      </c>
      <c r="U565">
        <f>IFERROR(Table1_1[[#This Row],[Net_Sale]]-(Table1_1[[#This Row],[Gross_Sales]]*70%),"")</f>
        <v>3248.1000000000004</v>
      </c>
      <c r="V565" s="7">
        <f>IFERROR(Table1_1[[#This Row],[Profit]]/Table1_1[[#This Row],[Net_Sale]],"")</f>
        <v>0.30654020385050967</v>
      </c>
      <c r="W565" t="str">
        <f>TEXT(Table1_1[[#This Row],[Order_Date]],"mmm")</f>
        <v>May</v>
      </c>
    </row>
    <row r="566" spans="1:23" x14ac:dyDescent="0.25">
      <c r="A566" t="s">
        <v>926</v>
      </c>
      <c r="B566" t="s">
        <v>148</v>
      </c>
      <c r="C566" s="6">
        <v>45869</v>
      </c>
      <c r="D566" t="s">
        <v>44</v>
      </c>
      <c r="E566" t="s">
        <v>45</v>
      </c>
      <c r="F566" t="s">
        <v>46</v>
      </c>
      <c r="G566" t="s">
        <v>47</v>
      </c>
      <c r="H566">
        <v>3</v>
      </c>
      <c r="I566">
        <v>1199</v>
      </c>
      <c r="J566">
        <v>0.1</v>
      </c>
      <c r="K566">
        <v>49</v>
      </c>
      <c r="L566" t="s">
        <v>100</v>
      </c>
      <c r="M566" t="s">
        <v>101</v>
      </c>
      <c r="N566" t="s">
        <v>102</v>
      </c>
      <c r="O566" t="s">
        <v>51</v>
      </c>
      <c r="P566" t="s">
        <v>80</v>
      </c>
      <c r="Q566">
        <v>1</v>
      </c>
      <c r="R566">
        <f>IFERROR(Table1_1[[#This Row],[Unit_Price]]*Table1_1[[#This Row],[Quantity]],"")</f>
        <v>3597</v>
      </c>
      <c r="S566">
        <f>IFERROR(Table1_1[[#This Row],[Gross_Sales]]*Table1_1[[#This Row],[Discount_%]],"")</f>
        <v>359.70000000000005</v>
      </c>
      <c r="T566">
        <f>IFERROR(Table1_1[[#This Row],[Gross_Sales]]-Table1_1[[#This Row],[Discount_amount]]+Table1_1[[#This Row],[Shipping_Cost]],"")</f>
        <v>3286.3</v>
      </c>
      <c r="U566">
        <f>IFERROR(Table1_1[[#This Row],[Net_Sale]]-(Table1_1[[#This Row],[Gross_Sales]]*70%),"")</f>
        <v>768.40000000000055</v>
      </c>
      <c r="V566" s="7">
        <f>IFERROR(Table1_1[[#This Row],[Profit]]/Table1_1[[#This Row],[Net_Sale]],"")</f>
        <v>0.23381918875330934</v>
      </c>
      <c r="W566" t="str">
        <f>TEXT(Table1_1[[#This Row],[Order_Date]],"mmm")</f>
        <v>Jul</v>
      </c>
    </row>
    <row r="567" spans="1:23" x14ac:dyDescent="0.25">
      <c r="A567" t="s">
        <v>927</v>
      </c>
      <c r="B567" t="s">
        <v>296</v>
      </c>
      <c r="C567" s="6">
        <v>45717</v>
      </c>
      <c r="D567" t="s">
        <v>25</v>
      </c>
      <c r="E567" t="s">
        <v>26</v>
      </c>
      <c r="F567" t="s">
        <v>27</v>
      </c>
      <c r="G567" t="s">
        <v>28</v>
      </c>
      <c r="H567">
        <v>3</v>
      </c>
      <c r="I567">
        <v>249</v>
      </c>
      <c r="J567">
        <v>0.1</v>
      </c>
      <c r="K567">
        <v>79</v>
      </c>
      <c r="L567" t="s">
        <v>48</v>
      </c>
      <c r="M567" t="s">
        <v>49</v>
      </c>
      <c r="N567" t="s">
        <v>40</v>
      </c>
      <c r="O567" t="s">
        <v>32</v>
      </c>
      <c r="P567" t="s">
        <v>52</v>
      </c>
      <c r="Q567">
        <v>2</v>
      </c>
      <c r="R567">
        <f>IFERROR(Table1_1[[#This Row],[Unit_Price]]*Table1_1[[#This Row],[Quantity]],"")</f>
        <v>747</v>
      </c>
      <c r="S567">
        <f>IFERROR(Table1_1[[#This Row],[Gross_Sales]]*Table1_1[[#This Row],[Discount_%]],"")</f>
        <v>74.7</v>
      </c>
      <c r="T567">
        <f>IFERROR(Table1_1[[#This Row],[Gross_Sales]]-Table1_1[[#This Row],[Discount_amount]]+Table1_1[[#This Row],[Shipping_Cost]],"")</f>
        <v>751.3</v>
      </c>
      <c r="U567">
        <f>IFERROR(Table1_1[[#This Row],[Net_Sale]]-(Table1_1[[#This Row],[Gross_Sales]]*70%),"")</f>
        <v>228.39999999999998</v>
      </c>
      <c r="V567" s="7">
        <f>IFERROR(Table1_1[[#This Row],[Profit]]/Table1_1[[#This Row],[Net_Sale]],"")</f>
        <v>0.30400638892586185</v>
      </c>
      <c r="W567" t="str">
        <f>TEXT(Table1_1[[#This Row],[Order_Date]],"mmm")</f>
        <v>Mar</v>
      </c>
    </row>
    <row r="568" spans="1:23" x14ac:dyDescent="0.25">
      <c r="A568" t="s">
        <v>928</v>
      </c>
      <c r="B568" t="s">
        <v>493</v>
      </c>
      <c r="C568" s="6">
        <v>45732</v>
      </c>
      <c r="D568" t="s">
        <v>96</v>
      </c>
      <c r="E568" t="s">
        <v>97</v>
      </c>
      <c r="F568" t="s">
        <v>98</v>
      </c>
      <c r="G568" t="s">
        <v>99</v>
      </c>
      <c r="H568">
        <v>2</v>
      </c>
      <c r="I568">
        <v>1499</v>
      </c>
      <c r="J568">
        <v>0</v>
      </c>
      <c r="K568">
        <v>59</v>
      </c>
      <c r="L568" t="s">
        <v>57</v>
      </c>
      <c r="M568" t="s">
        <v>58</v>
      </c>
      <c r="N568" t="s">
        <v>40</v>
      </c>
      <c r="O568" t="s">
        <v>51</v>
      </c>
      <c r="P568" t="s">
        <v>52</v>
      </c>
      <c r="Q568">
        <v>5</v>
      </c>
      <c r="R568">
        <f>IFERROR(Table1_1[[#This Row],[Unit_Price]]*Table1_1[[#This Row],[Quantity]],"")</f>
        <v>2998</v>
      </c>
      <c r="S568">
        <f>IFERROR(Table1_1[[#This Row],[Gross_Sales]]*Table1_1[[#This Row],[Discount_%]],"")</f>
        <v>0</v>
      </c>
      <c r="T568">
        <f>IFERROR(Table1_1[[#This Row],[Gross_Sales]]-Table1_1[[#This Row],[Discount_amount]]+Table1_1[[#This Row],[Shipping_Cost]],"")</f>
        <v>3057</v>
      </c>
      <c r="U568">
        <f>IFERROR(Table1_1[[#This Row],[Net_Sale]]-(Table1_1[[#This Row],[Gross_Sales]]*70%),"")</f>
        <v>958.40000000000009</v>
      </c>
      <c r="V568" s="7">
        <f>IFERROR(Table1_1[[#This Row],[Profit]]/Table1_1[[#This Row],[Net_Sale]],"")</f>
        <v>0.31350997710173378</v>
      </c>
      <c r="W568" t="str">
        <f>TEXT(Table1_1[[#This Row],[Order_Date]],"mmm")</f>
        <v>Mar</v>
      </c>
    </row>
    <row r="569" spans="1:23" x14ac:dyDescent="0.25">
      <c r="A569" t="s">
        <v>929</v>
      </c>
      <c r="B569" t="s">
        <v>930</v>
      </c>
      <c r="C569" s="6">
        <v>45930</v>
      </c>
      <c r="D569" t="s">
        <v>25</v>
      </c>
      <c r="E569" t="s">
        <v>26</v>
      </c>
      <c r="F569" t="s">
        <v>27</v>
      </c>
      <c r="G569" t="s">
        <v>28</v>
      </c>
      <c r="H569">
        <v>1</v>
      </c>
      <c r="I569">
        <v>249</v>
      </c>
      <c r="J569">
        <v>0.15</v>
      </c>
      <c r="K569">
        <v>59</v>
      </c>
      <c r="L569" t="s">
        <v>39</v>
      </c>
      <c r="M569" t="s">
        <v>39</v>
      </c>
      <c r="N569" t="s">
        <v>71</v>
      </c>
      <c r="O569" t="s">
        <v>51</v>
      </c>
      <c r="P569" t="s">
        <v>52</v>
      </c>
      <c r="Q569">
        <v>3</v>
      </c>
      <c r="R569">
        <f>IFERROR(Table1_1[[#This Row],[Unit_Price]]*Table1_1[[#This Row],[Quantity]],"")</f>
        <v>249</v>
      </c>
      <c r="S569">
        <f>IFERROR(Table1_1[[#This Row],[Gross_Sales]]*Table1_1[[#This Row],[Discount_%]],"")</f>
        <v>37.35</v>
      </c>
      <c r="T569">
        <f>IFERROR(Table1_1[[#This Row],[Gross_Sales]]-Table1_1[[#This Row],[Discount_amount]]+Table1_1[[#This Row],[Shipping_Cost]],"")</f>
        <v>270.64999999999998</v>
      </c>
      <c r="U569">
        <f>IFERROR(Table1_1[[#This Row],[Net_Sale]]-(Table1_1[[#This Row],[Gross_Sales]]*70%),"")</f>
        <v>96.35</v>
      </c>
      <c r="V569" s="7">
        <f>IFERROR(Table1_1[[#This Row],[Profit]]/Table1_1[[#This Row],[Net_Sale]],"")</f>
        <v>0.35599482726768888</v>
      </c>
      <c r="W569" t="str">
        <f>TEXT(Table1_1[[#This Row],[Order_Date]],"mmm")</f>
        <v>Sep</v>
      </c>
    </row>
    <row r="570" spans="1:23" x14ac:dyDescent="0.25">
      <c r="A570" t="s">
        <v>931</v>
      </c>
      <c r="B570" t="s">
        <v>409</v>
      </c>
      <c r="C570" s="6">
        <v>45858</v>
      </c>
      <c r="D570" t="s">
        <v>55</v>
      </c>
      <c r="E570" t="s">
        <v>56</v>
      </c>
      <c r="F570" t="s">
        <v>37</v>
      </c>
      <c r="G570" t="s">
        <v>38</v>
      </c>
      <c r="H570">
        <v>2</v>
      </c>
      <c r="I570">
        <v>2499</v>
      </c>
      <c r="J570">
        <v>0.2</v>
      </c>
      <c r="K570">
        <v>49</v>
      </c>
      <c r="L570" t="s">
        <v>48</v>
      </c>
      <c r="M570" t="s">
        <v>49</v>
      </c>
      <c r="N570" t="s">
        <v>102</v>
      </c>
      <c r="O570" t="s">
        <v>51</v>
      </c>
      <c r="P570" t="s">
        <v>80</v>
      </c>
      <c r="Q570">
        <v>3</v>
      </c>
      <c r="R570">
        <f>IFERROR(Table1_1[[#This Row],[Unit_Price]]*Table1_1[[#This Row],[Quantity]],"")</f>
        <v>4998</v>
      </c>
      <c r="S570">
        <f>IFERROR(Table1_1[[#This Row],[Gross_Sales]]*Table1_1[[#This Row],[Discount_%]],"")</f>
        <v>999.6</v>
      </c>
      <c r="T570">
        <f>IFERROR(Table1_1[[#This Row],[Gross_Sales]]-Table1_1[[#This Row],[Discount_amount]]+Table1_1[[#This Row],[Shipping_Cost]],"")</f>
        <v>4047.4</v>
      </c>
      <c r="U570">
        <f>IFERROR(Table1_1[[#This Row],[Net_Sale]]-(Table1_1[[#This Row],[Gross_Sales]]*70%),"")</f>
        <v>548.80000000000018</v>
      </c>
      <c r="V570" s="7">
        <f>IFERROR(Table1_1[[#This Row],[Profit]]/Table1_1[[#This Row],[Net_Sale]],"")</f>
        <v>0.13559322033898311</v>
      </c>
      <c r="W570" t="str">
        <f>TEXT(Table1_1[[#This Row],[Order_Date]],"mmm")</f>
        <v>Jul</v>
      </c>
    </row>
    <row r="571" spans="1:23" x14ac:dyDescent="0.25">
      <c r="A571" t="s">
        <v>932</v>
      </c>
      <c r="B571" t="s">
        <v>754</v>
      </c>
      <c r="C571" s="6">
        <v>45663</v>
      </c>
      <c r="D571" t="s">
        <v>77</v>
      </c>
      <c r="E571" t="s">
        <v>78</v>
      </c>
      <c r="F571" t="s">
        <v>79</v>
      </c>
      <c r="G571" t="s">
        <v>28</v>
      </c>
      <c r="H571">
        <v>1</v>
      </c>
      <c r="I571">
        <v>6499</v>
      </c>
      <c r="J571">
        <v>0</v>
      </c>
      <c r="K571">
        <v>79</v>
      </c>
      <c r="L571" t="s">
        <v>100</v>
      </c>
      <c r="M571" t="s">
        <v>101</v>
      </c>
      <c r="N571" t="s">
        <v>102</v>
      </c>
      <c r="O571" t="s">
        <v>93</v>
      </c>
      <c r="P571" t="s">
        <v>33</v>
      </c>
      <c r="Q571">
        <v>3</v>
      </c>
      <c r="R571">
        <f>IFERROR(Table1_1[[#This Row],[Unit_Price]]*Table1_1[[#This Row],[Quantity]],"")</f>
        <v>6499</v>
      </c>
      <c r="S571">
        <f>IFERROR(Table1_1[[#This Row],[Gross_Sales]]*Table1_1[[#This Row],[Discount_%]],"")</f>
        <v>0</v>
      </c>
      <c r="T571">
        <f>IFERROR(Table1_1[[#This Row],[Gross_Sales]]-Table1_1[[#This Row],[Discount_amount]]+Table1_1[[#This Row],[Shipping_Cost]],"")</f>
        <v>6578</v>
      </c>
      <c r="U571">
        <f>IFERROR(Table1_1[[#This Row],[Net_Sale]]-(Table1_1[[#This Row],[Gross_Sales]]*70%),"")</f>
        <v>2028.7000000000007</v>
      </c>
      <c r="V571" s="7">
        <f>IFERROR(Table1_1[[#This Row],[Profit]]/Table1_1[[#This Row],[Net_Sale]],"")</f>
        <v>0.30840681058072372</v>
      </c>
      <c r="W571" t="str">
        <f>TEXT(Table1_1[[#This Row],[Order_Date]],"mmm")</f>
        <v>Jan</v>
      </c>
    </row>
    <row r="572" spans="1:23" x14ac:dyDescent="0.25">
      <c r="A572" t="s">
        <v>933</v>
      </c>
      <c r="B572" t="s">
        <v>177</v>
      </c>
      <c r="C572" s="6">
        <v>45803</v>
      </c>
      <c r="D572" t="s">
        <v>90</v>
      </c>
      <c r="E572" t="s">
        <v>91</v>
      </c>
      <c r="F572" t="s">
        <v>37</v>
      </c>
      <c r="G572" t="s">
        <v>92</v>
      </c>
      <c r="H572">
        <v>1</v>
      </c>
      <c r="I572">
        <v>3499</v>
      </c>
      <c r="J572">
        <v>0</v>
      </c>
      <c r="K572">
        <v>99</v>
      </c>
      <c r="L572" t="s">
        <v>934</v>
      </c>
      <c r="M572" t="s">
        <v>49</v>
      </c>
      <c r="N572" t="s">
        <v>31</v>
      </c>
      <c r="O572" t="s">
        <v>32</v>
      </c>
      <c r="P572" t="s">
        <v>33</v>
      </c>
      <c r="Q572">
        <v>3</v>
      </c>
      <c r="R572">
        <f>IFERROR(Table1_1[[#This Row],[Unit_Price]]*Table1_1[[#This Row],[Quantity]],"")</f>
        <v>3499</v>
      </c>
      <c r="S572">
        <f>IFERROR(Table1_1[[#This Row],[Gross_Sales]]*Table1_1[[#This Row],[Discount_%]],"")</f>
        <v>0</v>
      </c>
      <c r="T572">
        <f>IFERROR(Table1_1[[#This Row],[Gross_Sales]]-Table1_1[[#This Row],[Discount_amount]]+Table1_1[[#This Row],[Shipping_Cost]],"")</f>
        <v>3598</v>
      </c>
      <c r="U572">
        <f>IFERROR(Table1_1[[#This Row],[Net_Sale]]-(Table1_1[[#This Row],[Gross_Sales]]*70%),"")</f>
        <v>1148.7000000000003</v>
      </c>
      <c r="V572" s="7">
        <f>IFERROR(Table1_1[[#This Row],[Profit]]/Table1_1[[#This Row],[Net_Sale]],"")</f>
        <v>0.31926070038910515</v>
      </c>
      <c r="W572" t="str">
        <f>TEXT(Table1_1[[#This Row],[Order_Date]],"mmm")</f>
        <v>May</v>
      </c>
    </row>
    <row r="573" spans="1:23" x14ac:dyDescent="0.25">
      <c r="A573" t="s">
        <v>935</v>
      </c>
      <c r="B573" t="s">
        <v>140</v>
      </c>
      <c r="C573" s="6">
        <v>46020</v>
      </c>
      <c r="D573" t="s">
        <v>67</v>
      </c>
      <c r="E573" t="s">
        <v>68</v>
      </c>
      <c r="F573" t="s">
        <v>37</v>
      </c>
      <c r="G573" t="s">
        <v>38</v>
      </c>
      <c r="H573">
        <v>2</v>
      </c>
      <c r="I573">
        <v>1299</v>
      </c>
      <c r="J573">
        <v>0</v>
      </c>
      <c r="K573">
        <v>79</v>
      </c>
      <c r="L573" t="s">
        <v>125</v>
      </c>
      <c r="M573" t="s">
        <v>126</v>
      </c>
      <c r="N573" t="s">
        <v>50</v>
      </c>
      <c r="O573" t="s">
        <v>93</v>
      </c>
      <c r="P573" t="s">
        <v>85</v>
      </c>
      <c r="Q573">
        <v>3</v>
      </c>
      <c r="R573">
        <f>IFERROR(Table1_1[[#This Row],[Unit_Price]]*Table1_1[[#This Row],[Quantity]],"")</f>
        <v>2598</v>
      </c>
      <c r="S573">
        <f>IFERROR(Table1_1[[#This Row],[Gross_Sales]]*Table1_1[[#This Row],[Discount_%]],"")</f>
        <v>0</v>
      </c>
      <c r="T573">
        <f>IFERROR(Table1_1[[#This Row],[Gross_Sales]]-Table1_1[[#This Row],[Discount_amount]]+Table1_1[[#This Row],[Shipping_Cost]],"")</f>
        <v>2677</v>
      </c>
      <c r="U573">
        <f>IFERROR(Table1_1[[#This Row],[Net_Sale]]-(Table1_1[[#This Row],[Gross_Sales]]*70%),"")</f>
        <v>858.40000000000009</v>
      </c>
      <c r="V573" s="7">
        <f>IFERROR(Table1_1[[#This Row],[Profit]]/Table1_1[[#This Row],[Net_Sale]],"")</f>
        <v>0.32065745237205828</v>
      </c>
      <c r="W573" t="str">
        <f>TEXT(Table1_1[[#This Row],[Order_Date]],"mmm")</f>
        <v>Dec</v>
      </c>
    </row>
    <row r="574" spans="1:23" x14ac:dyDescent="0.25">
      <c r="A574" t="s">
        <v>936</v>
      </c>
      <c r="B574" t="s">
        <v>937</v>
      </c>
      <c r="C574" s="6">
        <v>45996</v>
      </c>
      <c r="D574" t="s">
        <v>105</v>
      </c>
      <c r="E574" t="s">
        <v>106</v>
      </c>
      <c r="F574" t="s">
        <v>37</v>
      </c>
      <c r="G574" t="s">
        <v>107</v>
      </c>
      <c r="H574">
        <v>1</v>
      </c>
      <c r="I574">
        <v>1799</v>
      </c>
      <c r="J574">
        <v>0.05</v>
      </c>
      <c r="K574">
        <v>79</v>
      </c>
      <c r="L574" t="s">
        <v>48</v>
      </c>
      <c r="M574" t="s">
        <v>49</v>
      </c>
      <c r="N574" t="s">
        <v>71</v>
      </c>
      <c r="O574" t="s">
        <v>41</v>
      </c>
      <c r="P574" t="s">
        <v>52</v>
      </c>
      <c r="Q574">
        <v>3</v>
      </c>
      <c r="R574">
        <f>IFERROR(Table1_1[[#This Row],[Unit_Price]]*Table1_1[[#This Row],[Quantity]],"")</f>
        <v>1799</v>
      </c>
      <c r="S574">
        <f>IFERROR(Table1_1[[#This Row],[Gross_Sales]]*Table1_1[[#This Row],[Discount_%]],"")</f>
        <v>89.95</v>
      </c>
      <c r="T574">
        <f>IFERROR(Table1_1[[#This Row],[Gross_Sales]]-Table1_1[[#This Row],[Discount_amount]]+Table1_1[[#This Row],[Shipping_Cost]],"")</f>
        <v>1788.05</v>
      </c>
      <c r="U574">
        <f>IFERROR(Table1_1[[#This Row],[Net_Sale]]-(Table1_1[[#This Row],[Gross_Sales]]*70%),"")</f>
        <v>528.75</v>
      </c>
      <c r="V574" s="7">
        <f>IFERROR(Table1_1[[#This Row],[Profit]]/Table1_1[[#This Row],[Net_Sale]],"")</f>
        <v>0.29571320712508042</v>
      </c>
      <c r="W574" t="str">
        <f>TEXT(Table1_1[[#This Row],[Order_Date]],"mmm")</f>
        <v>Dec</v>
      </c>
    </row>
    <row r="575" spans="1:23" x14ac:dyDescent="0.25">
      <c r="A575" t="s">
        <v>938</v>
      </c>
      <c r="B575" t="s">
        <v>479</v>
      </c>
      <c r="C575" s="6">
        <v>45853</v>
      </c>
      <c r="D575" t="s">
        <v>55</v>
      </c>
      <c r="E575" t="s">
        <v>56</v>
      </c>
      <c r="F575" t="s">
        <v>37</v>
      </c>
      <c r="G575" t="s">
        <v>38</v>
      </c>
      <c r="H575">
        <v>3</v>
      </c>
      <c r="I575">
        <v>2499</v>
      </c>
      <c r="J575">
        <v>0.05</v>
      </c>
      <c r="K575">
        <v>59</v>
      </c>
      <c r="L575" t="s">
        <v>48</v>
      </c>
      <c r="M575" t="s">
        <v>49</v>
      </c>
      <c r="N575" t="s">
        <v>40</v>
      </c>
      <c r="O575" t="s">
        <v>93</v>
      </c>
      <c r="P575" t="s">
        <v>33</v>
      </c>
      <c r="Q575">
        <v>4</v>
      </c>
      <c r="R575">
        <f>IFERROR(Table1_1[[#This Row],[Unit_Price]]*Table1_1[[#This Row],[Quantity]],"")</f>
        <v>7497</v>
      </c>
      <c r="S575">
        <f>IFERROR(Table1_1[[#This Row],[Gross_Sales]]*Table1_1[[#This Row],[Discount_%]],"")</f>
        <v>374.85</v>
      </c>
      <c r="T575">
        <f>IFERROR(Table1_1[[#This Row],[Gross_Sales]]-Table1_1[[#This Row],[Discount_amount]]+Table1_1[[#This Row],[Shipping_Cost]],"")</f>
        <v>7181.15</v>
      </c>
      <c r="U575">
        <f>IFERROR(Table1_1[[#This Row],[Net_Sale]]-(Table1_1[[#This Row],[Gross_Sales]]*70%),"")</f>
        <v>1933.25</v>
      </c>
      <c r="V575" s="7">
        <f>IFERROR(Table1_1[[#This Row],[Profit]]/Table1_1[[#This Row],[Net_Sale]],"")</f>
        <v>0.26921175577727802</v>
      </c>
      <c r="W575" t="str">
        <f>TEXT(Table1_1[[#This Row],[Order_Date]],"mmm")</f>
        <v>Jul</v>
      </c>
    </row>
    <row r="576" spans="1:23" x14ac:dyDescent="0.25">
      <c r="A576" t="s">
        <v>939</v>
      </c>
      <c r="B576" t="s">
        <v>940</v>
      </c>
      <c r="C576" s="6">
        <v>45988</v>
      </c>
      <c r="D576" t="s">
        <v>67</v>
      </c>
      <c r="E576" t="s">
        <v>68</v>
      </c>
      <c r="F576" t="s">
        <v>37</v>
      </c>
      <c r="G576" t="s">
        <v>38</v>
      </c>
      <c r="H576">
        <v>1</v>
      </c>
      <c r="I576">
        <v>1299</v>
      </c>
      <c r="J576">
        <v>0.15</v>
      </c>
      <c r="K576">
        <v>79</v>
      </c>
      <c r="L576" t="s">
        <v>125</v>
      </c>
      <c r="M576" t="s">
        <v>126</v>
      </c>
      <c r="N576" t="s">
        <v>102</v>
      </c>
      <c r="O576" t="s">
        <v>93</v>
      </c>
      <c r="P576" t="s">
        <v>33</v>
      </c>
      <c r="Q576">
        <v>4</v>
      </c>
      <c r="R576">
        <f>IFERROR(Table1_1[[#This Row],[Unit_Price]]*Table1_1[[#This Row],[Quantity]],"")</f>
        <v>1299</v>
      </c>
      <c r="S576">
        <f>IFERROR(Table1_1[[#This Row],[Gross_Sales]]*Table1_1[[#This Row],[Discount_%]],"")</f>
        <v>194.85</v>
      </c>
      <c r="T576">
        <f>IFERROR(Table1_1[[#This Row],[Gross_Sales]]-Table1_1[[#This Row],[Discount_amount]]+Table1_1[[#This Row],[Shipping_Cost]],"")</f>
        <v>1183.1500000000001</v>
      </c>
      <c r="U576">
        <f>IFERROR(Table1_1[[#This Row],[Net_Sale]]-(Table1_1[[#This Row],[Gross_Sales]]*70%),"")</f>
        <v>273.85000000000014</v>
      </c>
      <c r="V576" s="7">
        <f>IFERROR(Table1_1[[#This Row],[Profit]]/Table1_1[[#This Row],[Net_Sale]],"")</f>
        <v>0.23145839496259993</v>
      </c>
      <c r="W576" t="str">
        <f>TEXT(Table1_1[[#This Row],[Order_Date]],"mmm")</f>
        <v>Nov</v>
      </c>
    </row>
    <row r="577" spans="1:23" x14ac:dyDescent="0.25">
      <c r="A577" t="s">
        <v>941</v>
      </c>
      <c r="B577" t="s">
        <v>942</v>
      </c>
      <c r="C577" s="6">
        <v>45695</v>
      </c>
      <c r="D577" t="s">
        <v>77</v>
      </c>
      <c r="E577" t="s">
        <v>78</v>
      </c>
      <c r="F577" t="s">
        <v>79</v>
      </c>
      <c r="G577" t="s">
        <v>28</v>
      </c>
      <c r="H577">
        <v>1</v>
      </c>
      <c r="I577">
        <v>6499</v>
      </c>
      <c r="J577">
        <v>0.05</v>
      </c>
      <c r="K577">
        <v>79</v>
      </c>
      <c r="L577" t="s">
        <v>48</v>
      </c>
      <c r="M577" t="s">
        <v>49</v>
      </c>
      <c r="N577" t="s">
        <v>40</v>
      </c>
      <c r="O577" t="s">
        <v>41</v>
      </c>
      <c r="P577" t="s">
        <v>80</v>
      </c>
      <c r="Q577">
        <v>3</v>
      </c>
      <c r="R577">
        <f>IFERROR(Table1_1[[#This Row],[Unit_Price]]*Table1_1[[#This Row],[Quantity]],"")</f>
        <v>6499</v>
      </c>
      <c r="S577">
        <f>IFERROR(Table1_1[[#This Row],[Gross_Sales]]*Table1_1[[#This Row],[Discount_%]],"")</f>
        <v>324.95000000000005</v>
      </c>
      <c r="T577">
        <f>IFERROR(Table1_1[[#This Row],[Gross_Sales]]-Table1_1[[#This Row],[Discount_amount]]+Table1_1[[#This Row],[Shipping_Cost]],"")</f>
        <v>6253.05</v>
      </c>
      <c r="U577">
        <f>IFERROR(Table1_1[[#This Row],[Net_Sale]]-(Table1_1[[#This Row],[Gross_Sales]]*70%),"")</f>
        <v>1703.7500000000009</v>
      </c>
      <c r="V577" s="7">
        <f>IFERROR(Table1_1[[#This Row],[Profit]]/Table1_1[[#This Row],[Net_Sale]],"")</f>
        <v>0.27246703608639</v>
      </c>
      <c r="W577" t="str">
        <f>TEXT(Table1_1[[#This Row],[Order_Date]],"mmm")</f>
        <v>Feb</v>
      </c>
    </row>
    <row r="578" spans="1:23" x14ac:dyDescent="0.25">
      <c r="A578" t="s">
        <v>943</v>
      </c>
      <c r="B578" t="s">
        <v>899</v>
      </c>
      <c r="C578" s="6">
        <v>45998</v>
      </c>
      <c r="D578" t="s">
        <v>25</v>
      </c>
      <c r="E578" t="s">
        <v>26</v>
      </c>
      <c r="F578" t="s">
        <v>27</v>
      </c>
      <c r="G578" t="s">
        <v>28</v>
      </c>
      <c r="H578">
        <v>4</v>
      </c>
      <c r="I578">
        <v>249</v>
      </c>
      <c r="J578">
        <v>0.2</v>
      </c>
      <c r="K578">
        <v>59</v>
      </c>
      <c r="L578" t="s">
        <v>39</v>
      </c>
      <c r="M578" t="s">
        <v>39</v>
      </c>
      <c r="N578" t="s">
        <v>102</v>
      </c>
      <c r="O578" t="s">
        <v>93</v>
      </c>
      <c r="P578" t="s">
        <v>33</v>
      </c>
      <c r="Q578">
        <v>5</v>
      </c>
      <c r="R578">
        <f>IFERROR(Table1_1[[#This Row],[Unit_Price]]*Table1_1[[#This Row],[Quantity]],"")</f>
        <v>996</v>
      </c>
      <c r="S578">
        <f>IFERROR(Table1_1[[#This Row],[Gross_Sales]]*Table1_1[[#This Row],[Discount_%]],"")</f>
        <v>199.20000000000002</v>
      </c>
      <c r="T578">
        <f>IFERROR(Table1_1[[#This Row],[Gross_Sales]]-Table1_1[[#This Row],[Discount_amount]]+Table1_1[[#This Row],[Shipping_Cost]],"")</f>
        <v>855.8</v>
      </c>
      <c r="U578">
        <f>IFERROR(Table1_1[[#This Row],[Net_Sale]]-(Table1_1[[#This Row],[Gross_Sales]]*70%),"")</f>
        <v>158.60000000000002</v>
      </c>
      <c r="V578" s="7">
        <f>IFERROR(Table1_1[[#This Row],[Profit]]/Table1_1[[#This Row],[Net_Sale]],"")</f>
        <v>0.18532367375555039</v>
      </c>
      <c r="W578" t="str">
        <f>TEXT(Table1_1[[#This Row],[Order_Date]],"mmm")</f>
        <v>Dec</v>
      </c>
    </row>
    <row r="579" spans="1:23" x14ac:dyDescent="0.25">
      <c r="A579" t="s">
        <v>944</v>
      </c>
      <c r="B579" t="s">
        <v>945</v>
      </c>
      <c r="C579" s="6">
        <v>45864</v>
      </c>
      <c r="D579" t="s">
        <v>77</v>
      </c>
      <c r="E579" t="s">
        <v>78</v>
      </c>
      <c r="F579" t="s">
        <v>79</v>
      </c>
      <c r="G579" t="s">
        <v>28</v>
      </c>
      <c r="H579">
        <v>2</v>
      </c>
      <c r="I579">
        <v>6499</v>
      </c>
      <c r="J579">
        <v>0.15</v>
      </c>
      <c r="K579">
        <v>49</v>
      </c>
      <c r="L579" t="s">
        <v>119</v>
      </c>
      <c r="M579" t="s">
        <v>120</v>
      </c>
      <c r="N579" t="s">
        <v>40</v>
      </c>
      <c r="O579" t="s">
        <v>59</v>
      </c>
      <c r="P579" t="s">
        <v>33</v>
      </c>
      <c r="Q579">
        <v>1</v>
      </c>
      <c r="R579">
        <f>IFERROR(Table1_1[[#This Row],[Unit_Price]]*Table1_1[[#This Row],[Quantity]],"")</f>
        <v>12998</v>
      </c>
      <c r="S579">
        <f>IFERROR(Table1_1[[#This Row],[Gross_Sales]]*Table1_1[[#This Row],[Discount_%]],"")</f>
        <v>1949.6999999999998</v>
      </c>
      <c r="T579">
        <f>IFERROR(Table1_1[[#This Row],[Gross_Sales]]-Table1_1[[#This Row],[Discount_amount]]+Table1_1[[#This Row],[Shipping_Cost]],"")</f>
        <v>11097.3</v>
      </c>
      <c r="U579">
        <f>IFERROR(Table1_1[[#This Row],[Net_Sale]]-(Table1_1[[#This Row],[Gross_Sales]]*70%),"")</f>
        <v>1998.7000000000007</v>
      </c>
      <c r="V579" s="7">
        <f>IFERROR(Table1_1[[#This Row],[Profit]]/Table1_1[[#This Row],[Net_Sale]],"")</f>
        <v>0.18010687284294385</v>
      </c>
      <c r="W579" t="str">
        <f>TEXT(Table1_1[[#This Row],[Order_Date]],"mmm")</f>
        <v>Jul</v>
      </c>
    </row>
    <row r="580" spans="1:23" x14ac:dyDescent="0.25">
      <c r="A580" t="s">
        <v>946</v>
      </c>
      <c r="B580" t="s">
        <v>582</v>
      </c>
      <c r="C580" s="6">
        <v>45841</v>
      </c>
      <c r="D580" t="s">
        <v>44</v>
      </c>
      <c r="E580" t="s">
        <v>45</v>
      </c>
      <c r="F580" t="s">
        <v>46</v>
      </c>
      <c r="G580" t="s">
        <v>47</v>
      </c>
      <c r="H580">
        <v>4</v>
      </c>
      <c r="I580">
        <v>1199</v>
      </c>
      <c r="J580">
        <v>0.1</v>
      </c>
      <c r="K580">
        <v>0</v>
      </c>
      <c r="L580" t="s">
        <v>83</v>
      </c>
      <c r="M580" t="s">
        <v>84</v>
      </c>
      <c r="N580" t="s">
        <v>71</v>
      </c>
      <c r="O580" t="s">
        <v>32</v>
      </c>
      <c r="P580" t="s">
        <v>33</v>
      </c>
      <c r="Q580">
        <v>3</v>
      </c>
      <c r="R580">
        <f>IFERROR(Table1_1[[#This Row],[Unit_Price]]*Table1_1[[#This Row],[Quantity]],"")</f>
        <v>4796</v>
      </c>
      <c r="S580">
        <f>IFERROR(Table1_1[[#This Row],[Gross_Sales]]*Table1_1[[#This Row],[Discount_%]],"")</f>
        <v>479.6</v>
      </c>
      <c r="T580">
        <f>IFERROR(Table1_1[[#This Row],[Gross_Sales]]-Table1_1[[#This Row],[Discount_amount]]+Table1_1[[#This Row],[Shipping_Cost]],"")</f>
        <v>4316.3999999999996</v>
      </c>
      <c r="U580">
        <f>IFERROR(Table1_1[[#This Row],[Net_Sale]]-(Table1_1[[#This Row],[Gross_Sales]]*70%),"")</f>
        <v>959.19999999999982</v>
      </c>
      <c r="V580" s="7">
        <f>IFERROR(Table1_1[[#This Row],[Profit]]/Table1_1[[#This Row],[Net_Sale]],"")</f>
        <v>0.22222222222222221</v>
      </c>
      <c r="W580" t="str">
        <f>TEXT(Table1_1[[#This Row],[Order_Date]],"mmm")</f>
        <v>Jul</v>
      </c>
    </row>
    <row r="581" spans="1:23" x14ac:dyDescent="0.25">
      <c r="A581" t="s">
        <v>947</v>
      </c>
      <c r="B581" t="s">
        <v>271</v>
      </c>
      <c r="C581" s="6">
        <v>45806</v>
      </c>
      <c r="D581" t="s">
        <v>169</v>
      </c>
      <c r="E581" t="s">
        <v>170</v>
      </c>
      <c r="F581" t="s">
        <v>98</v>
      </c>
      <c r="G581" t="s">
        <v>171</v>
      </c>
      <c r="H581">
        <v>3</v>
      </c>
      <c r="I581">
        <v>799</v>
      </c>
      <c r="J581">
        <v>0.15</v>
      </c>
      <c r="K581">
        <v>0</v>
      </c>
      <c r="L581" t="s">
        <v>29</v>
      </c>
      <c r="M581" t="s">
        <v>30</v>
      </c>
      <c r="N581" t="s">
        <v>50</v>
      </c>
      <c r="O581" t="s">
        <v>51</v>
      </c>
      <c r="P581" t="s">
        <v>33</v>
      </c>
      <c r="Q581">
        <v>3</v>
      </c>
      <c r="R581">
        <f>IFERROR(Table1_1[[#This Row],[Unit_Price]]*Table1_1[[#This Row],[Quantity]],"")</f>
        <v>2397</v>
      </c>
      <c r="S581">
        <f>IFERROR(Table1_1[[#This Row],[Gross_Sales]]*Table1_1[[#This Row],[Discount_%]],"")</f>
        <v>359.55</v>
      </c>
      <c r="T581">
        <f>IFERROR(Table1_1[[#This Row],[Gross_Sales]]-Table1_1[[#This Row],[Discount_amount]]+Table1_1[[#This Row],[Shipping_Cost]],"")</f>
        <v>2037.45</v>
      </c>
      <c r="U581">
        <f>IFERROR(Table1_1[[#This Row],[Net_Sale]]-(Table1_1[[#This Row],[Gross_Sales]]*70%),"")</f>
        <v>359.55000000000018</v>
      </c>
      <c r="V581" s="7">
        <f>IFERROR(Table1_1[[#This Row],[Profit]]/Table1_1[[#This Row],[Net_Sale]],"")</f>
        <v>0.17647058823529421</v>
      </c>
      <c r="W581" t="str">
        <f>TEXT(Table1_1[[#This Row],[Order_Date]],"mmm")</f>
        <v>May</v>
      </c>
    </row>
    <row r="582" spans="1:23" x14ac:dyDescent="0.25">
      <c r="A582" t="s">
        <v>948</v>
      </c>
      <c r="B582" t="s">
        <v>487</v>
      </c>
      <c r="C582" s="6">
        <v>45841</v>
      </c>
      <c r="D582" t="s">
        <v>96</v>
      </c>
      <c r="E582" t="s">
        <v>97</v>
      </c>
      <c r="F582" t="s">
        <v>98</v>
      </c>
      <c r="G582" t="s">
        <v>99</v>
      </c>
      <c r="H582">
        <v>2</v>
      </c>
      <c r="I582">
        <v>1499</v>
      </c>
      <c r="J582">
        <v>0.1</v>
      </c>
      <c r="K582">
        <v>49</v>
      </c>
      <c r="L582" t="s">
        <v>29</v>
      </c>
      <c r="M582" t="s">
        <v>30</v>
      </c>
      <c r="N582" t="s">
        <v>31</v>
      </c>
      <c r="O582" t="s">
        <v>41</v>
      </c>
      <c r="P582" t="s">
        <v>80</v>
      </c>
      <c r="Q582">
        <v>1</v>
      </c>
      <c r="R582">
        <f>IFERROR(Table1_1[[#This Row],[Unit_Price]]*Table1_1[[#This Row],[Quantity]],"")</f>
        <v>2998</v>
      </c>
      <c r="S582">
        <f>IFERROR(Table1_1[[#This Row],[Gross_Sales]]*Table1_1[[#This Row],[Discount_%]],"")</f>
        <v>299.8</v>
      </c>
      <c r="T582">
        <f>IFERROR(Table1_1[[#This Row],[Gross_Sales]]-Table1_1[[#This Row],[Discount_amount]]+Table1_1[[#This Row],[Shipping_Cost]],"")</f>
        <v>2747.2</v>
      </c>
      <c r="U582">
        <f>IFERROR(Table1_1[[#This Row],[Net_Sale]]-(Table1_1[[#This Row],[Gross_Sales]]*70%),"")</f>
        <v>648.59999999999991</v>
      </c>
      <c r="V582" s="7">
        <f>IFERROR(Table1_1[[#This Row],[Profit]]/Table1_1[[#This Row],[Net_Sale]],"")</f>
        <v>0.23609493302271403</v>
      </c>
      <c r="W582" t="str">
        <f>TEXT(Table1_1[[#This Row],[Order_Date]],"mmm")</f>
        <v>Jul</v>
      </c>
    </row>
    <row r="583" spans="1:23" x14ac:dyDescent="0.25">
      <c r="A583" t="s">
        <v>949</v>
      </c>
      <c r="B583" t="s">
        <v>552</v>
      </c>
      <c r="C583" s="6">
        <v>45857</v>
      </c>
      <c r="D583" t="s">
        <v>77</v>
      </c>
      <c r="E583" t="s">
        <v>78</v>
      </c>
      <c r="F583" t="s">
        <v>79</v>
      </c>
      <c r="G583" t="s">
        <v>28</v>
      </c>
      <c r="H583">
        <v>1</v>
      </c>
      <c r="I583">
        <v>6499</v>
      </c>
      <c r="J583">
        <v>0.2</v>
      </c>
      <c r="K583">
        <v>59</v>
      </c>
      <c r="L583" t="s">
        <v>125</v>
      </c>
      <c r="M583" t="s">
        <v>126</v>
      </c>
      <c r="N583" t="s">
        <v>102</v>
      </c>
      <c r="O583" t="s">
        <v>59</v>
      </c>
      <c r="P583" t="s">
        <v>85</v>
      </c>
      <c r="Q583">
        <v>1</v>
      </c>
      <c r="R583">
        <f>IFERROR(Table1_1[[#This Row],[Unit_Price]]*Table1_1[[#This Row],[Quantity]],"")</f>
        <v>6499</v>
      </c>
      <c r="S583">
        <f>IFERROR(Table1_1[[#This Row],[Gross_Sales]]*Table1_1[[#This Row],[Discount_%]],"")</f>
        <v>1299.8000000000002</v>
      </c>
      <c r="T583">
        <f>IFERROR(Table1_1[[#This Row],[Gross_Sales]]-Table1_1[[#This Row],[Discount_amount]]+Table1_1[[#This Row],[Shipping_Cost]],"")</f>
        <v>5258.2</v>
      </c>
      <c r="U583">
        <f>IFERROR(Table1_1[[#This Row],[Net_Sale]]-(Table1_1[[#This Row],[Gross_Sales]]*70%),"")</f>
        <v>708.90000000000055</v>
      </c>
      <c r="V583" s="7">
        <f>IFERROR(Table1_1[[#This Row],[Profit]]/Table1_1[[#This Row],[Net_Sale]],"")</f>
        <v>0.13481799855463858</v>
      </c>
      <c r="W583" t="str">
        <f>TEXT(Table1_1[[#This Row],[Order_Date]],"mmm")</f>
        <v>Jul</v>
      </c>
    </row>
    <row r="584" spans="1:23" x14ac:dyDescent="0.25">
      <c r="A584" t="s">
        <v>950</v>
      </c>
      <c r="B584" t="s">
        <v>951</v>
      </c>
      <c r="C584" s="6">
        <v>45679</v>
      </c>
      <c r="D584" t="s">
        <v>35</v>
      </c>
      <c r="E584" t="s">
        <v>36</v>
      </c>
      <c r="F584" t="s">
        <v>37</v>
      </c>
      <c r="G584" t="s">
        <v>38</v>
      </c>
      <c r="H584">
        <v>1</v>
      </c>
      <c r="I584">
        <v>599</v>
      </c>
      <c r="J584">
        <v>0.2</v>
      </c>
      <c r="K584">
        <v>99</v>
      </c>
      <c r="L584" t="s">
        <v>74</v>
      </c>
      <c r="M584" t="s">
        <v>49</v>
      </c>
      <c r="N584" t="s">
        <v>102</v>
      </c>
      <c r="O584" t="s">
        <v>41</v>
      </c>
      <c r="P584" t="s">
        <v>33</v>
      </c>
      <c r="Q584">
        <v>3</v>
      </c>
      <c r="R584">
        <f>IFERROR(Table1_1[[#This Row],[Unit_Price]]*Table1_1[[#This Row],[Quantity]],"")</f>
        <v>599</v>
      </c>
      <c r="S584">
        <f>IFERROR(Table1_1[[#This Row],[Gross_Sales]]*Table1_1[[#This Row],[Discount_%]],"")</f>
        <v>119.80000000000001</v>
      </c>
      <c r="T584">
        <f>IFERROR(Table1_1[[#This Row],[Gross_Sales]]-Table1_1[[#This Row],[Discount_amount]]+Table1_1[[#This Row],[Shipping_Cost]],"")</f>
        <v>578.20000000000005</v>
      </c>
      <c r="U584">
        <f>IFERROR(Table1_1[[#This Row],[Net_Sale]]-(Table1_1[[#This Row],[Gross_Sales]]*70%),"")</f>
        <v>158.90000000000009</v>
      </c>
      <c r="V584" s="7">
        <f>IFERROR(Table1_1[[#This Row],[Profit]]/Table1_1[[#This Row],[Net_Sale]],"")</f>
        <v>0.27481840193704615</v>
      </c>
      <c r="W584" t="str">
        <f>TEXT(Table1_1[[#This Row],[Order_Date]],"mmm")</f>
        <v>Jan</v>
      </c>
    </row>
    <row r="585" spans="1:23" x14ac:dyDescent="0.25">
      <c r="A585" t="s">
        <v>952</v>
      </c>
      <c r="B585" t="s">
        <v>1618</v>
      </c>
      <c r="C585" s="6">
        <v>45676</v>
      </c>
      <c r="D585" t="s">
        <v>44</v>
      </c>
      <c r="E585" t="s">
        <v>45</v>
      </c>
      <c r="F585" t="s">
        <v>46</v>
      </c>
      <c r="G585" t="s">
        <v>47</v>
      </c>
      <c r="H585">
        <v>4</v>
      </c>
      <c r="I585">
        <v>1199</v>
      </c>
      <c r="J585">
        <v>0.2</v>
      </c>
      <c r="K585">
        <v>0</v>
      </c>
      <c r="L585" t="s">
        <v>113</v>
      </c>
      <c r="M585" t="s">
        <v>114</v>
      </c>
      <c r="N585" t="s">
        <v>102</v>
      </c>
      <c r="O585" t="s">
        <v>93</v>
      </c>
      <c r="P585" t="s">
        <v>52</v>
      </c>
      <c r="Q585">
        <v>2</v>
      </c>
      <c r="R585">
        <f>IFERROR(Table1_1[[#This Row],[Unit_Price]]*Table1_1[[#This Row],[Quantity]],"")</f>
        <v>4796</v>
      </c>
      <c r="S585">
        <f>IFERROR(Table1_1[[#This Row],[Gross_Sales]]*Table1_1[[#This Row],[Discount_%]],"")</f>
        <v>959.2</v>
      </c>
      <c r="T585">
        <f>IFERROR(Table1_1[[#This Row],[Gross_Sales]]-Table1_1[[#This Row],[Discount_amount]]+Table1_1[[#This Row],[Shipping_Cost]],"")</f>
        <v>3836.8</v>
      </c>
      <c r="U585">
        <f>IFERROR(Table1_1[[#This Row],[Net_Sale]]-(Table1_1[[#This Row],[Gross_Sales]]*70%),"")</f>
        <v>479.60000000000036</v>
      </c>
      <c r="V585" s="7">
        <f>IFERROR(Table1_1[[#This Row],[Profit]]/Table1_1[[#This Row],[Net_Sale]],"")</f>
        <v>0.12500000000000008</v>
      </c>
      <c r="W585" t="str">
        <f>TEXT(Table1_1[[#This Row],[Order_Date]],"mmm")</f>
        <v>Jan</v>
      </c>
    </row>
    <row r="586" spans="1:23" x14ac:dyDescent="0.25">
      <c r="A586" t="s">
        <v>953</v>
      </c>
      <c r="B586" t="s">
        <v>901</v>
      </c>
      <c r="C586" s="6">
        <v>45981</v>
      </c>
      <c r="D586" t="s">
        <v>77</v>
      </c>
      <c r="E586" t="s">
        <v>78</v>
      </c>
      <c r="F586" t="s">
        <v>79</v>
      </c>
      <c r="G586" t="s">
        <v>28</v>
      </c>
      <c r="H586">
        <v>1</v>
      </c>
      <c r="I586">
        <v>6499</v>
      </c>
      <c r="J586">
        <v>0</v>
      </c>
      <c r="K586">
        <v>79</v>
      </c>
      <c r="L586" t="s">
        <v>100</v>
      </c>
      <c r="M586" t="s">
        <v>101</v>
      </c>
      <c r="N586" t="s">
        <v>102</v>
      </c>
      <c r="O586" t="s">
        <v>93</v>
      </c>
      <c r="P586" t="s">
        <v>33</v>
      </c>
      <c r="Q586">
        <v>3</v>
      </c>
      <c r="R586">
        <f>IFERROR(Table1_1[[#This Row],[Unit_Price]]*Table1_1[[#This Row],[Quantity]],"")</f>
        <v>6499</v>
      </c>
      <c r="S586">
        <f>IFERROR(Table1_1[[#This Row],[Gross_Sales]]*Table1_1[[#This Row],[Discount_%]],"")</f>
        <v>0</v>
      </c>
      <c r="T586">
        <f>IFERROR(Table1_1[[#This Row],[Gross_Sales]]-Table1_1[[#This Row],[Discount_amount]]+Table1_1[[#This Row],[Shipping_Cost]],"")</f>
        <v>6578</v>
      </c>
      <c r="U586">
        <f>IFERROR(Table1_1[[#This Row],[Net_Sale]]-(Table1_1[[#This Row],[Gross_Sales]]*70%),"")</f>
        <v>2028.7000000000007</v>
      </c>
      <c r="V586" s="7">
        <f>IFERROR(Table1_1[[#This Row],[Profit]]/Table1_1[[#This Row],[Net_Sale]],"")</f>
        <v>0.30840681058072372</v>
      </c>
      <c r="W586" t="str">
        <f>TEXT(Table1_1[[#This Row],[Order_Date]],"mmm")</f>
        <v>Nov</v>
      </c>
    </row>
    <row r="587" spans="1:23" x14ac:dyDescent="0.25">
      <c r="A587" t="s">
        <v>954</v>
      </c>
      <c r="B587" t="s">
        <v>228</v>
      </c>
      <c r="C587" s="6">
        <v>45973</v>
      </c>
      <c r="D587" t="s">
        <v>55</v>
      </c>
      <c r="E587" t="s">
        <v>56</v>
      </c>
      <c r="F587" t="s">
        <v>37</v>
      </c>
      <c r="G587" t="s">
        <v>38</v>
      </c>
      <c r="H587">
        <v>2</v>
      </c>
      <c r="I587">
        <v>2499</v>
      </c>
      <c r="J587">
        <v>0.1</v>
      </c>
      <c r="K587">
        <v>59</v>
      </c>
      <c r="L587" t="s">
        <v>29</v>
      </c>
      <c r="M587" t="s">
        <v>30</v>
      </c>
      <c r="N587" t="s">
        <v>71</v>
      </c>
      <c r="O587" t="s">
        <v>93</v>
      </c>
      <c r="P587" t="s">
        <v>33</v>
      </c>
      <c r="Q587">
        <v>3</v>
      </c>
      <c r="R587">
        <f>IFERROR(Table1_1[[#This Row],[Unit_Price]]*Table1_1[[#This Row],[Quantity]],"")</f>
        <v>4998</v>
      </c>
      <c r="S587">
        <f>IFERROR(Table1_1[[#This Row],[Gross_Sales]]*Table1_1[[#This Row],[Discount_%]],"")</f>
        <v>499.8</v>
      </c>
      <c r="T587">
        <f>IFERROR(Table1_1[[#This Row],[Gross_Sales]]-Table1_1[[#This Row],[Discount_amount]]+Table1_1[[#This Row],[Shipping_Cost]],"")</f>
        <v>4557.2</v>
      </c>
      <c r="U587">
        <f>IFERROR(Table1_1[[#This Row],[Net_Sale]]-(Table1_1[[#This Row],[Gross_Sales]]*70%),"")</f>
        <v>1058.5999999999999</v>
      </c>
      <c r="V587" s="7">
        <f>IFERROR(Table1_1[[#This Row],[Profit]]/Table1_1[[#This Row],[Net_Sale]],"")</f>
        <v>0.23229175809707714</v>
      </c>
      <c r="W587" t="str">
        <f>TEXT(Table1_1[[#This Row],[Order_Date]],"mmm")</f>
        <v>Nov</v>
      </c>
    </row>
    <row r="588" spans="1:23" x14ac:dyDescent="0.25">
      <c r="A588" t="s">
        <v>955</v>
      </c>
      <c r="B588" t="s">
        <v>207</v>
      </c>
      <c r="C588" s="6">
        <v>45767</v>
      </c>
      <c r="D588" t="s">
        <v>44</v>
      </c>
      <c r="E588" t="s">
        <v>45</v>
      </c>
      <c r="F588" t="s">
        <v>46</v>
      </c>
      <c r="G588" t="s">
        <v>47</v>
      </c>
      <c r="H588">
        <v>1</v>
      </c>
      <c r="I588">
        <v>1199</v>
      </c>
      <c r="J588">
        <v>0.05</v>
      </c>
      <c r="K588">
        <v>0</v>
      </c>
      <c r="L588" t="s">
        <v>83</v>
      </c>
      <c r="M588" t="s">
        <v>84</v>
      </c>
      <c r="N588" t="s">
        <v>71</v>
      </c>
      <c r="O588" t="s">
        <v>41</v>
      </c>
      <c r="P588" t="s">
        <v>33</v>
      </c>
      <c r="Q588">
        <v>3</v>
      </c>
      <c r="R588">
        <f>IFERROR(Table1_1[[#This Row],[Unit_Price]]*Table1_1[[#This Row],[Quantity]],"")</f>
        <v>1199</v>
      </c>
      <c r="S588">
        <f>IFERROR(Table1_1[[#This Row],[Gross_Sales]]*Table1_1[[#This Row],[Discount_%]],"")</f>
        <v>59.95</v>
      </c>
      <c r="T588">
        <f>IFERROR(Table1_1[[#This Row],[Gross_Sales]]-Table1_1[[#This Row],[Discount_amount]]+Table1_1[[#This Row],[Shipping_Cost]],"")</f>
        <v>1139.05</v>
      </c>
      <c r="U588">
        <f>IFERROR(Table1_1[[#This Row],[Net_Sale]]-(Table1_1[[#This Row],[Gross_Sales]]*70%),"")</f>
        <v>299.75</v>
      </c>
      <c r="V588" s="7">
        <f>IFERROR(Table1_1[[#This Row],[Profit]]/Table1_1[[#This Row],[Net_Sale]],"")</f>
        <v>0.26315789473684209</v>
      </c>
      <c r="W588" t="str">
        <f>TEXT(Table1_1[[#This Row],[Order_Date]],"mmm")</f>
        <v>Apr</v>
      </c>
    </row>
    <row r="589" spans="1:23" x14ac:dyDescent="0.25">
      <c r="A589" t="s">
        <v>956</v>
      </c>
      <c r="B589" t="s">
        <v>957</v>
      </c>
      <c r="C589" s="6">
        <v>45941</v>
      </c>
      <c r="D589" t="s">
        <v>96</v>
      </c>
      <c r="E589" t="s">
        <v>97</v>
      </c>
      <c r="F589" t="s">
        <v>98</v>
      </c>
      <c r="G589" t="s">
        <v>99</v>
      </c>
      <c r="H589">
        <v>2</v>
      </c>
      <c r="I589">
        <v>1499</v>
      </c>
      <c r="J589">
        <v>0.15</v>
      </c>
      <c r="K589">
        <v>0</v>
      </c>
      <c r="L589" t="s">
        <v>100</v>
      </c>
      <c r="M589" t="s">
        <v>101</v>
      </c>
      <c r="N589" t="s">
        <v>31</v>
      </c>
      <c r="O589" t="s">
        <v>32</v>
      </c>
      <c r="P589" t="s">
        <v>33</v>
      </c>
      <c r="Q589">
        <v>4</v>
      </c>
      <c r="R589">
        <f>IFERROR(Table1_1[[#This Row],[Unit_Price]]*Table1_1[[#This Row],[Quantity]],"")</f>
        <v>2998</v>
      </c>
      <c r="S589">
        <f>IFERROR(Table1_1[[#This Row],[Gross_Sales]]*Table1_1[[#This Row],[Discount_%]],"")</f>
        <v>449.7</v>
      </c>
      <c r="T589">
        <f>IFERROR(Table1_1[[#This Row],[Gross_Sales]]-Table1_1[[#This Row],[Discount_amount]]+Table1_1[[#This Row],[Shipping_Cost]],"")</f>
        <v>2548.3000000000002</v>
      </c>
      <c r="U589">
        <f>IFERROR(Table1_1[[#This Row],[Net_Sale]]-(Table1_1[[#This Row],[Gross_Sales]]*70%),"")</f>
        <v>449.70000000000027</v>
      </c>
      <c r="V589" s="7">
        <f>IFERROR(Table1_1[[#This Row],[Profit]]/Table1_1[[#This Row],[Net_Sale]],"")</f>
        <v>0.17647058823529421</v>
      </c>
      <c r="W589" t="str">
        <f>TEXT(Table1_1[[#This Row],[Order_Date]],"mmm")</f>
        <v>Oct</v>
      </c>
    </row>
    <row r="590" spans="1:23" x14ac:dyDescent="0.25">
      <c r="A590" t="s">
        <v>958</v>
      </c>
      <c r="B590" t="s">
        <v>317</v>
      </c>
      <c r="C590" s="6">
        <v>45699</v>
      </c>
      <c r="D590" t="s">
        <v>105</v>
      </c>
      <c r="E590" t="s">
        <v>106</v>
      </c>
      <c r="F590" t="s">
        <v>37</v>
      </c>
      <c r="G590" t="s">
        <v>107</v>
      </c>
      <c r="H590">
        <v>3</v>
      </c>
      <c r="I590">
        <v>1799</v>
      </c>
      <c r="J590">
        <v>0</v>
      </c>
      <c r="K590">
        <v>99</v>
      </c>
      <c r="L590" t="s">
        <v>39</v>
      </c>
      <c r="M590" t="s">
        <v>39</v>
      </c>
      <c r="N590" t="s">
        <v>40</v>
      </c>
      <c r="O590" t="s">
        <v>59</v>
      </c>
      <c r="P590" t="s">
        <v>33</v>
      </c>
      <c r="Q590">
        <v>3</v>
      </c>
      <c r="R590">
        <f>IFERROR(Table1_1[[#This Row],[Unit_Price]]*Table1_1[[#This Row],[Quantity]],"")</f>
        <v>5397</v>
      </c>
      <c r="S590">
        <f>IFERROR(Table1_1[[#This Row],[Gross_Sales]]*Table1_1[[#This Row],[Discount_%]],"")</f>
        <v>0</v>
      </c>
      <c r="T590">
        <f>IFERROR(Table1_1[[#This Row],[Gross_Sales]]-Table1_1[[#This Row],[Discount_amount]]+Table1_1[[#This Row],[Shipping_Cost]],"")</f>
        <v>5496</v>
      </c>
      <c r="U590">
        <f>IFERROR(Table1_1[[#This Row],[Net_Sale]]-(Table1_1[[#This Row],[Gross_Sales]]*70%),"")</f>
        <v>1718.1000000000004</v>
      </c>
      <c r="V590" s="7">
        <f>IFERROR(Table1_1[[#This Row],[Profit]]/Table1_1[[#This Row],[Net_Sale]],"")</f>
        <v>0.31260917030567692</v>
      </c>
      <c r="W590" t="str">
        <f>TEXT(Table1_1[[#This Row],[Order_Date]],"mmm")</f>
        <v>Feb</v>
      </c>
    </row>
    <row r="591" spans="1:23" x14ac:dyDescent="0.25">
      <c r="A591" t="s">
        <v>959</v>
      </c>
      <c r="B591" t="s">
        <v>1618</v>
      </c>
      <c r="C591" s="6">
        <v>45796</v>
      </c>
      <c r="D591" t="s">
        <v>105</v>
      </c>
      <c r="E591" t="s">
        <v>106</v>
      </c>
      <c r="F591" t="s">
        <v>37</v>
      </c>
      <c r="G591" t="s">
        <v>107</v>
      </c>
      <c r="H591">
        <v>1</v>
      </c>
      <c r="I591">
        <v>1799</v>
      </c>
      <c r="J591">
        <v>0</v>
      </c>
      <c r="K591">
        <v>49</v>
      </c>
      <c r="L591" t="s">
        <v>113</v>
      </c>
      <c r="M591" t="s">
        <v>114</v>
      </c>
      <c r="N591" t="s">
        <v>102</v>
      </c>
      <c r="O591" t="s">
        <v>41</v>
      </c>
      <c r="P591" t="s">
        <v>52</v>
      </c>
      <c r="Q591">
        <v>3</v>
      </c>
      <c r="R591">
        <f>IFERROR(Table1_1[[#This Row],[Unit_Price]]*Table1_1[[#This Row],[Quantity]],"")</f>
        <v>1799</v>
      </c>
      <c r="S591">
        <f>IFERROR(Table1_1[[#This Row],[Gross_Sales]]*Table1_1[[#This Row],[Discount_%]],"")</f>
        <v>0</v>
      </c>
      <c r="T591">
        <f>IFERROR(Table1_1[[#This Row],[Gross_Sales]]-Table1_1[[#This Row],[Discount_amount]]+Table1_1[[#This Row],[Shipping_Cost]],"")</f>
        <v>1848</v>
      </c>
      <c r="U591">
        <f>IFERROR(Table1_1[[#This Row],[Net_Sale]]-(Table1_1[[#This Row],[Gross_Sales]]*70%),"")</f>
        <v>588.70000000000005</v>
      </c>
      <c r="V591" s="7">
        <f>IFERROR(Table1_1[[#This Row],[Profit]]/Table1_1[[#This Row],[Net_Sale]],"")</f>
        <v>0.3185606060606061</v>
      </c>
      <c r="W591" t="str">
        <f>TEXT(Table1_1[[#This Row],[Order_Date]],"mmm")</f>
        <v>May</v>
      </c>
    </row>
    <row r="592" spans="1:23" x14ac:dyDescent="0.25">
      <c r="A592" t="s">
        <v>960</v>
      </c>
      <c r="B592" t="s">
        <v>327</v>
      </c>
      <c r="C592" s="6">
        <v>45979</v>
      </c>
      <c r="D592" t="s">
        <v>90</v>
      </c>
      <c r="E592" t="s">
        <v>91</v>
      </c>
      <c r="F592" t="s">
        <v>37</v>
      </c>
      <c r="G592" t="s">
        <v>92</v>
      </c>
      <c r="H592">
        <v>4</v>
      </c>
      <c r="I592">
        <v>3499</v>
      </c>
      <c r="J592">
        <v>0</v>
      </c>
      <c r="K592">
        <v>99</v>
      </c>
      <c r="L592" t="s">
        <v>125</v>
      </c>
      <c r="M592" t="s">
        <v>126</v>
      </c>
      <c r="N592" t="s">
        <v>50</v>
      </c>
      <c r="O592" t="s">
        <v>93</v>
      </c>
      <c r="P592" t="s">
        <v>52</v>
      </c>
      <c r="Q592">
        <v>5</v>
      </c>
      <c r="R592">
        <f>IFERROR(Table1_1[[#This Row],[Unit_Price]]*Table1_1[[#This Row],[Quantity]],"")</f>
        <v>13996</v>
      </c>
      <c r="S592">
        <f>IFERROR(Table1_1[[#This Row],[Gross_Sales]]*Table1_1[[#This Row],[Discount_%]],"")</f>
        <v>0</v>
      </c>
      <c r="T592">
        <f>IFERROR(Table1_1[[#This Row],[Gross_Sales]]-Table1_1[[#This Row],[Discount_amount]]+Table1_1[[#This Row],[Shipping_Cost]],"")</f>
        <v>14095</v>
      </c>
      <c r="U592">
        <f>IFERROR(Table1_1[[#This Row],[Net_Sale]]-(Table1_1[[#This Row],[Gross_Sales]]*70%),"")</f>
        <v>4297.8000000000011</v>
      </c>
      <c r="V592" s="7">
        <f>IFERROR(Table1_1[[#This Row],[Profit]]/Table1_1[[#This Row],[Net_Sale]],"")</f>
        <v>0.3049166371053566</v>
      </c>
      <c r="W592" t="str">
        <f>TEXT(Table1_1[[#This Row],[Order_Date]],"mmm")</f>
        <v>Nov</v>
      </c>
    </row>
    <row r="593" spans="1:23" x14ac:dyDescent="0.25">
      <c r="A593" t="s">
        <v>961</v>
      </c>
      <c r="B593" t="s">
        <v>222</v>
      </c>
      <c r="C593" s="6">
        <v>45934</v>
      </c>
      <c r="D593" t="s">
        <v>55</v>
      </c>
      <c r="E593" t="s">
        <v>56</v>
      </c>
      <c r="F593" t="s">
        <v>37</v>
      </c>
      <c r="G593" t="s">
        <v>38</v>
      </c>
      <c r="H593">
        <v>1</v>
      </c>
      <c r="I593">
        <v>2499</v>
      </c>
      <c r="J593">
        <v>0.2</v>
      </c>
      <c r="K593">
        <v>49</v>
      </c>
      <c r="L593" t="s">
        <v>125</v>
      </c>
      <c r="M593" t="s">
        <v>126</v>
      </c>
      <c r="N593" t="s">
        <v>31</v>
      </c>
      <c r="O593" t="s">
        <v>41</v>
      </c>
      <c r="P593" t="s">
        <v>52</v>
      </c>
      <c r="Q593">
        <v>1</v>
      </c>
      <c r="R593">
        <f>IFERROR(Table1_1[[#This Row],[Unit_Price]]*Table1_1[[#This Row],[Quantity]],"")</f>
        <v>2499</v>
      </c>
      <c r="S593">
        <f>IFERROR(Table1_1[[#This Row],[Gross_Sales]]*Table1_1[[#This Row],[Discount_%]],"")</f>
        <v>499.8</v>
      </c>
      <c r="T593">
        <f>IFERROR(Table1_1[[#This Row],[Gross_Sales]]-Table1_1[[#This Row],[Discount_amount]]+Table1_1[[#This Row],[Shipping_Cost]],"")</f>
        <v>2048.1999999999998</v>
      </c>
      <c r="U593">
        <f>IFERROR(Table1_1[[#This Row],[Net_Sale]]-(Table1_1[[#This Row],[Gross_Sales]]*70%),"")</f>
        <v>298.89999999999986</v>
      </c>
      <c r="V593" s="7">
        <f>IFERROR(Table1_1[[#This Row],[Profit]]/Table1_1[[#This Row],[Net_Sale]],"")</f>
        <v>0.14593301435406694</v>
      </c>
      <c r="W593" t="str">
        <f>TEXT(Table1_1[[#This Row],[Order_Date]],"mmm")</f>
        <v>Oct</v>
      </c>
    </row>
    <row r="594" spans="1:23" x14ac:dyDescent="0.25">
      <c r="A594" t="s">
        <v>962</v>
      </c>
      <c r="B594" t="s">
        <v>317</v>
      </c>
      <c r="C594" s="6">
        <v>45739</v>
      </c>
      <c r="D594" t="s">
        <v>105</v>
      </c>
      <c r="E594" t="s">
        <v>106</v>
      </c>
      <c r="F594" t="s">
        <v>37</v>
      </c>
      <c r="G594" t="s">
        <v>107</v>
      </c>
      <c r="H594">
        <v>2</v>
      </c>
      <c r="I594">
        <v>1799</v>
      </c>
      <c r="J594">
        <v>0</v>
      </c>
      <c r="K594">
        <v>59</v>
      </c>
      <c r="L594" t="s">
        <v>119</v>
      </c>
      <c r="M594" t="s">
        <v>120</v>
      </c>
      <c r="N594" t="s">
        <v>50</v>
      </c>
      <c r="O594" t="s">
        <v>59</v>
      </c>
      <c r="P594" t="s">
        <v>33</v>
      </c>
      <c r="Q594">
        <v>3</v>
      </c>
      <c r="R594">
        <f>IFERROR(Table1_1[[#This Row],[Unit_Price]]*Table1_1[[#This Row],[Quantity]],"")</f>
        <v>3598</v>
      </c>
      <c r="S594">
        <f>IFERROR(Table1_1[[#This Row],[Gross_Sales]]*Table1_1[[#This Row],[Discount_%]],"")</f>
        <v>0</v>
      </c>
      <c r="T594">
        <f>IFERROR(Table1_1[[#This Row],[Gross_Sales]]-Table1_1[[#This Row],[Discount_amount]]+Table1_1[[#This Row],[Shipping_Cost]],"")</f>
        <v>3657</v>
      </c>
      <c r="U594">
        <f>IFERROR(Table1_1[[#This Row],[Net_Sale]]-(Table1_1[[#This Row],[Gross_Sales]]*70%),"")</f>
        <v>1138.4000000000001</v>
      </c>
      <c r="V594" s="7">
        <f>IFERROR(Table1_1[[#This Row],[Profit]]/Table1_1[[#This Row],[Net_Sale]],"")</f>
        <v>0.3112934098988242</v>
      </c>
      <c r="W594" t="str">
        <f>TEXT(Table1_1[[#This Row],[Order_Date]],"mmm")</f>
        <v>Mar</v>
      </c>
    </row>
    <row r="595" spans="1:23" x14ac:dyDescent="0.25">
      <c r="A595" t="s">
        <v>963</v>
      </c>
      <c r="B595" t="s">
        <v>181</v>
      </c>
      <c r="C595" s="6">
        <v>45890</v>
      </c>
      <c r="D595" t="s">
        <v>169</v>
      </c>
      <c r="E595" t="s">
        <v>170</v>
      </c>
      <c r="F595" t="s">
        <v>98</v>
      </c>
      <c r="G595" t="s">
        <v>171</v>
      </c>
      <c r="H595">
        <v>3</v>
      </c>
      <c r="I595">
        <v>799</v>
      </c>
      <c r="J595">
        <v>0</v>
      </c>
      <c r="K595">
        <v>99</v>
      </c>
      <c r="L595" t="s">
        <v>125</v>
      </c>
      <c r="M595" t="s">
        <v>126</v>
      </c>
      <c r="N595" t="s">
        <v>50</v>
      </c>
      <c r="O595" t="s">
        <v>93</v>
      </c>
      <c r="P595" t="s">
        <v>80</v>
      </c>
      <c r="Q595">
        <v>4</v>
      </c>
      <c r="R595">
        <f>IFERROR(Table1_1[[#This Row],[Unit_Price]]*Table1_1[[#This Row],[Quantity]],"")</f>
        <v>2397</v>
      </c>
      <c r="S595">
        <f>IFERROR(Table1_1[[#This Row],[Gross_Sales]]*Table1_1[[#This Row],[Discount_%]],"")</f>
        <v>0</v>
      </c>
      <c r="T595">
        <f>IFERROR(Table1_1[[#This Row],[Gross_Sales]]-Table1_1[[#This Row],[Discount_amount]]+Table1_1[[#This Row],[Shipping_Cost]],"")</f>
        <v>2496</v>
      </c>
      <c r="U595">
        <f>IFERROR(Table1_1[[#This Row],[Net_Sale]]-(Table1_1[[#This Row],[Gross_Sales]]*70%),"")</f>
        <v>818.10000000000014</v>
      </c>
      <c r="V595" s="7">
        <f>IFERROR(Table1_1[[#This Row],[Profit]]/Table1_1[[#This Row],[Net_Sale]],"")</f>
        <v>0.32776442307692311</v>
      </c>
      <c r="W595" t="str">
        <f>TEXT(Table1_1[[#This Row],[Order_Date]],"mmm")</f>
        <v>Aug</v>
      </c>
    </row>
    <row r="596" spans="1:23" x14ac:dyDescent="0.25">
      <c r="A596" t="s">
        <v>964</v>
      </c>
      <c r="B596" t="s">
        <v>508</v>
      </c>
      <c r="C596" s="6">
        <v>45778</v>
      </c>
      <c r="D596" t="s">
        <v>62</v>
      </c>
      <c r="E596" t="s">
        <v>63</v>
      </c>
      <c r="F596" t="s">
        <v>46</v>
      </c>
      <c r="G596" t="s">
        <v>64</v>
      </c>
      <c r="H596">
        <v>1</v>
      </c>
      <c r="I596">
        <v>699</v>
      </c>
      <c r="J596">
        <v>0.15</v>
      </c>
      <c r="K596">
        <v>59</v>
      </c>
      <c r="L596" t="s">
        <v>29</v>
      </c>
      <c r="M596" t="s">
        <v>30</v>
      </c>
      <c r="N596" t="s">
        <v>50</v>
      </c>
      <c r="O596" t="s">
        <v>51</v>
      </c>
      <c r="P596" t="s">
        <v>85</v>
      </c>
      <c r="Q596">
        <v>2</v>
      </c>
      <c r="R596">
        <f>IFERROR(Table1_1[[#This Row],[Unit_Price]]*Table1_1[[#This Row],[Quantity]],"")</f>
        <v>699</v>
      </c>
      <c r="S596">
        <f>IFERROR(Table1_1[[#This Row],[Gross_Sales]]*Table1_1[[#This Row],[Discount_%]],"")</f>
        <v>104.85</v>
      </c>
      <c r="T596">
        <f>IFERROR(Table1_1[[#This Row],[Gross_Sales]]-Table1_1[[#This Row],[Discount_amount]]+Table1_1[[#This Row],[Shipping_Cost]],"")</f>
        <v>653.15</v>
      </c>
      <c r="U596">
        <f>IFERROR(Table1_1[[#This Row],[Net_Sale]]-(Table1_1[[#This Row],[Gross_Sales]]*70%),"")</f>
        <v>163.85000000000002</v>
      </c>
      <c r="V596" s="7">
        <f>IFERROR(Table1_1[[#This Row],[Profit]]/Table1_1[[#This Row],[Net_Sale]],"")</f>
        <v>0.25086121105412235</v>
      </c>
      <c r="W596" t="str">
        <f>TEXT(Table1_1[[#This Row],[Order_Date]],"mmm")</f>
        <v>May</v>
      </c>
    </row>
    <row r="597" spans="1:23" x14ac:dyDescent="0.25">
      <c r="A597" t="s">
        <v>965</v>
      </c>
      <c r="B597" t="s">
        <v>966</v>
      </c>
      <c r="C597" s="6">
        <v>45779</v>
      </c>
      <c r="D597" t="s">
        <v>55</v>
      </c>
      <c r="E597" t="s">
        <v>56</v>
      </c>
      <c r="F597" t="s">
        <v>37</v>
      </c>
      <c r="G597" t="s">
        <v>38</v>
      </c>
      <c r="H597">
        <v>1</v>
      </c>
      <c r="I597">
        <v>2499</v>
      </c>
      <c r="J597">
        <v>0.1</v>
      </c>
      <c r="K597">
        <v>49</v>
      </c>
      <c r="L597" t="s">
        <v>74</v>
      </c>
      <c r="M597" t="s">
        <v>49</v>
      </c>
      <c r="N597" t="s">
        <v>272</v>
      </c>
      <c r="O597" t="s">
        <v>32</v>
      </c>
      <c r="P597" t="s">
        <v>33</v>
      </c>
      <c r="Q597">
        <v>4</v>
      </c>
      <c r="R597">
        <f>IFERROR(Table1_1[[#This Row],[Unit_Price]]*Table1_1[[#This Row],[Quantity]],"")</f>
        <v>2499</v>
      </c>
      <c r="S597">
        <f>IFERROR(Table1_1[[#This Row],[Gross_Sales]]*Table1_1[[#This Row],[Discount_%]],"")</f>
        <v>249.9</v>
      </c>
      <c r="T597">
        <f>IFERROR(Table1_1[[#This Row],[Gross_Sales]]-Table1_1[[#This Row],[Discount_amount]]+Table1_1[[#This Row],[Shipping_Cost]],"")</f>
        <v>2298.1</v>
      </c>
      <c r="U597">
        <f>IFERROR(Table1_1[[#This Row],[Net_Sale]]-(Table1_1[[#This Row],[Gross_Sales]]*70%),"")</f>
        <v>548.79999999999995</v>
      </c>
      <c r="V597" s="7">
        <f>IFERROR(Table1_1[[#This Row],[Profit]]/Table1_1[[#This Row],[Net_Sale]],"")</f>
        <v>0.23880597014925373</v>
      </c>
      <c r="W597" t="str">
        <f>TEXT(Table1_1[[#This Row],[Order_Date]],"mmm")</f>
        <v>May</v>
      </c>
    </row>
    <row r="598" spans="1:23" x14ac:dyDescent="0.25">
      <c r="A598" t="s">
        <v>967</v>
      </c>
      <c r="B598" t="s">
        <v>951</v>
      </c>
      <c r="C598" s="6">
        <v>45970</v>
      </c>
      <c r="D598" t="s">
        <v>35</v>
      </c>
      <c r="E598" t="s">
        <v>36</v>
      </c>
      <c r="F598" t="s">
        <v>37</v>
      </c>
      <c r="G598" t="s">
        <v>38</v>
      </c>
      <c r="H598">
        <v>1</v>
      </c>
      <c r="I598">
        <v>599</v>
      </c>
      <c r="J598">
        <v>0.05</v>
      </c>
      <c r="K598">
        <v>49</v>
      </c>
      <c r="L598" t="s">
        <v>57</v>
      </c>
      <c r="M598" t="s">
        <v>58</v>
      </c>
      <c r="N598" t="s">
        <v>50</v>
      </c>
      <c r="O598" t="s">
        <v>51</v>
      </c>
      <c r="P598" t="s">
        <v>52</v>
      </c>
      <c r="Q598">
        <v>3</v>
      </c>
      <c r="R598">
        <f>IFERROR(Table1_1[[#This Row],[Unit_Price]]*Table1_1[[#This Row],[Quantity]],"")</f>
        <v>599</v>
      </c>
      <c r="S598">
        <f>IFERROR(Table1_1[[#This Row],[Gross_Sales]]*Table1_1[[#This Row],[Discount_%]],"")</f>
        <v>29.950000000000003</v>
      </c>
      <c r="T598">
        <f>IFERROR(Table1_1[[#This Row],[Gross_Sales]]-Table1_1[[#This Row],[Discount_amount]]+Table1_1[[#This Row],[Shipping_Cost]],"")</f>
        <v>618.04999999999995</v>
      </c>
      <c r="U598">
        <f>IFERROR(Table1_1[[#This Row],[Net_Sale]]-(Table1_1[[#This Row],[Gross_Sales]]*70%),"")</f>
        <v>198.75</v>
      </c>
      <c r="V598" s="7">
        <f>IFERROR(Table1_1[[#This Row],[Profit]]/Table1_1[[#This Row],[Net_Sale]],"")</f>
        <v>0.32157592427797105</v>
      </c>
      <c r="W598" t="str">
        <f>TEXT(Table1_1[[#This Row],[Order_Date]],"mmm")</f>
        <v>Nov</v>
      </c>
    </row>
    <row r="599" spans="1:23" x14ac:dyDescent="0.25">
      <c r="A599" t="s">
        <v>968</v>
      </c>
      <c r="B599" t="s">
        <v>204</v>
      </c>
      <c r="C599" s="6">
        <v>46012</v>
      </c>
      <c r="D599" t="s">
        <v>67</v>
      </c>
      <c r="E599" t="s">
        <v>68</v>
      </c>
      <c r="F599" t="s">
        <v>37</v>
      </c>
      <c r="G599" t="s">
        <v>38</v>
      </c>
      <c r="H599">
        <v>1</v>
      </c>
      <c r="I599">
        <v>1299</v>
      </c>
      <c r="J599">
        <v>0</v>
      </c>
      <c r="K599">
        <v>0</v>
      </c>
      <c r="L599" t="s">
        <v>74</v>
      </c>
      <c r="M599" t="s">
        <v>49</v>
      </c>
      <c r="N599" t="s">
        <v>40</v>
      </c>
      <c r="O599" t="s">
        <v>59</v>
      </c>
      <c r="P599" t="s">
        <v>33</v>
      </c>
      <c r="Q599">
        <v>2</v>
      </c>
      <c r="R599">
        <f>IFERROR(Table1_1[[#This Row],[Unit_Price]]*Table1_1[[#This Row],[Quantity]],"")</f>
        <v>1299</v>
      </c>
      <c r="S599">
        <f>IFERROR(Table1_1[[#This Row],[Gross_Sales]]*Table1_1[[#This Row],[Discount_%]],"")</f>
        <v>0</v>
      </c>
      <c r="T599">
        <f>IFERROR(Table1_1[[#This Row],[Gross_Sales]]-Table1_1[[#This Row],[Discount_amount]]+Table1_1[[#This Row],[Shipping_Cost]],"")</f>
        <v>1299</v>
      </c>
      <c r="U599">
        <f>IFERROR(Table1_1[[#This Row],[Net_Sale]]-(Table1_1[[#This Row],[Gross_Sales]]*70%),"")</f>
        <v>389.70000000000005</v>
      </c>
      <c r="V599" s="7">
        <f>IFERROR(Table1_1[[#This Row],[Profit]]/Table1_1[[#This Row],[Net_Sale]],"")</f>
        <v>0.30000000000000004</v>
      </c>
      <c r="W599" t="str">
        <f>TEXT(Table1_1[[#This Row],[Order_Date]],"mmm")</f>
        <v>Dec</v>
      </c>
    </row>
    <row r="600" spans="1:23" x14ac:dyDescent="0.25">
      <c r="A600" t="s">
        <v>969</v>
      </c>
      <c r="B600" t="s">
        <v>243</v>
      </c>
      <c r="C600" s="6">
        <v>45967</v>
      </c>
      <c r="D600" t="s">
        <v>169</v>
      </c>
      <c r="E600" t="s">
        <v>170</v>
      </c>
      <c r="F600" t="s">
        <v>98</v>
      </c>
      <c r="G600" t="s">
        <v>171</v>
      </c>
      <c r="H600">
        <v>3</v>
      </c>
      <c r="I600">
        <v>799</v>
      </c>
      <c r="J600">
        <v>0.15</v>
      </c>
      <c r="K600">
        <v>49</v>
      </c>
      <c r="L600" t="s">
        <v>113</v>
      </c>
      <c r="M600" t="s">
        <v>114</v>
      </c>
      <c r="N600" t="s">
        <v>102</v>
      </c>
      <c r="O600" t="s">
        <v>41</v>
      </c>
      <c r="P600" t="s">
        <v>80</v>
      </c>
      <c r="Q600">
        <v>1</v>
      </c>
      <c r="R600">
        <f>IFERROR(Table1_1[[#This Row],[Unit_Price]]*Table1_1[[#This Row],[Quantity]],"")</f>
        <v>2397</v>
      </c>
      <c r="S600">
        <f>IFERROR(Table1_1[[#This Row],[Gross_Sales]]*Table1_1[[#This Row],[Discount_%]],"")</f>
        <v>359.55</v>
      </c>
      <c r="T600">
        <f>IFERROR(Table1_1[[#This Row],[Gross_Sales]]-Table1_1[[#This Row],[Discount_amount]]+Table1_1[[#This Row],[Shipping_Cost]],"")</f>
        <v>2086.4499999999998</v>
      </c>
      <c r="U600">
        <f>IFERROR(Table1_1[[#This Row],[Net_Sale]]-(Table1_1[[#This Row],[Gross_Sales]]*70%),"")</f>
        <v>408.54999999999995</v>
      </c>
      <c r="V600" s="7">
        <f>IFERROR(Table1_1[[#This Row],[Profit]]/Table1_1[[#This Row],[Net_Sale]],"")</f>
        <v>0.19581106664430012</v>
      </c>
      <c r="W600" t="str">
        <f>TEXT(Table1_1[[#This Row],[Order_Date]],"mmm")</f>
        <v>Nov</v>
      </c>
    </row>
    <row r="601" spans="1:23" x14ac:dyDescent="0.25">
      <c r="A601" t="s">
        <v>971</v>
      </c>
      <c r="B601" t="s">
        <v>232</v>
      </c>
      <c r="C601" s="6">
        <v>45768</v>
      </c>
      <c r="D601" t="s">
        <v>96</v>
      </c>
      <c r="E601" t="s">
        <v>97</v>
      </c>
      <c r="F601" t="s">
        <v>98</v>
      </c>
      <c r="G601" t="s">
        <v>99</v>
      </c>
      <c r="H601">
        <v>2</v>
      </c>
      <c r="I601">
        <v>1499</v>
      </c>
      <c r="J601">
        <v>0.05</v>
      </c>
      <c r="K601">
        <v>0</v>
      </c>
      <c r="L601" t="s">
        <v>83</v>
      </c>
      <c r="M601" t="s">
        <v>84</v>
      </c>
      <c r="N601" t="s">
        <v>50</v>
      </c>
      <c r="O601" t="s">
        <v>41</v>
      </c>
      <c r="P601" t="s">
        <v>52</v>
      </c>
      <c r="Q601">
        <v>3</v>
      </c>
      <c r="R601">
        <f>IFERROR(Table1_1[[#This Row],[Unit_Price]]*Table1_1[[#This Row],[Quantity]],"")</f>
        <v>2998</v>
      </c>
      <c r="S601">
        <f>IFERROR(Table1_1[[#This Row],[Gross_Sales]]*Table1_1[[#This Row],[Discount_%]],"")</f>
        <v>149.9</v>
      </c>
      <c r="T601">
        <f>IFERROR(Table1_1[[#This Row],[Gross_Sales]]-Table1_1[[#This Row],[Discount_amount]]+Table1_1[[#This Row],[Shipping_Cost]],"")</f>
        <v>2848.1</v>
      </c>
      <c r="U601">
        <f>IFERROR(Table1_1[[#This Row],[Net_Sale]]-(Table1_1[[#This Row],[Gross_Sales]]*70%),"")</f>
        <v>749.5</v>
      </c>
      <c r="V601" s="7">
        <f>IFERROR(Table1_1[[#This Row],[Profit]]/Table1_1[[#This Row],[Net_Sale]],"")</f>
        <v>0.26315789473684209</v>
      </c>
      <c r="W601" t="str">
        <f>TEXT(Table1_1[[#This Row],[Order_Date]],"mmm")</f>
        <v>Apr</v>
      </c>
    </row>
    <row r="602" spans="1:23" x14ac:dyDescent="0.25">
      <c r="A602" t="s">
        <v>972</v>
      </c>
      <c r="B602" t="s">
        <v>150</v>
      </c>
      <c r="C602" s="6">
        <v>45960</v>
      </c>
      <c r="D602" t="s">
        <v>96</v>
      </c>
      <c r="E602" t="s">
        <v>97</v>
      </c>
      <c r="F602" t="s">
        <v>98</v>
      </c>
      <c r="G602" t="s">
        <v>99</v>
      </c>
      <c r="H602">
        <v>1</v>
      </c>
      <c r="I602">
        <v>1499</v>
      </c>
      <c r="J602">
        <v>0</v>
      </c>
      <c r="K602">
        <v>79</v>
      </c>
      <c r="L602" t="s">
        <v>125</v>
      </c>
      <c r="M602" t="s">
        <v>126</v>
      </c>
      <c r="N602" t="s">
        <v>31</v>
      </c>
      <c r="O602" t="s">
        <v>59</v>
      </c>
      <c r="P602" t="s">
        <v>85</v>
      </c>
      <c r="Q602">
        <v>3</v>
      </c>
      <c r="R602">
        <f>IFERROR(Table1_1[[#This Row],[Unit_Price]]*Table1_1[[#This Row],[Quantity]],"")</f>
        <v>1499</v>
      </c>
      <c r="S602">
        <f>IFERROR(Table1_1[[#This Row],[Gross_Sales]]*Table1_1[[#This Row],[Discount_%]],"")</f>
        <v>0</v>
      </c>
      <c r="T602">
        <f>IFERROR(Table1_1[[#This Row],[Gross_Sales]]-Table1_1[[#This Row],[Discount_amount]]+Table1_1[[#This Row],[Shipping_Cost]],"")</f>
        <v>1578</v>
      </c>
      <c r="U602">
        <f>IFERROR(Table1_1[[#This Row],[Net_Sale]]-(Table1_1[[#This Row],[Gross_Sales]]*70%),"")</f>
        <v>528.70000000000005</v>
      </c>
      <c r="V602" s="7">
        <f>IFERROR(Table1_1[[#This Row],[Profit]]/Table1_1[[#This Row],[Net_Sale]],"")</f>
        <v>0.33504435994930293</v>
      </c>
      <c r="W602" t="str">
        <f>TEXT(Table1_1[[#This Row],[Order_Date]],"mmm")</f>
        <v>Oct</v>
      </c>
    </row>
    <row r="603" spans="1:23" x14ac:dyDescent="0.25">
      <c r="A603" t="s">
        <v>973</v>
      </c>
      <c r="B603" t="s">
        <v>261</v>
      </c>
      <c r="C603" s="6">
        <v>45859</v>
      </c>
      <c r="D603" t="s">
        <v>62</v>
      </c>
      <c r="E603" t="s">
        <v>63</v>
      </c>
      <c r="F603" t="s">
        <v>46</v>
      </c>
      <c r="G603" t="s">
        <v>64</v>
      </c>
      <c r="H603">
        <v>1</v>
      </c>
      <c r="I603">
        <v>699</v>
      </c>
      <c r="J603">
        <v>0</v>
      </c>
      <c r="K603">
        <v>79</v>
      </c>
      <c r="L603" t="s">
        <v>39</v>
      </c>
      <c r="M603" t="s">
        <v>39</v>
      </c>
      <c r="N603" t="s">
        <v>50</v>
      </c>
      <c r="O603" t="s">
        <v>93</v>
      </c>
      <c r="P603" t="s">
        <v>80</v>
      </c>
      <c r="Q603">
        <v>5</v>
      </c>
      <c r="R603">
        <f>IFERROR(Table1_1[[#This Row],[Unit_Price]]*Table1_1[[#This Row],[Quantity]],"")</f>
        <v>699</v>
      </c>
      <c r="S603">
        <f>IFERROR(Table1_1[[#This Row],[Gross_Sales]]*Table1_1[[#This Row],[Discount_%]],"")</f>
        <v>0</v>
      </c>
      <c r="T603">
        <f>IFERROR(Table1_1[[#This Row],[Gross_Sales]]-Table1_1[[#This Row],[Discount_amount]]+Table1_1[[#This Row],[Shipping_Cost]],"")</f>
        <v>778</v>
      </c>
      <c r="U603">
        <f>IFERROR(Table1_1[[#This Row],[Net_Sale]]-(Table1_1[[#This Row],[Gross_Sales]]*70%),"")</f>
        <v>288.70000000000005</v>
      </c>
      <c r="V603" s="7">
        <f>IFERROR(Table1_1[[#This Row],[Profit]]/Table1_1[[#This Row],[Net_Sale]],"")</f>
        <v>0.37107969151670955</v>
      </c>
      <c r="W603" t="str">
        <f>TEXT(Table1_1[[#This Row],[Order_Date]],"mmm")</f>
        <v>Jul</v>
      </c>
    </row>
    <row r="604" spans="1:23" x14ac:dyDescent="0.25">
      <c r="A604" t="s">
        <v>974</v>
      </c>
      <c r="B604" t="s">
        <v>477</v>
      </c>
      <c r="C604" s="6">
        <v>45725</v>
      </c>
      <c r="D604" t="s">
        <v>35</v>
      </c>
      <c r="E604" t="s">
        <v>36</v>
      </c>
      <c r="F604" t="s">
        <v>37</v>
      </c>
      <c r="G604" t="s">
        <v>38</v>
      </c>
      <c r="H604">
        <v>1</v>
      </c>
      <c r="I604">
        <v>599</v>
      </c>
      <c r="J604">
        <v>0.2</v>
      </c>
      <c r="K604">
        <v>0</v>
      </c>
      <c r="L604" t="s">
        <v>57</v>
      </c>
      <c r="M604" t="s">
        <v>58</v>
      </c>
      <c r="N604" t="s">
        <v>40</v>
      </c>
      <c r="O604" t="s">
        <v>51</v>
      </c>
      <c r="P604" t="s">
        <v>33</v>
      </c>
      <c r="Q604">
        <v>2</v>
      </c>
      <c r="R604">
        <f>IFERROR(Table1_1[[#This Row],[Unit_Price]]*Table1_1[[#This Row],[Quantity]],"")</f>
        <v>599</v>
      </c>
      <c r="S604">
        <f>IFERROR(Table1_1[[#This Row],[Gross_Sales]]*Table1_1[[#This Row],[Discount_%]],"")</f>
        <v>119.80000000000001</v>
      </c>
      <c r="T604">
        <f>IFERROR(Table1_1[[#This Row],[Gross_Sales]]-Table1_1[[#This Row],[Discount_amount]]+Table1_1[[#This Row],[Shipping_Cost]],"")</f>
        <v>479.2</v>
      </c>
      <c r="U604">
        <f>IFERROR(Table1_1[[#This Row],[Net_Sale]]-(Table1_1[[#This Row],[Gross_Sales]]*70%),"")</f>
        <v>59.900000000000034</v>
      </c>
      <c r="V604" s="7">
        <f>IFERROR(Table1_1[[#This Row],[Profit]]/Table1_1[[#This Row],[Net_Sale]],"")</f>
        <v>0.12500000000000008</v>
      </c>
      <c r="W604" t="str">
        <f>TEXT(Table1_1[[#This Row],[Order_Date]],"mmm")</f>
        <v>Mar</v>
      </c>
    </row>
    <row r="605" spans="1:23" x14ac:dyDescent="0.25">
      <c r="A605" t="s">
        <v>975</v>
      </c>
      <c r="B605" t="s">
        <v>620</v>
      </c>
      <c r="C605" s="6">
        <v>45956</v>
      </c>
      <c r="D605" t="s">
        <v>77</v>
      </c>
      <c r="E605" t="s">
        <v>78</v>
      </c>
      <c r="F605" t="s">
        <v>79</v>
      </c>
      <c r="G605" t="s">
        <v>28</v>
      </c>
      <c r="H605">
        <v>3</v>
      </c>
      <c r="I605">
        <v>6499</v>
      </c>
      <c r="J605">
        <v>0</v>
      </c>
      <c r="K605">
        <v>79</v>
      </c>
      <c r="L605" t="s">
        <v>119</v>
      </c>
      <c r="M605" t="s">
        <v>120</v>
      </c>
      <c r="N605" t="s">
        <v>71</v>
      </c>
      <c r="O605" t="s">
        <v>59</v>
      </c>
      <c r="P605" t="s">
        <v>52</v>
      </c>
      <c r="Q605">
        <v>3</v>
      </c>
      <c r="R605">
        <f>IFERROR(Table1_1[[#This Row],[Unit_Price]]*Table1_1[[#This Row],[Quantity]],"")</f>
        <v>19497</v>
      </c>
      <c r="S605">
        <f>IFERROR(Table1_1[[#This Row],[Gross_Sales]]*Table1_1[[#This Row],[Discount_%]],"")</f>
        <v>0</v>
      </c>
      <c r="T605">
        <f>IFERROR(Table1_1[[#This Row],[Gross_Sales]]-Table1_1[[#This Row],[Discount_amount]]+Table1_1[[#This Row],[Shipping_Cost]],"")</f>
        <v>19576</v>
      </c>
      <c r="U605">
        <f>IFERROR(Table1_1[[#This Row],[Net_Sale]]-(Table1_1[[#This Row],[Gross_Sales]]*70%),"")</f>
        <v>5928.1</v>
      </c>
      <c r="V605" s="7">
        <f>IFERROR(Table1_1[[#This Row],[Profit]]/Table1_1[[#This Row],[Net_Sale]],"")</f>
        <v>0.30282488761749082</v>
      </c>
      <c r="W605" t="str">
        <f>TEXT(Table1_1[[#This Row],[Order_Date]],"mmm")</f>
        <v>Oct</v>
      </c>
    </row>
    <row r="606" spans="1:23" x14ac:dyDescent="0.25">
      <c r="A606" t="s">
        <v>976</v>
      </c>
      <c r="B606" t="s">
        <v>381</v>
      </c>
      <c r="C606" s="6">
        <v>45694</v>
      </c>
      <c r="D606" t="s">
        <v>25</v>
      </c>
      <c r="E606" t="s">
        <v>26</v>
      </c>
      <c r="F606" t="s">
        <v>27</v>
      </c>
      <c r="G606" t="s">
        <v>28</v>
      </c>
      <c r="H606">
        <v>3</v>
      </c>
      <c r="I606">
        <v>249</v>
      </c>
      <c r="J606">
        <v>0.05</v>
      </c>
      <c r="K606">
        <v>99</v>
      </c>
      <c r="L606" t="s">
        <v>39</v>
      </c>
      <c r="M606" t="s">
        <v>39</v>
      </c>
      <c r="N606" t="s">
        <v>71</v>
      </c>
      <c r="O606" t="s">
        <v>59</v>
      </c>
      <c r="P606" t="s">
        <v>80</v>
      </c>
      <c r="Q606">
        <v>3</v>
      </c>
      <c r="R606">
        <f>IFERROR(Table1_1[[#This Row],[Unit_Price]]*Table1_1[[#This Row],[Quantity]],"")</f>
        <v>747</v>
      </c>
      <c r="S606">
        <f>IFERROR(Table1_1[[#This Row],[Gross_Sales]]*Table1_1[[#This Row],[Discount_%]],"")</f>
        <v>37.35</v>
      </c>
      <c r="T606">
        <f>IFERROR(Table1_1[[#This Row],[Gross_Sales]]-Table1_1[[#This Row],[Discount_amount]]+Table1_1[[#This Row],[Shipping_Cost]],"")</f>
        <v>808.65</v>
      </c>
      <c r="U606">
        <f>IFERROR(Table1_1[[#This Row],[Net_Sale]]-(Table1_1[[#This Row],[Gross_Sales]]*70%),"")</f>
        <v>285.75</v>
      </c>
      <c r="V606" s="7">
        <f>IFERROR(Table1_1[[#This Row],[Profit]]/Table1_1[[#This Row],[Net_Sale]],"")</f>
        <v>0.35336672231496941</v>
      </c>
      <c r="W606" t="str">
        <f>TEXT(Table1_1[[#This Row],[Order_Date]],"mmm")</f>
        <v>Feb</v>
      </c>
    </row>
    <row r="607" spans="1:23" x14ac:dyDescent="0.25">
      <c r="A607" t="s">
        <v>977</v>
      </c>
      <c r="B607" t="s">
        <v>372</v>
      </c>
      <c r="C607" s="6">
        <v>45764</v>
      </c>
      <c r="D607" t="s">
        <v>110</v>
      </c>
      <c r="E607" t="s">
        <v>111</v>
      </c>
      <c r="F607" t="s">
        <v>98</v>
      </c>
      <c r="G607" t="s">
        <v>112</v>
      </c>
      <c r="H607">
        <v>2</v>
      </c>
      <c r="I607">
        <v>2999</v>
      </c>
      <c r="J607">
        <v>0.05</v>
      </c>
      <c r="K607">
        <v>0</v>
      </c>
      <c r="L607" t="s">
        <v>125</v>
      </c>
      <c r="M607" t="s">
        <v>126</v>
      </c>
      <c r="N607" t="s">
        <v>71</v>
      </c>
      <c r="O607" t="s">
        <v>93</v>
      </c>
      <c r="P607" t="s">
        <v>85</v>
      </c>
      <c r="Q607">
        <v>1</v>
      </c>
      <c r="R607">
        <f>IFERROR(Table1_1[[#This Row],[Unit_Price]]*Table1_1[[#This Row],[Quantity]],"")</f>
        <v>5998</v>
      </c>
      <c r="S607">
        <f>IFERROR(Table1_1[[#This Row],[Gross_Sales]]*Table1_1[[#This Row],[Discount_%]],"")</f>
        <v>299.90000000000003</v>
      </c>
      <c r="T607">
        <f>IFERROR(Table1_1[[#This Row],[Gross_Sales]]-Table1_1[[#This Row],[Discount_amount]]+Table1_1[[#This Row],[Shipping_Cost]],"")</f>
        <v>5698.1</v>
      </c>
      <c r="U607">
        <f>IFERROR(Table1_1[[#This Row],[Net_Sale]]-(Table1_1[[#This Row],[Gross_Sales]]*70%),"")</f>
        <v>1499.5000000000009</v>
      </c>
      <c r="V607" s="7">
        <f>IFERROR(Table1_1[[#This Row],[Profit]]/Table1_1[[#This Row],[Net_Sale]],"")</f>
        <v>0.26315789473684226</v>
      </c>
      <c r="W607" t="str">
        <f>TEXT(Table1_1[[#This Row],[Order_Date]],"mmm")</f>
        <v>Apr</v>
      </c>
    </row>
    <row r="608" spans="1:23" x14ac:dyDescent="0.25">
      <c r="A608" t="s">
        <v>978</v>
      </c>
      <c r="B608" t="s">
        <v>138</v>
      </c>
      <c r="C608" s="6">
        <v>45678</v>
      </c>
      <c r="D608" t="s">
        <v>96</v>
      </c>
      <c r="E608" t="s">
        <v>97</v>
      </c>
      <c r="F608" t="s">
        <v>98</v>
      </c>
      <c r="G608" t="s">
        <v>99</v>
      </c>
      <c r="H608">
        <v>2</v>
      </c>
      <c r="I608">
        <v>1499</v>
      </c>
      <c r="J608">
        <v>0.2</v>
      </c>
      <c r="K608">
        <v>99</v>
      </c>
      <c r="L608" t="s">
        <v>74</v>
      </c>
      <c r="M608" t="s">
        <v>49</v>
      </c>
      <c r="N608" t="s">
        <v>102</v>
      </c>
      <c r="O608" t="s">
        <v>41</v>
      </c>
      <c r="P608" t="s">
        <v>33</v>
      </c>
      <c r="Q608">
        <v>2</v>
      </c>
      <c r="R608">
        <f>IFERROR(Table1_1[[#This Row],[Unit_Price]]*Table1_1[[#This Row],[Quantity]],"")</f>
        <v>2998</v>
      </c>
      <c r="S608">
        <f>IFERROR(Table1_1[[#This Row],[Gross_Sales]]*Table1_1[[#This Row],[Discount_%]],"")</f>
        <v>599.6</v>
      </c>
      <c r="T608">
        <f>IFERROR(Table1_1[[#This Row],[Gross_Sales]]-Table1_1[[#This Row],[Discount_amount]]+Table1_1[[#This Row],[Shipping_Cost]],"")</f>
        <v>2497.4</v>
      </c>
      <c r="U608">
        <f>IFERROR(Table1_1[[#This Row],[Net_Sale]]-(Table1_1[[#This Row],[Gross_Sales]]*70%),"")</f>
        <v>398.80000000000018</v>
      </c>
      <c r="V608" s="7">
        <f>IFERROR(Table1_1[[#This Row],[Profit]]/Table1_1[[#This Row],[Net_Sale]],"")</f>
        <v>0.15968607351645719</v>
      </c>
      <c r="W608" t="str">
        <f>TEXT(Table1_1[[#This Row],[Order_Date]],"mmm")</f>
        <v>Jan</v>
      </c>
    </row>
    <row r="609" spans="1:23" x14ac:dyDescent="0.25">
      <c r="A609" t="s">
        <v>979</v>
      </c>
      <c r="B609" t="s">
        <v>642</v>
      </c>
      <c r="C609" s="6">
        <v>45990</v>
      </c>
      <c r="D609" t="s">
        <v>169</v>
      </c>
      <c r="E609" t="s">
        <v>170</v>
      </c>
      <c r="F609" t="s">
        <v>98</v>
      </c>
      <c r="G609" t="s">
        <v>171</v>
      </c>
      <c r="H609">
        <v>2</v>
      </c>
      <c r="I609">
        <v>799</v>
      </c>
      <c r="J609">
        <v>0.2</v>
      </c>
      <c r="K609">
        <v>49</v>
      </c>
      <c r="L609" t="s">
        <v>113</v>
      </c>
      <c r="M609" t="s">
        <v>114</v>
      </c>
      <c r="N609" t="s">
        <v>71</v>
      </c>
      <c r="O609" t="s">
        <v>51</v>
      </c>
      <c r="P609" t="s">
        <v>85</v>
      </c>
      <c r="Q609">
        <v>3</v>
      </c>
      <c r="R609">
        <f>IFERROR(Table1_1[[#This Row],[Unit_Price]]*Table1_1[[#This Row],[Quantity]],"")</f>
        <v>1598</v>
      </c>
      <c r="S609">
        <f>IFERROR(Table1_1[[#This Row],[Gross_Sales]]*Table1_1[[#This Row],[Discount_%]],"")</f>
        <v>319.60000000000002</v>
      </c>
      <c r="T609">
        <f>IFERROR(Table1_1[[#This Row],[Gross_Sales]]-Table1_1[[#This Row],[Discount_amount]]+Table1_1[[#This Row],[Shipping_Cost]],"")</f>
        <v>1327.4</v>
      </c>
      <c r="U609">
        <f>IFERROR(Table1_1[[#This Row],[Net_Sale]]-(Table1_1[[#This Row],[Gross_Sales]]*70%),"")</f>
        <v>208.80000000000018</v>
      </c>
      <c r="V609" s="7">
        <f>IFERROR(Table1_1[[#This Row],[Profit]]/Table1_1[[#This Row],[Net_Sale]],"")</f>
        <v>0.15729998493295175</v>
      </c>
      <c r="W609" t="str">
        <f>TEXT(Table1_1[[#This Row],[Order_Date]],"mmm")</f>
        <v>Nov</v>
      </c>
    </row>
    <row r="610" spans="1:23" x14ac:dyDescent="0.25">
      <c r="A610" t="s">
        <v>980</v>
      </c>
      <c r="B610" t="s">
        <v>422</v>
      </c>
      <c r="C610" s="6">
        <v>45690</v>
      </c>
      <c r="D610" t="s">
        <v>62</v>
      </c>
      <c r="E610" t="s">
        <v>63</v>
      </c>
      <c r="F610" t="s">
        <v>46</v>
      </c>
      <c r="G610" t="s">
        <v>64</v>
      </c>
      <c r="H610">
        <v>1</v>
      </c>
      <c r="I610">
        <v>699</v>
      </c>
      <c r="J610">
        <v>0.1</v>
      </c>
      <c r="K610">
        <v>99</v>
      </c>
      <c r="L610" t="s">
        <v>57</v>
      </c>
      <c r="M610" t="s">
        <v>58</v>
      </c>
      <c r="N610" t="s">
        <v>31</v>
      </c>
      <c r="O610" t="s">
        <v>59</v>
      </c>
      <c r="P610" t="s">
        <v>52</v>
      </c>
      <c r="Q610">
        <v>3</v>
      </c>
      <c r="R610">
        <f>IFERROR(Table1_1[[#This Row],[Unit_Price]]*Table1_1[[#This Row],[Quantity]],"")</f>
        <v>699</v>
      </c>
      <c r="S610">
        <f>IFERROR(Table1_1[[#This Row],[Gross_Sales]]*Table1_1[[#This Row],[Discount_%]],"")</f>
        <v>69.900000000000006</v>
      </c>
      <c r="T610">
        <f>IFERROR(Table1_1[[#This Row],[Gross_Sales]]-Table1_1[[#This Row],[Discount_amount]]+Table1_1[[#This Row],[Shipping_Cost]],"")</f>
        <v>728.1</v>
      </c>
      <c r="U610">
        <f>IFERROR(Table1_1[[#This Row],[Net_Sale]]-(Table1_1[[#This Row],[Gross_Sales]]*70%),"")</f>
        <v>238.80000000000007</v>
      </c>
      <c r="V610" s="7">
        <f>IFERROR(Table1_1[[#This Row],[Profit]]/Table1_1[[#This Row],[Net_Sale]],"")</f>
        <v>0.3279769262463948</v>
      </c>
      <c r="W610" t="str">
        <f>TEXT(Table1_1[[#This Row],[Order_Date]],"mmm")</f>
        <v>Feb</v>
      </c>
    </row>
    <row r="611" spans="1:23" x14ac:dyDescent="0.25">
      <c r="A611" t="s">
        <v>981</v>
      </c>
      <c r="B611" t="s">
        <v>466</v>
      </c>
      <c r="C611" s="6">
        <v>45889</v>
      </c>
      <c r="D611" t="s">
        <v>62</v>
      </c>
      <c r="E611" t="s">
        <v>63</v>
      </c>
      <c r="F611" t="s">
        <v>46</v>
      </c>
      <c r="G611" t="s">
        <v>64</v>
      </c>
      <c r="H611">
        <v>3</v>
      </c>
      <c r="I611">
        <v>699</v>
      </c>
      <c r="J611">
        <v>0.2</v>
      </c>
      <c r="K611">
        <v>0</v>
      </c>
      <c r="L611" t="s">
        <v>982</v>
      </c>
      <c r="M611" t="s">
        <v>84</v>
      </c>
      <c r="N611" t="s">
        <v>40</v>
      </c>
      <c r="O611" t="s">
        <v>93</v>
      </c>
      <c r="P611" t="s">
        <v>80</v>
      </c>
      <c r="Q611">
        <v>1</v>
      </c>
      <c r="R611">
        <f>IFERROR(Table1_1[[#This Row],[Unit_Price]]*Table1_1[[#This Row],[Quantity]],"")</f>
        <v>2097</v>
      </c>
      <c r="S611">
        <f>IFERROR(Table1_1[[#This Row],[Gross_Sales]]*Table1_1[[#This Row],[Discount_%]],"")</f>
        <v>419.40000000000003</v>
      </c>
      <c r="T611">
        <f>IFERROR(Table1_1[[#This Row],[Gross_Sales]]-Table1_1[[#This Row],[Discount_amount]]+Table1_1[[#This Row],[Shipping_Cost]],"")</f>
        <v>1677.6</v>
      </c>
      <c r="U611">
        <f>IFERROR(Table1_1[[#This Row],[Net_Sale]]-(Table1_1[[#This Row],[Gross_Sales]]*70%),"")</f>
        <v>209.70000000000005</v>
      </c>
      <c r="V611" s="7">
        <f>IFERROR(Table1_1[[#This Row],[Profit]]/Table1_1[[#This Row],[Net_Sale]],"")</f>
        <v>0.12500000000000003</v>
      </c>
      <c r="W611" t="str">
        <f>TEXT(Table1_1[[#This Row],[Order_Date]],"mmm")</f>
        <v>Aug</v>
      </c>
    </row>
    <row r="612" spans="1:23" x14ac:dyDescent="0.25">
      <c r="A612" t="s">
        <v>983</v>
      </c>
      <c r="B612" t="s">
        <v>607</v>
      </c>
      <c r="C612" s="6">
        <v>45697</v>
      </c>
      <c r="D612" t="s">
        <v>96</v>
      </c>
      <c r="E612" t="s">
        <v>97</v>
      </c>
      <c r="F612" t="s">
        <v>98</v>
      </c>
      <c r="G612" t="s">
        <v>99</v>
      </c>
      <c r="H612">
        <v>1</v>
      </c>
      <c r="I612">
        <v>1499</v>
      </c>
      <c r="J612">
        <v>0</v>
      </c>
      <c r="K612">
        <v>49</v>
      </c>
      <c r="L612" t="s">
        <v>100</v>
      </c>
      <c r="M612" t="s">
        <v>101</v>
      </c>
      <c r="N612" t="s">
        <v>50</v>
      </c>
      <c r="O612" t="s">
        <v>41</v>
      </c>
      <c r="P612" t="s">
        <v>33</v>
      </c>
      <c r="Q612">
        <v>5</v>
      </c>
      <c r="R612">
        <f>IFERROR(Table1_1[[#This Row],[Unit_Price]]*Table1_1[[#This Row],[Quantity]],"")</f>
        <v>1499</v>
      </c>
      <c r="S612">
        <f>IFERROR(Table1_1[[#This Row],[Gross_Sales]]*Table1_1[[#This Row],[Discount_%]],"")</f>
        <v>0</v>
      </c>
      <c r="T612">
        <f>IFERROR(Table1_1[[#This Row],[Gross_Sales]]-Table1_1[[#This Row],[Discount_amount]]+Table1_1[[#This Row],[Shipping_Cost]],"")</f>
        <v>1548</v>
      </c>
      <c r="U612">
        <f>IFERROR(Table1_1[[#This Row],[Net_Sale]]-(Table1_1[[#This Row],[Gross_Sales]]*70%),"")</f>
        <v>498.70000000000005</v>
      </c>
      <c r="V612" s="7">
        <f>IFERROR(Table1_1[[#This Row],[Profit]]/Table1_1[[#This Row],[Net_Sale]],"")</f>
        <v>0.3221576227390181</v>
      </c>
      <c r="W612" t="str">
        <f>TEXT(Table1_1[[#This Row],[Order_Date]],"mmm")</f>
        <v>Feb</v>
      </c>
    </row>
    <row r="613" spans="1:23" x14ac:dyDescent="0.25">
      <c r="A613" t="s">
        <v>984</v>
      </c>
      <c r="B613" t="s">
        <v>673</v>
      </c>
      <c r="C613" s="6">
        <v>46007</v>
      </c>
      <c r="D613" t="s">
        <v>25</v>
      </c>
      <c r="E613" t="s">
        <v>26</v>
      </c>
      <c r="F613" t="s">
        <v>27</v>
      </c>
      <c r="G613" t="s">
        <v>28</v>
      </c>
      <c r="H613">
        <v>1</v>
      </c>
      <c r="I613">
        <v>249</v>
      </c>
      <c r="J613">
        <v>0.1</v>
      </c>
      <c r="K613">
        <v>59</v>
      </c>
      <c r="L613" t="s">
        <v>39</v>
      </c>
      <c r="M613" t="s">
        <v>39</v>
      </c>
      <c r="N613" t="s">
        <v>40</v>
      </c>
      <c r="O613" t="s">
        <v>93</v>
      </c>
      <c r="P613" t="s">
        <v>33</v>
      </c>
      <c r="Q613">
        <v>3</v>
      </c>
      <c r="R613">
        <f>IFERROR(Table1_1[[#This Row],[Unit_Price]]*Table1_1[[#This Row],[Quantity]],"")</f>
        <v>249</v>
      </c>
      <c r="S613">
        <f>IFERROR(Table1_1[[#This Row],[Gross_Sales]]*Table1_1[[#This Row],[Discount_%]],"")</f>
        <v>24.900000000000002</v>
      </c>
      <c r="T613">
        <f>IFERROR(Table1_1[[#This Row],[Gross_Sales]]-Table1_1[[#This Row],[Discount_amount]]+Table1_1[[#This Row],[Shipping_Cost]],"")</f>
        <v>283.10000000000002</v>
      </c>
      <c r="U613">
        <f>IFERROR(Table1_1[[#This Row],[Net_Sale]]-(Table1_1[[#This Row],[Gross_Sales]]*70%),"")</f>
        <v>108.80000000000004</v>
      </c>
      <c r="V613" s="7">
        <f>IFERROR(Table1_1[[#This Row],[Profit]]/Table1_1[[#This Row],[Net_Sale]],"")</f>
        <v>0.38431649593783124</v>
      </c>
      <c r="W613" t="str">
        <f>TEXT(Table1_1[[#This Row],[Order_Date]],"mmm")</f>
        <v>Dec</v>
      </c>
    </row>
    <row r="614" spans="1:23" x14ac:dyDescent="0.25">
      <c r="A614" t="s">
        <v>985</v>
      </c>
      <c r="B614" t="s">
        <v>986</v>
      </c>
      <c r="C614" s="6">
        <v>45776</v>
      </c>
      <c r="D614" t="s">
        <v>67</v>
      </c>
      <c r="E614" t="s">
        <v>68</v>
      </c>
      <c r="F614" t="s">
        <v>37</v>
      </c>
      <c r="G614" t="s">
        <v>38</v>
      </c>
      <c r="H614">
        <v>1</v>
      </c>
      <c r="I614">
        <v>1299</v>
      </c>
      <c r="J614">
        <v>0.1</v>
      </c>
      <c r="K614">
        <v>99</v>
      </c>
      <c r="L614" t="s">
        <v>29</v>
      </c>
      <c r="M614" t="s">
        <v>30</v>
      </c>
      <c r="N614" t="s">
        <v>71</v>
      </c>
      <c r="O614" t="s">
        <v>59</v>
      </c>
      <c r="P614" t="s">
        <v>33</v>
      </c>
      <c r="Q614">
        <v>5</v>
      </c>
      <c r="R614">
        <f>IFERROR(Table1_1[[#This Row],[Unit_Price]]*Table1_1[[#This Row],[Quantity]],"")</f>
        <v>1299</v>
      </c>
      <c r="S614">
        <f>IFERROR(Table1_1[[#This Row],[Gross_Sales]]*Table1_1[[#This Row],[Discount_%]],"")</f>
        <v>129.9</v>
      </c>
      <c r="T614">
        <f>IFERROR(Table1_1[[#This Row],[Gross_Sales]]-Table1_1[[#This Row],[Discount_amount]]+Table1_1[[#This Row],[Shipping_Cost]],"")</f>
        <v>1268.0999999999999</v>
      </c>
      <c r="U614">
        <f>IFERROR(Table1_1[[#This Row],[Net_Sale]]-(Table1_1[[#This Row],[Gross_Sales]]*70%),"")</f>
        <v>358.79999999999995</v>
      </c>
      <c r="V614" s="7">
        <f>IFERROR(Table1_1[[#This Row],[Profit]]/Table1_1[[#This Row],[Net_Sale]],"")</f>
        <v>0.28294298556896141</v>
      </c>
      <c r="W614" t="str">
        <f>TEXT(Table1_1[[#This Row],[Order_Date]],"mmm")</f>
        <v>Apr</v>
      </c>
    </row>
    <row r="615" spans="1:23" x14ac:dyDescent="0.25">
      <c r="A615" t="s">
        <v>987</v>
      </c>
      <c r="B615" t="s">
        <v>901</v>
      </c>
      <c r="C615" s="6">
        <v>45885</v>
      </c>
      <c r="D615" t="s">
        <v>25</v>
      </c>
      <c r="E615" t="s">
        <v>26</v>
      </c>
      <c r="F615" t="s">
        <v>27</v>
      </c>
      <c r="G615" t="s">
        <v>28</v>
      </c>
      <c r="H615">
        <v>3</v>
      </c>
      <c r="I615">
        <v>2017</v>
      </c>
      <c r="J615">
        <v>0</v>
      </c>
      <c r="K615">
        <v>59</v>
      </c>
      <c r="L615" t="s">
        <v>83</v>
      </c>
      <c r="M615" t="s">
        <v>84</v>
      </c>
      <c r="N615" t="s">
        <v>71</v>
      </c>
      <c r="O615" t="s">
        <v>41</v>
      </c>
      <c r="P615" t="s">
        <v>85</v>
      </c>
      <c r="Q615">
        <v>4</v>
      </c>
      <c r="R615">
        <f>IFERROR(Table1_1[[#This Row],[Unit_Price]]*Table1_1[[#This Row],[Quantity]],"")</f>
        <v>6051</v>
      </c>
      <c r="S615">
        <f>IFERROR(Table1_1[[#This Row],[Gross_Sales]]*Table1_1[[#This Row],[Discount_%]],"")</f>
        <v>0</v>
      </c>
      <c r="T615">
        <f>IFERROR(Table1_1[[#This Row],[Gross_Sales]]-Table1_1[[#This Row],[Discount_amount]]+Table1_1[[#This Row],[Shipping_Cost]],"")</f>
        <v>6110</v>
      </c>
      <c r="U615">
        <f>IFERROR(Table1_1[[#This Row],[Net_Sale]]-(Table1_1[[#This Row],[Gross_Sales]]*70%),"")</f>
        <v>1874.3000000000002</v>
      </c>
      <c r="V615" s="7">
        <f>IFERROR(Table1_1[[#This Row],[Profit]]/Table1_1[[#This Row],[Net_Sale]],"")</f>
        <v>0.30675941080196401</v>
      </c>
      <c r="W615" t="str">
        <f>TEXT(Table1_1[[#This Row],[Order_Date]],"mmm")</f>
        <v>Aug</v>
      </c>
    </row>
    <row r="616" spans="1:23" x14ac:dyDescent="0.25">
      <c r="A616" t="s">
        <v>988</v>
      </c>
      <c r="B616" t="s">
        <v>354</v>
      </c>
      <c r="C616" s="6">
        <v>45682</v>
      </c>
      <c r="D616" t="s">
        <v>169</v>
      </c>
      <c r="E616" t="s">
        <v>170</v>
      </c>
      <c r="F616" t="s">
        <v>98</v>
      </c>
      <c r="G616" t="s">
        <v>171</v>
      </c>
      <c r="H616">
        <v>3</v>
      </c>
      <c r="I616">
        <v>799</v>
      </c>
      <c r="J616">
        <v>0.1</v>
      </c>
      <c r="K616">
        <v>49</v>
      </c>
      <c r="L616" t="s">
        <v>48</v>
      </c>
      <c r="M616" t="s">
        <v>49</v>
      </c>
      <c r="N616" t="s">
        <v>102</v>
      </c>
      <c r="O616" t="s">
        <v>51</v>
      </c>
      <c r="P616" t="s">
        <v>33</v>
      </c>
      <c r="Q616">
        <v>2</v>
      </c>
      <c r="R616">
        <f>IFERROR(Table1_1[[#This Row],[Unit_Price]]*Table1_1[[#This Row],[Quantity]],"")</f>
        <v>2397</v>
      </c>
      <c r="S616">
        <f>IFERROR(Table1_1[[#This Row],[Gross_Sales]]*Table1_1[[#This Row],[Discount_%]],"")</f>
        <v>239.70000000000002</v>
      </c>
      <c r="T616">
        <f>IFERROR(Table1_1[[#This Row],[Gross_Sales]]-Table1_1[[#This Row],[Discount_amount]]+Table1_1[[#This Row],[Shipping_Cost]],"")</f>
        <v>2206.3000000000002</v>
      </c>
      <c r="U616">
        <f>IFERROR(Table1_1[[#This Row],[Net_Sale]]-(Table1_1[[#This Row],[Gross_Sales]]*70%),"")</f>
        <v>528.40000000000032</v>
      </c>
      <c r="V616" s="7">
        <f>IFERROR(Table1_1[[#This Row],[Profit]]/Table1_1[[#This Row],[Net_Sale]],"")</f>
        <v>0.23949598875946165</v>
      </c>
      <c r="W616" t="str">
        <f>TEXT(Table1_1[[#This Row],[Order_Date]],"mmm")</f>
        <v>Jan</v>
      </c>
    </row>
    <row r="617" spans="1:23" x14ac:dyDescent="0.25">
      <c r="A617" t="s">
        <v>989</v>
      </c>
      <c r="B617" t="s">
        <v>922</v>
      </c>
      <c r="C617" s="6">
        <v>45717</v>
      </c>
      <c r="D617" t="s">
        <v>105</v>
      </c>
      <c r="E617" t="s">
        <v>106</v>
      </c>
      <c r="F617" t="s">
        <v>37</v>
      </c>
      <c r="G617" t="s">
        <v>107</v>
      </c>
      <c r="H617">
        <v>1</v>
      </c>
      <c r="I617">
        <v>1799</v>
      </c>
      <c r="J617">
        <v>0</v>
      </c>
      <c r="K617">
        <v>79</v>
      </c>
      <c r="L617" t="s">
        <v>100</v>
      </c>
      <c r="M617" t="s">
        <v>101</v>
      </c>
      <c r="N617" t="s">
        <v>71</v>
      </c>
      <c r="O617" t="s">
        <v>41</v>
      </c>
      <c r="P617" t="s">
        <v>85</v>
      </c>
      <c r="Q617">
        <v>2</v>
      </c>
      <c r="R617">
        <f>IFERROR(Table1_1[[#This Row],[Unit_Price]]*Table1_1[[#This Row],[Quantity]],"")</f>
        <v>1799</v>
      </c>
      <c r="S617">
        <f>IFERROR(Table1_1[[#This Row],[Gross_Sales]]*Table1_1[[#This Row],[Discount_%]],"")</f>
        <v>0</v>
      </c>
      <c r="T617">
        <f>IFERROR(Table1_1[[#This Row],[Gross_Sales]]-Table1_1[[#This Row],[Discount_amount]]+Table1_1[[#This Row],[Shipping_Cost]],"")</f>
        <v>1878</v>
      </c>
      <c r="U617">
        <f>IFERROR(Table1_1[[#This Row],[Net_Sale]]-(Table1_1[[#This Row],[Gross_Sales]]*70%),"")</f>
        <v>618.70000000000005</v>
      </c>
      <c r="V617" s="7">
        <f>IFERROR(Table1_1[[#This Row],[Profit]]/Table1_1[[#This Row],[Net_Sale]],"")</f>
        <v>0.32944621938232166</v>
      </c>
      <c r="W617" t="str">
        <f>TEXT(Table1_1[[#This Row],[Order_Date]],"mmm")</f>
        <v>Mar</v>
      </c>
    </row>
    <row r="618" spans="1:23" x14ac:dyDescent="0.25">
      <c r="A618" t="s">
        <v>990</v>
      </c>
      <c r="B618" t="s">
        <v>224</v>
      </c>
      <c r="C618" s="6">
        <v>45834</v>
      </c>
      <c r="D618" t="s">
        <v>62</v>
      </c>
      <c r="E618" t="s">
        <v>63</v>
      </c>
      <c r="F618" t="s">
        <v>46</v>
      </c>
      <c r="G618" t="s">
        <v>64</v>
      </c>
      <c r="H618">
        <v>2</v>
      </c>
      <c r="I618">
        <v>699</v>
      </c>
      <c r="J618">
        <v>0.15</v>
      </c>
      <c r="K618">
        <v>49</v>
      </c>
      <c r="L618" t="s">
        <v>39</v>
      </c>
      <c r="M618" t="s">
        <v>39</v>
      </c>
      <c r="N618" t="s">
        <v>71</v>
      </c>
      <c r="O618" t="s">
        <v>93</v>
      </c>
      <c r="P618" t="s">
        <v>52</v>
      </c>
      <c r="Q618">
        <v>1</v>
      </c>
      <c r="R618">
        <f>IFERROR(Table1_1[[#This Row],[Unit_Price]]*Table1_1[[#This Row],[Quantity]],"")</f>
        <v>1398</v>
      </c>
      <c r="S618">
        <f>IFERROR(Table1_1[[#This Row],[Gross_Sales]]*Table1_1[[#This Row],[Discount_%]],"")</f>
        <v>209.7</v>
      </c>
      <c r="T618">
        <f>IFERROR(Table1_1[[#This Row],[Gross_Sales]]-Table1_1[[#This Row],[Discount_amount]]+Table1_1[[#This Row],[Shipping_Cost]],"")</f>
        <v>1237.3</v>
      </c>
      <c r="U618">
        <f>IFERROR(Table1_1[[#This Row],[Net_Sale]]-(Table1_1[[#This Row],[Gross_Sales]]*70%),"")</f>
        <v>258.70000000000005</v>
      </c>
      <c r="V618" s="7">
        <f>IFERROR(Table1_1[[#This Row],[Profit]]/Table1_1[[#This Row],[Net_Sale]],"")</f>
        <v>0.20908429645195187</v>
      </c>
      <c r="W618" t="str">
        <f>TEXT(Table1_1[[#This Row],[Order_Date]],"mmm")</f>
        <v>Jun</v>
      </c>
    </row>
    <row r="619" spans="1:23" x14ac:dyDescent="0.25">
      <c r="A619" t="s">
        <v>991</v>
      </c>
      <c r="B619" t="s">
        <v>555</v>
      </c>
      <c r="C619" s="6">
        <v>45892</v>
      </c>
      <c r="D619" t="s">
        <v>96</v>
      </c>
      <c r="E619" t="s">
        <v>97</v>
      </c>
      <c r="F619" t="s">
        <v>98</v>
      </c>
      <c r="G619" t="s">
        <v>99</v>
      </c>
      <c r="H619">
        <v>3</v>
      </c>
      <c r="I619">
        <v>1499</v>
      </c>
      <c r="J619">
        <v>0.2</v>
      </c>
      <c r="K619">
        <v>99</v>
      </c>
      <c r="L619" t="s">
        <v>119</v>
      </c>
      <c r="M619" t="s">
        <v>120</v>
      </c>
      <c r="N619" t="s">
        <v>71</v>
      </c>
      <c r="O619" t="s">
        <v>51</v>
      </c>
      <c r="P619" t="s">
        <v>33</v>
      </c>
      <c r="Q619">
        <v>4</v>
      </c>
      <c r="R619">
        <f>IFERROR(Table1_1[[#This Row],[Unit_Price]]*Table1_1[[#This Row],[Quantity]],"")</f>
        <v>4497</v>
      </c>
      <c r="S619">
        <f>IFERROR(Table1_1[[#This Row],[Gross_Sales]]*Table1_1[[#This Row],[Discount_%]],"")</f>
        <v>899.40000000000009</v>
      </c>
      <c r="T619">
        <f>IFERROR(Table1_1[[#This Row],[Gross_Sales]]-Table1_1[[#This Row],[Discount_amount]]+Table1_1[[#This Row],[Shipping_Cost]],"")</f>
        <v>3696.6</v>
      </c>
      <c r="U619">
        <f>IFERROR(Table1_1[[#This Row],[Net_Sale]]-(Table1_1[[#This Row],[Gross_Sales]]*70%),"")</f>
        <v>548.70000000000027</v>
      </c>
      <c r="V619" s="7">
        <f>IFERROR(Table1_1[[#This Row],[Profit]]/Table1_1[[#This Row],[Net_Sale]],"")</f>
        <v>0.14843369582859933</v>
      </c>
      <c r="W619" t="str">
        <f>TEXT(Table1_1[[#This Row],[Order_Date]],"mmm")</f>
        <v>Aug</v>
      </c>
    </row>
    <row r="620" spans="1:23" x14ac:dyDescent="0.25">
      <c r="A620" t="s">
        <v>992</v>
      </c>
      <c r="B620" t="s">
        <v>993</v>
      </c>
      <c r="C620" s="6">
        <v>45947</v>
      </c>
      <c r="D620" t="s">
        <v>110</v>
      </c>
      <c r="E620" t="s">
        <v>111</v>
      </c>
      <c r="F620" t="s">
        <v>98</v>
      </c>
      <c r="G620" t="s">
        <v>112</v>
      </c>
      <c r="H620">
        <v>2</v>
      </c>
      <c r="I620">
        <v>2999</v>
      </c>
      <c r="J620">
        <v>0.05</v>
      </c>
      <c r="K620">
        <v>0</v>
      </c>
      <c r="L620" t="s">
        <v>125</v>
      </c>
      <c r="M620" t="s">
        <v>126</v>
      </c>
      <c r="N620" t="s">
        <v>31</v>
      </c>
      <c r="O620" t="s">
        <v>41</v>
      </c>
      <c r="P620" t="s">
        <v>52</v>
      </c>
      <c r="Q620">
        <v>3</v>
      </c>
      <c r="R620">
        <f>IFERROR(Table1_1[[#This Row],[Unit_Price]]*Table1_1[[#This Row],[Quantity]],"")</f>
        <v>5998</v>
      </c>
      <c r="S620">
        <f>IFERROR(Table1_1[[#This Row],[Gross_Sales]]*Table1_1[[#This Row],[Discount_%]],"")</f>
        <v>299.90000000000003</v>
      </c>
      <c r="T620">
        <f>IFERROR(Table1_1[[#This Row],[Gross_Sales]]-Table1_1[[#This Row],[Discount_amount]]+Table1_1[[#This Row],[Shipping_Cost]],"")</f>
        <v>5698.1</v>
      </c>
      <c r="U620">
        <f>IFERROR(Table1_1[[#This Row],[Net_Sale]]-(Table1_1[[#This Row],[Gross_Sales]]*70%),"")</f>
        <v>1499.5000000000009</v>
      </c>
      <c r="V620" s="7">
        <f>IFERROR(Table1_1[[#This Row],[Profit]]/Table1_1[[#This Row],[Net_Sale]],"")</f>
        <v>0.26315789473684226</v>
      </c>
      <c r="W620" t="str">
        <f>TEXT(Table1_1[[#This Row],[Order_Date]],"mmm")</f>
        <v>Oct</v>
      </c>
    </row>
    <row r="621" spans="1:23" x14ac:dyDescent="0.25">
      <c r="A621" t="s">
        <v>994</v>
      </c>
      <c r="B621" t="s">
        <v>177</v>
      </c>
      <c r="C621" s="6">
        <v>45863</v>
      </c>
      <c r="D621" t="s">
        <v>62</v>
      </c>
      <c r="E621" t="s">
        <v>63</v>
      </c>
      <c r="F621" t="s">
        <v>46</v>
      </c>
      <c r="G621" t="s">
        <v>64</v>
      </c>
      <c r="H621">
        <v>1</v>
      </c>
      <c r="I621">
        <v>699</v>
      </c>
      <c r="J621">
        <v>0.1</v>
      </c>
      <c r="K621">
        <v>59</v>
      </c>
      <c r="L621" t="s">
        <v>29</v>
      </c>
      <c r="M621" t="s">
        <v>30</v>
      </c>
      <c r="N621" t="s">
        <v>71</v>
      </c>
      <c r="O621" t="s">
        <v>93</v>
      </c>
      <c r="P621" t="s">
        <v>33</v>
      </c>
      <c r="Q621">
        <v>5</v>
      </c>
      <c r="R621">
        <f>IFERROR(Table1_1[[#This Row],[Unit_Price]]*Table1_1[[#This Row],[Quantity]],"")</f>
        <v>699</v>
      </c>
      <c r="S621">
        <f>IFERROR(Table1_1[[#This Row],[Gross_Sales]]*Table1_1[[#This Row],[Discount_%]],"")</f>
        <v>69.900000000000006</v>
      </c>
      <c r="T621">
        <f>IFERROR(Table1_1[[#This Row],[Gross_Sales]]-Table1_1[[#This Row],[Discount_amount]]+Table1_1[[#This Row],[Shipping_Cost]],"")</f>
        <v>688.1</v>
      </c>
      <c r="U621">
        <f>IFERROR(Table1_1[[#This Row],[Net_Sale]]-(Table1_1[[#This Row],[Gross_Sales]]*70%),"")</f>
        <v>198.80000000000007</v>
      </c>
      <c r="V621" s="7">
        <f>IFERROR(Table1_1[[#This Row],[Profit]]/Table1_1[[#This Row],[Net_Sale]],"")</f>
        <v>0.28891149542217709</v>
      </c>
      <c r="W621" t="str">
        <f>TEXT(Table1_1[[#This Row],[Order_Date]],"mmm")</f>
        <v>Jul</v>
      </c>
    </row>
    <row r="622" spans="1:23" x14ac:dyDescent="0.25">
      <c r="A622" t="s">
        <v>995</v>
      </c>
      <c r="B622" t="s">
        <v>609</v>
      </c>
      <c r="C622" s="6">
        <v>45771</v>
      </c>
      <c r="D622" t="s">
        <v>25</v>
      </c>
      <c r="E622" t="s">
        <v>26</v>
      </c>
      <c r="F622" t="s">
        <v>27</v>
      </c>
      <c r="G622" t="s">
        <v>28</v>
      </c>
      <c r="H622">
        <v>2</v>
      </c>
      <c r="I622">
        <v>249</v>
      </c>
      <c r="J622">
        <v>0</v>
      </c>
      <c r="K622">
        <v>99</v>
      </c>
      <c r="L622" t="s">
        <v>113</v>
      </c>
      <c r="M622" t="s">
        <v>114</v>
      </c>
      <c r="N622" t="s">
        <v>31</v>
      </c>
      <c r="O622" t="s">
        <v>32</v>
      </c>
      <c r="P622" t="s">
        <v>33</v>
      </c>
      <c r="Q622">
        <v>4</v>
      </c>
      <c r="R622">
        <f>IFERROR(Table1_1[[#This Row],[Unit_Price]]*Table1_1[[#This Row],[Quantity]],"")</f>
        <v>498</v>
      </c>
      <c r="S622">
        <f>IFERROR(Table1_1[[#This Row],[Gross_Sales]]*Table1_1[[#This Row],[Discount_%]],"")</f>
        <v>0</v>
      </c>
      <c r="T622">
        <f>IFERROR(Table1_1[[#This Row],[Gross_Sales]]-Table1_1[[#This Row],[Discount_amount]]+Table1_1[[#This Row],[Shipping_Cost]],"")</f>
        <v>597</v>
      </c>
      <c r="U622">
        <f>IFERROR(Table1_1[[#This Row],[Net_Sale]]-(Table1_1[[#This Row],[Gross_Sales]]*70%),"")</f>
        <v>248.40000000000003</v>
      </c>
      <c r="V622" s="7">
        <f>IFERROR(Table1_1[[#This Row],[Profit]]/Table1_1[[#This Row],[Net_Sale]],"")</f>
        <v>0.41608040201005031</v>
      </c>
      <c r="W622" t="str">
        <f>TEXT(Table1_1[[#This Row],[Order_Date]],"mmm")</f>
        <v>Apr</v>
      </c>
    </row>
    <row r="623" spans="1:23" x14ac:dyDescent="0.25">
      <c r="A623" t="s">
        <v>996</v>
      </c>
      <c r="B623" t="s">
        <v>292</v>
      </c>
      <c r="C623" s="6">
        <v>45967</v>
      </c>
      <c r="D623" t="s">
        <v>67</v>
      </c>
      <c r="E623" t="s">
        <v>68</v>
      </c>
      <c r="F623" t="s">
        <v>37</v>
      </c>
      <c r="G623" t="s">
        <v>38</v>
      </c>
      <c r="H623">
        <v>1</v>
      </c>
      <c r="I623">
        <v>1299</v>
      </c>
      <c r="J623">
        <v>0.05</v>
      </c>
      <c r="K623">
        <v>79</v>
      </c>
      <c r="L623" t="s">
        <v>119</v>
      </c>
      <c r="M623" t="s">
        <v>120</v>
      </c>
      <c r="N623" t="s">
        <v>40</v>
      </c>
      <c r="O623" t="s">
        <v>51</v>
      </c>
      <c r="P623" t="s">
        <v>80</v>
      </c>
      <c r="Q623">
        <v>4</v>
      </c>
      <c r="R623">
        <f>IFERROR(Table1_1[[#This Row],[Unit_Price]]*Table1_1[[#This Row],[Quantity]],"")</f>
        <v>1299</v>
      </c>
      <c r="S623">
        <f>IFERROR(Table1_1[[#This Row],[Gross_Sales]]*Table1_1[[#This Row],[Discount_%]],"")</f>
        <v>64.95</v>
      </c>
      <c r="T623">
        <f>IFERROR(Table1_1[[#This Row],[Gross_Sales]]-Table1_1[[#This Row],[Discount_amount]]+Table1_1[[#This Row],[Shipping_Cost]],"")</f>
        <v>1313.05</v>
      </c>
      <c r="U623">
        <f>IFERROR(Table1_1[[#This Row],[Net_Sale]]-(Table1_1[[#This Row],[Gross_Sales]]*70%),"")</f>
        <v>403.75</v>
      </c>
      <c r="V623" s="7">
        <f>IFERROR(Table1_1[[#This Row],[Profit]]/Table1_1[[#This Row],[Net_Sale]],"")</f>
        <v>0.30749019458512622</v>
      </c>
      <c r="W623" t="str">
        <f>TEXT(Table1_1[[#This Row],[Order_Date]],"mmm")</f>
        <v>Nov</v>
      </c>
    </row>
    <row r="624" spans="1:23" x14ac:dyDescent="0.25">
      <c r="A624" t="s">
        <v>997</v>
      </c>
      <c r="B624" t="s">
        <v>681</v>
      </c>
      <c r="C624" s="6">
        <v>45837</v>
      </c>
      <c r="D624" t="s">
        <v>169</v>
      </c>
      <c r="E624" t="s">
        <v>170</v>
      </c>
      <c r="F624" t="s">
        <v>98</v>
      </c>
      <c r="G624" t="s">
        <v>171</v>
      </c>
      <c r="H624">
        <v>1</v>
      </c>
      <c r="I624">
        <v>799</v>
      </c>
      <c r="J624">
        <v>0</v>
      </c>
      <c r="K624">
        <v>49</v>
      </c>
      <c r="L624" t="s">
        <v>39</v>
      </c>
      <c r="M624" t="s">
        <v>39</v>
      </c>
      <c r="N624" t="s">
        <v>40</v>
      </c>
      <c r="O624" t="s">
        <v>59</v>
      </c>
      <c r="P624" t="s">
        <v>85</v>
      </c>
      <c r="Q624">
        <v>3</v>
      </c>
      <c r="R624">
        <f>IFERROR(Table1_1[[#This Row],[Unit_Price]]*Table1_1[[#This Row],[Quantity]],"")</f>
        <v>799</v>
      </c>
      <c r="S624">
        <f>IFERROR(Table1_1[[#This Row],[Gross_Sales]]*Table1_1[[#This Row],[Discount_%]],"")</f>
        <v>0</v>
      </c>
      <c r="T624">
        <f>IFERROR(Table1_1[[#This Row],[Gross_Sales]]-Table1_1[[#This Row],[Discount_amount]]+Table1_1[[#This Row],[Shipping_Cost]],"")</f>
        <v>848</v>
      </c>
      <c r="U624">
        <f>IFERROR(Table1_1[[#This Row],[Net_Sale]]-(Table1_1[[#This Row],[Gross_Sales]]*70%),"")</f>
        <v>288.70000000000005</v>
      </c>
      <c r="V624" s="7">
        <f>IFERROR(Table1_1[[#This Row],[Profit]]/Table1_1[[#This Row],[Net_Sale]],"")</f>
        <v>0.3404481132075472</v>
      </c>
      <c r="W624" t="str">
        <f>TEXT(Table1_1[[#This Row],[Order_Date]],"mmm")</f>
        <v>Jun</v>
      </c>
    </row>
    <row r="625" spans="1:23" x14ac:dyDescent="0.25">
      <c r="A625" t="s">
        <v>998</v>
      </c>
      <c r="B625" t="s">
        <v>999</v>
      </c>
      <c r="C625" s="6">
        <v>45870</v>
      </c>
      <c r="D625" t="s">
        <v>105</v>
      </c>
      <c r="E625" t="s">
        <v>106</v>
      </c>
      <c r="F625" t="s">
        <v>37</v>
      </c>
      <c r="G625" t="s">
        <v>107</v>
      </c>
      <c r="H625">
        <v>2</v>
      </c>
      <c r="I625">
        <v>1799</v>
      </c>
      <c r="J625">
        <v>0.15</v>
      </c>
      <c r="K625">
        <v>0</v>
      </c>
      <c r="L625" t="s">
        <v>57</v>
      </c>
      <c r="M625" t="s">
        <v>58</v>
      </c>
      <c r="N625" t="s">
        <v>50</v>
      </c>
      <c r="O625" t="s">
        <v>51</v>
      </c>
      <c r="P625" t="s">
        <v>85</v>
      </c>
      <c r="Q625">
        <v>4</v>
      </c>
      <c r="R625">
        <f>IFERROR(Table1_1[[#This Row],[Unit_Price]]*Table1_1[[#This Row],[Quantity]],"")</f>
        <v>3598</v>
      </c>
      <c r="S625">
        <f>IFERROR(Table1_1[[#This Row],[Gross_Sales]]*Table1_1[[#This Row],[Discount_%]],"")</f>
        <v>539.69999999999993</v>
      </c>
      <c r="T625">
        <f>IFERROR(Table1_1[[#This Row],[Gross_Sales]]-Table1_1[[#This Row],[Discount_amount]]+Table1_1[[#This Row],[Shipping_Cost]],"")</f>
        <v>3058.3</v>
      </c>
      <c r="U625">
        <f>IFERROR(Table1_1[[#This Row],[Net_Sale]]-(Table1_1[[#This Row],[Gross_Sales]]*70%),"")</f>
        <v>539.70000000000027</v>
      </c>
      <c r="V625" s="7">
        <f>IFERROR(Table1_1[[#This Row],[Profit]]/Table1_1[[#This Row],[Net_Sale]],"")</f>
        <v>0.17647058823529418</v>
      </c>
      <c r="W625" t="str">
        <f>TEXT(Table1_1[[#This Row],[Order_Date]],"mmm")</f>
        <v>Aug</v>
      </c>
    </row>
    <row r="626" spans="1:23" x14ac:dyDescent="0.25">
      <c r="A626" t="s">
        <v>1000</v>
      </c>
      <c r="B626" t="s">
        <v>914</v>
      </c>
      <c r="C626" s="6">
        <v>45960</v>
      </c>
      <c r="D626" t="s">
        <v>62</v>
      </c>
      <c r="E626" t="s">
        <v>63</v>
      </c>
      <c r="F626" t="s">
        <v>46</v>
      </c>
      <c r="G626" t="s">
        <v>64</v>
      </c>
      <c r="H626">
        <v>1</v>
      </c>
      <c r="I626">
        <v>699</v>
      </c>
      <c r="J626">
        <v>0.1</v>
      </c>
      <c r="K626">
        <v>59</v>
      </c>
      <c r="L626" t="s">
        <v>74</v>
      </c>
      <c r="M626" t="s">
        <v>49</v>
      </c>
      <c r="N626" t="s">
        <v>50</v>
      </c>
      <c r="O626" t="s">
        <v>32</v>
      </c>
      <c r="P626" t="s">
        <v>33</v>
      </c>
      <c r="Q626">
        <v>4</v>
      </c>
      <c r="R626">
        <f>IFERROR(Table1_1[[#This Row],[Unit_Price]]*Table1_1[[#This Row],[Quantity]],"")</f>
        <v>699</v>
      </c>
      <c r="S626">
        <f>IFERROR(Table1_1[[#This Row],[Gross_Sales]]*Table1_1[[#This Row],[Discount_%]],"")</f>
        <v>69.900000000000006</v>
      </c>
      <c r="T626">
        <f>IFERROR(Table1_1[[#This Row],[Gross_Sales]]-Table1_1[[#This Row],[Discount_amount]]+Table1_1[[#This Row],[Shipping_Cost]],"")</f>
        <v>688.1</v>
      </c>
      <c r="U626">
        <f>IFERROR(Table1_1[[#This Row],[Net_Sale]]-(Table1_1[[#This Row],[Gross_Sales]]*70%),"")</f>
        <v>198.80000000000007</v>
      </c>
      <c r="V626" s="7">
        <f>IFERROR(Table1_1[[#This Row],[Profit]]/Table1_1[[#This Row],[Net_Sale]],"")</f>
        <v>0.28891149542217709</v>
      </c>
      <c r="W626" t="str">
        <f>TEXT(Table1_1[[#This Row],[Order_Date]],"mmm")</f>
        <v>Oct</v>
      </c>
    </row>
    <row r="627" spans="1:23" x14ac:dyDescent="0.25">
      <c r="A627" t="s">
        <v>1001</v>
      </c>
      <c r="B627" t="s">
        <v>707</v>
      </c>
      <c r="C627" s="6">
        <v>45728</v>
      </c>
      <c r="D627" t="s">
        <v>77</v>
      </c>
      <c r="E627" t="s">
        <v>78</v>
      </c>
      <c r="F627" t="s">
        <v>79</v>
      </c>
      <c r="G627" t="s">
        <v>28</v>
      </c>
      <c r="H627">
        <v>1</v>
      </c>
      <c r="I627">
        <v>6499</v>
      </c>
      <c r="J627">
        <v>0.05</v>
      </c>
      <c r="K627">
        <v>99</v>
      </c>
      <c r="L627" t="s">
        <v>125</v>
      </c>
      <c r="M627" t="s">
        <v>126</v>
      </c>
      <c r="N627" t="s">
        <v>31</v>
      </c>
      <c r="O627" t="s">
        <v>51</v>
      </c>
      <c r="P627" t="s">
        <v>52</v>
      </c>
      <c r="Q627">
        <v>3</v>
      </c>
      <c r="R627">
        <f>IFERROR(Table1_1[[#This Row],[Unit_Price]]*Table1_1[[#This Row],[Quantity]],"")</f>
        <v>6499</v>
      </c>
      <c r="S627">
        <f>IFERROR(Table1_1[[#This Row],[Gross_Sales]]*Table1_1[[#This Row],[Discount_%]],"")</f>
        <v>324.95000000000005</v>
      </c>
      <c r="T627">
        <f>IFERROR(Table1_1[[#This Row],[Gross_Sales]]-Table1_1[[#This Row],[Discount_amount]]+Table1_1[[#This Row],[Shipping_Cost]],"")</f>
        <v>6273.05</v>
      </c>
      <c r="U627">
        <f>IFERROR(Table1_1[[#This Row],[Net_Sale]]-(Table1_1[[#This Row],[Gross_Sales]]*70%),"")</f>
        <v>1723.7500000000009</v>
      </c>
      <c r="V627" s="7">
        <f>IFERROR(Table1_1[[#This Row],[Profit]]/Table1_1[[#This Row],[Net_Sale]],"")</f>
        <v>0.2747865870668974</v>
      </c>
      <c r="W627" t="str">
        <f>TEXT(Table1_1[[#This Row],[Order_Date]],"mmm")</f>
        <v>Mar</v>
      </c>
    </row>
    <row r="628" spans="1:23" x14ac:dyDescent="0.25">
      <c r="A628" t="s">
        <v>1002</v>
      </c>
      <c r="B628" t="s">
        <v>634</v>
      </c>
      <c r="C628" s="6">
        <v>45895</v>
      </c>
      <c r="D628" t="s">
        <v>44</v>
      </c>
      <c r="E628" t="s">
        <v>45</v>
      </c>
      <c r="F628" t="s">
        <v>46</v>
      </c>
      <c r="G628" t="s">
        <v>47</v>
      </c>
      <c r="H628">
        <v>2</v>
      </c>
      <c r="I628">
        <v>1199</v>
      </c>
      <c r="J628">
        <v>0</v>
      </c>
      <c r="K628">
        <v>59</v>
      </c>
      <c r="L628" t="s">
        <v>48</v>
      </c>
      <c r="M628" t="s">
        <v>49</v>
      </c>
      <c r="N628" t="s">
        <v>40</v>
      </c>
      <c r="O628" t="s">
        <v>93</v>
      </c>
      <c r="P628" t="s">
        <v>33</v>
      </c>
      <c r="Q628">
        <v>3</v>
      </c>
      <c r="R628">
        <f>IFERROR(Table1_1[[#This Row],[Unit_Price]]*Table1_1[[#This Row],[Quantity]],"")</f>
        <v>2398</v>
      </c>
      <c r="S628">
        <f>IFERROR(Table1_1[[#This Row],[Gross_Sales]]*Table1_1[[#This Row],[Discount_%]],"")</f>
        <v>0</v>
      </c>
      <c r="T628">
        <f>IFERROR(Table1_1[[#This Row],[Gross_Sales]]-Table1_1[[#This Row],[Discount_amount]]+Table1_1[[#This Row],[Shipping_Cost]],"")</f>
        <v>2457</v>
      </c>
      <c r="U628">
        <f>IFERROR(Table1_1[[#This Row],[Net_Sale]]-(Table1_1[[#This Row],[Gross_Sales]]*70%),"")</f>
        <v>778.40000000000009</v>
      </c>
      <c r="V628" s="7">
        <f>IFERROR(Table1_1[[#This Row],[Profit]]/Table1_1[[#This Row],[Net_Sale]],"")</f>
        <v>0.31680911680911683</v>
      </c>
      <c r="W628" t="str">
        <f>TEXT(Table1_1[[#This Row],[Order_Date]],"mmm")</f>
        <v>Aug</v>
      </c>
    </row>
    <row r="629" spans="1:23" x14ac:dyDescent="0.25">
      <c r="A629" t="s">
        <v>1003</v>
      </c>
      <c r="B629" t="s">
        <v>222</v>
      </c>
      <c r="C629" s="6">
        <v>45909</v>
      </c>
      <c r="D629" t="s">
        <v>25</v>
      </c>
      <c r="E629" t="s">
        <v>26</v>
      </c>
      <c r="F629" t="s">
        <v>27</v>
      </c>
      <c r="G629" t="s">
        <v>28</v>
      </c>
      <c r="H629">
        <v>1</v>
      </c>
      <c r="I629">
        <v>249</v>
      </c>
      <c r="J629">
        <v>0</v>
      </c>
      <c r="K629">
        <v>0</v>
      </c>
      <c r="L629" t="s">
        <v>48</v>
      </c>
      <c r="M629" t="s">
        <v>49</v>
      </c>
      <c r="N629" t="s">
        <v>40</v>
      </c>
      <c r="O629" t="s">
        <v>93</v>
      </c>
      <c r="P629" t="s">
        <v>33</v>
      </c>
      <c r="Q629">
        <v>5</v>
      </c>
      <c r="R629">
        <f>IFERROR(Table1_1[[#This Row],[Unit_Price]]*Table1_1[[#This Row],[Quantity]],"")</f>
        <v>249</v>
      </c>
      <c r="S629">
        <f>IFERROR(Table1_1[[#This Row],[Gross_Sales]]*Table1_1[[#This Row],[Discount_%]],"")</f>
        <v>0</v>
      </c>
      <c r="T629">
        <f>IFERROR(Table1_1[[#This Row],[Gross_Sales]]-Table1_1[[#This Row],[Discount_amount]]+Table1_1[[#This Row],[Shipping_Cost]],"")</f>
        <v>249</v>
      </c>
      <c r="U629">
        <f>IFERROR(Table1_1[[#This Row],[Net_Sale]]-(Table1_1[[#This Row],[Gross_Sales]]*70%),"")</f>
        <v>74.700000000000017</v>
      </c>
      <c r="V629" s="7">
        <f>IFERROR(Table1_1[[#This Row],[Profit]]/Table1_1[[#This Row],[Net_Sale]],"")</f>
        <v>0.30000000000000004</v>
      </c>
      <c r="W629" t="str">
        <f>TEXT(Table1_1[[#This Row],[Order_Date]],"mmm")</f>
        <v>Sep</v>
      </c>
    </row>
    <row r="630" spans="1:23" x14ac:dyDescent="0.25">
      <c r="A630" t="s">
        <v>1004</v>
      </c>
      <c r="B630" t="s">
        <v>207</v>
      </c>
      <c r="C630" s="6">
        <v>45947</v>
      </c>
      <c r="D630" t="s">
        <v>77</v>
      </c>
      <c r="E630" t="s">
        <v>78</v>
      </c>
      <c r="F630" t="s">
        <v>79</v>
      </c>
      <c r="G630" t="s">
        <v>28</v>
      </c>
      <c r="H630">
        <v>2</v>
      </c>
      <c r="I630">
        <v>6499</v>
      </c>
      <c r="J630">
        <v>0.2</v>
      </c>
      <c r="K630">
        <v>79</v>
      </c>
      <c r="L630" t="s">
        <v>74</v>
      </c>
      <c r="M630" t="s">
        <v>49</v>
      </c>
      <c r="N630" t="s">
        <v>71</v>
      </c>
      <c r="O630" t="s">
        <v>32</v>
      </c>
      <c r="P630" t="s">
        <v>33</v>
      </c>
      <c r="Q630">
        <v>3</v>
      </c>
      <c r="R630">
        <f>IFERROR(Table1_1[[#This Row],[Unit_Price]]*Table1_1[[#This Row],[Quantity]],"")</f>
        <v>12998</v>
      </c>
      <c r="S630">
        <f>IFERROR(Table1_1[[#This Row],[Gross_Sales]]*Table1_1[[#This Row],[Discount_%]],"")</f>
        <v>2599.6000000000004</v>
      </c>
      <c r="T630">
        <f>IFERROR(Table1_1[[#This Row],[Gross_Sales]]-Table1_1[[#This Row],[Discount_amount]]+Table1_1[[#This Row],[Shipping_Cost]],"")</f>
        <v>10477.4</v>
      </c>
      <c r="U630">
        <f>IFERROR(Table1_1[[#This Row],[Net_Sale]]-(Table1_1[[#This Row],[Gross_Sales]]*70%),"")</f>
        <v>1378.8000000000011</v>
      </c>
      <c r="V630" s="7">
        <f>IFERROR(Table1_1[[#This Row],[Profit]]/Table1_1[[#This Row],[Net_Sale]],"")</f>
        <v>0.13159753373928657</v>
      </c>
      <c r="W630" t="str">
        <f>TEXT(Table1_1[[#This Row],[Order_Date]],"mmm")</f>
        <v>Oct</v>
      </c>
    </row>
    <row r="631" spans="1:23" x14ac:dyDescent="0.25">
      <c r="A631" t="s">
        <v>1005</v>
      </c>
      <c r="B631" t="s">
        <v>255</v>
      </c>
      <c r="C631" s="6">
        <v>45741</v>
      </c>
      <c r="D631" t="s">
        <v>44</v>
      </c>
      <c r="E631" t="s">
        <v>45</v>
      </c>
      <c r="F631" t="s">
        <v>46</v>
      </c>
      <c r="G631" t="s">
        <v>47</v>
      </c>
      <c r="H631">
        <v>3</v>
      </c>
      <c r="I631">
        <v>1199</v>
      </c>
      <c r="J631">
        <v>0.05</v>
      </c>
      <c r="K631">
        <v>79</v>
      </c>
      <c r="L631" t="s">
        <v>39</v>
      </c>
      <c r="M631" t="s">
        <v>39</v>
      </c>
      <c r="N631" t="s">
        <v>71</v>
      </c>
      <c r="O631" t="s">
        <v>41</v>
      </c>
      <c r="P631" t="s">
        <v>33</v>
      </c>
      <c r="Q631">
        <v>1</v>
      </c>
      <c r="R631">
        <f>IFERROR(Table1_1[[#This Row],[Unit_Price]]*Table1_1[[#This Row],[Quantity]],"")</f>
        <v>3597</v>
      </c>
      <c r="S631">
        <f>IFERROR(Table1_1[[#This Row],[Gross_Sales]]*Table1_1[[#This Row],[Discount_%]],"")</f>
        <v>179.85000000000002</v>
      </c>
      <c r="T631">
        <f>IFERROR(Table1_1[[#This Row],[Gross_Sales]]-Table1_1[[#This Row],[Discount_amount]]+Table1_1[[#This Row],[Shipping_Cost]],"")</f>
        <v>3496.15</v>
      </c>
      <c r="U631">
        <f>IFERROR(Table1_1[[#This Row],[Net_Sale]]-(Table1_1[[#This Row],[Gross_Sales]]*70%),"")</f>
        <v>978.25000000000045</v>
      </c>
      <c r="V631" s="7">
        <f>IFERROR(Table1_1[[#This Row],[Profit]]/Table1_1[[#This Row],[Net_Sale]],"")</f>
        <v>0.27980778856742428</v>
      </c>
      <c r="W631" t="str">
        <f>TEXT(Table1_1[[#This Row],[Order_Date]],"mmm")</f>
        <v>Mar</v>
      </c>
    </row>
    <row r="632" spans="1:23" x14ac:dyDescent="0.25">
      <c r="A632" t="s">
        <v>1006</v>
      </c>
      <c r="B632" t="s">
        <v>372</v>
      </c>
      <c r="C632" s="6">
        <v>45840</v>
      </c>
      <c r="D632" t="s">
        <v>110</v>
      </c>
      <c r="E632" t="s">
        <v>111</v>
      </c>
      <c r="F632" t="s">
        <v>98</v>
      </c>
      <c r="G632" t="s">
        <v>112</v>
      </c>
      <c r="H632">
        <v>1</v>
      </c>
      <c r="I632">
        <v>2999</v>
      </c>
      <c r="J632">
        <v>0.15</v>
      </c>
      <c r="K632">
        <v>0</v>
      </c>
      <c r="L632" t="s">
        <v>74</v>
      </c>
      <c r="M632" t="s">
        <v>49</v>
      </c>
      <c r="N632" t="s">
        <v>50</v>
      </c>
      <c r="O632" t="s">
        <v>41</v>
      </c>
      <c r="P632" t="s">
        <v>33</v>
      </c>
      <c r="Q632">
        <v>3</v>
      </c>
      <c r="R632">
        <f>IFERROR(Table1_1[[#This Row],[Unit_Price]]*Table1_1[[#This Row],[Quantity]],"")</f>
        <v>2999</v>
      </c>
      <c r="S632">
        <f>IFERROR(Table1_1[[#This Row],[Gross_Sales]]*Table1_1[[#This Row],[Discount_%]],"")</f>
        <v>449.84999999999997</v>
      </c>
      <c r="T632">
        <f>IFERROR(Table1_1[[#This Row],[Gross_Sales]]-Table1_1[[#This Row],[Discount_amount]]+Table1_1[[#This Row],[Shipping_Cost]],"")</f>
        <v>2549.15</v>
      </c>
      <c r="U632">
        <f>IFERROR(Table1_1[[#This Row],[Net_Sale]]-(Table1_1[[#This Row],[Gross_Sales]]*70%),"")</f>
        <v>449.85000000000036</v>
      </c>
      <c r="V632" s="7">
        <f>IFERROR(Table1_1[[#This Row],[Profit]]/Table1_1[[#This Row],[Net_Sale]],"")</f>
        <v>0.17647058823529427</v>
      </c>
      <c r="W632" t="str">
        <f>TEXT(Table1_1[[#This Row],[Order_Date]],"mmm")</f>
        <v>Jul</v>
      </c>
    </row>
    <row r="633" spans="1:23" x14ac:dyDescent="0.25">
      <c r="A633" t="s">
        <v>1007</v>
      </c>
      <c r="B633" t="s">
        <v>1008</v>
      </c>
      <c r="C633" s="6">
        <v>45936</v>
      </c>
      <c r="D633" t="s">
        <v>55</v>
      </c>
      <c r="E633" t="s">
        <v>56</v>
      </c>
      <c r="F633" t="s">
        <v>37</v>
      </c>
      <c r="G633" t="s">
        <v>38</v>
      </c>
      <c r="H633">
        <v>3</v>
      </c>
      <c r="I633">
        <v>2499</v>
      </c>
      <c r="J633">
        <v>0.2</v>
      </c>
      <c r="K633">
        <v>59</v>
      </c>
      <c r="L633" t="s">
        <v>125</v>
      </c>
      <c r="M633" t="s">
        <v>126</v>
      </c>
      <c r="N633" t="s">
        <v>71</v>
      </c>
      <c r="O633" t="s">
        <v>93</v>
      </c>
      <c r="P633" t="s">
        <v>33</v>
      </c>
      <c r="Q633">
        <v>5</v>
      </c>
      <c r="R633">
        <f>IFERROR(Table1_1[[#This Row],[Unit_Price]]*Table1_1[[#This Row],[Quantity]],"")</f>
        <v>7497</v>
      </c>
      <c r="S633">
        <f>IFERROR(Table1_1[[#This Row],[Gross_Sales]]*Table1_1[[#This Row],[Discount_%]],"")</f>
        <v>1499.4</v>
      </c>
      <c r="T633">
        <f>IFERROR(Table1_1[[#This Row],[Gross_Sales]]-Table1_1[[#This Row],[Discount_amount]]+Table1_1[[#This Row],[Shipping_Cost]],"")</f>
        <v>6056.6</v>
      </c>
      <c r="U633">
        <f>IFERROR(Table1_1[[#This Row],[Net_Sale]]-(Table1_1[[#This Row],[Gross_Sales]]*70%),"")</f>
        <v>808.70000000000073</v>
      </c>
      <c r="V633" s="7">
        <f>IFERROR(Table1_1[[#This Row],[Profit]]/Table1_1[[#This Row],[Net_Sale]],"")</f>
        <v>0.1335237592048345</v>
      </c>
      <c r="W633" t="str">
        <f>TEXT(Table1_1[[#This Row],[Order_Date]],"mmm")</f>
        <v>Oct</v>
      </c>
    </row>
    <row r="634" spans="1:23" x14ac:dyDescent="0.25">
      <c r="A634" t="s">
        <v>1009</v>
      </c>
      <c r="B634" t="s">
        <v>420</v>
      </c>
      <c r="C634" s="6">
        <v>45664</v>
      </c>
      <c r="D634" t="s">
        <v>44</v>
      </c>
      <c r="E634" t="s">
        <v>45</v>
      </c>
      <c r="F634" t="s">
        <v>46</v>
      </c>
      <c r="G634" t="s">
        <v>47</v>
      </c>
      <c r="H634">
        <v>3</v>
      </c>
      <c r="I634">
        <v>1199</v>
      </c>
      <c r="J634">
        <v>0.05</v>
      </c>
      <c r="K634">
        <v>79</v>
      </c>
      <c r="L634" t="s">
        <v>74</v>
      </c>
      <c r="M634" t="s">
        <v>49</v>
      </c>
      <c r="N634" t="s">
        <v>71</v>
      </c>
      <c r="O634" t="s">
        <v>41</v>
      </c>
      <c r="P634" t="s">
        <v>33</v>
      </c>
      <c r="Q634">
        <v>1</v>
      </c>
      <c r="R634">
        <f>IFERROR(Table1_1[[#This Row],[Unit_Price]]*Table1_1[[#This Row],[Quantity]],"")</f>
        <v>3597</v>
      </c>
      <c r="S634">
        <f>IFERROR(Table1_1[[#This Row],[Gross_Sales]]*Table1_1[[#This Row],[Discount_%]],"")</f>
        <v>179.85000000000002</v>
      </c>
      <c r="T634">
        <f>IFERROR(Table1_1[[#This Row],[Gross_Sales]]-Table1_1[[#This Row],[Discount_amount]]+Table1_1[[#This Row],[Shipping_Cost]],"")</f>
        <v>3496.15</v>
      </c>
      <c r="U634">
        <f>IFERROR(Table1_1[[#This Row],[Net_Sale]]-(Table1_1[[#This Row],[Gross_Sales]]*70%),"")</f>
        <v>978.25000000000045</v>
      </c>
      <c r="V634" s="7">
        <f>IFERROR(Table1_1[[#This Row],[Profit]]/Table1_1[[#This Row],[Net_Sale]],"")</f>
        <v>0.27980778856742428</v>
      </c>
      <c r="W634" t="str">
        <f>TEXT(Table1_1[[#This Row],[Order_Date]],"mmm")</f>
        <v>Jan</v>
      </c>
    </row>
    <row r="635" spans="1:23" x14ac:dyDescent="0.25">
      <c r="A635" t="s">
        <v>1010</v>
      </c>
      <c r="B635" t="s">
        <v>640</v>
      </c>
      <c r="C635" s="6">
        <v>45754</v>
      </c>
      <c r="D635" t="s">
        <v>67</v>
      </c>
      <c r="E635" t="s">
        <v>68</v>
      </c>
      <c r="F635" t="s">
        <v>37</v>
      </c>
      <c r="G635" t="s">
        <v>38</v>
      </c>
      <c r="H635">
        <v>2</v>
      </c>
      <c r="I635">
        <v>1299</v>
      </c>
      <c r="J635">
        <v>0.15</v>
      </c>
      <c r="K635">
        <v>99</v>
      </c>
      <c r="L635" t="s">
        <v>100</v>
      </c>
      <c r="M635" t="s">
        <v>101</v>
      </c>
      <c r="N635" t="s">
        <v>31</v>
      </c>
      <c r="O635" t="s">
        <v>59</v>
      </c>
      <c r="P635" t="s">
        <v>80</v>
      </c>
      <c r="Q635">
        <v>4</v>
      </c>
      <c r="R635">
        <f>IFERROR(Table1_1[[#This Row],[Unit_Price]]*Table1_1[[#This Row],[Quantity]],"")</f>
        <v>2598</v>
      </c>
      <c r="S635">
        <f>IFERROR(Table1_1[[#This Row],[Gross_Sales]]*Table1_1[[#This Row],[Discount_%]],"")</f>
        <v>389.7</v>
      </c>
      <c r="T635">
        <f>IFERROR(Table1_1[[#This Row],[Gross_Sales]]-Table1_1[[#This Row],[Discount_amount]]+Table1_1[[#This Row],[Shipping_Cost]],"")</f>
        <v>2307.3000000000002</v>
      </c>
      <c r="U635">
        <f>IFERROR(Table1_1[[#This Row],[Net_Sale]]-(Table1_1[[#This Row],[Gross_Sales]]*70%),"")</f>
        <v>488.70000000000027</v>
      </c>
      <c r="V635" s="7">
        <f>IFERROR(Table1_1[[#This Row],[Profit]]/Table1_1[[#This Row],[Net_Sale]],"")</f>
        <v>0.2118060070211937</v>
      </c>
      <c r="W635" t="str">
        <f>TEXT(Table1_1[[#This Row],[Order_Date]],"mmm")</f>
        <v>Apr</v>
      </c>
    </row>
    <row r="636" spans="1:23" x14ac:dyDescent="0.25">
      <c r="A636" t="s">
        <v>1011</v>
      </c>
      <c r="B636" t="s">
        <v>487</v>
      </c>
      <c r="C636" s="6">
        <v>45666</v>
      </c>
      <c r="D636" t="s">
        <v>55</v>
      </c>
      <c r="E636" t="s">
        <v>56</v>
      </c>
      <c r="F636" t="s">
        <v>37</v>
      </c>
      <c r="G636" t="s">
        <v>38</v>
      </c>
      <c r="H636">
        <v>3</v>
      </c>
      <c r="I636">
        <v>2499</v>
      </c>
      <c r="J636">
        <v>0.2</v>
      </c>
      <c r="K636">
        <v>59</v>
      </c>
      <c r="L636" t="s">
        <v>29</v>
      </c>
      <c r="M636" t="s">
        <v>30</v>
      </c>
      <c r="N636" t="s">
        <v>40</v>
      </c>
      <c r="O636" t="s">
        <v>32</v>
      </c>
      <c r="P636" t="s">
        <v>33</v>
      </c>
      <c r="Q636">
        <v>5</v>
      </c>
      <c r="R636">
        <f>IFERROR(Table1_1[[#This Row],[Unit_Price]]*Table1_1[[#This Row],[Quantity]],"")</f>
        <v>7497</v>
      </c>
      <c r="S636">
        <f>IFERROR(Table1_1[[#This Row],[Gross_Sales]]*Table1_1[[#This Row],[Discount_%]],"")</f>
        <v>1499.4</v>
      </c>
      <c r="T636">
        <f>IFERROR(Table1_1[[#This Row],[Gross_Sales]]-Table1_1[[#This Row],[Discount_amount]]+Table1_1[[#This Row],[Shipping_Cost]],"")</f>
        <v>6056.6</v>
      </c>
      <c r="U636">
        <f>IFERROR(Table1_1[[#This Row],[Net_Sale]]-(Table1_1[[#This Row],[Gross_Sales]]*70%),"")</f>
        <v>808.70000000000073</v>
      </c>
      <c r="V636" s="7">
        <f>IFERROR(Table1_1[[#This Row],[Profit]]/Table1_1[[#This Row],[Net_Sale]],"")</f>
        <v>0.1335237592048345</v>
      </c>
      <c r="W636" t="str">
        <f>TEXT(Table1_1[[#This Row],[Order_Date]],"mmm")</f>
        <v>Jan</v>
      </c>
    </row>
    <row r="637" spans="1:23" x14ac:dyDescent="0.25">
      <c r="A637" t="s">
        <v>1012</v>
      </c>
      <c r="B637" t="s">
        <v>597</v>
      </c>
      <c r="C637" s="6">
        <v>45672</v>
      </c>
      <c r="D637" t="s">
        <v>169</v>
      </c>
      <c r="E637" t="s">
        <v>170</v>
      </c>
      <c r="F637" t="s">
        <v>98</v>
      </c>
      <c r="G637" t="s">
        <v>171</v>
      </c>
      <c r="H637">
        <v>2</v>
      </c>
      <c r="I637">
        <v>799</v>
      </c>
      <c r="J637">
        <v>0</v>
      </c>
      <c r="K637">
        <v>49</v>
      </c>
      <c r="L637" t="s">
        <v>100</v>
      </c>
      <c r="M637" t="s">
        <v>101</v>
      </c>
      <c r="N637" t="s">
        <v>50</v>
      </c>
      <c r="O637" t="s">
        <v>51</v>
      </c>
      <c r="P637" t="s">
        <v>33</v>
      </c>
      <c r="Q637">
        <v>2</v>
      </c>
      <c r="R637">
        <f>IFERROR(Table1_1[[#This Row],[Unit_Price]]*Table1_1[[#This Row],[Quantity]],"")</f>
        <v>1598</v>
      </c>
      <c r="S637">
        <f>IFERROR(Table1_1[[#This Row],[Gross_Sales]]*Table1_1[[#This Row],[Discount_%]],"")</f>
        <v>0</v>
      </c>
      <c r="T637">
        <f>IFERROR(Table1_1[[#This Row],[Gross_Sales]]-Table1_1[[#This Row],[Discount_amount]]+Table1_1[[#This Row],[Shipping_Cost]],"")</f>
        <v>1647</v>
      </c>
      <c r="U637">
        <f>IFERROR(Table1_1[[#This Row],[Net_Sale]]-(Table1_1[[#This Row],[Gross_Sales]]*70%),"")</f>
        <v>528.40000000000009</v>
      </c>
      <c r="V637" s="7">
        <f>IFERROR(Table1_1[[#This Row],[Profit]]/Table1_1[[#This Row],[Net_Sale]],"")</f>
        <v>0.32082574377656348</v>
      </c>
      <c r="W637" t="str">
        <f>TEXT(Table1_1[[#This Row],[Order_Date]],"mmm")</f>
        <v>Jan</v>
      </c>
    </row>
    <row r="638" spans="1:23" x14ac:dyDescent="0.25">
      <c r="A638" t="s">
        <v>1013</v>
      </c>
      <c r="B638" t="s">
        <v>398</v>
      </c>
      <c r="C638" s="6">
        <v>45875</v>
      </c>
      <c r="D638" t="s">
        <v>67</v>
      </c>
      <c r="E638" t="s">
        <v>68</v>
      </c>
      <c r="F638" t="s">
        <v>37</v>
      </c>
      <c r="G638" t="s">
        <v>38</v>
      </c>
      <c r="H638">
        <v>5</v>
      </c>
      <c r="I638">
        <v>1299</v>
      </c>
      <c r="J638">
        <v>0</v>
      </c>
      <c r="K638">
        <v>0</v>
      </c>
      <c r="L638" t="s">
        <v>100</v>
      </c>
      <c r="M638" t="s">
        <v>101</v>
      </c>
      <c r="N638" t="s">
        <v>40</v>
      </c>
      <c r="O638" t="s">
        <v>93</v>
      </c>
      <c r="P638" t="s">
        <v>33</v>
      </c>
      <c r="Q638">
        <v>2</v>
      </c>
      <c r="R638">
        <f>IFERROR(Table1_1[[#This Row],[Unit_Price]]*Table1_1[[#This Row],[Quantity]],"")</f>
        <v>6495</v>
      </c>
      <c r="S638">
        <f>IFERROR(Table1_1[[#This Row],[Gross_Sales]]*Table1_1[[#This Row],[Discount_%]],"")</f>
        <v>0</v>
      </c>
      <c r="T638">
        <f>IFERROR(Table1_1[[#This Row],[Gross_Sales]]-Table1_1[[#This Row],[Discount_amount]]+Table1_1[[#This Row],[Shipping_Cost]],"")</f>
        <v>6495</v>
      </c>
      <c r="U638">
        <f>IFERROR(Table1_1[[#This Row],[Net_Sale]]-(Table1_1[[#This Row],[Gross_Sales]]*70%),"")</f>
        <v>1948.5</v>
      </c>
      <c r="V638" s="7">
        <f>IFERROR(Table1_1[[#This Row],[Profit]]/Table1_1[[#This Row],[Net_Sale]],"")</f>
        <v>0.3</v>
      </c>
      <c r="W638" t="str">
        <f>TEXT(Table1_1[[#This Row],[Order_Date]],"mmm")</f>
        <v>Aug</v>
      </c>
    </row>
    <row r="639" spans="1:23" x14ac:dyDescent="0.25">
      <c r="A639" t="s">
        <v>1014</v>
      </c>
      <c r="B639" t="s">
        <v>150</v>
      </c>
      <c r="C639" s="6">
        <v>45920</v>
      </c>
      <c r="D639" t="s">
        <v>55</v>
      </c>
      <c r="E639" t="s">
        <v>56</v>
      </c>
      <c r="F639" t="s">
        <v>37</v>
      </c>
      <c r="G639" t="s">
        <v>38</v>
      </c>
      <c r="H639">
        <v>3</v>
      </c>
      <c r="I639">
        <v>2499</v>
      </c>
      <c r="J639">
        <v>0</v>
      </c>
      <c r="K639">
        <v>59</v>
      </c>
      <c r="L639" t="s">
        <v>39</v>
      </c>
      <c r="M639" t="s">
        <v>39</v>
      </c>
      <c r="N639" t="s">
        <v>31</v>
      </c>
      <c r="O639" t="s">
        <v>51</v>
      </c>
      <c r="P639" t="s">
        <v>52</v>
      </c>
      <c r="Q639">
        <v>3</v>
      </c>
      <c r="R639">
        <f>IFERROR(Table1_1[[#This Row],[Unit_Price]]*Table1_1[[#This Row],[Quantity]],"")</f>
        <v>7497</v>
      </c>
      <c r="S639">
        <f>IFERROR(Table1_1[[#This Row],[Gross_Sales]]*Table1_1[[#This Row],[Discount_%]],"")</f>
        <v>0</v>
      </c>
      <c r="T639">
        <f>IFERROR(Table1_1[[#This Row],[Gross_Sales]]-Table1_1[[#This Row],[Discount_amount]]+Table1_1[[#This Row],[Shipping_Cost]],"")</f>
        <v>7556</v>
      </c>
      <c r="U639">
        <f>IFERROR(Table1_1[[#This Row],[Net_Sale]]-(Table1_1[[#This Row],[Gross_Sales]]*70%),"")</f>
        <v>2308.1000000000004</v>
      </c>
      <c r="V639" s="7">
        <f>IFERROR(Table1_1[[#This Row],[Profit]]/Table1_1[[#This Row],[Net_Sale]],"")</f>
        <v>0.3054658549497089</v>
      </c>
      <c r="W639" t="str">
        <f>TEXT(Table1_1[[#This Row],[Order_Date]],"mmm")</f>
        <v>Sep</v>
      </c>
    </row>
    <row r="640" spans="1:23" x14ac:dyDescent="0.25">
      <c r="A640" t="s">
        <v>1015</v>
      </c>
      <c r="B640" t="s">
        <v>1016</v>
      </c>
      <c r="C640" s="6">
        <v>45966</v>
      </c>
      <c r="D640" t="s">
        <v>35</v>
      </c>
      <c r="E640" t="s">
        <v>36</v>
      </c>
      <c r="F640" t="s">
        <v>37</v>
      </c>
      <c r="G640" t="s">
        <v>38</v>
      </c>
      <c r="H640">
        <v>3</v>
      </c>
      <c r="I640">
        <v>599</v>
      </c>
      <c r="J640">
        <v>0</v>
      </c>
      <c r="K640">
        <v>59</v>
      </c>
      <c r="L640" t="s">
        <v>29</v>
      </c>
      <c r="M640" t="s">
        <v>30</v>
      </c>
      <c r="N640" t="s">
        <v>31</v>
      </c>
      <c r="O640" t="s">
        <v>41</v>
      </c>
      <c r="P640" t="s">
        <v>33</v>
      </c>
      <c r="Q640">
        <v>3</v>
      </c>
      <c r="R640">
        <f>IFERROR(Table1_1[[#This Row],[Unit_Price]]*Table1_1[[#This Row],[Quantity]],"")</f>
        <v>1797</v>
      </c>
      <c r="S640">
        <f>IFERROR(Table1_1[[#This Row],[Gross_Sales]]*Table1_1[[#This Row],[Discount_%]],"")</f>
        <v>0</v>
      </c>
      <c r="T640">
        <f>IFERROR(Table1_1[[#This Row],[Gross_Sales]]-Table1_1[[#This Row],[Discount_amount]]+Table1_1[[#This Row],[Shipping_Cost]],"")</f>
        <v>1856</v>
      </c>
      <c r="U640">
        <f>IFERROR(Table1_1[[#This Row],[Net_Sale]]-(Table1_1[[#This Row],[Gross_Sales]]*70%),"")</f>
        <v>598.10000000000014</v>
      </c>
      <c r="V640" s="7">
        <f>IFERROR(Table1_1[[#This Row],[Profit]]/Table1_1[[#This Row],[Net_Sale]],"")</f>
        <v>0.32225215517241385</v>
      </c>
      <c r="W640" t="str">
        <f>TEXT(Table1_1[[#This Row],[Order_Date]],"mmm")</f>
        <v>Nov</v>
      </c>
    </row>
    <row r="641" spans="1:23" x14ac:dyDescent="0.25">
      <c r="A641" t="s">
        <v>1017</v>
      </c>
      <c r="B641" t="s">
        <v>216</v>
      </c>
      <c r="C641" s="6">
        <v>45836</v>
      </c>
      <c r="D641" t="s">
        <v>77</v>
      </c>
      <c r="E641" t="s">
        <v>78</v>
      </c>
      <c r="F641" t="s">
        <v>79</v>
      </c>
      <c r="G641" t="s">
        <v>28</v>
      </c>
      <c r="H641">
        <v>4</v>
      </c>
      <c r="I641">
        <v>6499</v>
      </c>
      <c r="J641">
        <v>0.2</v>
      </c>
      <c r="K641">
        <v>99</v>
      </c>
      <c r="L641" t="s">
        <v>48</v>
      </c>
      <c r="M641" t="s">
        <v>49</v>
      </c>
      <c r="N641" t="s">
        <v>102</v>
      </c>
      <c r="O641" t="s">
        <v>32</v>
      </c>
      <c r="P641" t="s">
        <v>85</v>
      </c>
      <c r="Q641">
        <v>1</v>
      </c>
      <c r="R641">
        <f>IFERROR(Table1_1[[#This Row],[Unit_Price]]*Table1_1[[#This Row],[Quantity]],"")</f>
        <v>25996</v>
      </c>
      <c r="S641">
        <f>IFERROR(Table1_1[[#This Row],[Gross_Sales]]*Table1_1[[#This Row],[Discount_%]],"")</f>
        <v>5199.2000000000007</v>
      </c>
      <c r="T641">
        <f>IFERROR(Table1_1[[#This Row],[Gross_Sales]]-Table1_1[[#This Row],[Discount_amount]]+Table1_1[[#This Row],[Shipping_Cost]],"")</f>
        <v>20895.8</v>
      </c>
      <c r="U641">
        <f>IFERROR(Table1_1[[#This Row],[Net_Sale]]-(Table1_1[[#This Row],[Gross_Sales]]*70%),"")</f>
        <v>2698.6000000000022</v>
      </c>
      <c r="V641" s="7">
        <f>IFERROR(Table1_1[[#This Row],[Profit]]/Table1_1[[#This Row],[Net_Sale]],"")</f>
        <v>0.12914556992314255</v>
      </c>
      <c r="W641" t="str">
        <f>TEXT(Table1_1[[#This Row],[Order_Date]],"mmm")</f>
        <v>Jun</v>
      </c>
    </row>
    <row r="642" spans="1:23" x14ac:dyDescent="0.25">
      <c r="A642" t="s">
        <v>1018</v>
      </c>
      <c r="B642" t="s">
        <v>1618</v>
      </c>
      <c r="C642" s="6">
        <v>45928</v>
      </c>
      <c r="D642" t="s">
        <v>55</v>
      </c>
      <c r="E642" t="s">
        <v>56</v>
      </c>
      <c r="F642" t="s">
        <v>37</v>
      </c>
      <c r="G642" t="s">
        <v>38</v>
      </c>
      <c r="H642">
        <v>3</v>
      </c>
      <c r="I642">
        <v>2499</v>
      </c>
      <c r="J642">
        <v>0.05</v>
      </c>
      <c r="K642">
        <v>49</v>
      </c>
      <c r="L642" t="s">
        <v>125</v>
      </c>
      <c r="M642" t="s">
        <v>126</v>
      </c>
      <c r="N642" t="s">
        <v>31</v>
      </c>
      <c r="O642" t="s">
        <v>93</v>
      </c>
      <c r="P642" t="s">
        <v>33</v>
      </c>
      <c r="Q642">
        <v>2</v>
      </c>
      <c r="R642">
        <f>IFERROR(Table1_1[[#This Row],[Unit_Price]]*Table1_1[[#This Row],[Quantity]],"")</f>
        <v>7497</v>
      </c>
      <c r="S642">
        <f>IFERROR(Table1_1[[#This Row],[Gross_Sales]]*Table1_1[[#This Row],[Discount_%]],"")</f>
        <v>374.85</v>
      </c>
      <c r="T642">
        <f>IFERROR(Table1_1[[#This Row],[Gross_Sales]]-Table1_1[[#This Row],[Discount_amount]]+Table1_1[[#This Row],[Shipping_Cost]],"")</f>
        <v>7171.15</v>
      </c>
      <c r="U642">
        <f>IFERROR(Table1_1[[#This Row],[Net_Sale]]-(Table1_1[[#This Row],[Gross_Sales]]*70%),"")</f>
        <v>1923.25</v>
      </c>
      <c r="V642" s="7">
        <f>IFERROR(Table1_1[[#This Row],[Profit]]/Table1_1[[#This Row],[Net_Sale]],"")</f>
        <v>0.26819268875982238</v>
      </c>
      <c r="W642" t="str">
        <f>TEXT(Table1_1[[#This Row],[Order_Date]],"mmm")</f>
        <v>Sep</v>
      </c>
    </row>
    <row r="643" spans="1:23" x14ac:dyDescent="0.25">
      <c r="A643" t="s">
        <v>1019</v>
      </c>
      <c r="B643" t="s">
        <v>66</v>
      </c>
      <c r="C643" s="6">
        <v>45959</v>
      </c>
      <c r="D643" t="s">
        <v>62</v>
      </c>
      <c r="E643" t="s">
        <v>63</v>
      </c>
      <c r="F643" t="s">
        <v>46</v>
      </c>
      <c r="G643" t="s">
        <v>64</v>
      </c>
      <c r="H643">
        <v>1</v>
      </c>
      <c r="I643">
        <v>699</v>
      </c>
      <c r="J643">
        <v>0</v>
      </c>
      <c r="K643">
        <v>49</v>
      </c>
      <c r="L643" t="s">
        <v>119</v>
      </c>
      <c r="M643" t="s">
        <v>120</v>
      </c>
      <c r="N643" t="s">
        <v>40</v>
      </c>
      <c r="O643" t="s">
        <v>59</v>
      </c>
      <c r="P643" t="s">
        <v>80</v>
      </c>
      <c r="Q643">
        <v>2</v>
      </c>
      <c r="R643">
        <f>IFERROR(Table1_1[[#This Row],[Unit_Price]]*Table1_1[[#This Row],[Quantity]],"")</f>
        <v>699</v>
      </c>
      <c r="S643">
        <f>IFERROR(Table1_1[[#This Row],[Gross_Sales]]*Table1_1[[#This Row],[Discount_%]],"")</f>
        <v>0</v>
      </c>
      <c r="T643">
        <f>IFERROR(Table1_1[[#This Row],[Gross_Sales]]-Table1_1[[#This Row],[Discount_amount]]+Table1_1[[#This Row],[Shipping_Cost]],"")</f>
        <v>748</v>
      </c>
      <c r="U643">
        <f>IFERROR(Table1_1[[#This Row],[Net_Sale]]-(Table1_1[[#This Row],[Gross_Sales]]*70%),"")</f>
        <v>258.70000000000005</v>
      </c>
      <c r="V643" s="7">
        <f>IFERROR(Table1_1[[#This Row],[Profit]]/Table1_1[[#This Row],[Net_Sale]],"")</f>
        <v>0.34585561497326212</v>
      </c>
      <c r="W643" t="str">
        <f>TEXT(Table1_1[[#This Row],[Order_Date]],"mmm")</f>
        <v>Oct</v>
      </c>
    </row>
    <row r="644" spans="1:23" x14ac:dyDescent="0.25">
      <c r="A644" t="s">
        <v>1020</v>
      </c>
      <c r="B644" t="s">
        <v>261</v>
      </c>
      <c r="C644" s="6">
        <v>45818</v>
      </c>
      <c r="D644" t="s">
        <v>62</v>
      </c>
      <c r="E644" t="s">
        <v>63</v>
      </c>
      <c r="F644" t="s">
        <v>46</v>
      </c>
      <c r="G644" t="s">
        <v>64</v>
      </c>
      <c r="H644">
        <v>1</v>
      </c>
      <c r="I644">
        <v>699</v>
      </c>
      <c r="J644">
        <v>0.15</v>
      </c>
      <c r="K644">
        <v>49</v>
      </c>
      <c r="L644" t="s">
        <v>113</v>
      </c>
      <c r="M644" t="s">
        <v>114</v>
      </c>
      <c r="N644" t="s">
        <v>71</v>
      </c>
      <c r="O644" t="s">
        <v>51</v>
      </c>
      <c r="P644" t="s">
        <v>33</v>
      </c>
      <c r="Q644">
        <v>5</v>
      </c>
      <c r="R644">
        <f>IFERROR(Table1_1[[#This Row],[Unit_Price]]*Table1_1[[#This Row],[Quantity]],"")</f>
        <v>699</v>
      </c>
      <c r="S644">
        <f>IFERROR(Table1_1[[#This Row],[Gross_Sales]]*Table1_1[[#This Row],[Discount_%]],"")</f>
        <v>104.85</v>
      </c>
      <c r="T644">
        <f>IFERROR(Table1_1[[#This Row],[Gross_Sales]]-Table1_1[[#This Row],[Discount_amount]]+Table1_1[[#This Row],[Shipping_Cost]],"")</f>
        <v>643.15</v>
      </c>
      <c r="U644">
        <f>IFERROR(Table1_1[[#This Row],[Net_Sale]]-(Table1_1[[#This Row],[Gross_Sales]]*70%),"")</f>
        <v>153.85000000000002</v>
      </c>
      <c r="V644" s="7">
        <f>IFERROR(Table1_1[[#This Row],[Profit]]/Table1_1[[#This Row],[Net_Sale]],"")</f>
        <v>0.23921324729845297</v>
      </c>
      <c r="W644" t="str">
        <f>TEXT(Table1_1[[#This Row],[Order_Date]],"mmm")</f>
        <v>Jun</v>
      </c>
    </row>
    <row r="645" spans="1:23" x14ac:dyDescent="0.25">
      <c r="A645" t="s">
        <v>1021</v>
      </c>
      <c r="B645" t="s">
        <v>116</v>
      </c>
      <c r="C645" s="6">
        <v>45910</v>
      </c>
      <c r="D645" t="s">
        <v>77</v>
      </c>
      <c r="E645" t="s">
        <v>78</v>
      </c>
      <c r="F645" t="s">
        <v>79</v>
      </c>
      <c r="G645" t="s">
        <v>28</v>
      </c>
      <c r="H645">
        <v>1</v>
      </c>
      <c r="I645">
        <v>6499</v>
      </c>
      <c r="J645">
        <v>0.1</v>
      </c>
      <c r="K645">
        <v>99</v>
      </c>
      <c r="L645" t="s">
        <v>39</v>
      </c>
      <c r="M645" t="s">
        <v>39</v>
      </c>
      <c r="N645" t="s">
        <v>40</v>
      </c>
      <c r="O645" t="s">
        <v>41</v>
      </c>
      <c r="P645" t="s">
        <v>33</v>
      </c>
      <c r="Q645">
        <v>5</v>
      </c>
      <c r="R645">
        <f>IFERROR(Table1_1[[#This Row],[Unit_Price]]*Table1_1[[#This Row],[Quantity]],"")</f>
        <v>6499</v>
      </c>
      <c r="S645">
        <f>IFERROR(Table1_1[[#This Row],[Gross_Sales]]*Table1_1[[#This Row],[Discount_%]],"")</f>
        <v>649.90000000000009</v>
      </c>
      <c r="T645">
        <f>IFERROR(Table1_1[[#This Row],[Gross_Sales]]-Table1_1[[#This Row],[Discount_amount]]+Table1_1[[#This Row],[Shipping_Cost]],"")</f>
        <v>5948.1</v>
      </c>
      <c r="U645">
        <f>IFERROR(Table1_1[[#This Row],[Net_Sale]]-(Table1_1[[#This Row],[Gross_Sales]]*70%),"")</f>
        <v>1398.8000000000011</v>
      </c>
      <c r="V645" s="7">
        <f>IFERROR(Table1_1[[#This Row],[Profit]]/Table1_1[[#This Row],[Net_Sale]],"")</f>
        <v>0.23516753248936653</v>
      </c>
      <c r="W645" t="str">
        <f>TEXT(Table1_1[[#This Row],[Order_Date]],"mmm")</f>
        <v>Sep</v>
      </c>
    </row>
    <row r="646" spans="1:23" x14ac:dyDescent="0.25">
      <c r="A646" t="s">
        <v>1022</v>
      </c>
      <c r="B646" t="s">
        <v>479</v>
      </c>
      <c r="C646" s="6">
        <v>45877</v>
      </c>
      <c r="D646" t="s">
        <v>96</v>
      </c>
      <c r="E646" t="s">
        <v>97</v>
      </c>
      <c r="F646" t="s">
        <v>98</v>
      </c>
      <c r="G646" t="s">
        <v>99</v>
      </c>
      <c r="H646">
        <v>5</v>
      </c>
      <c r="I646">
        <v>1499</v>
      </c>
      <c r="J646">
        <v>0.1</v>
      </c>
      <c r="K646">
        <v>59</v>
      </c>
      <c r="L646" t="s">
        <v>48</v>
      </c>
      <c r="M646" t="s">
        <v>49</v>
      </c>
      <c r="N646" t="s">
        <v>863</v>
      </c>
      <c r="O646" t="s">
        <v>59</v>
      </c>
      <c r="P646" t="s">
        <v>33</v>
      </c>
      <c r="Q646">
        <v>3</v>
      </c>
      <c r="R646">
        <f>IFERROR(Table1_1[[#This Row],[Unit_Price]]*Table1_1[[#This Row],[Quantity]],"")</f>
        <v>7495</v>
      </c>
      <c r="S646">
        <f>IFERROR(Table1_1[[#This Row],[Gross_Sales]]*Table1_1[[#This Row],[Discount_%]],"")</f>
        <v>749.5</v>
      </c>
      <c r="T646">
        <f>IFERROR(Table1_1[[#This Row],[Gross_Sales]]-Table1_1[[#This Row],[Discount_amount]]+Table1_1[[#This Row],[Shipping_Cost]],"")</f>
        <v>6804.5</v>
      </c>
      <c r="U646">
        <f>IFERROR(Table1_1[[#This Row],[Net_Sale]]-(Table1_1[[#This Row],[Gross_Sales]]*70%),"")</f>
        <v>1558</v>
      </c>
      <c r="V646" s="7">
        <f>IFERROR(Table1_1[[#This Row],[Profit]]/Table1_1[[#This Row],[Net_Sale]],"")</f>
        <v>0.22896612535821884</v>
      </c>
      <c r="W646" t="str">
        <f>TEXT(Table1_1[[#This Row],[Order_Date]],"mmm")</f>
        <v>Aug</v>
      </c>
    </row>
    <row r="647" spans="1:23" x14ac:dyDescent="0.25">
      <c r="A647" t="s">
        <v>1023</v>
      </c>
      <c r="B647" t="s">
        <v>228</v>
      </c>
      <c r="C647" s="6">
        <v>45995</v>
      </c>
      <c r="D647" t="s">
        <v>55</v>
      </c>
      <c r="E647" t="s">
        <v>56</v>
      </c>
      <c r="F647" t="s">
        <v>37</v>
      </c>
      <c r="G647" t="s">
        <v>38</v>
      </c>
      <c r="H647">
        <v>1</v>
      </c>
      <c r="I647">
        <v>2499</v>
      </c>
      <c r="J647">
        <v>0</v>
      </c>
      <c r="K647">
        <v>79</v>
      </c>
      <c r="L647" t="s">
        <v>57</v>
      </c>
      <c r="M647" t="s">
        <v>58</v>
      </c>
      <c r="N647" t="s">
        <v>102</v>
      </c>
      <c r="O647" t="s">
        <v>93</v>
      </c>
      <c r="P647" t="s">
        <v>33</v>
      </c>
      <c r="Q647">
        <v>3</v>
      </c>
      <c r="R647">
        <f>IFERROR(Table1_1[[#This Row],[Unit_Price]]*Table1_1[[#This Row],[Quantity]],"")</f>
        <v>2499</v>
      </c>
      <c r="S647">
        <f>IFERROR(Table1_1[[#This Row],[Gross_Sales]]*Table1_1[[#This Row],[Discount_%]],"")</f>
        <v>0</v>
      </c>
      <c r="T647">
        <f>IFERROR(Table1_1[[#This Row],[Gross_Sales]]-Table1_1[[#This Row],[Discount_amount]]+Table1_1[[#This Row],[Shipping_Cost]],"")</f>
        <v>2578</v>
      </c>
      <c r="U647">
        <f>IFERROR(Table1_1[[#This Row],[Net_Sale]]-(Table1_1[[#This Row],[Gross_Sales]]*70%),"")</f>
        <v>828.7</v>
      </c>
      <c r="V647" s="7">
        <f>IFERROR(Table1_1[[#This Row],[Profit]]/Table1_1[[#This Row],[Net_Sale]],"")</f>
        <v>0.32145073700543059</v>
      </c>
      <c r="W647" t="str">
        <f>TEXT(Table1_1[[#This Row],[Order_Date]],"mmm")</f>
        <v>Dec</v>
      </c>
    </row>
    <row r="648" spans="1:23" x14ac:dyDescent="0.25">
      <c r="A648" t="s">
        <v>1024</v>
      </c>
      <c r="B648" t="s">
        <v>457</v>
      </c>
      <c r="C648" s="6">
        <v>45759</v>
      </c>
      <c r="D648" t="s">
        <v>105</v>
      </c>
      <c r="E648" t="s">
        <v>106</v>
      </c>
      <c r="F648" t="s">
        <v>37</v>
      </c>
      <c r="G648" t="s">
        <v>107</v>
      </c>
      <c r="H648">
        <v>1</v>
      </c>
      <c r="I648">
        <v>1799</v>
      </c>
      <c r="J648">
        <v>0.1</v>
      </c>
      <c r="K648">
        <v>0</v>
      </c>
      <c r="L648" t="s">
        <v>29</v>
      </c>
      <c r="M648" t="s">
        <v>30</v>
      </c>
      <c r="N648" t="s">
        <v>40</v>
      </c>
      <c r="O648" t="s">
        <v>59</v>
      </c>
      <c r="P648" t="s">
        <v>85</v>
      </c>
      <c r="Q648">
        <v>3</v>
      </c>
      <c r="R648">
        <f>IFERROR(Table1_1[[#This Row],[Unit_Price]]*Table1_1[[#This Row],[Quantity]],"")</f>
        <v>1799</v>
      </c>
      <c r="S648">
        <f>IFERROR(Table1_1[[#This Row],[Gross_Sales]]*Table1_1[[#This Row],[Discount_%]],"")</f>
        <v>179.9</v>
      </c>
      <c r="T648">
        <f>IFERROR(Table1_1[[#This Row],[Gross_Sales]]-Table1_1[[#This Row],[Discount_amount]]+Table1_1[[#This Row],[Shipping_Cost]],"")</f>
        <v>1619.1</v>
      </c>
      <c r="U648">
        <f>IFERROR(Table1_1[[#This Row],[Net_Sale]]-(Table1_1[[#This Row],[Gross_Sales]]*70%),"")</f>
        <v>359.79999999999995</v>
      </c>
      <c r="V648" s="7">
        <f>IFERROR(Table1_1[[#This Row],[Profit]]/Table1_1[[#This Row],[Net_Sale]],"")</f>
        <v>0.22222222222222221</v>
      </c>
      <c r="W648" t="str">
        <f>TEXT(Table1_1[[#This Row],[Order_Date]],"mmm")</f>
        <v>Apr</v>
      </c>
    </row>
    <row r="649" spans="1:23" x14ac:dyDescent="0.25">
      <c r="A649" t="s">
        <v>1025</v>
      </c>
      <c r="B649" t="s">
        <v>731</v>
      </c>
      <c r="C649" s="6">
        <v>45987</v>
      </c>
      <c r="D649" t="s">
        <v>77</v>
      </c>
      <c r="E649" t="s">
        <v>78</v>
      </c>
      <c r="F649" t="s">
        <v>79</v>
      </c>
      <c r="G649" t="s">
        <v>28</v>
      </c>
      <c r="H649">
        <v>2</v>
      </c>
      <c r="I649">
        <v>6499</v>
      </c>
      <c r="J649">
        <v>0.2</v>
      </c>
      <c r="K649">
        <v>99</v>
      </c>
      <c r="L649" t="s">
        <v>125</v>
      </c>
      <c r="M649" t="s">
        <v>126</v>
      </c>
      <c r="N649" t="s">
        <v>40</v>
      </c>
      <c r="O649" t="s">
        <v>32</v>
      </c>
      <c r="P649" t="s">
        <v>52</v>
      </c>
      <c r="Q649">
        <v>3</v>
      </c>
      <c r="R649">
        <f>IFERROR(Table1_1[[#This Row],[Unit_Price]]*Table1_1[[#This Row],[Quantity]],"")</f>
        <v>12998</v>
      </c>
      <c r="S649">
        <f>IFERROR(Table1_1[[#This Row],[Gross_Sales]]*Table1_1[[#This Row],[Discount_%]],"")</f>
        <v>2599.6000000000004</v>
      </c>
      <c r="T649">
        <f>IFERROR(Table1_1[[#This Row],[Gross_Sales]]-Table1_1[[#This Row],[Discount_amount]]+Table1_1[[#This Row],[Shipping_Cost]],"")</f>
        <v>10497.4</v>
      </c>
      <c r="U649">
        <f>IFERROR(Table1_1[[#This Row],[Net_Sale]]-(Table1_1[[#This Row],[Gross_Sales]]*70%),"")</f>
        <v>1398.8000000000011</v>
      </c>
      <c r="V649" s="7">
        <f>IFERROR(Table1_1[[#This Row],[Profit]]/Table1_1[[#This Row],[Net_Sale]],"")</f>
        <v>0.13325204336311861</v>
      </c>
      <c r="W649" t="str">
        <f>TEXT(Table1_1[[#This Row],[Order_Date]],"mmm")</f>
        <v>Nov</v>
      </c>
    </row>
    <row r="650" spans="1:23" x14ac:dyDescent="0.25">
      <c r="A650" t="s">
        <v>1026</v>
      </c>
      <c r="B650" t="s">
        <v>202</v>
      </c>
      <c r="C650" s="6">
        <v>45786</v>
      </c>
      <c r="D650" t="s">
        <v>105</v>
      </c>
      <c r="E650" t="s">
        <v>106</v>
      </c>
      <c r="F650" t="s">
        <v>37</v>
      </c>
      <c r="G650" t="s">
        <v>107</v>
      </c>
      <c r="H650">
        <v>1</v>
      </c>
      <c r="I650">
        <v>1799</v>
      </c>
      <c r="J650">
        <v>0.2</v>
      </c>
      <c r="K650">
        <v>49</v>
      </c>
      <c r="L650" t="s">
        <v>119</v>
      </c>
      <c r="M650" t="s">
        <v>120</v>
      </c>
      <c r="N650" t="s">
        <v>31</v>
      </c>
      <c r="O650" t="s">
        <v>93</v>
      </c>
      <c r="P650" t="s">
        <v>33</v>
      </c>
      <c r="Q650">
        <v>3</v>
      </c>
      <c r="R650">
        <f>IFERROR(Table1_1[[#This Row],[Unit_Price]]*Table1_1[[#This Row],[Quantity]],"")</f>
        <v>1799</v>
      </c>
      <c r="S650">
        <f>IFERROR(Table1_1[[#This Row],[Gross_Sales]]*Table1_1[[#This Row],[Discount_%]],"")</f>
        <v>359.8</v>
      </c>
      <c r="T650">
        <f>IFERROR(Table1_1[[#This Row],[Gross_Sales]]-Table1_1[[#This Row],[Discount_amount]]+Table1_1[[#This Row],[Shipping_Cost]],"")</f>
        <v>1488.2</v>
      </c>
      <c r="U650">
        <f>IFERROR(Table1_1[[#This Row],[Net_Sale]]-(Table1_1[[#This Row],[Gross_Sales]]*70%),"")</f>
        <v>228.90000000000009</v>
      </c>
      <c r="V650" s="7">
        <f>IFERROR(Table1_1[[#This Row],[Profit]]/Table1_1[[#This Row],[Net_Sale]],"")</f>
        <v>0.15380997177798689</v>
      </c>
      <c r="W650" t="str">
        <f>TEXT(Table1_1[[#This Row],[Order_Date]],"mmm")</f>
        <v>May</v>
      </c>
    </row>
    <row r="651" spans="1:23" x14ac:dyDescent="0.25">
      <c r="A651" t="s">
        <v>1027</v>
      </c>
      <c r="B651" t="s">
        <v>857</v>
      </c>
      <c r="C651" s="6">
        <v>45749</v>
      </c>
      <c r="D651" t="s">
        <v>55</v>
      </c>
      <c r="E651" t="s">
        <v>56</v>
      </c>
      <c r="F651" t="s">
        <v>37</v>
      </c>
      <c r="G651" t="s">
        <v>38</v>
      </c>
      <c r="H651">
        <v>2</v>
      </c>
      <c r="I651">
        <v>2499</v>
      </c>
      <c r="J651">
        <v>0.05</v>
      </c>
      <c r="K651">
        <v>49</v>
      </c>
      <c r="L651" t="s">
        <v>119</v>
      </c>
      <c r="M651" t="s">
        <v>120</v>
      </c>
      <c r="N651" t="s">
        <v>102</v>
      </c>
      <c r="O651" t="s">
        <v>32</v>
      </c>
      <c r="P651" t="s">
        <v>80</v>
      </c>
      <c r="Q651">
        <v>1</v>
      </c>
      <c r="R651">
        <f>IFERROR(Table1_1[[#This Row],[Unit_Price]]*Table1_1[[#This Row],[Quantity]],"")</f>
        <v>4998</v>
      </c>
      <c r="S651">
        <f>IFERROR(Table1_1[[#This Row],[Gross_Sales]]*Table1_1[[#This Row],[Discount_%]],"")</f>
        <v>249.9</v>
      </c>
      <c r="T651">
        <f>IFERROR(Table1_1[[#This Row],[Gross_Sales]]-Table1_1[[#This Row],[Discount_amount]]+Table1_1[[#This Row],[Shipping_Cost]],"")</f>
        <v>4797.1000000000004</v>
      </c>
      <c r="U651">
        <f>IFERROR(Table1_1[[#This Row],[Net_Sale]]-(Table1_1[[#This Row],[Gross_Sales]]*70%),"")</f>
        <v>1298.5000000000005</v>
      </c>
      <c r="V651" s="7">
        <f>IFERROR(Table1_1[[#This Row],[Profit]]/Table1_1[[#This Row],[Net_Sale]],"")</f>
        <v>0.27068437180796739</v>
      </c>
      <c r="W651" t="str">
        <f>TEXT(Table1_1[[#This Row],[Order_Date]],"mmm")</f>
        <v>Apr</v>
      </c>
    </row>
    <row r="652" spans="1:23" x14ac:dyDescent="0.25">
      <c r="A652" t="s">
        <v>1028</v>
      </c>
      <c r="B652" t="s">
        <v>336</v>
      </c>
      <c r="C652" s="6">
        <v>45896</v>
      </c>
      <c r="D652" t="s">
        <v>55</v>
      </c>
      <c r="E652" t="s">
        <v>56</v>
      </c>
      <c r="F652" t="s">
        <v>37</v>
      </c>
      <c r="G652" t="s">
        <v>38</v>
      </c>
      <c r="H652">
        <v>3</v>
      </c>
      <c r="I652">
        <v>2499</v>
      </c>
      <c r="J652">
        <v>0.1</v>
      </c>
      <c r="K652">
        <v>79</v>
      </c>
      <c r="L652" t="s">
        <v>83</v>
      </c>
      <c r="M652" t="s">
        <v>84</v>
      </c>
      <c r="N652" t="s">
        <v>71</v>
      </c>
      <c r="O652" t="s">
        <v>32</v>
      </c>
      <c r="P652" t="s">
        <v>80</v>
      </c>
      <c r="Q652">
        <v>3</v>
      </c>
      <c r="R652">
        <f>IFERROR(Table1_1[[#This Row],[Unit_Price]]*Table1_1[[#This Row],[Quantity]],"")</f>
        <v>7497</v>
      </c>
      <c r="S652">
        <f>IFERROR(Table1_1[[#This Row],[Gross_Sales]]*Table1_1[[#This Row],[Discount_%]],"")</f>
        <v>749.7</v>
      </c>
      <c r="T652">
        <f>IFERROR(Table1_1[[#This Row],[Gross_Sales]]-Table1_1[[#This Row],[Discount_amount]]+Table1_1[[#This Row],[Shipping_Cost]],"")</f>
        <v>6826.3</v>
      </c>
      <c r="U652">
        <f>IFERROR(Table1_1[[#This Row],[Net_Sale]]-(Table1_1[[#This Row],[Gross_Sales]]*70%),"")</f>
        <v>1578.4000000000005</v>
      </c>
      <c r="V652" s="7">
        <f>IFERROR(Table1_1[[#This Row],[Profit]]/Table1_1[[#This Row],[Net_Sale]],"")</f>
        <v>0.23122335672326158</v>
      </c>
      <c r="W652" t="str">
        <f>TEXT(Table1_1[[#This Row],[Order_Date]],"mmm")</f>
        <v>Aug</v>
      </c>
    </row>
    <row r="653" spans="1:23" x14ac:dyDescent="0.25">
      <c r="A653" t="s">
        <v>1029</v>
      </c>
      <c r="B653" t="s">
        <v>142</v>
      </c>
      <c r="C653" s="6">
        <v>45674</v>
      </c>
      <c r="D653" t="s">
        <v>62</v>
      </c>
      <c r="E653" t="s">
        <v>63</v>
      </c>
      <c r="F653" t="s">
        <v>46</v>
      </c>
      <c r="G653" t="s">
        <v>64</v>
      </c>
      <c r="H653">
        <v>1</v>
      </c>
      <c r="I653">
        <v>699</v>
      </c>
      <c r="J653">
        <v>0.1</v>
      </c>
      <c r="K653">
        <v>79</v>
      </c>
      <c r="L653" t="s">
        <v>83</v>
      </c>
      <c r="M653" t="s">
        <v>84</v>
      </c>
      <c r="N653" t="s">
        <v>40</v>
      </c>
      <c r="O653" t="s">
        <v>59</v>
      </c>
      <c r="P653" t="s">
        <v>33</v>
      </c>
      <c r="Q653">
        <v>4</v>
      </c>
      <c r="R653">
        <f>IFERROR(Table1_1[[#This Row],[Unit_Price]]*Table1_1[[#This Row],[Quantity]],"")</f>
        <v>699</v>
      </c>
      <c r="S653">
        <f>IFERROR(Table1_1[[#This Row],[Gross_Sales]]*Table1_1[[#This Row],[Discount_%]],"")</f>
        <v>69.900000000000006</v>
      </c>
      <c r="T653">
        <f>IFERROR(Table1_1[[#This Row],[Gross_Sales]]-Table1_1[[#This Row],[Discount_amount]]+Table1_1[[#This Row],[Shipping_Cost]],"")</f>
        <v>708.1</v>
      </c>
      <c r="U653">
        <f>IFERROR(Table1_1[[#This Row],[Net_Sale]]-(Table1_1[[#This Row],[Gross_Sales]]*70%),"")</f>
        <v>218.80000000000007</v>
      </c>
      <c r="V653" s="7">
        <f>IFERROR(Table1_1[[#This Row],[Profit]]/Table1_1[[#This Row],[Net_Sale]],"")</f>
        <v>0.30899590453325809</v>
      </c>
      <c r="W653" t="str">
        <f>TEXT(Table1_1[[#This Row],[Order_Date]],"mmm")</f>
        <v>Jan</v>
      </c>
    </row>
    <row r="654" spans="1:23" x14ac:dyDescent="0.25">
      <c r="A654" t="s">
        <v>1030</v>
      </c>
      <c r="B654" t="s">
        <v>1031</v>
      </c>
      <c r="C654" s="6">
        <v>45995</v>
      </c>
      <c r="D654" t="s">
        <v>35</v>
      </c>
      <c r="E654" t="s">
        <v>36</v>
      </c>
      <c r="F654" t="s">
        <v>37</v>
      </c>
      <c r="G654" t="s">
        <v>38</v>
      </c>
      <c r="H654">
        <v>1</v>
      </c>
      <c r="I654">
        <v>599</v>
      </c>
      <c r="J654">
        <v>0</v>
      </c>
      <c r="K654">
        <v>79</v>
      </c>
      <c r="L654" t="s">
        <v>39</v>
      </c>
      <c r="M654" t="s">
        <v>39</v>
      </c>
      <c r="N654" t="s">
        <v>50</v>
      </c>
      <c r="O654" t="s">
        <v>51</v>
      </c>
      <c r="P654" t="s">
        <v>80</v>
      </c>
      <c r="Q654">
        <v>3</v>
      </c>
      <c r="R654">
        <f>IFERROR(Table1_1[[#This Row],[Unit_Price]]*Table1_1[[#This Row],[Quantity]],"")</f>
        <v>599</v>
      </c>
      <c r="S654">
        <f>IFERROR(Table1_1[[#This Row],[Gross_Sales]]*Table1_1[[#This Row],[Discount_%]],"")</f>
        <v>0</v>
      </c>
      <c r="T654">
        <f>IFERROR(Table1_1[[#This Row],[Gross_Sales]]-Table1_1[[#This Row],[Discount_amount]]+Table1_1[[#This Row],[Shipping_Cost]],"")</f>
        <v>678</v>
      </c>
      <c r="U654">
        <f>IFERROR(Table1_1[[#This Row],[Net_Sale]]-(Table1_1[[#This Row],[Gross_Sales]]*70%),"")</f>
        <v>258.70000000000005</v>
      </c>
      <c r="V654" s="7">
        <f>IFERROR(Table1_1[[#This Row],[Profit]]/Table1_1[[#This Row],[Net_Sale]],"")</f>
        <v>0.38156342182890862</v>
      </c>
      <c r="W654" t="str">
        <f>TEXT(Table1_1[[#This Row],[Order_Date]],"mmm")</f>
        <v>Dec</v>
      </c>
    </row>
    <row r="655" spans="1:23" x14ac:dyDescent="0.25">
      <c r="A655" t="s">
        <v>1032</v>
      </c>
      <c r="B655" t="s">
        <v>334</v>
      </c>
      <c r="C655" s="6">
        <v>45949</v>
      </c>
      <c r="D655" t="s">
        <v>96</v>
      </c>
      <c r="E655" t="s">
        <v>97</v>
      </c>
      <c r="F655" t="s">
        <v>98</v>
      </c>
      <c r="G655" t="s">
        <v>99</v>
      </c>
      <c r="H655">
        <v>3</v>
      </c>
      <c r="I655">
        <v>1499</v>
      </c>
      <c r="J655">
        <v>0.15</v>
      </c>
      <c r="K655">
        <v>99</v>
      </c>
      <c r="L655" t="s">
        <v>119</v>
      </c>
      <c r="M655" t="s">
        <v>120</v>
      </c>
      <c r="N655" t="s">
        <v>40</v>
      </c>
      <c r="O655" t="s">
        <v>59</v>
      </c>
      <c r="P655" t="s">
        <v>80</v>
      </c>
      <c r="Q655">
        <v>5</v>
      </c>
      <c r="R655">
        <f>IFERROR(Table1_1[[#This Row],[Unit_Price]]*Table1_1[[#This Row],[Quantity]],"")</f>
        <v>4497</v>
      </c>
      <c r="S655">
        <f>IFERROR(Table1_1[[#This Row],[Gross_Sales]]*Table1_1[[#This Row],[Discount_%]],"")</f>
        <v>674.55</v>
      </c>
      <c r="T655">
        <f>IFERROR(Table1_1[[#This Row],[Gross_Sales]]-Table1_1[[#This Row],[Discount_amount]]+Table1_1[[#This Row],[Shipping_Cost]],"")</f>
        <v>3921.45</v>
      </c>
      <c r="U655">
        <f>IFERROR(Table1_1[[#This Row],[Net_Sale]]-(Table1_1[[#This Row],[Gross_Sales]]*70%),"")</f>
        <v>773.55000000000018</v>
      </c>
      <c r="V655" s="7">
        <f>IFERROR(Table1_1[[#This Row],[Profit]]/Table1_1[[#This Row],[Net_Sale]],"")</f>
        <v>0.19726121715181891</v>
      </c>
      <c r="W655" t="str">
        <f>TEXT(Table1_1[[#This Row],[Order_Date]],"mmm")</f>
        <v>Oct</v>
      </c>
    </row>
    <row r="656" spans="1:23" x14ac:dyDescent="0.25">
      <c r="A656" t="s">
        <v>1033</v>
      </c>
      <c r="B656" t="s">
        <v>317</v>
      </c>
      <c r="C656" s="6">
        <v>45792</v>
      </c>
      <c r="D656" t="s">
        <v>105</v>
      </c>
      <c r="E656" t="s">
        <v>106</v>
      </c>
      <c r="F656" t="s">
        <v>37</v>
      </c>
      <c r="G656" t="s">
        <v>107</v>
      </c>
      <c r="H656">
        <v>1</v>
      </c>
      <c r="I656">
        <v>1799</v>
      </c>
      <c r="J656">
        <v>0.15</v>
      </c>
      <c r="K656">
        <v>59</v>
      </c>
      <c r="L656" t="s">
        <v>83</v>
      </c>
      <c r="M656" t="s">
        <v>84</v>
      </c>
      <c r="N656" t="s">
        <v>71</v>
      </c>
      <c r="O656" t="s">
        <v>93</v>
      </c>
      <c r="P656" t="s">
        <v>52</v>
      </c>
      <c r="Q656">
        <v>1</v>
      </c>
      <c r="R656">
        <f>IFERROR(Table1_1[[#This Row],[Unit_Price]]*Table1_1[[#This Row],[Quantity]],"")</f>
        <v>1799</v>
      </c>
      <c r="S656">
        <f>IFERROR(Table1_1[[#This Row],[Gross_Sales]]*Table1_1[[#This Row],[Discount_%]],"")</f>
        <v>269.84999999999997</v>
      </c>
      <c r="T656">
        <f>IFERROR(Table1_1[[#This Row],[Gross_Sales]]-Table1_1[[#This Row],[Discount_amount]]+Table1_1[[#This Row],[Shipping_Cost]],"")</f>
        <v>1588.15</v>
      </c>
      <c r="U656">
        <f>IFERROR(Table1_1[[#This Row],[Net_Sale]]-(Table1_1[[#This Row],[Gross_Sales]]*70%),"")</f>
        <v>328.85000000000014</v>
      </c>
      <c r="V656" s="7">
        <f>IFERROR(Table1_1[[#This Row],[Profit]]/Table1_1[[#This Row],[Net_Sale]],"")</f>
        <v>0.20706482385165137</v>
      </c>
      <c r="W656" t="str">
        <f>TEXT(Table1_1[[#This Row],[Order_Date]],"mmm")</f>
        <v>May</v>
      </c>
    </row>
    <row r="657" spans="1:23" x14ac:dyDescent="0.25">
      <c r="A657" t="s">
        <v>1034</v>
      </c>
      <c r="B657" t="s">
        <v>1035</v>
      </c>
      <c r="C657" s="6">
        <v>45845</v>
      </c>
      <c r="D657" t="s">
        <v>44</v>
      </c>
      <c r="E657" t="s">
        <v>45</v>
      </c>
      <c r="F657" t="s">
        <v>46</v>
      </c>
      <c r="G657" t="s">
        <v>47</v>
      </c>
      <c r="H657">
        <v>1</v>
      </c>
      <c r="I657">
        <v>1199</v>
      </c>
      <c r="J657">
        <v>0.15</v>
      </c>
      <c r="K657">
        <v>0</v>
      </c>
      <c r="L657" t="s">
        <v>39</v>
      </c>
      <c r="M657" t="s">
        <v>39</v>
      </c>
      <c r="N657" t="s">
        <v>40</v>
      </c>
      <c r="O657" t="s">
        <v>93</v>
      </c>
      <c r="P657" t="s">
        <v>80</v>
      </c>
      <c r="Q657">
        <v>4</v>
      </c>
      <c r="R657">
        <f>IFERROR(Table1_1[[#This Row],[Unit_Price]]*Table1_1[[#This Row],[Quantity]],"")</f>
        <v>1199</v>
      </c>
      <c r="S657">
        <f>IFERROR(Table1_1[[#This Row],[Gross_Sales]]*Table1_1[[#This Row],[Discount_%]],"")</f>
        <v>179.85</v>
      </c>
      <c r="T657">
        <f>IFERROR(Table1_1[[#This Row],[Gross_Sales]]-Table1_1[[#This Row],[Discount_amount]]+Table1_1[[#This Row],[Shipping_Cost]],"")</f>
        <v>1019.15</v>
      </c>
      <c r="U657">
        <f>IFERROR(Table1_1[[#This Row],[Net_Sale]]-(Table1_1[[#This Row],[Gross_Sales]]*70%),"")</f>
        <v>179.85000000000002</v>
      </c>
      <c r="V657" s="7">
        <f>IFERROR(Table1_1[[#This Row],[Profit]]/Table1_1[[#This Row],[Net_Sale]],"")</f>
        <v>0.17647058823529416</v>
      </c>
      <c r="W657" t="str">
        <f>TEXT(Table1_1[[#This Row],[Order_Date]],"mmm")</f>
        <v>Jul</v>
      </c>
    </row>
    <row r="658" spans="1:23" x14ac:dyDescent="0.25">
      <c r="A658" t="s">
        <v>1036</v>
      </c>
      <c r="B658" t="s">
        <v>748</v>
      </c>
      <c r="C658" s="6">
        <v>45686</v>
      </c>
      <c r="D658" t="s">
        <v>169</v>
      </c>
      <c r="E658" t="s">
        <v>170</v>
      </c>
      <c r="F658" t="s">
        <v>98</v>
      </c>
      <c r="G658" t="s">
        <v>171</v>
      </c>
      <c r="H658">
        <v>1</v>
      </c>
      <c r="I658">
        <v>799</v>
      </c>
      <c r="J658">
        <v>0</v>
      </c>
      <c r="K658">
        <v>59</v>
      </c>
      <c r="L658" t="s">
        <v>74</v>
      </c>
      <c r="M658" t="s">
        <v>49</v>
      </c>
      <c r="N658" t="s">
        <v>31</v>
      </c>
      <c r="O658" t="s">
        <v>51</v>
      </c>
      <c r="P658" t="s">
        <v>33</v>
      </c>
      <c r="Q658">
        <v>1</v>
      </c>
      <c r="R658">
        <f>IFERROR(Table1_1[[#This Row],[Unit_Price]]*Table1_1[[#This Row],[Quantity]],"")</f>
        <v>799</v>
      </c>
      <c r="S658">
        <f>IFERROR(Table1_1[[#This Row],[Gross_Sales]]*Table1_1[[#This Row],[Discount_%]],"")</f>
        <v>0</v>
      </c>
      <c r="T658">
        <f>IFERROR(Table1_1[[#This Row],[Gross_Sales]]-Table1_1[[#This Row],[Discount_amount]]+Table1_1[[#This Row],[Shipping_Cost]],"")</f>
        <v>858</v>
      </c>
      <c r="U658">
        <f>IFERROR(Table1_1[[#This Row],[Net_Sale]]-(Table1_1[[#This Row],[Gross_Sales]]*70%),"")</f>
        <v>298.70000000000005</v>
      </c>
      <c r="V658" s="7">
        <f>IFERROR(Table1_1[[#This Row],[Profit]]/Table1_1[[#This Row],[Net_Sale]],"")</f>
        <v>0.34813519813519817</v>
      </c>
      <c r="W658" t="str">
        <f>TEXT(Table1_1[[#This Row],[Order_Date]],"mmm")</f>
        <v>Jan</v>
      </c>
    </row>
    <row r="659" spans="1:23" x14ac:dyDescent="0.25">
      <c r="A659" t="s">
        <v>1037</v>
      </c>
      <c r="B659" t="s">
        <v>372</v>
      </c>
      <c r="C659" s="6">
        <v>45824</v>
      </c>
      <c r="D659" t="s">
        <v>169</v>
      </c>
      <c r="E659" t="s">
        <v>170</v>
      </c>
      <c r="F659" t="s">
        <v>98</v>
      </c>
      <c r="G659" t="s">
        <v>171</v>
      </c>
      <c r="H659">
        <v>1</v>
      </c>
      <c r="I659">
        <v>799</v>
      </c>
      <c r="J659">
        <v>0.1</v>
      </c>
      <c r="K659">
        <v>99</v>
      </c>
      <c r="L659" t="s">
        <v>100</v>
      </c>
      <c r="M659" t="s">
        <v>101</v>
      </c>
      <c r="N659" t="s">
        <v>272</v>
      </c>
      <c r="O659" t="s">
        <v>51</v>
      </c>
      <c r="P659" t="s">
        <v>80</v>
      </c>
      <c r="Q659">
        <v>1</v>
      </c>
      <c r="R659">
        <f>IFERROR(Table1_1[[#This Row],[Unit_Price]]*Table1_1[[#This Row],[Quantity]],"")</f>
        <v>799</v>
      </c>
      <c r="S659">
        <f>IFERROR(Table1_1[[#This Row],[Gross_Sales]]*Table1_1[[#This Row],[Discount_%]],"")</f>
        <v>79.900000000000006</v>
      </c>
      <c r="T659">
        <f>IFERROR(Table1_1[[#This Row],[Gross_Sales]]-Table1_1[[#This Row],[Discount_amount]]+Table1_1[[#This Row],[Shipping_Cost]],"")</f>
        <v>818.1</v>
      </c>
      <c r="U659">
        <f>IFERROR(Table1_1[[#This Row],[Net_Sale]]-(Table1_1[[#This Row],[Gross_Sales]]*70%),"")</f>
        <v>258.80000000000007</v>
      </c>
      <c r="V659" s="7">
        <f>IFERROR(Table1_1[[#This Row],[Profit]]/Table1_1[[#This Row],[Net_Sale]],"")</f>
        <v>0.31634274538564977</v>
      </c>
      <c r="W659" t="str">
        <f>TEXT(Table1_1[[#This Row],[Order_Date]],"mmm")</f>
        <v>Jun</v>
      </c>
    </row>
    <row r="660" spans="1:23" x14ac:dyDescent="0.25">
      <c r="A660" t="s">
        <v>1038</v>
      </c>
      <c r="B660" t="s">
        <v>754</v>
      </c>
      <c r="C660" s="6">
        <v>45820</v>
      </c>
      <c r="D660" t="s">
        <v>77</v>
      </c>
      <c r="E660" t="s">
        <v>78</v>
      </c>
      <c r="F660" t="s">
        <v>79</v>
      </c>
      <c r="G660" t="s">
        <v>28</v>
      </c>
      <c r="H660">
        <v>2</v>
      </c>
      <c r="I660">
        <v>6499</v>
      </c>
      <c r="J660">
        <v>0.05</v>
      </c>
      <c r="K660">
        <v>99</v>
      </c>
      <c r="L660" t="s">
        <v>119</v>
      </c>
      <c r="M660" t="s">
        <v>120</v>
      </c>
      <c r="N660" t="s">
        <v>40</v>
      </c>
      <c r="O660" t="s">
        <v>93</v>
      </c>
      <c r="P660" t="s">
        <v>52</v>
      </c>
      <c r="Q660">
        <v>3</v>
      </c>
      <c r="R660">
        <f>IFERROR(Table1_1[[#This Row],[Unit_Price]]*Table1_1[[#This Row],[Quantity]],"")</f>
        <v>12998</v>
      </c>
      <c r="S660">
        <f>IFERROR(Table1_1[[#This Row],[Gross_Sales]]*Table1_1[[#This Row],[Discount_%]],"")</f>
        <v>649.90000000000009</v>
      </c>
      <c r="T660">
        <f>IFERROR(Table1_1[[#This Row],[Gross_Sales]]-Table1_1[[#This Row],[Discount_amount]]+Table1_1[[#This Row],[Shipping_Cost]],"")</f>
        <v>12447.1</v>
      </c>
      <c r="U660">
        <f>IFERROR(Table1_1[[#This Row],[Net_Sale]]-(Table1_1[[#This Row],[Gross_Sales]]*70%),"")</f>
        <v>3348.5000000000018</v>
      </c>
      <c r="V660" s="7">
        <f>IFERROR(Table1_1[[#This Row],[Profit]]/Table1_1[[#This Row],[Net_Sale]],"")</f>
        <v>0.26901848623374131</v>
      </c>
      <c r="W660" t="str">
        <f>TEXT(Table1_1[[#This Row],[Order_Date]],"mmm")</f>
        <v>Jun</v>
      </c>
    </row>
    <row r="661" spans="1:23" x14ac:dyDescent="0.25">
      <c r="A661" t="s">
        <v>1039</v>
      </c>
      <c r="B661" t="s">
        <v>166</v>
      </c>
      <c r="C661" s="6">
        <v>45915</v>
      </c>
      <c r="D661" t="s">
        <v>25</v>
      </c>
      <c r="E661" t="s">
        <v>26</v>
      </c>
      <c r="F661" t="s">
        <v>27</v>
      </c>
      <c r="G661" t="s">
        <v>28</v>
      </c>
      <c r="H661">
        <v>1</v>
      </c>
      <c r="I661">
        <v>249</v>
      </c>
      <c r="J661">
        <v>0.15</v>
      </c>
      <c r="K661">
        <v>59</v>
      </c>
      <c r="L661" t="s">
        <v>113</v>
      </c>
      <c r="M661" t="s">
        <v>114</v>
      </c>
      <c r="N661" t="s">
        <v>40</v>
      </c>
      <c r="O661" t="s">
        <v>41</v>
      </c>
      <c r="P661" t="s">
        <v>33</v>
      </c>
      <c r="Q661">
        <v>4</v>
      </c>
      <c r="R661">
        <f>IFERROR(Table1_1[[#This Row],[Unit_Price]]*Table1_1[[#This Row],[Quantity]],"")</f>
        <v>249</v>
      </c>
      <c r="S661">
        <f>IFERROR(Table1_1[[#This Row],[Gross_Sales]]*Table1_1[[#This Row],[Discount_%]],"")</f>
        <v>37.35</v>
      </c>
      <c r="T661">
        <f>IFERROR(Table1_1[[#This Row],[Gross_Sales]]-Table1_1[[#This Row],[Discount_amount]]+Table1_1[[#This Row],[Shipping_Cost]],"")</f>
        <v>270.64999999999998</v>
      </c>
      <c r="U661">
        <f>IFERROR(Table1_1[[#This Row],[Net_Sale]]-(Table1_1[[#This Row],[Gross_Sales]]*70%),"")</f>
        <v>96.35</v>
      </c>
      <c r="V661" s="7">
        <f>IFERROR(Table1_1[[#This Row],[Profit]]/Table1_1[[#This Row],[Net_Sale]],"")</f>
        <v>0.35599482726768888</v>
      </c>
      <c r="W661" t="str">
        <f>TEXT(Table1_1[[#This Row],[Order_Date]],"mmm")</f>
        <v>Sep</v>
      </c>
    </row>
    <row r="662" spans="1:23" x14ac:dyDescent="0.25">
      <c r="A662" t="s">
        <v>1040</v>
      </c>
      <c r="B662" t="s">
        <v>226</v>
      </c>
      <c r="C662" s="6">
        <v>45932</v>
      </c>
      <c r="D662" t="s">
        <v>25</v>
      </c>
      <c r="E662" t="s">
        <v>26</v>
      </c>
      <c r="F662" t="s">
        <v>27</v>
      </c>
      <c r="G662" t="s">
        <v>28</v>
      </c>
      <c r="H662">
        <v>3</v>
      </c>
      <c r="I662">
        <v>249</v>
      </c>
      <c r="J662">
        <v>0</v>
      </c>
      <c r="K662">
        <v>59</v>
      </c>
      <c r="L662" t="s">
        <v>29</v>
      </c>
      <c r="M662" t="s">
        <v>30</v>
      </c>
      <c r="N662" t="s">
        <v>40</v>
      </c>
      <c r="O662" t="s">
        <v>41</v>
      </c>
      <c r="P662" t="s">
        <v>33</v>
      </c>
      <c r="Q662">
        <v>5</v>
      </c>
      <c r="R662">
        <f>IFERROR(Table1_1[[#This Row],[Unit_Price]]*Table1_1[[#This Row],[Quantity]],"")</f>
        <v>747</v>
      </c>
      <c r="S662">
        <f>IFERROR(Table1_1[[#This Row],[Gross_Sales]]*Table1_1[[#This Row],[Discount_%]],"")</f>
        <v>0</v>
      </c>
      <c r="T662">
        <f>IFERROR(Table1_1[[#This Row],[Gross_Sales]]-Table1_1[[#This Row],[Discount_amount]]+Table1_1[[#This Row],[Shipping_Cost]],"")</f>
        <v>806</v>
      </c>
      <c r="U662">
        <f>IFERROR(Table1_1[[#This Row],[Net_Sale]]-(Table1_1[[#This Row],[Gross_Sales]]*70%),"")</f>
        <v>283.10000000000002</v>
      </c>
      <c r="V662" s="7">
        <f>IFERROR(Table1_1[[#This Row],[Profit]]/Table1_1[[#This Row],[Net_Sale]],"")</f>
        <v>0.35124069478908193</v>
      </c>
      <c r="W662" t="str">
        <f>TEXT(Table1_1[[#This Row],[Order_Date]],"mmm")</f>
        <v>Oct</v>
      </c>
    </row>
    <row r="663" spans="1:23" x14ac:dyDescent="0.25">
      <c r="A663" t="s">
        <v>1041</v>
      </c>
      <c r="B663" t="s">
        <v>578</v>
      </c>
      <c r="C663" s="6">
        <v>45954</v>
      </c>
      <c r="D663" t="s">
        <v>77</v>
      </c>
      <c r="E663" t="s">
        <v>78</v>
      </c>
      <c r="F663" t="s">
        <v>79</v>
      </c>
      <c r="G663" t="s">
        <v>28</v>
      </c>
      <c r="H663">
        <v>2</v>
      </c>
      <c r="I663">
        <v>6499</v>
      </c>
      <c r="J663">
        <v>0.05</v>
      </c>
      <c r="K663">
        <v>0</v>
      </c>
      <c r="L663" t="s">
        <v>29</v>
      </c>
      <c r="M663" t="s">
        <v>30</v>
      </c>
      <c r="N663" t="s">
        <v>102</v>
      </c>
      <c r="O663" t="s">
        <v>59</v>
      </c>
      <c r="P663" t="s">
        <v>33</v>
      </c>
      <c r="Q663">
        <v>4</v>
      </c>
      <c r="R663">
        <f>IFERROR(Table1_1[[#This Row],[Unit_Price]]*Table1_1[[#This Row],[Quantity]],"")</f>
        <v>12998</v>
      </c>
      <c r="S663">
        <f>IFERROR(Table1_1[[#This Row],[Gross_Sales]]*Table1_1[[#This Row],[Discount_%]],"")</f>
        <v>649.90000000000009</v>
      </c>
      <c r="T663">
        <f>IFERROR(Table1_1[[#This Row],[Gross_Sales]]-Table1_1[[#This Row],[Discount_amount]]+Table1_1[[#This Row],[Shipping_Cost]],"")</f>
        <v>12348.1</v>
      </c>
      <c r="U663">
        <f>IFERROR(Table1_1[[#This Row],[Net_Sale]]-(Table1_1[[#This Row],[Gross_Sales]]*70%),"")</f>
        <v>3249.5000000000018</v>
      </c>
      <c r="V663" s="7">
        <f>IFERROR(Table1_1[[#This Row],[Profit]]/Table1_1[[#This Row],[Net_Sale]],"")</f>
        <v>0.26315789473684226</v>
      </c>
      <c r="W663" t="str">
        <f>TEXT(Table1_1[[#This Row],[Order_Date]],"mmm")</f>
        <v>Oct</v>
      </c>
    </row>
    <row r="664" spans="1:23" x14ac:dyDescent="0.25">
      <c r="A664" t="s">
        <v>1042</v>
      </c>
      <c r="B664" t="s">
        <v>304</v>
      </c>
      <c r="C664" s="6">
        <v>45991</v>
      </c>
      <c r="D664" t="s">
        <v>67</v>
      </c>
      <c r="E664" t="s">
        <v>68</v>
      </c>
      <c r="F664" t="s">
        <v>37</v>
      </c>
      <c r="G664" t="s">
        <v>38</v>
      </c>
      <c r="H664">
        <v>3</v>
      </c>
      <c r="I664">
        <v>1299</v>
      </c>
      <c r="J664">
        <v>0.1</v>
      </c>
      <c r="K664">
        <v>99</v>
      </c>
      <c r="L664" t="s">
        <v>74</v>
      </c>
      <c r="M664" t="s">
        <v>49</v>
      </c>
      <c r="N664" t="s">
        <v>50</v>
      </c>
      <c r="O664" t="s">
        <v>59</v>
      </c>
      <c r="P664" t="s">
        <v>33</v>
      </c>
      <c r="Q664">
        <v>4</v>
      </c>
      <c r="R664">
        <f>IFERROR(Table1_1[[#This Row],[Unit_Price]]*Table1_1[[#This Row],[Quantity]],"")</f>
        <v>3897</v>
      </c>
      <c r="S664">
        <f>IFERROR(Table1_1[[#This Row],[Gross_Sales]]*Table1_1[[#This Row],[Discount_%]],"")</f>
        <v>389.70000000000005</v>
      </c>
      <c r="T664">
        <f>IFERROR(Table1_1[[#This Row],[Gross_Sales]]-Table1_1[[#This Row],[Discount_amount]]+Table1_1[[#This Row],[Shipping_Cost]],"")</f>
        <v>3606.3</v>
      </c>
      <c r="U664">
        <f>IFERROR(Table1_1[[#This Row],[Net_Sale]]-(Table1_1[[#This Row],[Gross_Sales]]*70%),"")</f>
        <v>878.40000000000055</v>
      </c>
      <c r="V664" s="7">
        <f>IFERROR(Table1_1[[#This Row],[Profit]]/Table1_1[[#This Row],[Net_Sale]],"")</f>
        <v>0.2435737459445971</v>
      </c>
      <c r="W664" t="str">
        <f>TEXT(Table1_1[[#This Row],[Order_Date]],"mmm")</f>
        <v>Nov</v>
      </c>
    </row>
    <row r="665" spans="1:23" x14ac:dyDescent="0.25">
      <c r="A665" t="s">
        <v>1043</v>
      </c>
      <c r="B665" t="s">
        <v>436</v>
      </c>
      <c r="C665" s="6">
        <v>46001</v>
      </c>
      <c r="D665" t="s">
        <v>110</v>
      </c>
      <c r="E665" t="s">
        <v>111</v>
      </c>
      <c r="F665" t="s">
        <v>98</v>
      </c>
      <c r="G665" t="s">
        <v>112</v>
      </c>
      <c r="H665">
        <v>2</v>
      </c>
      <c r="I665">
        <v>2999</v>
      </c>
      <c r="J665">
        <v>0.2</v>
      </c>
      <c r="K665">
        <v>99</v>
      </c>
      <c r="L665" t="s">
        <v>125</v>
      </c>
      <c r="M665" t="s">
        <v>126</v>
      </c>
      <c r="N665" t="s">
        <v>102</v>
      </c>
      <c r="O665" t="s">
        <v>59</v>
      </c>
      <c r="P665" t="s">
        <v>33</v>
      </c>
      <c r="Q665">
        <v>2</v>
      </c>
      <c r="R665">
        <f>IFERROR(Table1_1[[#This Row],[Unit_Price]]*Table1_1[[#This Row],[Quantity]],"")</f>
        <v>5998</v>
      </c>
      <c r="S665">
        <f>IFERROR(Table1_1[[#This Row],[Gross_Sales]]*Table1_1[[#This Row],[Discount_%]],"")</f>
        <v>1199.6000000000001</v>
      </c>
      <c r="T665">
        <f>IFERROR(Table1_1[[#This Row],[Gross_Sales]]-Table1_1[[#This Row],[Discount_amount]]+Table1_1[[#This Row],[Shipping_Cost]],"")</f>
        <v>4897.3999999999996</v>
      </c>
      <c r="U665">
        <f>IFERROR(Table1_1[[#This Row],[Net_Sale]]-(Table1_1[[#This Row],[Gross_Sales]]*70%),"")</f>
        <v>698.80000000000018</v>
      </c>
      <c r="V665" s="7">
        <f>IFERROR(Table1_1[[#This Row],[Profit]]/Table1_1[[#This Row],[Net_Sale]],"")</f>
        <v>0.14268795687507663</v>
      </c>
      <c r="W665" t="str">
        <f>TEXT(Table1_1[[#This Row],[Order_Date]],"mmm")</f>
        <v>Dec</v>
      </c>
    </row>
    <row r="666" spans="1:23" x14ac:dyDescent="0.25">
      <c r="A666" t="s">
        <v>1044</v>
      </c>
      <c r="B666" t="s">
        <v>600</v>
      </c>
      <c r="C666" s="6">
        <v>45984</v>
      </c>
      <c r="D666" t="s">
        <v>25</v>
      </c>
      <c r="E666" t="s">
        <v>26</v>
      </c>
      <c r="F666" t="s">
        <v>27</v>
      </c>
      <c r="G666" t="s">
        <v>28</v>
      </c>
      <c r="H666">
        <v>1</v>
      </c>
      <c r="I666">
        <v>249</v>
      </c>
      <c r="J666">
        <v>0.1</v>
      </c>
      <c r="K666">
        <v>99</v>
      </c>
      <c r="L666" t="s">
        <v>119</v>
      </c>
      <c r="M666" t="s">
        <v>120</v>
      </c>
      <c r="N666" t="s">
        <v>102</v>
      </c>
      <c r="O666" t="s">
        <v>41</v>
      </c>
      <c r="P666" t="s">
        <v>85</v>
      </c>
      <c r="Q666">
        <v>3</v>
      </c>
      <c r="R666">
        <f>IFERROR(Table1_1[[#This Row],[Unit_Price]]*Table1_1[[#This Row],[Quantity]],"")</f>
        <v>249</v>
      </c>
      <c r="S666">
        <f>IFERROR(Table1_1[[#This Row],[Gross_Sales]]*Table1_1[[#This Row],[Discount_%]],"")</f>
        <v>24.900000000000002</v>
      </c>
      <c r="T666">
        <f>IFERROR(Table1_1[[#This Row],[Gross_Sales]]-Table1_1[[#This Row],[Discount_amount]]+Table1_1[[#This Row],[Shipping_Cost]],"")</f>
        <v>323.10000000000002</v>
      </c>
      <c r="U666">
        <f>IFERROR(Table1_1[[#This Row],[Net_Sale]]-(Table1_1[[#This Row],[Gross_Sales]]*70%),"")</f>
        <v>148.80000000000004</v>
      </c>
      <c r="V666" s="7">
        <f>IFERROR(Table1_1[[#This Row],[Profit]]/Table1_1[[#This Row],[Net_Sale]],"")</f>
        <v>0.46053853296193137</v>
      </c>
      <c r="W666" t="str">
        <f>TEXT(Table1_1[[#This Row],[Order_Date]],"mmm")</f>
        <v>Nov</v>
      </c>
    </row>
    <row r="667" spans="1:23" x14ac:dyDescent="0.25">
      <c r="A667" t="s">
        <v>1045</v>
      </c>
      <c r="B667" t="s">
        <v>87</v>
      </c>
      <c r="C667" s="6">
        <v>46008</v>
      </c>
      <c r="D667" t="s">
        <v>90</v>
      </c>
      <c r="E667" t="s">
        <v>91</v>
      </c>
      <c r="F667" t="s">
        <v>37</v>
      </c>
      <c r="G667" t="s">
        <v>92</v>
      </c>
      <c r="H667">
        <v>1</v>
      </c>
      <c r="I667">
        <v>3499</v>
      </c>
      <c r="J667">
        <v>0.1</v>
      </c>
      <c r="K667">
        <v>59</v>
      </c>
      <c r="L667" t="s">
        <v>100</v>
      </c>
      <c r="M667" t="s">
        <v>101</v>
      </c>
      <c r="N667" t="s">
        <v>50</v>
      </c>
      <c r="O667" t="s">
        <v>59</v>
      </c>
      <c r="P667" t="s">
        <v>52</v>
      </c>
      <c r="Q667">
        <v>3</v>
      </c>
      <c r="R667">
        <f>IFERROR(Table1_1[[#This Row],[Unit_Price]]*Table1_1[[#This Row],[Quantity]],"")</f>
        <v>3499</v>
      </c>
      <c r="S667">
        <f>IFERROR(Table1_1[[#This Row],[Gross_Sales]]*Table1_1[[#This Row],[Discount_%]],"")</f>
        <v>349.90000000000003</v>
      </c>
      <c r="T667">
        <f>IFERROR(Table1_1[[#This Row],[Gross_Sales]]-Table1_1[[#This Row],[Discount_amount]]+Table1_1[[#This Row],[Shipping_Cost]],"")</f>
        <v>3208.1</v>
      </c>
      <c r="U667">
        <f>IFERROR(Table1_1[[#This Row],[Net_Sale]]-(Table1_1[[#This Row],[Gross_Sales]]*70%),"")</f>
        <v>758.80000000000018</v>
      </c>
      <c r="V667" s="7">
        <f>IFERROR(Table1_1[[#This Row],[Profit]]/Table1_1[[#This Row],[Net_Sale]],"")</f>
        <v>0.23652629282129617</v>
      </c>
      <c r="W667" t="str">
        <f>TEXT(Table1_1[[#This Row],[Order_Date]],"mmm")</f>
        <v>Dec</v>
      </c>
    </row>
    <row r="668" spans="1:23" x14ac:dyDescent="0.25">
      <c r="A668" t="s">
        <v>1046</v>
      </c>
      <c r="B668" t="s">
        <v>160</v>
      </c>
      <c r="C668" s="6">
        <v>45965</v>
      </c>
      <c r="D668" t="s">
        <v>110</v>
      </c>
      <c r="E668" t="s">
        <v>111</v>
      </c>
      <c r="F668" t="s">
        <v>98</v>
      </c>
      <c r="G668" t="s">
        <v>112</v>
      </c>
      <c r="H668">
        <v>1</v>
      </c>
      <c r="I668">
        <v>2017</v>
      </c>
      <c r="J668">
        <v>0</v>
      </c>
      <c r="K668">
        <v>49</v>
      </c>
      <c r="L668" t="s">
        <v>100</v>
      </c>
      <c r="M668" t="s">
        <v>101</v>
      </c>
      <c r="N668" t="s">
        <v>31</v>
      </c>
      <c r="O668" t="s">
        <v>41</v>
      </c>
      <c r="P668" t="s">
        <v>33</v>
      </c>
      <c r="Q668">
        <v>3</v>
      </c>
      <c r="R668">
        <f>IFERROR(Table1_1[[#This Row],[Unit_Price]]*Table1_1[[#This Row],[Quantity]],"")</f>
        <v>2017</v>
      </c>
      <c r="S668">
        <f>IFERROR(Table1_1[[#This Row],[Gross_Sales]]*Table1_1[[#This Row],[Discount_%]],"")</f>
        <v>0</v>
      </c>
      <c r="T668">
        <f>IFERROR(Table1_1[[#This Row],[Gross_Sales]]-Table1_1[[#This Row],[Discount_amount]]+Table1_1[[#This Row],[Shipping_Cost]],"")</f>
        <v>2066</v>
      </c>
      <c r="U668">
        <f>IFERROR(Table1_1[[#This Row],[Net_Sale]]-(Table1_1[[#This Row],[Gross_Sales]]*70%),"")</f>
        <v>654.10000000000014</v>
      </c>
      <c r="V668" s="7">
        <f>IFERROR(Table1_1[[#This Row],[Profit]]/Table1_1[[#This Row],[Net_Sale]],"")</f>
        <v>0.31660212971926432</v>
      </c>
      <c r="W668" t="str">
        <f>TEXT(Table1_1[[#This Row],[Order_Date]],"mmm")</f>
        <v>Nov</v>
      </c>
    </row>
    <row r="669" spans="1:23" x14ac:dyDescent="0.25">
      <c r="A669" t="s">
        <v>1047</v>
      </c>
      <c r="B669" t="s">
        <v>315</v>
      </c>
      <c r="C669" s="6">
        <v>45881</v>
      </c>
      <c r="D669" t="s">
        <v>110</v>
      </c>
      <c r="E669" t="s">
        <v>111</v>
      </c>
      <c r="F669" t="s">
        <v>98</v>
      </c>
      <c r="G669" t="s">
        <v>112</v>
      </c>
      <c r="H669">
        <v>2</v>
      </c>
      <c r="I669">
        <v>2999</v>
      </c>
      <c r="J669">
        <v>0</v>
      </c>
      <c r="K669">
        <v>49</v>
      </c>
      <c r="L669" t="s">
        <v>119</v>
      </c>
      <c r="M669" t="s">
        <v>120</v>
      </c>
      <c r="N669" t="s">
        <v>50</v>
      </c>
      <c r="O669" t="s">
        <v>93</v>
      </c>
      <c r="P669" t="s">
        <v>33</v>
      </c>
      <c r="Q669">
        <v>3</v>
      </c>
      <c r="R669">
        <f>IFERROR(Table1_1[[#This Row],[Unit_Price]]*Table1_1[[#This Row],[Quantity]],"")</f>
        <v>5998</v>
      </c>
      <c r="S669">
        <f>IFERROR(Table1_1[[#This Row],[Gross_Sales]]*Table1_1[[#This Row],[Discount_%]],"")</f>
        <v>0</v>
      </c>
      <c r="T669">
        <f>IFERROR(Table1_1[[#This Row],[Gross_Sales]]-Table1_1[[#This Row],[Discount_amount]]+Table1_1[[#This Row],[Shipping_Cost]],"")</f>
        <v>6047</v>
      </c>
      <c r="U669">
        <f>IFERROR(Table1_1[[#This Row],[Net_Sale]]-(Table1_1[[#This Row],[Gross_Sales]]*70%),"")</f>
        <v>1848.4000000000005</v>
      </c>
      <c r="V669" s="7">
        <f>IFERROR(Table1_1[[#This Row],[Profit]]/Table1_1[[#This Row],[Net_Sale]],"")</f>
        <v>0.30567223416570211</v>
      </c>
      <c r="W669" t="str">
        <f>TEXT(Table1_1[[#This Row],[Order_Date]],"mmm")</f>
        <v>Aug</v>
      </c>
    </row>
    <row r="670" spans="1:23" x14ac:dyDescent="0.25">
      <c r="A670" t="s">
        <v>1048</v>
      </c>
      <c r="B670" t="s">
        <v>304</v>
      </c>
      <c r="C670" s="6">
        <v>45679</v>
      </c>
      <c r="D670" t="s">
        <v>110</v>
      </c>
      <c r="E670" t="s">
        <v>111</v>
      </c>
      <c r="F670" t="s">
        <v>98</v>
      </c>
      <c r="G670" t="s">
        <v>112</v>
      </c>
      <c r="H670">
        <v>1</v>
      </c>
      <c r="I670">
        <v>2999</v>
      </c>
      <c r="J670">
        <v>0</v>
      </c>
      <c r="K670">
        <v>0</v>
      </c>
      <c r="L670" t="s">
        <v>83</v>
      </c>
      <c r="M670" t="s">
        <v>84</v>
      </c>
      <c r="N670" t="s">
        <v>102</v>
      </c>
      <c r="O670" t="s">
        <v>51</v>
      </c>
      <c r="P670" t="s">
        <v>33</v>
      </c>
      <c r="Q670">
        <v>3</v>
      </c>
      <c r="R670">
        <f>IFERROR(Table1_1[[#This Row],[Unit_Price]]*Table1_1[[#This Row],[Quantity]],"")</f>
        <v>2999</v>
      </c>
      <c r="S670">
        <f>IFERROR(Table1_1[[#This Row],[Gross_Sales]]*Table1_1[[#This Row],[Discount_%]],"")</f>
        <v>0</v>
      </c>
      <c r="T670">
        <f>IFERROR(Table1_1[[#This Row],[Gross_Sales]]-Table1_1[[#This Row],[Discount_amount]]+Table1_1[[#This Row],[Shipping_Cost]],"")</f>
        <v>2999</v>
      </c>
      <c r="U670">
        <f>IFERROR(Table1_1[[#This Row],[Net_Sale]]-(Table1_1[[#This Row],[Gross_Sales]]*70%),"")</f>
        <v>899.70000000000027</v>
      </c>
      <c r="V670" s="7">
        <f>IFERROR(Table1_1[[#This Row],[Profit]]/Table1_1[[#This Row],[Net_Sale]],"")</f>
        <v>0.3000000000000001</v>
      </c>
      <c r="W670" t="str">
        <f>TEXT(Table1_1[[#This Row],[Order_Date]],"mmm")</f>
        <v>Jan</v>
      </c>
    </row>
    <row r="671" spans="1:23" x14ac:dyDescent="0.25">
      <c r="A671" t="s">
        <v>1049</v>
      </c>
      <c r="B671" t="s">
        <v>327</v>
      </c>
      <c r="C671" s="6">
        <v>46001</v>
      </c>
      <c r="D671" t="s">
        <v>55</v>
      </c>
      <c r="E671" t="s">
        <v>56</v>
      </c>
      <c r="F671" t="s">
        <v>37</v>
      </c>
      <c r="G671" t="s">
        <v>38</v>
      </c>
      <c r="H671">
        <v>3</v>
      </c>
      <c r="I671">
        <v>2499</v>
      </c>
      <c r="J671">
        <v>0.1</v>
      </c>
      <c r="K671">
        <v>49</v>
      </c>
      <c r="L671" t="s">
        <v>57</v>
      </c>
      <c r="M671" t="s">
        <v>58</v>
      </c>
      <c r="N671" t="s">
        <v>31</v>
      </c>
      <c r="O671" t="s">
        <v>32</v>
      </c>
      <c r="P671" t="s">
        <v>33</v>
      </c>
      <c r="Q671">
        <v>3</v>
      </c>
      <c r="R671">
        <f>IFERROR(Table1_1[[#This Row],[Unit_Price]]*Table1_1[[#This Row],[Quantity]],"")</f>
        <v>7497</v>
      </c>
      <c r="S671">
        <f>IFERROR(Table1_1[[#This Row],[Gross_Sales]]*Table1_1[[#This Row],[Discount_%]],"")</f>
        <v>749.7</v>
      </c>
      <c r="T671">
        <f>IFERROR(Table1_1[[#This Row],[Gross_Sales]]-Table1_1[[#This Row],[Discount_amount]]+Table1_1[[#This Row],[Shipping_Cost]],"")</f>
        <v>6796.3</v>
      </c>
      <c r="U671">
        <f>IFERROR(Table1_1[[#This Row],[Net_Sale]]-(Table1_1[[#This Row],[Gross_Sales]]*70%),"")</f>
        <v>1548.4000000000005</v>
      </c>
      <c r="V671" s="7">
        <f>IFERROR(Table1_1[[#This Row],[Profit]]/Table1_1[[#This Row],[Net_Sale]],"")</f>
        <v>0.22782984859408803</v>
      </c>
      <c r="W671" t="str">
        <f>TEXT(Table1_1[[#This Row],[Order_Date]],"mmm")</f>
        <v>Dec</v>
      </c>
    </row>
    <row r="672" spans="1:23" x14ac:dyDescent="0.25">
      <c r="A672" t="s">
        <v>1050</v>
      </c>
      <c r="B672" t="s">
        <v>587</v>
      </c>
      <c r="C672" s="6">
        <v>45955</v>
      </c>
      <c r="D672" t="s">
        <v>62</v>
      </c>
      <c r="E672" t="s">
        <v>63</v>
      </c>
      <c r="F672" t="s">
        <v>46</v>
      </c>
      <c r="G672" t="s">
        <v>64</v>
      </c>
      <c r="H672">
        <v>2</v>
      </c>
      <c r="I672">
        <v>699</v>
      </c>
      <c r="J672">
        <v>0</v>
      </c>
      <c r="K672">
        <v>49</v>
      </c>
      <c r="L672" t="s">
        <v>29</v>
      </c>
      <c r="M672" t="s">
        <v>30</v>
      </c>
      <c r="N672" t="s">
        <v>71</v>
      </c>
      <c r="O672" t="s">
        <v>51</v>
      </c>
      <c r="P672" t="s">
        <v>52</v>
      </c>
      <c r="Q672">
        <v>3</v>
      </c>
      <c r="R672">
        <f>IFERROR(Table1_1[[#This Row],[Unit_Price]]*Table1_1[[#This Row],[Quantity]],"")</f>
        <v>1398</v>
      </c>
      <c r="S672">
        <f>IFERROR(Table1_1[[#This Row],[Gross_Sales]]*Table1_1[[#This Row],[Discount_%]],"")</f>
        <v>0</v>
      </c>
      <c r="T672">
        <f>IFERROR(Table1_1[[#This Row],[Gross_Sales]]-Table1_1[[#This Row],[Discount_amount]]+Table1_1[[#This Row],[Shipping_Cost]],"")</f>
        <v>1447</v>
      </c>
      <c r="U672">
        <f>IFERROR(Table1_1[[#This Row],[Net_Sale]]-(Table1_1[[#This Row],[Gross_Sales]]*70%),"")</f>
        <v>468.40000000000009</v>
      </c>
      <c r="V672" s="7">
        <f>IFERROR(Table1_1[[#This Row],[Profit]]/Table1_1[[#This Row],[Net_Sale]],"")</f>
        <v>0.32370421561852114</v>
      </c>
      <c r="W672" t="str">
        <f>TEXT(Table1_1[[#This Row],[Order_Date]],"mmm")</f>
        <v>Oct</v>
      </c>
    </row>
    <row r="673" spans="1:23" x14ac:dyDescent="0.25">
      <c r="A673" t="s">
        <v>1051</v>
      </c>
      <c r="B673" t="s">
        <v>132</v>
      </c>
      <c r="C673" s="6">
        <v>45778</v>
      </c>
      <c r="D673" t="s">
        <v>44</v>
      </c>
      <c r="E673" t="s">
        <v>45</v>
      </c>
      <c r="F673" t="s">
        <v>46</v>
      </c>
      <c r="G673" t="s">
        <v>47</v>
      </c>
      <c r="H673">
        <v>3</v>
      </c>
      <c r="I673">
        <v>1199</v>
      </c>
      <c r="J673">
        <v>0</v>
      </c>
      <c r="K673">
        <v>49</v>
      </c>
      <c r="L673" t="s">
        <v>57</v>
      </c>
      <c r="M673" t="s">
        <v>58</v>
      </c>
      <c r="N673" t="s">
        <v>71</v>
      </c>
      <c r="O673" t="s">
        <v>59</v>
      </c>
      <c r="P673" t="s">
        <v>33</v>
      </c>
      <c r="Q673">
        <v>4</v>
      </c>
      <c r="R673">
        <f>IFERROR(Table1_1[[#This Row],[Unit_Price]]*Table1_1[[#This Row],[Quantity]],"")</f>
        <v>3597</v>
      </c>
      <c r="S673">
        <f>IFERROR(Table1_1[[#This Row],[Gross_Sales]]*Table1_1[[#This Row],[Discount_%]],"")</f>
        <v>0</v>
      </c>
      <c r="T673">
        <f>IFERROR(Table1_1[[#This Row],[Gross_Sales]]-Table1_1[[#This Row],[Discount_amount]]+Table1_1[[#This Row],[Shipping_Cost]],"")</f>
        <v>3646</v>
      </c>
      <c r="U673">
        <f>IFERROR(Table1_1[[#This Row],[Net_Sale]]-(Table1_1[[#This Row],[Gross_Sales]]*70%),"")</f>
        <v>1128.1000000000004</v>
      </c>
      <c r="V673" s="7">
        <f>IFERROR(Table1_1[[#This Row],[Profit]]/Table1_1[[#This Row],[Net_Sale]],"")</f>
        <v>0.30940756993966001</v>
      </c>
      <c r="W673" t="str">
        <f>TEXT(Table1_1[[#This Row],[Order_Date]],"mmm")</f>
        <v>May</v>
      </c>
    </row>
    <row r="674" spans="1:23" x14ac:dyDescent="0.25">
      <c r="A674" t="s">
        <v>1052</v>
      </c>
      <c r="B674" t="s">
        <v>1053</v>
      </c>
      <c r="C674" s="6">
        <v>45931</v>
      </c>
      <c r="D674" t="s">
        <v>110</v>
      </c>
      <c r="E674" t="s">
        <v>111</v>
      </c>
      <c r="F674" t="s">
        <v>98</v>
      </c>
      <c r="G674" t="s">
        <v>112</v>
      </c>
      <c r="H674">
        <v>1</v>
      </c>
      <c r="I674">
        <v>2999</v>
      </c>
      <c r="J674">
        <v>0.05</v>
      </c>
      <c r="K674">
        <v>99</v>
      </c>
      <c r="L674" t="s">
        <v>125</v>
      </c>
      <c r="M674" t="s">
        <v>126</v>
      </c>
      <c r="N674" t="s">
        <v>40</v>
      </c>
      <c r="O674" t="s">
        <v>41</v>
      </c>
      <c r="P674" t="s">
        <v>33</v>
      </c>
      <c r="Q674">
        <v>3</v>
      </c>
      <c r="R674">
        <f>IFERROR(Table1_1[[#This Row],[Unit_Price]]*Table1_1[[#This Row],[Quantity]],"")</f>
        <v>2999</v>
      </c>
      <c r="S674">
        <f>IFERROR(Table1_1[[#This Row],[Gross_Sales]]*Table1_1[[#This Row],[Discount_%]],"")</f>
        <v>149.95000000000002</v>
      </c>
      <c r="T674">
        <f>IFERROR(Table1_1[[#This Row],[Gross_Sales]]-Table1_1[[#This Row],[Discount_amount]]+Table1_1[[#This Row],[Shipping_Cost]],"")</f>
        <v>2948.05</v>
      </c>
      <c r="U674">
        <f>IFERROR(Table1_1[[#This Row],[Net_Sale]]-(Table1_1[[#This Row],[Gross_Sales]]*70%),"")</f>
        <v>848.75000000000045</v>
      </c>
      <c r="V674" s="7">
        <f>IFERROR(Table1_1[[#This Row],[Profit]]/Table1_1[[#This Row],[Net_Sale]],"")</f>
        <v>0.28790217262258117</v>
      </c>
      <c r="W674" t="str">
        <f>TEXT(Table1_1[[#This Row],[Order_Date]],"mmm")</f>
        <v>Oct</v>
      </c>
    </row>
    <row r="675" spans="1:23" x14ac:dyDescent="0.25">
      <c r="A675" t="s">
        <v>1054</v>
      </c>
      <c r="B675" t="s">
        <v>356</v>
      </c>
      <c r="C675" s="6">
        <v>45846</v>
      </c>
      <c r="D675" t="s">
        <v>105</v>
      </c>
      <c r="E675" t="s">
        <v>106</v>
      </c>
      <c r="F675" t="s">
        <v>37</v>
      </c>
      <c r="G675" t="s">
        <v>107</v>
      </c>
      <c r="H675">
        <v>2</v>
      </c>
      <c r="I675">
        <v>1799</v>
      </c>
      <c r="J675">
        <v>0.15</v>
      </c>
      <c r="K675">
        <v>0</v>
      </c>
      <c r="L675" t="s">
        <v>74</v>
      </c>
      <c r="M675" t="s">
        <v>49</v>
      </c>
      <c r="N675" t="s">
        <v>50</v>
      </c>
      <c r="O675" t="s">
        <v>51</v>
      </c>
      <c r="P675" t="s">
        <v>80</v>
      </c>
      <c r="Q675">
        <v>5</v>
      </c>
      <c r="R675">
        <f>IFERROR(Table1_1[[#This Row],[Unit_Price]]*Table1_1[[#This Row],[Quantity]],"")</f>
        <v>3598</v>
      </c>
      <c r="S675">
        <f>IFERROR(Table1_1[[#This Row],[Gross_Sales]]*Table1_1[[#This Row],[Discount_%]],"")</f>
        <v>539.69999999999993</v>
      </c>
      <c r="T675">
        <f>IFERROR(Table1_1[[#This Row],[Gross_Sales]]-Table1_1[[#This Row],[Discount_amount]]+Table1_1[[#This Row],[Shipping_Cost]],"")</f>
        <v>3058.3</v>
      </c>
      <c r="U675">
        <f>IFERROR(Table1_1[[#This Row],[Net_Sale]]-(Table1_1[[#This Row],[Gross_Sales]]*70%),"")</f>
        <v>539.70000000000027</v>
      </c>
      <c r="V675" s="7">
        <f>IFERROR(Table1_1[[#This Row],[Profit]]/Table1_1[[#This Row],[Net_Sale]],"")</f>
        <v>0.17647058823529418</v>
      </c>
      <c r="W675" t="str">
        <f>TEXT(Table1_1[[#This Row],[Order_Date]],"mmm")</f>
        <v>Jul</v>
      </c>
    </row>
    <row r="676" spans="1:23" x14ac:dyDescent="0.25">
      <c r="A676" t="s">
        <v>1055</v>
      </c>
      <c r="B676" t="s">
        <v>349</v>
      </c>
      <c r="C676" s="6">
        <v>46016</v>
      </c>
      <c r="D676" t="s">
        <v>96</v>
      </c>
      <c r="E676" t="s">
        <v>97</v>
      </c>
      <c r="F676" t="s">
        <v>98</v>
      </c>
      <c r="G676" t="s">
        <v>99</v>
      </c>
      <c r="H676">
        <v>2</v>
      </c>
      <c r="I676">
        <v>1499</v>
      </c>
      <c r="J676">
        <v>0</v>
      </c>
      <c r="K676">
        <v>99</v>
      </c>
      <c r="L676" t="s">
        <v>48</v>
      </c>
      <c r="M676" t="s">
        <v>49</v>
      </c>
      <c r="N676" t="s">
        <v>40</v>
      </c>
      <c r="O676" t="s">
        <v>59</v>
      </c>
      <c r="P676" t="s">
        <v>80</v>
      </c>
      <c r="Q676">
        <v>1</v>
      </c>
      <c r="R676">
        <f>IFERROR(Table1_1[[#This Row],[Unit_Price]]*Table1_1[[#This Row],[Quantity]],"")</f>
        <v>2998</v>
      </c>
      <c r="S676">
        <f>IFERROR(Table1_1[[#This Row],[Gross_Sales]]*Table1_1[[#This Row],[Discount_%]],"")</f>
        <v>0</v>
      </c>
      <c r="T676">
        <f>IFERROR(Table1_1[[#This Row],[Gross_Sales]]-Table1_1[[#This Row],[Discount_amount]]+Table1_1[[#This Row],[Shipping_Cost]],"")</f>
        <v>3097</v>
      </c>
      <c r="U676">
        <f>IFERROR(Table1_1[[#This Row],[Net_Sale]]-(Table1_1[[#This Row],[Gross_Sales]]*70%),"")</f>
        <v>998.40000000000009</v>
      </c>
      <c r="V676" s="7">
        <f>IFERROR(Table1_1[[#This Row],[Profit]]/Table1_1[[#This Row],[Net_Sale]],"")</f>
        <v>0.32237649338069102</v>
      </c>
      <c r="W676" t="str">
        <f>TEXT(Table1_1[[#This Row],[Order_Date]],"mmm")</f>
        <v>Dec</v>
      </c>
    </row>
    <row r="677" spans="1:23" x14ac:dyDescent="0.25">
      <c r="A677" t="s">
        <v>1056</v>
      </c>
      <c r="B677" t="s">
        <v>287</v>
      </c>
      <c r="C677" s="6">
        <v>45778</v>
      </c>
      <c r="D677" t="s">
        <v>96</v>
      </c>
      <c r="E677" t="s">
        <v>97</v>
      </c>
      <c r="F677" t="s">
        <v>98</v>
      </c>
      <c r="G677" t="s">
        <v>99</v>
      </c>
      <c r="H677">
        <v>1</v>
      </c>
      <c r="I677">
        <v>1499</v>
      </c>
      <c r="J677">
        <v>0.1</v>
      </c>
      <c r="K677">
        <v>59</v>
      </c>
      <c r="L677" t="s">
        <v>48</v>
      </c>
      <c r="M677" t="s">
        <v>49</v>
      </c>
      <c r="N677" t="s">
        <v>31</v>
      </c>
      <c r="O677" t="s">
        <v>51</v>
      </c>
      <c r="P677" t="s">
        <v>33</v>
      </c>
      <c r="Q677">
        <v>3</v>
      </c>
      <c r="R677">
        <f>IFERROR(Table1_1[[#This Row],[Unit_Price]]*Table1_1[[#This Row],[Quantity]],"")</f>
        <v>1499</v>
      </c>
      <c r="S677">
        <f>IFERROR(Table1_1[[#This Row],[Gross_Sales]]*Table1_1[[#This Row],[Discount_%]],"")</f>
        <v>149.9</v>
      </c>
      <c r="T677">
        <f>IFERROR(Table1_1[[#This Row],[Gross_Sales]]-Table1_1[[#This Row],[Discount_amount]]+Table1_1[[#This Row],[Shipping_Cost]],"")</f>
        <v>1408.1</v>
      </c>
      <c r="U677">
        <f>IFERROR(Table1_1[[#This Row],[Net_Sale]]-(Table1_1[[#This Row],[Gross_Sales]]*70%),"")</f>
        <v>358.79999999999995</v>
      </c>
      <c r="V677" s="7">
        <f>IFERROR(Table1_1[[#This Row],[Profit]]/Table1_1[[#This Row],[Net_Sale]],"")</f>
        <v>0.25481144805056455</v>
      </c>
      <c r="W677" t="str">
        <f>TEXT(Table1_1[[#This Row],[Order_Date]],"mmm")</f>
        <v>May</v>
      </c>
    </row>
    <row r="678" spans="1:23" x14ac:dyDescent="0.25">
      <c r="A678" t="s">
        <v>1057</v>
      </c>
      <c r="B678" t="s">
        <v>922</v>
      </c>
      <c r="C678" s="6">
        <v>45869</v>
      </c>
      <c r="D678" t="s">
        <v>55</v>
      </c>
      <c r="E678" t="s">
        <v>56</v>
      </c>
      <c r="F678" t="s">
        <v>37</v>
      </c>
      <c r="G678" t="s">
        <v>38</v>
      </c>
      <c r="H678">
        <v>2</v>
      </c>
      <c r="I678">
        <v>2499</v>
      </c>
      <c r="J678">
        <v>0</v>
      </c>
      <c r="K678">
        <v>49</v>
      </c>
      <c r="L678" t="s">
        <v>760</v>
      </c>
      <c r="M678" t="s">
        <v>120</v>
      </c>
      <c r="N678" t="s">
        <v>102</v>
      </c>
      <c r="O678" t="s">
        <v>93</v>
      </c>
      <c r="P678" t="s">
        <v>52</v>
      </c>
      <c r="Q678">
        <v>3</v>
      </c>
      <c r="R678">
        <f>IFERROR(Table1_1[[#This Row],[Unit_Price]]*Table1_1[[#This Row],[Quantity]],"")</f>
        <v>4998</v>
      </c>
      <c r="S678">
        <f>IFERROR(Table1_1[[#This Row],[Gross_Sales]]*Table1_1[[#This Row],[Discount_%]],"")</f>
        <v>0</v>
      </c>
      <c r="T678">
        <f>IFERROR(Table1_1[[#This Row],[Gross_Sales]]-Table1_1[[#This Row],[Discount_amount]]+Table1_1[[#This Row],[Shipping_Cost]],"")</f>
        <v>5047</v>
      </c>
      <c r="U678">
        <f>IFERROR(Table1_1[[#This Row],[Net_Sale]]-(Table1_1[[#This Row],[Gross_Sales]]*70%),"")</f>
        <v>1548.4</v>
      </c>
      <c r="V678" s="7">
        <f>IFERROR(Table1_1[[#This Row],[Profit]]/Table1_1[[#This Row],[Net_Sale]],"")</f>
        <v>0.30679611650485439</v>
      </c>
      <c r="W678" t="str">
        <f>TEXT(Table1_1[[#This Row],[Order_Date]],"mmm")</f>
        <v>Jul</v>
      </c>
    </row>
    <row r="679" spans="1:23" x14ac:dyDescent="0.25">
      <c r="A679" t="s">
        <v>1058</v>
      </c>
      <c r="B679" t="s">
        <v>1059</v>
      </c>
      <c r="C679" s="6">
        <v>45938</v>
      </c>
      <c r="D679" t="s">
        <v>96</v>
      </c>
      <c r="E679" t="s">
        <v>97</v>
      </c>
      <c r="F679" t="s">
        <v>98</v>
      </c>
      <c r="G679" t="s">
        <v>99</v>
      </c>
      <c r="H679">
        <v>2</v>
      </c>
      <c r="I679">
        <v>1499</v>
      </c>
      <c r="J679">
        <v>0.2</v>
      </c>
      <c r="K679">
        <v>0</v>
      </c>
      <c r="L679" t="s">
        <v>125</v>
      </c>
      <c r="M679" t="s">
        <v>126</v>
      </c>
      <c r="N679" t="s">
        <v>50</v>
      </c>
      <c r="O679" t="s">
        <v>59</v>
      </c>
      <c r="P679" t="s">
        <v>52</v>
      </c>
      <c r="Q679">
        <v>3</v>
      </c>
      <c r="R679">
        <f>IFERROR(Table1_1[[#This Row],[Unit_Price]]*Table1_1[[#This Row],[Quantity]],"")</f>
        <v>2998</v>
      </c>
      <c r="S679">
        <f>IFERROR(Table1_1[[#This Row],[Gross_Sales]]*Table1_1[[#This Row],[Discount_%]],"")</f>
        <v>599.6</v>
      </c>
      <c r="T679">
        <f>IFERROR(Table1_1[[#This Row],[Gross_Sales]]-Table1_1[[#This Row],[Discount_amount]]+Table1_1[[#This Row],[Shipping_Cost]],"")</f>
        <v>2398.4</v>
      </c>
      <c r="U679">
        <f>IFERROR(Table1_1[[#This Row],[Net_Sale]]-(Table1_1[[#This Row],[Gross_Sales]]*70%),"")</f>
        <v>299.80000000000018</v>
      </c>
      <c r="V679" s="7">
        <f>IFERROR(Table1_1[[#This Row],[Profit]]/Table1_1[[#This Row],[Net_Sale]],"")</f>
        <v>0.12500000000000008</v>
      </c>
      <c r="W679" t="str">
        <f>TEXT(Table1_1[[#This Row],[Order_Date]],"mmm")</f>
        <v>Oct</v>
      </c>
    </row>
    <row r="680" spans="1:23" x14ac:dyDescent="0.25">
      <c r="A680" t="s">
        <v>1061</v>
      </c>
      <c r="B680" t="s">
        <v>1062</v>
      </c>
      <c r="C680" s="6">
        <v>45760</v>
      </c>
      <c r="D680" t="s">
        <v>25</v>
      </c>
      <c r="E680" t="s">
        <v>26</v>
      </c>
      <c r="F680" t="s">
        <v>27</v>
      </c>
      <c r="G680" t="s">
        <v>28</v>
      </c>
      <c r="H680">
        <v>1</v>
      </c>
      <c r="I680">
        <v>249</v>
      </c>
      <c r="J680">
        <v>0.15</v>
      </c>
      <c r="K680">
        <v>0</v>
      </c>
      <c r="L680" t="s">
        <v>100</v>
      </c>
      <c r="M680" t="s">
        <v>101</v>
      </c>
      <c r="N680" t="s">
        <v>50</v>
      </c>
      <c r="O680" t="s">
        <v>41</v>
      </c>
      <c r="P680" t="s">
        <v>33</v>
      </c>
      <c r="Q680">
        <v>5</v>
      </c>
      <c r="R680">
        <f>IFERROR(Table1_1[[#This Row],[Unit_Price]]*Table1_1[[#This Row],[Quantity]],"")</f>
        <v>249</v>
      </c>
      <c r="S680">
        <f>IFERROR(Table1_1[[#This Row],[Gross_Sales]]*Table1_1[[#This Row],[Discount_%]],"")</f>
        <v>37.35</v>
      </c>
      <c r="T680">
        <f>IFERROR(Table1_1[[#This Row],[Gross_Sales]]-Table1_1[[#This Row],[Discount_amount]]+Table1_1[[#This Row],[Shipping_Cost]],"")</f>
        <v>211.65</v>
      </c>
      <c r="U680">
        <f>IFERROR(Table1_1[[#This Row],[Net_Sale]]-(Table1_1[[#This Row],[Gross_Sales]]*70%),"")</f>
        <v>37.350000000000023</v>
      </c>
      <c r="V680" s="7">
        <f>IFERROR(Table1_1[[#This Row],[Profit]]/Table1_1[[#This Row],[Net_Sale]],"")</f>
        <v>0.17647058823529421</v>
      </c>
      <c r="W680" t="str">
        <f>TEXT(Table1_1[[#This Row],[Order_Date]],"mmm")</f>
        <v>Apr</v>
      </c>
    </row>
    <row r="681" spans="1:23" x14ac:dyDescent="0.25">
      <c r="A681" t="s">
        <v>1063</v>
      </c>
      <c r="B681" t="s">
        <v>957</v>
      </c>
      <c r="C681" s="6">
        <v>46009</v>
      </c>
      <c r="D681" t="s">
        <v>77</v>
      </c>
      <c r="E681" t="s">
        <v>78</v>
      </c>
      <c r="F681" t="s">
        <v>79</v>
      </c>
      <c r="G681" t="s">
        <v>28</v>
      </c>
      <c r="H681">
        <v>3</v>
      </c>
      <c r="I681">
        <v>6499</v>
      </c>
      <c r="J681">
        <v>0.1</v>
      </c>
      <c r="K681">
        <v>79</v>
      </c>
      <c r="L681" t="s">
        <v>100</v>
      </c>
      <c r="M681" t="s">
        <v>101</v>
      </c>
      <c r="N681" t="s">
        <v>71</v>
      </c>
      <c r="O681" t="s">
        <v>41</v>
      </c>
      <c r="P681" t="s">
        <v>33</v>
      </c>
      <c r="Q681">
        <v>3</v>
      </c>
      <c r="R681">
        <f>IFERROR(Table1_1[[#This Row],[Unit_Price]]*Table1_1[[#This Row],[Quantity]],"")</f>
        <v>19497</v>
      </c>
      <c r="S681">
        <f>IFERROR(Table1_1[[#This Row],[Gross_Sales]]*Table1_1[[#This Row],[Discount_%]],"")</f>
        <v>1949.7</v>
      </c>
      <c r="T681">
        <f>IFERROR(Table1_1[[#This Row],[Gross_Sales]]-Table1_1[[#This Row],[Discount_amount]]+Table1_1[[#This Row],[Shipping_Cost]],"")</f>
        <v>17626.3</v>
      </c>
      <c r="U681">
        <f>IFERROR(Table1_1[[#This Row],[Net_Sale]]-(Table1_1[[#This Row],[Gross_Sales]]*70%),"")</f>
        <v>3978.3999999999996</v>
      </c>
      <c r="V681" s="7">
        <f>IFERROR(Table1_1[[#This Row],[Profit]]/Table1_1[[#This Row],[Net_Sale]],"")</f>
        <v>0.22570817471619115</v>
      </c>
      <c r="W681" t="str">
        <f>TEXT(Table1_1[[#This Row],[Order_Date]],"mmm")</f>
        <v>Dec</v>
      </c>
    </row>
    <row r="682" spans="1:23" x14ac:dyDescent="0.25">
      <c r="A682" t="s">
        <v>1064</v>
      </c>
      <c r="B682" t="s">
        <v>1065</v>
      </c>
      <c r="C682" s="6">
        <v>45759</v>
      </c>
      <c r="D682" t="s">
        <v>44</v>
      </c>
      <c r="E682" t="s">
        <v>45</v>
      </c>
      <c r="F682" t="s">
        <v>46</v>
      </c>
      <c r="G682" t="s">
        <v>47</v>
      </c>
      <c r="H682">
        <v>3</v>
      </c>
      <c r="I682">
        <v>1199</v>
      </c>
      <c r="J682">
        <v>0</v>
      </c>
      <c r="K682">
        <v>79</v>
      </c>
      <c r="L682" t="s">
        <v>74</v>
      </c>
      <c r="M682" t="s">
        <v>49</v>
      </c>
      <c r="N682" t="s">
        <v>102</v>
      </c>
      <c r="O682" t="s">
        <v>41</v>
      </c>
      <c r="P682" t="s">
        <v>33</v>
      </c>
      <c r="Q682">
        <v>1</v>
      </c>
      <c r="R682">
        <f>IFERROR(Table1_1[[#This Row],[Unit_Price]]*Table1_1[[#This Row],[Quantity]],"")</f>
        <v>3597</v>
      </c>
      <c r="S682">
        <f>IFERROR(Table1_1[[#This Row],[Gross_Sales]]*Table1_1[[#This Row],[Discount_%]],"")</f>
        <v>0</v>
      </c>
      <c r="T682">
        <f>IFERROR(Table1_1[[#This Row],[Gross_Sales]]-Table1_1[[#This Row],[Discount_amount]]+Table1_1[[#This Row],[Shipping_Cost]],"")</f>
        <v>3676</v>
      </c>
      <c r="U682">
        <f>IFERROR(Table1_1[[#This Row],[Net_Sale]]-(Table1_1[[#This Row],[Gross_Sales]]*70%),"")</f>
        <v>1158.1000000000004</v>
      </c>
      <c r="V682" s="7">
        <f>IFERROR(Table1_1[[#This Row],[Profit]]/Table1_1[[#This Row],[Net_Sale]],"")</f>
        <v>0.31504352557127324</v>
      </c>
      <c r="W682" t="str">
        <f>TEXT(Table1_1[[#This Row],[Order_Date]],"mmm")</f>
        <v>Apr</v>
      </c>
    </row>
    <row r="683" spans="1:23" x14ac:dyDescent="0.25">
      <c r="A683" t="s">
        <v>1066</v>
      </c>
      <c r="B683" t="s">
        <v>739</v>
      </c>
      <c r="C683" s="6">
        <v>45978</v>
      </c>
      <c r="D683" t="s">
        <v>35</v>
      </c>
      <c r="E683" t="s">
        <v>36</v>
      </c>
      <c r="F683" t="s">
        <v>37</v>
      </c>
      <c r="G683" t="s">
        <v>38</v>
      </c>
      <c r="H683">
        <v>2</v>
      </c>
      <c r="I683">
        <v>599</v>
      </c>
      <c r="J683">
        <v>0.1</v>
      </c>
      <c r="K683">
        <v>49</v>
      </c>
      <c r="L683" t="s">
        <v>83</v>
      </c>
      <c r="M683" t="s">
        <v>84</v>
      </c>
      <c r="N683" t="s">
        <v>50</v>
      </c>
      <c r="O683" t="s">
        <v>93</v>
      </c>
      <c r="P683" t="s">
        <v>33</v>
      </c>
      <c r="Q683">
        <v>4</v>
      </c>
      <c r="R683">
        <f>IFERROR(Table1_1[[#This Row],[Unit_Price]]*Table1_1[[#This Row],[Quantity]],"")</f>
        <v>1198</v>
      </c>
      <c r="S683">
        <f>IFERROR(Table1_1[[#This Row],[Gross_Sales]]*Table1_1[[#This Row],[Discount_%]],"")</f>
        <v>119.80000000000001</v>
      </c>
      <c r="T683">
        <f>IFERROR(Table1_1[[#This Row],[Gross_Sales]]-Table1_1[[#This Row],[Discount_amount]]+Table1_1[[#This Row],[Shipping_Cost]],"")</f>
        <v>1127.2</v>
      </c>
      <c r="U683">
        <f>IFERROR(Table1_1[[#This Row],[Net_Sale]]-(Table1_1[[#This Row],[Gross_Sales]]*70%),"")</f>
        <v>288.60000000000014</v>
      </c>
      <c r="V683" s="7">
        <f>IFERROR(Table1_1[[#This Row],[Profit]]/Table1_1[[#This Row],[Net_Sale]],"")</f>
        <v>0.25603264726756575</v>
      </c>
      <c r="W683" t="str">
        <f>TEXT(Table1_1[[#This Row],[Order_Date]],"mmm")</f>
        <v>Nov</v>
      </c>
    </row>
    <row r="684" spans="1:23" x14ac:dyDescent="0.25">
      <c r="A684" t="s">
        <v>1067</v>
      </c>
      <c r="B684" t="s">
        <v>805</v>
      </c>
      <c r="C684" s="6">
        <v>45734</v>
      </c>
      <c r="D684" t="s">
        <v>44</v>
      </c>
      <c r="E684" t="s">
        <v>45</v>
      </c>
      <c r="F684" t="s">
        <v>46</v>
      </c>
      <c r="G684" t="s">
        <v>47</v>
      </c>
      <c r="H684">
        <v>2</v>
      </c>
      <c r="I684">
        <v>1199</v>
      </c>
      <c r="J684">
        <v>0.15</v>
      </c>
      <c r="K684">
        <v>0</v>
      </c>
      <c r="L684" t="s">
        <v>57</v>
      </c>
      <c r="M684" t="s">
        <v>58</v>
      </c>
      <c r="N684" t="s">
        <v>102</v>
      </c>
      <c r="O684" t="s">
        <v>59</v>
      </c>
      <c r="P684" t="s">
        <v>33</v>
      </c>
      <c r="Q684">
        <v>3</v>
      </c>
      <c r="R684">
        <f>IFERROR(Table1_1[[#This Row],[Unit_Price]]*Table1_1[[#This Row],[Quantity]],"")</f>
        <v>2398</v>
      </c>
      <c r="S684">
        <f>IFERROR(Table1_1[[#This Row],[Gross_Sales]]*Table1_1[[#This Row],[Discount_%]],"")</f>
        <v>359.7</v>
      </c>
      <c r="T684">
        <f>IFERROR(Table1_1[[#This Row],[Gross_Sales]]-Table1_1[[#This Row],[Discount_amount]]+Table1_1[[#This Row],[Shipping_Cost]],"")</f>
        <v>2038.3</v>
      </c>
      <c r="U684">
        <f>IFERROR(Table1_1[[#This Row],[Net_Sale]]-(Table1_1[[#This Row],[Gross_Sales]]*70%),"")</f>
        <v>359.70000000000005</v>
      </c>
      <c r="V684" s="7">
        <f>IFERROR(Table1_1[[#This Row],[Profit]]/Table1_1[[#This Row],[Net_Sale]],"")</f>
        <v>0.17647058823529416</v>
      </c>
      <c r="W684" t="str">
        <f>TEXT(Table1_1[[#This Row],[Order_Date]],"mmm")</f>
        <v>Mar</v>
      </c>
    </row>
    <row r="685" spans="1:23" x14ac:dyDescent="0.25">
      <c r="A685" t="s">
        <v>1068</v>
      </c>
      <c r="B685" t="s">
        <v>450</v>
      </c>
      <c r="C685" s="6">
        <v>45762</v>
      </c>
      <c r="D685" t="s">
        <v>90</v>
      </c>
      <c r="E685" t="s">
        <v>91</v>
      </c>
      <c r="F685" t="s">
        <v>37</v>
      </c>
      <c r="G685" t="s">
        <v>92</v>
      </c>
      <c r="H685">
        <v>1</v>
      </c>
      <c r="I685">
        <v>3499</v>
      </c>
      <c r="J685">
        <v>0.05</v>
      </c>
      <c r="K685">
        <v>79</v>
      </c>
      <c r="L685" t="s">
        <v>119</v>
      </c>
      <c r="M685" t="s">
        <v>120</v>
      </c>
      <c r="N685" t="s">
        <v>50</v>
      </c>
      <c r="O685" t="s">
        <v>59</v>
      </c>
      <c r="P685" t="s">
        <v>33</v>
      </c>
      <c r="Q685">
        <v>3</v>
      </c>
      <c r="R685">
        <f>IFERROR(Table1_1[[#This Row],[Unit_Price]]*Table1_1[[#This Row],[Quantity]],"")</f>
        <v>3499</v>
      </c>
      <c r="S685">
        <f>IFERROR(Table1_1[[#This Row],[Gross_Sales]]*Table1_1[[#This Row],[Discount_%]],"")</f>
        <v>174.95000000000002</v>
      </c>
      <c r="T685">
        <f>IFERROR(Table1_1[[#This Row],[Gross_Sales]]-Table1_1[[#This Row],[Discount_amount]]+Table1_1[[#This Row],[Shipping_Cost]],"")</f>
        <v>3403.05</v>
      </c>
      <c r="U685">
        <f>IFERROR(Table1_1[[#This Row],[Net_Sale]]-(Table1_1[[#This Row],[Gross_Sales]]*70%),"")</f>
        <v>953.75000000000045</v>
      </c>
      <c r="V685" s="7">
        <f>IFERROR(Table1_1[[#This Row],[Profit]]/Table1_1[[#This Row],[Net_Sale]],"")</f>
        <v>0.28026329322225663</v>
      </c>
      <c r="W685" t="str">
        <f>TEXT(Table1_1[[#This Row],[Order_Date]],"mmm")</f>
        <v>Apr</v>
      </c>
    </row>
    <row r="686" spans="1:23" x14ac:dyDescent="0.25">
      <c r="A686" t="s">
        <v>1069</v>
      </c>
      <c r="B686" t="s">
        <v>168</v>
      </c>
      <c r="C686" s="6">
        <v>45802</v>
      </c>
      <c r="D686" t="s">
        <v>67</v>
      </c>
      <c r="E686" t="s">
        <v>68</v>
      </c>
      <c r="F686" t="s">
        <v>37</v>
      </c>
      <c r="G686" t="s">
        <v>38</v>
      </c>
      <c r="H686">
        <v>1</v>
      </c>
      <c r="I686">
        <v>1299</v>
      </c>
      <c r="J686">
        <v>0.1</v>
      </c>
      <c r="K686">
        <v>49</v>
      </c>
      <c r="L686" t="s">
        <v>125</v>
      </c>
      <c r="M686" t="s">
        <v>126</v>
      </c>
      <c r="N686" t="s">
        <v>430</v>
      </c>
      <c r="O686" t="s">
        <v>93</v>
      </c>
      <c r="P686" t="s">
        <v>33</v>
      </c>
      <c r="Q686">
        <v>3</v>
      </c>
      <c r="R686">
        <f>IFERROR(Table1_1[[#This Row],[Unit_Price]]*Table1_1[[#This Row],[Quantity]],"")</f>
        <v>1299</v>
      </c>
      <c r="S686">
        <f>IFERROR(Table1_1[[#This Row],[Gross_Sales]]*Table1_1[[#This Row],[Discount_%]],"")</f>
        <v>129.9</v>
      </c>
      <c r="T686">
        <f>IFERROR(Table1_1[[#This Row],[Gross_Sales]]-Table1_1[[#This Row],[Discount_amount]]+Table1_1[[#This Row],[Shipping_Cost]],"")</f>
        <v>1218.0999999999999</v>
      </c>
      <c r="U686">
        <f>IFERROR(Table1_1[[#This Row],[Net_Sale]]-(Table1_1[[#This Row],[Gross_Sales]]*70%),"")</f>
        <v>308.79999999999995</v>
      </c>
      <c r="V686" s="7">
        <f>IFERROR(Table1_1[[#This Row],[Profit]]/Table1_1[[#This Row],[Net_Sale]],"")</f>
        <v>0.25350956407519909</v>
      </c>
      <c r="W686" t="str">
        <f>TEXT(Table1_1[[#This Row],[Order_Date]],"mmm")</f>
        <v>May</v>
      </c>
    </row>
    <row r="687" spans="1:23" x14ac:dyDescent="0.25">
      <c r="A687" t="s">
        <v>1070</v>
      </c>
      <c r="B687" t="s">
        <v>748</v>
      </c>
      <c r="C687" s="6">
        <v>45785</v>
      </c>
      <c r="D687" t="s">
        <v>110</v>
      </c>
      <c r="E687" t="s">
        <v>111</v>
      </c>
      <c r="F687" t="s">
        <v>98</v>
      </c>
      <c r="G687" t="s">
        <v>112</v>
      </c>
      <c r="H687">
        <v>2</v>
      </c>
      <c r="I687">
        <v>2999</v>
      </c>
      <c r="J687">
        <v>0.2</v>
      </c>
      <c r="K687">
        <v>79</v>
      </c>
      <c r="L687" t="s">
        <v>113</v>
      </c>
      <c r="M687" t="s">
        <v>114</v>
      </c>
      <c r="N687" t="s">
        <v>31</v>
      </c>
      <c r="O687" t="s">
        <v>59</v>
      </c>
      <c r="P687" t="s">
        <v>80</v>
      </c>
      <c r="Q687">
        <v>2</v>
      </c>
      <c r="R687">
        <f>IFERROR(Table1_1[[#This Row],[Unit_Price]]*Table1_1[[#This Row],[Quantity]],"")</f>
        <v>5998</v>
      </c>
      <c r="S687">
        <f>IFERROR(Table1_1[[#This Row],[Gross_Sales]]*Table1_1[[#This Row],[Discount_%]],"")</f>
        <v>1199.6000000000001</v>
      </c>
      <c r="T687">
        <f>IFERROR(Table1_1[[#This Row],[Gross_Sales]]-Table1_1[[#This Row],[Discount_amount]]+Table1_1[[#This Row],[Shipping_Cost]],"")</f>
        <v>4877.3999999999996</v>
      </c>
      <c r="U687">
        <f>IFERROR(Table1_1[[#This Row],[Net_Sale]]-(Table1_1[[#This Row],[Gross_Sales]]*70%),"")</f>
        <v>678.80000000000018</v>
      </c>
      <c r="V687" s="7">
        <f>IFERROR(Table1_1[[#This Row],[Profit]]/Table1_1[[#This Row],[Net_Sale]],"")</f>
        <v>0.13917250994382258</v>
      </c>
      <c r="W687" t="str">
        <f>TEXT(Table1_1[[#This Row],[Order_Date]],"mmm")</f>
        <v>May</v>
      </c>
    </row>
    <row r="688" spans="1:23" x14ac:dyDescent="0.25">
      <c r="A688" t="s">
        <v>1071</v>
      </c>
      <c r="B688" t="s">
        <v>966</v>
      </c>
      <c r="C688" s="6">
        <v>45854</v>
      </c>
      <c r="D688" t="s">
        <v>169</v>
      </c>
      <c r="E688" t="s">
        <v>170</v>
      </c>
      <c r="F688" t="s">
        <v>98</v>
      </c>
      <c r="G688" t="s">
        <v>171</v>
      </c>
      <c r="H688">
        <v>2</v>
      </c>
      <c r="I688">
        <v>799</v>
      </c>
      <c r="J688">
        <v>0.15</v>
      </c>
      <c r="K688">
        <v>59</v>
      </c>
      <c r="L688" t="s">
        <v>57</v>
      </c>
      <c r="M688" t="s">
        <v>58</v>
      </c>
      <c r="N688" t="s">
        <v>31</v>
      </c>
      <c r="O688" t="s">
        <v>32</v>
      </c>
      <c r="P688" t="s">
        <v>80</v>
      </c>
      <c r="Q688">
        <v>1</v>
      </c>
      <c r="R688">
        <f>IFERROR(Table1_1[[#This Row],[Unit_Price]]*Table1_1[[#This Row],[Quantity]],"")</f>
        <v>1598</v>
      </c>
      <c r="S688">
        <f>IFERROR(Table1_1[[#This Row],[Gross_Sales]]*Table1_1[[#This Row],[Discount_%]],"")</f>
        <v>239.7</v>
      </c>
      <c r="T688">
        <f>IFERROR(Table1_1[[#This Row],[Gross_Sales]]-Table1_1[[#This Row],[Discount_amount]]+Table1_1[[#This Row],[Shipping_Cost]],"")</f>
        <v>1417.3</v>
      </c>
      <c r="U688">
        <f>IFERROR(Table1_1[[#This Row],[Net_Sale]]-(Table1_1[[#This Row],[Gross_Sales]]*70%),"")</f>
        <v>298.70000000000005</v>
      </c>
      <c r="V688" s="7">
        <f>IFERROR(Table1_1[[#This Row],[Profit]]/Table1_1[[#This Row],[Net_Sale]],"")</f>
        <v>0.21075283990686519</v>
      </c>
      <c r="W688" t="str">
        <f>TEXT(Table1_1[[#This Row],[Order_Date]],"mmm")</f>
        <v>Jul</v>
      </c>
    </row>
    <row r="689" spans="1:23" x14ac:dyDescent="0.25">
      <c r="A689" t="s">
        <v>1072</v>
      </c>
      <c r="B689" t="s">
        <v>656</v>
      </c>
      <c r="C689" s="6">
        <v>45899</v>
      </c>
      <c r="D689" t="s">
        <v>35</v>
      </c>
      <c r="E689" t="s">
        <v>36</v>
      </c>
      <c r="F689" t="s">
        <v>37</v>
      </c>
      <c r="G689" t="s">
        <v>38</v>
      </c>
      <c r="H689">
        <v>4</v>
      </c>
      <c r="I689">
        <v>599</v>
      </c>
      <c r="J689">
        <v>0.15</v>
      </c>
      <c r="K689">
        <v>0</v>
      </c>
      <c r="L689" t="s">
        <v>74</v>
      </c>
      <c r="M689" t="s">
        <v>49</v>
      </c>
      <c r="N689" t="s">
        <v>71</v>
      </c>
      <c r="O689" t="s">
        <v>32</v>
      </c>
      <c r="P689" t="s">
        <v>80</v>
      </c>
      <c r="Q689">
        <v>5</v>
      </c>
      <c r="R689">
        <f>IFERROR(Table1_1[[#This Row],[Unit_Price]]*Table1_1[[#This Row],[Quantity]],"")</f>
        <v>2396</v>
      </c>
      <c r="S689">
        <f>IFERROR(Table1_1[[#This Row],[Gross_Sales]]*Table1_1[[#This Row],[Discount_%]],"")</f>
        <v>359.4</v>
      </c>
      <c r="T689">
        <f>IFERROR(Table1_1[[#This Row],[Gross_Sales]]-Table1_1[[#This Row],[Discount_amount]]+Table1_1[[#This Row],[Shipping_Cost]],"")</f>
        <v>2036.6</v>
      </c>
      <c r="U689">
        <f>IFERROR(Table1_1[[#This Row],[Net_Sale]]-(Table1_1[[#This Row],[Gross_Sales]]*70%),"")</f>
        <v>359.40000000000009</v>
      </c>
      <c r="V689" s="7">
        <f>IFERROR(Table1_1[[#This Row],[Profit]]/Table1_1[[#This Row],[Net_Sale]],"")</f>
        <v>0.17647058823529416</v>
      </c>
      <c r="W689" t="str">
        <f>TEXT(Table1_1[[#This Row],[Order_Date]],"mmm")</f>
        <v>Aug</v>
      </c>
    </row>
    <row r="690" spans="1:23" x14ac:dyDescent="0.25">
      <c r="A690" t="s">
        <v>1073</v>
      </c>
      <c r="B690" t="s">
        <v>479</v>
      </c>
      <c r="C690" s="6">
        <v>46001</v>
      </c>
      <c r="D690" t="s">
        <v>96</v>
      </c>
      <c r="E690" t="s">
        <v>97</v>
      </c>
      <c r="F690" t="s">
        <v>98</v>
      </c>
      <c r="G690" t="s">
        <v>99</v>
      </c>
      <c r="H690">
        <v>5</v>
      </c>
      <c r="I690">
        <v>1499</v>
      </c>
      <c r="J690">
        <v>0</v>
      </c>
      <c r="K690">
        <v>99</v>
      </c>
      <c r="L690" t="s">
        <v>48</v>
      </c>
      <c r="M690" t="s">
        <v>49</v>
      </c>
      <c r="N690" t="s">
        <v>71</v>
      </c>
      <c r="O690" t="s">
        <v>41</v>
      </c>
      <c r="P690" t="s">
        <v>85</v>
      </c>
      <c r="Q690">
        <v>5</v>
      </c>
      <c r="R690">
        <f>IFERROR(Table1_1[[#This Row],[Unit_Price]]*Table1_1[[#This Row],[Quantity]],"")</f>
        <v>7495</v>
      </c>
      <c r="S690">
        <f>IFERROR(Table1_1[[#This Row],[Gross_Sales]]*Table1_1[[#This Row],[Discount_%]],"")</f>
        <v>0</v>
      </c>
      <c r="T690">
        <f>IFERROR(Table1_1[[#This Row],[Gross_Sales]]-Table1_1[[#This Row],[Discount_amount]]+Table1_1[[#This Row],[Shipping_Cost]],"")</f>
        <v>7594</v>
      </c>
      <c r="U690">
        <f>IFERROR(Table1_1[[#This Row],[Net_Sale]]-(Table1_1[[#This Row],[Gross_Sales]]*70%),"")</f>
        <v>2347.5</v>
      </c>
      <c r="V690" s="7">
        <f>IFERROR(Table1_1[[#This Row],[Profit]]/Table1_1[[#This Row],[Net_Sale]],"")</f>
        <v>0.3091256254938109</v>
      </c>
      <c r="W690" t="str">
        <f>TEXT(Table1_1[[#This Row],[Order_Date]],"mmm")</f>
        <v>Dec</v>
      </c>
    </row>
    <row r="691" spans="1:23" x14ac:dyDescent="0.25">
      <c r="A691" t="s">
        <v>1074</v>
      </c>
      <c r="B691" t="s">
        <v>597</v>
      </c>
      <c r="C691" s="6">
        <v>45725</v>
      </c>
      <c r="D691" t="s">
        <v>90</v>
      </c>
      <c r="E691" t="s">
        <v>91</v>
      </c>
      <c r="F691" t="s">
        <v>37</v>
      </c>
      <c r="G691" t="s">
        <v>92</v>
      </c>
      <c r="H691">
        <v>3</v>
      </c>
      <c r="I691">
        <v>3499</v>
      </c>
      <c r="J691">
        <v>0.15</v>
      </c>
      <c r="K691">
        <v>79</v>
      </c>
      <c r="L691" t="s">
        <v>74</v>
      </c>
      <c r="M691" t="s">
        <v>49</v>
      </c>
      <c r="N691" t="s">
        <v>71</v>
      </c>
      <c r="O691" t="s">
        <v>93</v>
      </c>
      <c r="P691" t="s">
        <v>80</v>
      </c>
      <c r="Q691">
        <v>3</v>
      </c>
      <c r="R691">
        <f>IFERROR(Table1_1[[#This Row],[Unit_Price]]*Table1_1[[#This Row],[Quantity]],"")</f>
        <v>10497</v>
      </c>
      <c r="S691">
        <f>IFERROR(Table1_1[[#This Row],[Gross_Sales]]*Table1_1[[#This Row],[Discount_%]],"")</f>
        <v>1574.55</v>
      </c>
      <c r="T691">
        <f>IFERROR(Table1_1[[#This Row],[Gross_Sales]]-Table1_1[[#This Row],[Discount_amount]]+Table1_1[[#This Row],[Shipping_Cost]],"")</f>
        <v>9001.4500000000007</v>
      </c>
      <c r="U691">
        <f>IFERROR(Table1_1[[#This Row],[Net_Sale]]-(Table1_1[[#This Row],[Gross_Sales]]*70%),"")</f>
        <v>1653.5500000000011</v>
      </c>
      <c r="V691" s="7">
        <f>IFERROR(Table1_1[[#This Row],[Profit]]/Table1_1[[#This Row],[Net_Sale]],"")</f>
        <v>0.1836981819595733</v>
      </c>
      <c r="W691" t="str">
        <f>TEXT(Table1_1[[#This Row],[Order_Date]],"mmm")</f>
        <v>Mar</v>
      </c>
    </row>
    <row r="692" spans="1:23" x14ac:dyDescent="0.25">
      <c r="A692" t="s">
        <v>1075</v>
      </c>
      <c r="B692" t="s">
        <v>76</v>
      </c>
      <c r="C692" s="6">
        <v>45801</v>
      </c>
      <c r="D692" t="s">
        <v>35</v>
      </c>
      <c r="E692" t="s">
        <v>36</v>
      </c>
      <c r="F692" t="s">
        <v>37</v>
      </c>
      <c r="G692" t="s">
        <v>38</v>
      </c>
      <c r="H692">
        <v>2</v>
      </c>
      <c r="I692">
        <v>599</v>
      </c>
      <c r="J692">
        <v>0.05</v>
      </c>
      <c r="K692">
        <v>59</v>
      </c>
      <c r="L692" t="s">
        <v>100</v>
      </c>
      <c r="M692" t="s">
        <v>101</v>
      </c>
      <c r="N692" t="s">
        <v>102</v>
      </c>
      <c r="O692" t="s">
        <v>51</v>
      </c>
      <c r="P692" t="s">
        <v>52</v>
      </c>
      <c r="Q692">
        <v>4</v>
      </c>
      <c r="R692">
        <f>IFERROR(Table1_1[[#This Row],[Unit_Price]]*Table1_1[[#This Row],[Quantity]],"")</f>
        <v>1198</v>
      </c>
      <c r="S692">
        <f>IFERROR(Table1_1[[#This Row],[Gross_Sales]]*Table1_1[[#This Row],[Discount_%]],"")</f>
        <v>59.900000000000006</v>
      </c>
      <c r="T692">
        <f>IFERROR(Table1_1[[#This Row],[Gross_Sales]]-Table1_1[[#This Row],[Discount_amount]]+Table1_1[[#This Row],[Shipping_Cost]],"")</f>
        <v>1197.0999999999999</v>
      </c>
      <c r="U692">
        <f>IFERROR(Table1_1[[#This Row],[Net_Sale]]-(Table1_1[[#This Row],[Gross_Sales]]*70%),"")</f>
        <v>358.5</v>
      </c>
      <c r="V692" s="7">
        <f>IFERROR(Table1_1[[#This Row],[Profit]]/Table1_1[[#This Row],[Net_Sale]],"")</f>
        <v>0.29947372817642637</v>
      </c>
      <c r="W692" t="str">
        <f>TEXT(Table1_1[[#This Row],[Order_Date]],"mmm")</f>
        <v>May</v>
      </c>
    </row>
    <row r="693" spans="1:23" x14ac:dyDescent="0.25">
      <c r="A693" t="s">
        <v>1076</v>
      </c>
      <c r="B693" t="s">
        <v>356</v>
      </c>
      <c r="C693" s="6">
        <v>45909</v>
      </c>
      <c r="D693" t="s">
        <v>105</v>
      </c>
      <c r="E693" t="s">
        <v>106</v>
      </c>
      <c r="F693" t="s">
        <v>37</v>
      </c>
      <c r="G693" t="s">
        <v>107</v>
      </c>
      <c r="H693">
        <v>2</v>
      </c>
      <c r="I693">
        <v>1799</v>
      </c>
      <c r="J693">
        <v>0.2</v>
      </c>
      <c r="K693">
        <v>79</v>
      </c>
      <c r="L693" t="s">
        <v>74</v>
      </c>
      <c r="M693" t="s">
        <v>49</v>
      </c>
      <c r="N693" t="s">
        <v>50</v>
      </c>
      <c r="O693" t="s">
        <v>41</v>
      </c>
      <c r="P693" t="s">
        <v>80</v>
      </c>
      <c r="Q693">
        <v>1</v>
      </c>
      <c r="R693">
        <f>IFERROR(Table1_1[[#This Row],[Unit_Price]]*Table1_1[[#This Row],[Quantity]],"")</f>
        <v>3598</v>
      </c>
      <c r="S693">
        <f>IFERROR(Table1_1[[#This Row],[Gross_Sales]]*Table1_1[[#This Row],[Discount_%]],"")</f>
        <v>719.6</v>
      </c>
      <c r="T693">
        <f>IFERROR(Table1_1[[#This Row],[Gross_Sales]]-Table1_1[[#This Row],[Discount_amount]]+Table1_1[[#This Row],[Shipping_Cost]],"")</f>
        <v>2957.4</v>
      </c>
      <c r="U693">
        <f>IFERROR(Table1_1[[#This Row],[Net_Sale]]-(Table1_1[[#This Row],[Gross_Sales]]*70%),"")</f>
        <v>438.80000000000018</v>
      </c>
      <c r="V693" s="7">
        <f>IFERROR(Table1_1[[#This Row],[Profit]]/Table1_1[[#This Row],[Net_Sale]],"")</f>
        <v>0.14837357138026649</v>
      </c>
      <c r="W693" t="str">
        <f>TEXT(Table1_1[[#This Row],[Order_Date]],"mmm")</f>
        <v>Sep</v>
      </c>
    </row>
    <row r="694" spans="1:23" x14ac:dyDescent="0.25">
      <c r="A694" t="s">
        <v>1077</v>
      </c>
      <c r="B694" t="s">
        <v>261</v>
      </c>
      <c r="C694" s="6">
        <v>45791</v>
      </c>
      <c r="D694" t="s">
        <v>67</v>
      </c>
      <c r="E694" t="s">
        <v>68</v>
      </c>
      <c r="F694" t="s">
        <v>37</v>
      </c>
      <c r="G694" t="s">
        <v>38</v>
      </c>
      <c r="H694">
        <v>1</v>
      </c>
      <c r="I694">
        <v>1299</v>
      </c>
      <c r="J694">
        <v>0.1</v>
      </c>
      <c r="K694">
        <v>0</v>
      </c>
      <c r="L694" t="s">
        <v>100</v>
      </c>
      <c r="M694" t="s">
        <v>101</v>
      </c>
      <c r="N694" t="s">
        <v>31</v>
      </c>
      <c r="O694" t="s">
        <v>59</v>
      </c>
      <c r="P694" t="s">
        <v>52</v>
      </c>
      <c r="Q694">
        <v>3</v>
      </c>
      <c r="R694">
        <f>IFERROR(Table1_1[[#This Row],[Unit_Price]]*Table1_1[[#This Row],[Quantity]],"")</f>
        <v>1299</v>
      </c>
      <c r="S694">
        <f>IFERROR(Table1_1[[#This Row],[Gross_Sales]]*Table1_1[[#This Row],[Discount_%]],"")</f>
        <v>129.9</v>
      </c>
      <c r="T694">
        <f>IFERROR(Table1_1[[#This Row],[Gross_Sales]]-Table1_1[[#This Row],[Discount_amount]]+Table1_1[[#This Row],[Shipping_Cost]],"")</f>
        <v>1169.0999999999999</v>
      </c>
      <c r="U694">
        <f>IFERROR(Table1_1[[#This Row],[Net_Sale]]-(Table1_1[[#This Row],[Gross_Sales]]*70%),"")</f>
        <v>259.79999999999995</v>
      </c>
      <c r="V694" s="7">
        <f>IFERROR(Table1_1[[#This Row],[Profit]]/Table1_1[[#This Row],[Net_Sale]],"")</f>
        <v>0.22222222222222221</v>
      </c>
      <c r="W694" t="str">
        <f>TEXT(Table1_1[[#This Row],[Order_Date]],"mmm")</f>
        <v>May</v>
      </c>
    </row>
    <row r="695" spans="1:23" x14ac:dyDescent="0.25">
      <c r="A695" t="s">
        <v>1078</v>
      </c>
      <c r="B695" t="s">
        <v>1618</v>
      </c>
      <c r="C695" s="6">
        <v>45910</v>
      </c>
      <c r="D695" t="s">
        <v>77</v>
      </c>
      <c r="E695" t="s">
        <v>78</v>
      </c>
      <c r="F695" t="s">
        <v>79</v>
      </c>
      <c r="G695" t="s">
        <v>28</v>
      </c>
      <c r="H695">
        <v>2</v>
      </c>
      <c r="I695">
        <v>6499</v>
      </c>
      <c r="J695">
        <v>0</v>
      </c>
      <c r="K695">
        <v>0</v>
      </c>
      <c r="L695" t="s">
        <v>83</v>
      </c>
      <c r="M695" t="s">
        <v>84</v>
      </c>
      <c r="N695" t="s">
        <v>31</v>
      </c>
      <c r="O695" t="s">
        <v>41</v>
      </c>
      <c r="P695" t="s">
        <v>80</v>
      </c>
      <c r="Q695">
        <v>3</v>
      </c>
      <c r="R695">
        <f>IFERROR(Table1_1[[#This Row],[Unit_Price]]*Table1_1[[#This Row],[Quantity]],"")</f>
        <v>12998</v>
      </c>
      <c r="S695">
        <f>IFERROR(Table1_1[[#This Row],[Gross_Sales]]*Table1_1[[#This Row],[Discount_%]],"")</f>
        <v>0</v>
      </c>
      <c r="T695">
        <f>IFERROR(Table1_1[[#This Row],[Gross_Sales]]-Table1_1[[#This Row],[Discount_amount]]+Table1_1[[#This Row],[Shipping_Cost]],"")</f>
        <v>12998</v>
      </c>
      <c r="U695">
        <f>IFERROR(Table1_1[[#This Row],[Net_Sale]]-(Table1_1[[#This Row],[Gross_Sales]]*70%),"")</f>
        <v>3899.4000000000015</v>
      </c>
      <c r="V695" s="7">
        <f>IFERROR(Table1_1[[#This Row],[Profit]]/Table1_1[[#This Row],[Net_Sale]],"")</f>
        <v>0.3000000000000001</v>
      </c>
      <c r="W695" t="str">
        <f>TEXT(Table1_1[[#This Row],[Order_Date]],"mmm")</f>
        <v>Sep</v>
      </c>
    </row>
    <row r="696" spans="1:23" x14ac:dyDescent="0.25">
      <c r="A696" t="s">
        <v>1079</v>
      </c>
      <c r="B696" t="s">
        <v>445</v>
      </c>
      <c r="C696" s="6">
        <v>45918</v>
      </c>
      <c r="D696" t="s">
        <v>110</v>
      </c>
      <c r="E696" t="s">
        <v>111</v>
      </c>
      <c r="F696" t="s">
        <v>98</v>
      </c>
      <c r="G696" t="s">
        <v>112</v>
      </c>
      <c r="H696">
        <v>3</v>
      </c>
      <c r="I696">
        <v>2999</v>
      </c>
      <c r="J696">
        <v>0.15</v>
      </c>
      <c r="K696">
        <v>49</v>
      </c>
      <c r="L696" t="s">
        <v>100</v>
      </c>
      <c r="M696" t="s">
        <v>101</v>
      </c>
      <c r="N696" t="s">
        <v>31</v>
      </c>
      <c r="O696" t="s">
        <v>32</v>
      </c>
      <c r="P696" t="s">
        <v>80</v>
      </c>
      <c r="Q696">
        <v>3</v>
      </c>
      <c r="R696">
        <f>IFERROR(Table1_1[[#This Row],[Unit_Price]]*Table1_1[[#This Row],[Quantity]],"")</f>
        <v>8997</v>
      </c>
      <c r="S696">
        <f>IFERROR(Table1_1[[#This Row],[Gross_Sales]]*Table1_1[[#This Row],[Discount_%]],"")</f>
        <v>1349.55</v>
      </c>
      <c r="T696">
        <f>IFERROR(Table1_1[[#This Row],[Gross_Sales]]-Table1_1[[#This Row],[Discount_amount]]+Table1_1[[#This Row],[Shipping_Cost]],"")</f>
        <v>7696.45</v>
      </c>
      <c r="U696">
        <f>IFERROR(Table1_1[[#This Row],[Net_Sale]]-(Table1_1[[#This Row],[Gross_Sales]]*70%),"")</f>
        <v>1398.5500000000002</v>
      </c>
      <c r="V696" s="7">
        <f>IFERROR(Table1_1[[#This Row],[Profit]]/Table1_1[[#This Row],[Net_Sale]],"")</f>
        <v>0.18171364720098229</v>
      </c>
      <c r="W696" t="str">
        <f>TEXT(Table1_1[[#This Row],[Order_Date]],"mmm")</f>
        <v>Sep</v>
      </c>
    </row>
    <row r="697" spans="1:23" x14ac:dyDescent="0.25">
      <c r="A697" t="s">
        <v>1080</v>
      </c>
      <c r="B697" t="s">
        <v>1081</v>
      </c>
      <c r="C697" s="6">
        <v>45697</v>
      </c>
      <c r="D697" t="s">
        <v>44</v>
      </c>
      <c r="E697" t="s">
        <v>45</v>
      </c>
      <c r="F697" t="s">
        <v>46</v>
      </c>
      <c r="G697" t="s">
        <v>47</v>
      </c>
      <c r="H697">
        <v>1</v>
      </c>
      <c r="I697">
        <v>1199</v>
      </c>
      <c r="J697">
        <v>0.2</v>
      </c>
      <c r="K697">
        <v>0</v>
      </c>
      <c r="L697" t="s">
        <v>100</v>
      </c>
      <c r="M697" t="s">
        <v>101</v>
      </c>
      <c r="N697" t="s">
        <v>31</v>
      </c>
      <c r="O697" t="s">
        <v>51</v>
      </c>
      <c r="P697" t="s">
        <v>52</v>
      </c>
      <c r="Q697">
        <v>3</v>
      </c>
      <c r="R697">
        <f>IFERROR(Table1_1[[#This Row],[Unit_Price]]*Table1_1[[#This Row],[Quantity]],"")</f>
        <v>1199</v>
      </c>
      <c r="S697">
        <f>IFERROR(Table1_1[[#This Row],[Gross_Sales]]*Table1_1[[#This Row],[Discount_%]],"")</f>
        <v>239.8</v>
      </c>
      <c r="T697">
        <f>IFERROR(Table1_1[[#This Row],[Gross_Sales]]-Table1_1[[#This Row],[Discount_amount]]+Table1_1[[#This Row],[Shipping_Cost]],"")</f>
        <v>959.2</v>
      </c>
      <c r="U697">
        <f>IFERROR(Table1_1[[#This Row],[Net_Sale]]-(Table1_1[[#This Row],[Gross_Sales]]*70%),"")</f>
        <v>119.90000000000009</v>
      </c>
      <c r="V697" s="7">
        <f>IFERROR(Table1_1[[#This Row],[Profit]]/Table1_1[[#This Row],[Net_Sale]],"")</f>
        <v>0.12500000000000008</v>
      </c>
      <c r="W697" t="str">
        <f>TEXT(Table1_1[[#This Row],[Order_Date]],"mmm")</f>
        <v>Feb</v>
      </c>
    </row>
    <row r="698" spans="1:23" x14ac:dyDescent="0.25">
      <c r="A698" t="s">
        <v>1082</v>
      </c>
      <c r="B698" t="s">
        <v>618</v>
      </c>
      <c r="C698" s="6">
        <v>45960</v>
      </c>
      <c r="D698" t="s">
        <v>25</v>
      </c>
      <c r="E698" t="s">
        <v>26</v>
      </c>
      <c r="F698" t="s">
        <v>27</v>
      </c>
      <c r="G698" t="s">
        <v>28</v>
      </c>
      <c r="H698">
        <v>1</v>
      </c>
      <c r="I698">
        <v>249</v>
      </c>
      <c r="J698">
        <v>0</v>
      </c>
      <c r="K698">
        <v>0</v>
      </c>
      <c r="L698" t="s">
        <v>29</v>
      </c>
      <c r="M698" t="s">
        <v>30</v>
      </c>
      <c r="N698" t="s">
        <v>40</v>
      </c>
      <c r="O698" t="s">
        <v>59</v>
      </c>
      <c r="P698" t="s">
        <v>33</v>
      </c>
      <c r="Q698">
        <v>4</v>
      </c>
      <c r="R698">
        <f>IFERROR(Table1_1[[#This Row],[Unit_Price]]*Table1_1[[#This Row],[Quantity]],"")</f>
        <v>249</v>
      </c>
      <c r="S698">
        <f>IFERROR(Table1_1[[#This Row],[Gross_Sales]]*Table1_1[[#This Row],[Discount_%]],"")</f>
        <v>0</v>
      </c>
      <c r="T698">
        <f>IFERROR(Table1_1[[#This Row],[Gross_Sales]]-Table1_1[[#This Row],[Discount_amount]]+Table1_1[[#This Row],[Shipping_Cost]],"")</f>
        <v>249</v>
      </c>
      <c r="U698">
        <f>IFERROR(Table1_1[[#This Row],[Net_Sale]]-(Table1_1[[#This Row],[Gross_Sales]]*70%),"")</f>
        <v>74.700000000000017</v>
      </c>
      <c r="V698" s="7">
        <f>IFERROR(Table1_1[[#This Row],[Profit]]/Table1_1[[#This Row],[Net_Sale]],"")</f>
        <v>0.30000000000000004</v>
      </c>
      <c r="W698" t="str">
        <f>TEXT(Table1_1[[#This Row],[Order_Date]],"mmm")</f>
        <v>Oct</v>
      </c>
    </row>
    <row r="699" spans="1:23" x14ac:dyDescent="0.25">
      <c r="A699" t="s">
        <v>1083</v>
      </c>
      <c r="B699" t="s">
        <v>1084</v>
      </c>
      <c r="C699" s="6">
        <v>45660</v>
      </c>
      <c r="D699" t="s">
        <v>25</v>
      </c>
      <c r="E699" t="s">
        <v>26</v>
      </c>
      <c r="F699" t="s">
        <v>27</v>
      </c>
      <c r="G699" t="s">
        <v>28</v>
      </c>
      <c r="H699">
        <v>2</v>
      </c>
      <c r="I699">
        <v>249</v>
      </c>
      <c r="J699">
        <v>0.15</v>
      </c>
      <c r="K699">
        <v>79</v>
      </c>
      <c r="L699" t="s">
        <v>48</v>
      </c>
      <c r="M699" t="s">
        <v>49</v>
      </c>
      <c r="N699" t="s">
        <v>102</v>
      </c>
      <c r="O699" t="s">
        <v>41</v>
      </c>
      <c r="P699" t="s">
        <v>80</v>
      </c>
      <c r="Q699">
        <v>2</v>
      </c>
      <c r="R699">
        <f>IFERROR(Table1_1[[#This Row],[Unit_Price]]*Table1_1[[#This Row],[Quantity]],"")</f>
        <v>498</v>
      </c>
      <c r="S699">
        <f>IFERROR(Table1_1[[#This Row],[Gross_Sales]]*Table1_1[[#This Row],[Discount_%]],"")</f>
        <v>74.7</v>
      </c>
      <c r="T699">
        <f>IFERROR(Table1_1[[#This Row],[Gross_Sales]]-Table1_1[[#This Row],[Discount_amount]]+Table1_1[[#This Row],[Shipping_Cost]],"")</f>
        <v>502.3</v>
      </c>
      <c r="U699">
        <f>IFERROR(Table1_1[[#This Row],[Net_Sale]]-(Table1_1[[#This Row],[Gross_Sales]]*70%),"")</f>
        <v>153.70000000000005</v>
      </c>
      <c r="V699" s="7">
        <f>IFERROR(Table1_1[[#This Row],[Profit]]/Table1_1[[#This Row],[Net_Sale]],"")</f>
        <v>0.30599243479992044</v>
      </c>
      <c r="W699" t="str">
        <f>TEXT(Table1_1[[#This Row],[Order_Date]],"mmm")</f>
        <v>Jan</v>
      </c>
    </row>
    <row r="700" spans="1:23" x14ac:dyDescent="0.25">
      <c r="A700" t="s">
        <v>1085</v>
      </c>
      <c r="B700" t="s">
        <v>177</v>
      </c>
      <c r="C700" s="6">
        <v>45686</v>
      </c>
      <c r="D700" t="s">
        <v>35</v>
      </c>
      <c r="E700" t="s">
        <v>36</v>
      </c>
      <c r="F700" t="s">
        <v>37</v>
      </c>
      <c r="G700" t="s">
        <v>38</v>
      </c>
      <c r="H700">
        <v>1</v>
      </c>
      <c r="I700">
        <v>599</v>
      </c>
      <c r="J700">
        <v>0.15</v>
      </c>
      <c r="K700">
        <v>79</v>
      </c>
      <c r="L700" t="s">
        <v>48</v>
      </c>
      <c r="M700" t="s">
        <v>49</v>
      </c>
      <c r="N700" t="s">
        <v>40</v>
      </c>
      <c r="O700" t="s">
        <v>51</v>
      </c>
      <c r="P700" t="s">
        <v>85</v>
      </c>
      <c r="Q700">
        <v>2</v>
      </c>
      <c r="R700">
        <f>IFERROR(Table1_1[[#This Row],[Unit_Price]]*Table1_1[[#This Row],[Quantity]],"")</f>
        <v>599</v>
      </c>
      <c r="S700">
        <f>IFERROR(Table1_1[[#This Row],[Gross_Sales]]*Table1_1[[#This Row],[Discount_%]],"")</f>
        <v>89.85</v>
      </c>
      <c r="T700">
        <f>IFERROR(Table1_1[[#This Row],[Gross_Sales]]-Table1_1[[#This Row],[Discount_amount]]+Table1_1[[#This Row],[Shipping_Cost]],"")</f>
        <v>588.15</v>
      </c>
      <c r="U700">
        <f>IFERROR(Table1_1[[#This Row],[Net_Sale]]-(Table1_1[[#This Row],[Gross_Sales]]*70%),"")</f>
        <v>168.85000000000002</v>
      </c>
      <c r="V700" s="7">
        <f>IFERROR(Table1_1[[#This Row],[Profit]]/Table1_1[[#This Row],[Net_Sale]],"")</f>
        <v>0.2870866275609964</v>
      </c>
      <c r="W700" t="str">
        <f>TEXT(Table1_1[[#This Row],[Order_Date]],"mmm")</f>
        <v>Jan</v>
      </c>
    </row>
    <row r="701" spans="1:23" x14ac:dyDescent="0.25">
      <c r="A701" t="s">
        <v>1086</v>
      </c>
      <c r="B701" t="s">
        <v>207</v>
      </c>
      <c r="C701" s="6">
        <v>45764</v>
      </c>
      <c r="D701" t="s">
        <v>67</v>
      </c>
      <c r="E701" t="s">
        <v>68</v>
      </c>
      <c r="F701" t="s">
        <v>37</v>
      </c>
      <c r="G701" t="s">
        <v>38</v>
      </c>
      <c r="H701">
        <v>1</v>
      </c>
      <c r="I701">
        <v>1299</v>
      </c>
      <c r="J701">
        <v>0.05</v>
      </c>
      <c r="K701">
        <v>49</v>
      </c>
      <c r="L701" t="s">
        <v>57</v>
      </c>
      <c r="M701" t="s">
        <v>58</v>
      </c>
      <c r="N701" t="s">
        <v>71</v>
      </c>
      <c r="O701" t="s">
        <v>59</v>
      </c>
      <c r="P701" t="s">
        <v>52</v>
      </c>
      <c r="Q701">
        <v>3</v>
      </c>
      <c r="R701">
        <f>IFERROR(Table1_1[[#This Row],[Unit_Price]]*Table1_1[[#This Row],[Quantity]],"")</f>
        <v>1299</v>
      </c>
      <c r="S701">
        <f>IFERROR(Table1_1[[#This Row],[Gross_Sales]]*Table1_1[[#This Row],[Discount_%]],"")</f>
        <v>64.95</v>
      </c>
      <c r="T701">
        <f>IFERROR(Table1_1[[#This Row],[Gross_Sales]]-Table1_1[[#This Row],[Discount_amount]]+Table1_1[[#This Row],[Shipping_Cost]],"")</f>
        <v>1283.05</v>
      </c>
      <c r="U701">
        <f>IFERROR(Table1_1[[#This Row],[Net_Sale]]-(Table1_1[[#This Row],[Gross_Sales]]*70%),"")</f>
        <v>373.75</v>
      </c>
      <c r="V701" s="7">
        <f>IFERROR(Table1_1[[#This Row],[Profit]]/Table1_1[[#This Row],[Net_Sale]],"")</f>
        <v>0.29129807879661745</v>
      </c>
      <c r="W701" t="str">
        <f>TEXT(Table1_1[[#This Row],[Order_Date]],"mmm")</f>
        <v>Apr</v>
      </c>
    </row>
    <row r="702" spans="1:23" x14ac:dyDescent="0.25">
      <c r="A702" t="s">
        <v>1087</v>
      </c>
      <c r="B702" t="s">
        <v>695</v>
      </c>
      <c r="C702" s="6">
        <v>45966</v>
      </c>
      <c r="D702" t="s">
        <v>96</v>
      </c>
      <c r="E702" t="s">
        <v>97</v>
      </c>
      <c r="F702" t="s">
        <v>98</v>
      </c>
      <c r="G702" t="s">
        <v>99</v>
      </c>
      <c r="H702">
        <v>4</v>
      </c>
      <c r="I702">
        <v>1499</v>
      </c>
      <c r="J702">
        <v>0</v>
      </c>
      <c r="K702">
        <v>59</v>
      </c>
      <c r="L702" t="s">
        <v>48</v>
      </c>
      <c r="M702" t="s">
        <v>49</v>
      </c>
      <c r="N702" t="s">
        <v>50</v>
      </c>
      <c r="O702" t="s">
        <v>59</v>
      </c>
      <c r="P702" t="s">
        <v>80</v>
      </c>
      <c r="Q702">
        <v>4</v>
      </c>
      <c r="R702">
        <f>IFERROR(Table1_1[[#This Row],[Unit_Price]]*Table1_1[[#This Row],[Quantity]],"")</f>
        <v>5996</v>
      </c>
      <c r="S702">
        <f>IFERROR(Table1_1[[#This Row],[Gross_Sales]]*Table1_1[[#This Row],[Discount_%]],"")</f>
        <v>0</v>
      </c>
      <c r="T702">
        <f>IFERROR(Table1_1[[#This Row],[Gross_Sales]]-Table1_1[[#This Row],[Discount_amount]]+Table1_1[[#This Row],[Shipping_Cost]],"")</f>
        <v>6055</v>
      </c>
      <c r="U702">
        <f>IFERROR(Table1_1[[#This Row],[Net_Sale]]-(Table1_1[[#This Row],[Gross_Sales]]*70%),"")</f>
        <v>1857.8000000000002</v>
      </c>
      <c r="V702" s="7">
        <f>IFERROR(Table1_1[[#This Row],[Profit]]/Table1_1[[#This Row],[Net_Sale]],"")</f>
        <v>0.30682080924855493</v>
      </c>
      <c r="W702" t="str">
        <f>TEXT(Table1_1[[#This Row],[Order_Date]],"mmm")</f>
        <v>Nov</v>
      </c>
    </row>
    <row r="703" spans="1:23" x14ac:dyDescent="0.25">
      <c r="A703" t="s">
        <v>1088</v>
      </c>
      <c r="B703" t="s">
        <v>436</v>
      </c>
      <c r="C703" s="6">
        <v>45965</v>
      </c>
      <c r="D703" t="s">
        <v>96</v>
      </c>
      <c r="E703" t="s">
        <v>97</v>
      </c>
      <c r="F703" t="s">
        <v>98</v>
      </c>
      <c r="G703" t="s">
        <v>99</v>
      </c>
      <c r="H703">
        <v>1</v>
      </c>
      <c r="I703">
        <v>1499</v>
      </c>
      <c r="J703">
        <v>0.05</v>
      </c>
      <c r="K703">
        <v>99</v>
      </c>
      <c r="L703" t="s">
        <v>119</v>
      </c>
      <c r="M703" t="s">
        <v>120</v>
      </c>
      <c r="N703" t="s">
        <v>40</v>
      </c>
      <c r="O703" t="s">
        <v>59</v>
      </c>
      <c r="P703" t="s">
        <v>52</v>
      </c>
      <c r="Q703">
        <v>1</v>
      </c>
      <c r="R703">
        <f>IFERROR(Table1_1[[#This Row],[Unit_Price]]*Table1_1[[#This Row],[Quantity]],"")</f>
        <v>1499</v>
      </c>
      <c r="S703">
        <f>IFERROR(Table1_1[[#This Row],[Gross_Sales]]*Table1_1[[#This Row],[Discount_%]],"")</f>
        <v>74.95</v>
      </c>
      <c r="T703">
        <f>IFERROR(Table1_1[[#This Row],[Gross_Sales]]-Table1_1[[#This Row],[Discount_amount]]+Table1_1[[#This Row],[Shipping_Cost]],"")</f>
        <v>1523.05</v>
      </c>
      <c r="U703">
        <f>IFERROR(Table1_1[[#This Row],[Net_Sale]]-(Table1_1[[#This Row],[Gross_Sales]]*70%),"")</f>
        <v>473.75</v>
      </c>
      <c r="V703" s="7">
        <f>IFERROR(Table1_1[[#This Row],[Profit]]/Table1_1[[#This Row],[Net_Sale]],"")</f>
        <v>0.3110534782180493</v>
      </c>
      <c r="W703" t="str">
        <f>TEXT(Table1_1[[#This Row],[Order_Date]],"mmm")</f>
        <v>Nov</v>
      </c>
    </row>
    <row r="704" spans="1:23" x14ac:dyDescent="0.25">
      <c r="A704" t="s">
        <v>1089</v>
      </c>
      <c r="B704" t="s">
        <v>261</v>
      </c>
      <c r="C704" s="6">
        <v>45895</v>
      </c>
      <c r="D704" t="s">
        <v>35</v>
      </c>
      <c r="E704" t="s">
        <v>36</v>
      </c>
      <c r="F704" t="s">
        <v>37</v>
      </c>
      <c r="G704" t="s">
        <v>38</v>
      </c>
      <c r="H704">
        <v>1</v>
      </c>
      <c r="I704">
        <v>599</v>
      </c>
      <c r="J704">
        <v>0.2</v>
      </c>
      <c r="K704">
        <v>49</v>
      </c>
      <c r="L704" t="s">
        <v>83</v>
      </c>
      <c r="M704" t="s">
        <v>84</v>
      </c>
      <c r="N704" t="s">
        <v>102</v>
      </c>
      <c r="O704" t="s">
        <v>32</v>
      </c>
      <c r="P704" t="s">
        <v>80</v>
      </c>
      <c r="Q704">
        <v>1</v>
      </c>
      <c r="R704">
        <f>IFERROR(Table1_1[[#This Row],[Unit_Price]]*Table1_1[[#This Row],[Quantity]],"")</f>
        <v>599</v>
      </c>
      <c r="S704">
        <f>IFERROR(Table1_1[[#This Row],[Gross_Sales]]*Table1_1[[#This Row],[Discount_%]],"")</f>
        <v>119.80000000000001</v>
      </c>
      <c r="T704">
        <f>IFERROR(Table1_1[[#This Row],[Gross_Sales]]-Table1_1[[#This Row],[Discount_amount]]+Table1_1[[#This Row],[Shipping_Cost]],"")</f>
        <v>528.20000000000005</v>
      </c>
      <c r="U704">
        <f>IFERROR(Table1_1[[#This Row],[Net_Sale]]-(Table1_1[[#This Row],[Gross_Sales]]*70%),"")</f>
        <v>108.90000000000009</v>
      </c>
      <c r="V704" s="7">
        <f>IFERROR(Table1_1[[#This Row],[Profit]]/Table1_1[[#This Row],[Net_Sale]],"")</f>
        <v>0.20617190458159804</v>
      </c>
      <c r="W704" t="str">
        <f>TEXT(Table1_1[[#This Row],[Order_Date]],"mmm")</f>
        <v>Aug</v>
      </c>
    </row>
    <row r="705" spans="1:23" x14ac:dyDescent="0.25">
      <c r="A705" t="s">
        <v>1090</v>
      </c>
      <c r="B705" t="s">
        <v>534</v>
      </c>
      <c r="C705" s="6">
        <v>45902</v>
      </c>
      <c r="D705" t="s">
        <v>110</v>
      </c>
      <c r="E705" t="s">
        <v>111</v>
      </c>
      <c r="F705" t="s">
        <v>98</v>
      </c>
      <c r="G705" t="s">
        <v>112</v>
      </c>
      <c r="H705">
        <v>1</v>
      </c>
      <c r="I705">
        <v>2999</v>
      </c>
      <c r="J705">
        <v>0.2</v>
      </c>
      <c r="K705">
        <v>59</v>
      </c>
      <c r="L705" t="s">
        <v>119</v>
      </c>
      <c r="M705" t="s">
        <v>120</v>
      </c>
      <c r="N705" t="s">
        <v>102</v>
      </c>
      <c r="O705" t="s">
        <v>59</v>
      </c>
      <c r="P705" t="s">
        <v>33</v>
      </c>
      <c r="Q705">
        <v>3</v>
      </c>
      <c r="R705">
        <f>IFERROR(Table1_1[[#This Row],[Unit_Price]]*Table1_1[[#This Row],[Quantity]],"")</f>
        <v>2999</v>
      </c>
      <c r="S705">
        <f>IFERROR(Table1_1[[#This Row],[Gross_Sales]]*Table1_1[[#This Row],[Discount_%]],"")</f>
        <v>599.80000000000007</v>
      </c>
      <c r="T705">
        <f>IFERROR(Table1_1[[#This Row],[Gross_Sales]]-Table1_1[[#This Row],[Discount_amount]]+Table1_1[[#This Row],[Shipping_Cost]],"")</f>
        <v>2458.1999999999998</v>
      </c>
      <c r="U705">
        <f>IFERROR(Table1_1[[#This Row],[Net_Sale]]-(Table1_1[[#This Row],[Gross_Sales]]*70%),"")</f>
        <v>358.90000000000009</v>
      </c>
      <c r="V705" s="7">
        <f>IFERROR(Table1_1[[#This Row],[Profit]]/Table1_1[[#This Row],[Net_Sale]],"")</f>
        <v>0.14600113904482959</v>
      </c>
      <c r="W705" t="str">
        <f>TEXT(Table1_1[[#This Row],[Order_Date]],"mmm")</f>
        <v>Sep</v>
      </c>
    </row>
    <row r="706" spans="1:23" x14ac:dyDescent="0.25">
      <c r="A706" t="s">
        <v>1091</v>
      </c>
      <c r="B706" t="s">
        <v>1092</v>
      </c>
      <c r="C706" s="6">
        <v>45681</v>
      </c>
      <c r="D706" t="s">
        <v>44</v>
      </c>
      <c r="E706" t="s">
        <v>45</v>
      </c>
      <c r="F706" t="s">
        <v>46</v>
      </c>
      <c r="G706" t="s">
        <v>47</v>
      </c>
      <c r="H706">
        <v>2</v>
      </c>
      <c r="I706">
        <v>1199</v>
      </c>
      <c r="J706">
        <v>0.1</v>
      </c>
      <c r="K706">
        <v>79</v>
      </c>
      <c r="L706" t="s">
        <v>39</v>
      </c>
      <c r="M706" t="s">
        <v>39</v>
      </c>
      <c r="N706" t="s">
        <v>40</v>
      </c>
      <c r="O706" t="s">
        <v>32</v>
      </c>
      <c r="P706" t="s">
        <v>85</v>
      </c>
      <c r="Q706">
        <v>3</v>
      </c>
      <c r="R706">
        <f>IFERROR(Table1_1[[#This Row],[Unit_Price]]*Table1_1[[#This Row],[Quantity]],"")</f>
        <v>2398</v>
      </c>
      <c r="S706">
        <f>IFERROR(Table1_1[[#This Row],[Gross_Sales]]*Table1_1[[#This Row],[Discount_%]],"")</f>
        <v>239.8</v>
      </c>
      <c r="T706">
        <f>IFERROR(Table1_1[[#This Row],[Gross_Sales]]-Table1_1[[#This Row],[Discount_amount]]+Table1_1[[#This Row],[Shipping_Cost]],"")</f>
        <v>2237.1999999999998</v>
      </c>
      <c r="U706">
        <f>IFERROR(Table1_1[[#This Row],[Net_Sale]]-(Table1_1[[#This Row],[Gross_Sales]]*70%),"")</f>
        <v>558.59999999999991</v>
      </c>
      <c r="V706" s="7">
        <f>IFERROR(Table1_1[[#This Row],[Profit]]/Table1_1[[#This Row],[Net_Sale]],"")</f>
        <v>0.24968710888610762</v>
      </c>
      <c r="W706" t="str">
        <f>TEXT(Table1_1[[#This Row],[Order_Date]],"mmm")</f>
        <v>Jan</v>
      </c>
    </row>
    <row r="707" spans="1:23" x14ac:dyDescent="0.25">
      <c r="A707" t="s">
        <v>1093</v>
      </c>
      <c r="B707" t="s">
        <v>479</v>
      </c>
      <c r="C707" s="6">
        <v>45699</v>
      </c>
      <c r="D707" t="s">
        <v>110</v>
      </c>
      <c r="E707" t="s">
        <v>111</v>
      </c>
      <c r="F707" t="s">
        <v>98</v>
      </c>
      <c r="G707" t="s">
        <v>112</v>
      </c>
      <c r="H707">
        <v>1</v>
      </c>
      <c r="I707">
        <v>2999</v>
      </c>
      <c r="J707">
        <v>0.2</v>
      </c>
      <c r="K707">
        <v>79</v>
      </c>
      <c r="L707" t="s">
        <v>74</v>
      </c>
      <c r="M707" t="s">
        <v>49</v>
      </c>
      <c r="N707" t="s">
        <v>50</v>
      </c>
      <c r="O707" t="s">
        <v>59</v>
      </c>
      <c r="P707" t="s">
        <v>33</v>
      </c>
      <c r="Q707">
        <v>1</v>
      </c>
      <c r="R707">
        <f>IFERROR(Table1_1[[#This Row],[Unit_Price]]*Table1_1[[#This Row],[Quantity]],"")</f>
        <v>2999</v>
      </c>
      <c r="S707">
        <f>IFERROR(Table1_1[[#This Row],[Gross_Sales]]*Table1_1[[#This Row],[Discount_%]],"")</f>
        <v>599.80000000000007</v>
      </c>
      <c r="T707">
        <f>IFERROR(Table1_1[[#This Row],[Gross_Sales]]-Table1_1[[#This Row],[Discount_amount]]+Table1_1[[#This Row],[Shipping_Cost]],"")</f>
        <v>2478.1999999999998</v>
      </c>
      <c r="U707">
        <f>IFERROR(Table1_1[[#This Row],[Net_Sale]]-(Table1_1[[#This Row],[Gross_Sales]]*70%),"")</f>
        <v>378.90000000000009</v>
      </c>
      <c r="V707" s="7">
        <f>IFERROR(Table1_1[[#This Row],[Profit]]/Table1_1[[#This Row],[Net_Sale]],"")</f>
        <v>0.15289322895650073</v>
      </c>
      <c r="W707" t="str">
        <f>TEXT(Table1_1[[#This Row],[Order_Date]],"mmm")</f>
        <v>Feb</v>
      </c>
    </row>
    <row r="708" spans="1:23" x14ac:dyDescent="0.25">
      <c r="A708" t="s">
        <v>1094</v>
      </c>
      <c r="B708" t="s">
        <v>76</v>
      </c>
      <c r="C708" s="6">
        <v>45810</v>
      </c>
      <c r="D708" t="s">
        <v>55</v>
      </c>
      <c r="E708" t="s">
        <v>56</v>
      </c>
      <c r="F708" t="s">
        <v>37</v>
      </c>
      <c r="G708" t="s">
        <v>38</v>
      </c>
      <c r="H708">
        <v>3</v>
      </c>
      <c r="I708">
        <v>2499</v>
      </c>
      <c r="J708">
        <v>0.1</v>
      </c>
      <c r="K708">
        <v>79</v>
      </c>
      <c r="L708" t="s">
        <v>57</v>
      </c>
      <c r="M708" t="s">
        <v>58</v>
      </c>
      <c r="N708" t="s">
        <v>71</v>
      </c>
      <c r="O708" t="s">
        <v>41</v>
      </c>
      <c r="P708" t="s">
        <v>80</v>
      </c>
      <c r="Q708">
        <v>2</v>
      </c>
      <c r="R708">
        <f>IFERROR(Table1_1[[#This Row],[Unit_Price]]*Table1_1[[#This Row],[Quantity]],"")</f>
        <v>7497</v>
      </c>
      <c r="S708">
        <f>IFERROR(Table1_1[[#This Row],[Gross_Sales]]*Table1_1[[#This Row],[Discount_%]],"")</f>
        <v>749.7</v>
      </c>
      <c r="T708">
        <f>IFERROR(Table1_1[[#This Row],[Gross_Sales]]-Table1_1[[#This Row],[Discount_amount]]+Table1_1[[#This Row],[Shipping_Cost]],"")</f>
        <v>6826.3</v>
      </c>
      <c r="U708">
        <f>IFERROR(Table1_1[[#This Row],[Net_Sale]]-(Table1_1[[#This Row],[Gross_Sales]]*70%),"")</f>
        <v>1578.4000000000005</v>
      </c>
      <c r="V708" s="7">
        <f>IFERROR(Table1_1[[#This Row],[Profit]]/Table1_1[[#This Row],[Net_Sale]],"")</f>
        <v>0.23122335672326158</v>
      </c>
      <c r="W708" t="str">
        <f>TEXT(Table1_1[[#This Row],[Order_Date]],"mmm")</f>
        <v>Jun</v>
      </c>
    </row>
    <row r="709" spans="1:23" x14ac:dyDescent="0.25">
      <c r="A709" t="s">
        <v>1095</v>
      </c>
      <c r="B709" t="s">
        <v>224</v>
      </c>
      <c r="C709" s="6">
        <v>45967</v>
      </c>
      <c r="D709" t="s">
        <v>105</v>
      </c>
      <c r="E709" t="s">
        <v>106</v>
      </c>
      <c r="F709" t="s">
        <v>37</v>
      </c>
      <c r="G709" t="s">
        <v>107</v>
      </c>
      <c r="H709">
        <v>2</v>
      </c>
      <c r="I709">
        <v>1799</v>
      </c>
      <c r="J709">
        <v>0</v>
      </c>
      <c r="K709">
        <v>79</v>
      </c>
      <c r="L709" t="s">
        <v>29</v>
      </c>
      <c r="M709" t="s">
        <v>30</v>
      </c>
      <c r="N709" t="s">
        <v>31</v>
      </c>
      <c r="O709" t="s">
        <v>93</v>
      </c>
      <c r="P709" t="s">
        <v>80</v>
      </c>
      <c r="Q709">
        <v>4</v>
      </c>
      <c r="R709">
        <f>IFERROR(Table1_1[[#This Row],[Unit_Price]]*Table1_1[[#This Row],[Quantity]],"")</f>
        <v>3598</v>
      </c>
      <c r="S709">
        <f>IFERROR(Table1_1[[#This Row],[Gross_Sales]]*Table1_1[[#This Row],[Discount_%]],"")</f>
        <v>0</v>
      </c>
      <c r="T709">
        <f>IFERROR(Table1_1[[#This Row],[Gross_Sales]]-Table1_1[[#This Row],[Discount_amount]]+Table1_1[[#This Row],[Shipping_Cost]],"")</f>
        <v>3677</v>
      </c>
      <c r="U709">
        <f>IFERROR(Table1_1[[#This Row],[Net_Sale]]-(Table1_1[[#This Row],[Gross_Sales]]*70%),"")</f>
        <v>1158.4000000000001</v>
      </c>
      <c r="V709" s="7">
        <f>IFERROR(Table1_1[[#This Row],[Profit]]/Table1_1[[#This Row],[Net_Sale]],"")</f>
        <v>0.31503943432145776</v>
      </c>
      <c r="W709" t="str">
        <f>TEXT(Table1_1[[#This Row],[Order_Date]],"mmm")</f>
        <v>Nov</v>
      </c>
    </row>
    <row r="710" spans="1:23" x14ac:dyDescent="0.25">
      <c r="A710" t="s">
        <v>1096</v>
      </c>
      <c r="B710" t="s">
        <v>134</v>
      </c>
      <c r="C710" s="6">
        <v>45902</v>
      </c>
      <c r="D710" t="s">
        <v>55</v>
      </c>
      <c r="E710" t="s">
        <v>56</v>
      </c>
      <c r="F710" t="s">
        <v>37</v>
      </c>
      <c r="G710" t="s">
        <v>38</v>
      </c>
      <c r="H710">
        <v>1</v>
      </c>
      <c r="I710">
        <v>2499</v>
      </c>
      <c r="J710">
        <v>0.2</v>
      </c>
      <c r="K710">
        <v>99</v>
      </c>
      <c r="L710" t="s">
        <v>39</v>
      </c>
      <c r="M710" t="s">
        <v>39</v>
      </c>
      <c r="N710" t="s">
        <v>71</v>
      </c>
      <c r="O710" t="s">
        <v>32</v>
      </c>
      <c r="P710" t="s">
        <v>52</v>
      </c>
      <c r="Q710">
        <v>3</v>
      </c>
      <c r="R710">
        <f>IFERROR(Table1_1[[#This Row],[Unit_Price]]*Table1_1[[#This Row],[Quantity]],"")</f>
        <v>2499</v>
      </c>
      <c r="S710">
        <f>IFERROR(Table1_1[[#This Row],[Gross_Sales]]*Table1_1[[#This Row],[Discount_%]],"")</f>
        <v>499.8</v>
      </c>
      <c r="T710">
        <f>IFERROR(Table1_1[[#This Row],[Gross_Sales]]-Table1_1[[#This Row],[Discount_amount]]+Table1_1[[#This Row],[Shipping_Cost]],"")</f>
        <v>2098.1999999999998</v>
      </c>
      <c r="U710">
        <f>IFERROR(Table1_1[[#This Row],[Net_Sale]]-(Table1_1[[#This Row],[Gross_Sales]]*70%),"")</f>
        <v>348.89999999999986</v>
      </c>
      <c r="V710" s="7">
        <f>IFERROR(Table1_1[[#This Row],[Profit]]/Table1_1[[#This Row],[Net_Sale]],"")</f>
        <v>0.16628538747497851</v>
      </c>
      <c r="W710" t="str">
        <f>TEXT(Table1_1[[#This Row],[Order_Date]],"mmm")</f>
        <v>Sep</v>
      </c>
    </row>
    <row r="711" spans="1:23" x14ac:dyDescent="0.25">
      <c r="A711" t="s">
        <v>1097</v>
      </c>
      <c r="B711" t="s">
        <v>255</v>
      </c>
      <c r="C711" s="6">
        <v>46011</v>
      </c>
      <c r="D711" t="s">
        <v>44</v>
      </c>
      <c r="E711" t="s">
        <v>45</v>
      </c>
      <c r="F711" t="s">
        <v>46</v>
      </c>
      <c r="G711" t="s">
        <v>47</v>
      </c>
      <c r="H711">
        <v>2</v>
      </c>
      <c r="I711">
        <v>1199</v>
      </c>
      <c r="J711">
        <v>0</v>
      </c>
      <c r="K711">
        <v>49</v>
      </c>
      <c r="L711" t="s">
        <v>74</v>
      </c>
      <c r="M711" t="s">
        <v>49</v>
      </c>
      <c r="N711" t="s">
        <v>31</v>
      </c>
      <c r="O711" t="s">
        <v>41</v>
      </c>
      <c r="P711" t="s">
        <v>33</v>
      </c>
      <c r="Q711">
        <v>1</v>
      </c>
      <c r="R711">
        <f>IFERROR(Table1_1[[#This Row],[Unit_Price]]*Table1_1[[#This Row],[Quantity]],"")</f>
        <v>2398</v>
      </c>
      <c r="S711">
        <f>IFERROR(Table1_1[[#This Row],[Gross_Sales]]*Table1_1[[#This Row],[Discount_%]],"")</f>
        <v>0</v>
      </c>
      <c r="T711">
        <f>IFERROR(Table1_1[[#This Row],[Gross_Sales]]-Table1_1[[#This Row],[Discount_amount]]+Table1_1[[#This Row],[Shipping_Cost]],"")</f>
        <v>2447</v>
      </c>
      <c r="U711">
        <f>IFERROR(Table1_1[[#This Row],[Net_Sale]]-(Table1_1[[#This Row],[Gross_Sales]]*70%),"")</f>
        <v>768.40000000000009</v>
      </c>
      <c r="V711" s="7">
        <f>IFERROR(Table1_1[[#This Row],[Profit]]/Table1_1[[#This Row],[Net_Sale]],"")</f>
        <v>0.31401716387413164</v>
      </c>
      <c r="W711" t="str">
        <f>TEXT(Table1_1[[#This Row],[Order_Date]],"mmm")</f>
        <v>Dec</v>
      </c>
    </row>
    <row r="712" spans="1:23" x14ac:dyDescent="0.25">
      <c r="A712" t="s">
        <v>1098</v>
      </c>
      <c r="B712" t="s">
        <v>800</v>
      </c>
      <c r="C712" s="6">
        <v>45765</v>
      </c>
      <c r="D712" t="s">
        <v>35</v>
      </c>
      <c r="E712" t="s">
        <v>36</v>
      </c>
      <c r="F712" t="s">
        <v>37</v>
      </c>
      <c r="G712" t="s">
        <v>38</v>
      </c>
      <c r="H712">
        <v>3</v>
      </c>
      <c r="I712">
        <v>599</v>
      </c>
      <c r="J712">
        <v>0.2</v>
      </c>
      <c r="K712">
        <v>49</v>
      </c>
      <c r="L712" t="s">
        <v>113</v>
      </c>
      <c r="M712" t="s">
        <v>114</v>
      </c>
      <c r="N712" t="s">
        <v>102</v>
      </c>
      <c r="O712" t="s">
        <v>41</v>
      </c>
      <c r="P712" t="s">
        <v>33</v>
      </c>
      <c r="Q712">
        <v>1</v>
      </c>
      <c r="R712">
        <f>IFERROR(Table1_1[[#This Row],[Unit_Price]]*Table1_1[[#This Row],[Quantity]],"")</f>
        <v>1797</v>
      </c>
      <c r="S712">
        <f>IFERROR(Table1_1[[#This Row],[Gross_Sales]]*Table1_1[[#This Row],[Discount_%]],"")</f>
        <v>359.40000000000003</v>
      </c>
      <c r="T712">
        <f>IFERROR(Table1_1[[#This Row],[Gross_Sales]]-Table1_1[[#This Row],[Discount_amount]]+Table1_1[[#This Row],[Shipping_Cost]],"")</f>
        <v>1486.6</v>
      </c>
      <c r="U712">
        <f>IFERROR(Table1_1[[#This Row],[Net_Sale]]-(Table1_1[[#This Row],[Gross_Sales]]*70%),"")</f>
        <v>228.70000000000005</v>
      </c>
      <c r="V712" s="7">
        <f>IFERROR(Table1_1[[#This Row],[Profit]]/Table1_1[[#This Row],[Net_Sale]],"")</f>
        <v>0.15384097941611735</v>
      </c>
      <c r="W712" t="str">
        <f>TEXT(Table1_1[[#This Row],[Order_Date]],"mmm")</f>
        <v>Apr</v>
      </c>
    </row>
    <row r="713" spans="1:23" x14ac:dyDescent="0.25">
      <c r="A713" t="s">
        <v>1099</v>
      </c>
      <c r="B713" t="s">
        <v>122</v>
      </c>
      <c r="C713" s="6">
        <v>45874</v>
      </c>
      <c r="D713" t="s">
        <v>110</v>
      </c>
      <c r="E713" t="s">
        <v>111</v>
      </c>
      <c r="F713" t="s">
        <v>98</v>
      </c>
      <c r="G713" t="s">
        <v>112</v>
      </c>
      <c r="H713">
        <v>1</v>
      </c>
      <c r="I713">
        <v>2999</v>
      </c>
      <c r="J713">
        <v>0</v>
      </c>
      <c r="K713">
        <v>79</v>
      </c>
      <c r="L713" t="s">
        <v>119</v>
      </c>
      <c r="M713" t="s">
        <v>120</v>
      </c>
      <c r="N713" t="s">
        <v>40</v>
      </c>
      <c r="O713" t="s">
        <v>93</v>
      </c>
      <c r="P713" t="s">
        <v>33</v>
      </c>
      <c r="Q713">
        <v>3</v>
      </c>
      <c r="R713">
        <f>IFERROR(Table1_1[[#This Row],[Unit_Price]]*Table1_1[[#This Row],[Quantity]],"")</f>
        <v>2999</v>
      </c>
      <c r="S713">
        <f>IFERROR(Table1_1[[#This Row],[Gross_Sales]]*Table1_1[[#This Row],[Discount_%]],"")</f>
        <v>0</v>
      </c>
      <c r="T713">
        <f>IFERROR(Table1_1[[#This Row],[Gross_Sales]]-Table1_1[[#This Row],[Discount_amount]]+Table1_1[[#This Row],[Shipping_Cost]],"")</f>
        <v>3078</v>
      </c>
      <c r="U713">
        <f>IFERROR(Table1_1[[#This Row],[Net_Sale]]-(Table1_1[[#This Row],[Gross_Sales]]*70%),"")</f>
        <v>978.70000000000027</v>
      </c>
      <c r="V713" s="7">
        <f>IFERROR(Table1_1[[#This Row],[Profit]]/Table1_1[[#This Row],[Net_Sale]],"")</f>
        <v>0.31796621182586104</v>
      </c>
      <c r="W713" t="str">
        <f>TEXT(Table1_1[[#This Row],[Order_Date]],"mmm")</f>
        <v>Aug</v>
      </c>
    </row>
    <row r="714" spans="1:23" x14ac:dyDescent="0.25">
      <c r="A714" t="s">
        <v>1100</v>
      </c>
      <c r="B714" t="s">
        <v>146</v>
      </c>
      <c r="C714" s="6">
        <v>45808</v>
      </c>
      <c r="D714" t="s">
        <v>90</v>
      </c>
      <c r="E714" t="s">
        <v>91</v>
      </c>
      <c r="F714" t="s">
        <v>37</v>
      </c>
      <c r="G714" t="s">
        <v>92</v>
      </c>
      <c r="H714">
        <v>1</v>
      </c>
      <c r="I714">
        <v>3499</v>
      </c>
      <c r="J714">
        <v>0</v>
      </c>
      <c r="K714">
        <v>59</v>
      </c>
      <c r="L714" t="s">
        <v>125</v>
      </c>
      <c r="M714" t="s">
        <v>126</v>
      </c>
      <c r="N714" t="s">
        <v>31</v>
      </c>
      <c r="O714" t="s">
        <v>59</v>
      </c>
      <c r="P714" t="s">
        <v>52</v>
      </c>
      <c r="Q714">
        <v>4</v>
      </c>
      <c r="R714">
        <f>IFERROR(Table1_1[[#This Row],[Unit_Price]]*Table1_1[[#This Row],[Quantity]],"")</f>
        <v>3499</v>
      </c>
      <c r="S714">
        <f>IFERROR(Table1_1[[#This Row],[Gross_Sales]]*Table1_1[[#This Row],[Discount_%]],"")</f>
        <v>0</v>
      </c>
      <c r="T714">
        <f>IFERROR(Table1_1[[#This Row],[Gross_Sales]]-Table1_1[[#This Row],[Discount_amount]]+Table1_1[[#This Row],[Shipping_Cost]],"")</f>
        <v>3558</v>
      </c>
      <c r="U714">
        <f>IFERROR(Table1_1[[#This Row],[Net_Sale]]-(Table1_1[[#This Row],[Gross_Sales]]*70%),"")</f>
        <v>1108.7000000000003</v>
      </c>
      <c r="V714" s="7">
        <f>IFERROR(Table1_1[[#This Row],[Profit]]/Table1_1[[#This Row],[Net_Sale]],"")</f>
        <v>0.31160764474423841</v>
      </c>
      <c r="W714" t="str">
        <f>TEXT(Table1_1[[#This Row],[Order_Date]],"mmm")</f>
        <v>May</v>
      </c>
    </row>
    <row r="715" spans="1:23" x14ac:dyDescent="0.25">
      <c r="A715" t="s">
        <v>1101</v>
      </c>
      <c r="B715" t="s">
        <v>695</v>
      </c>
      <c r="C715" s="6">
        <v>45941</v>
      </c>
      <c r="D715" t="s">
        <v>90</v>
      </c>
      <c r="E715" t="s">
        <v>91</v>
      </c>
      <c r="F715" t="s">
        <v>37</v>
      </c>
      <c r="G715" t="s">
        <v>92</v>
      </c>
      <c r="H715">
        <v>2</v>
      </c>
      <c r="I715">
        <v>3499</v>
      </c>
      <c r="J715">
        <v>0.1</v>
      </c>
      <c r="K715">
        <v>79</v>
      </c>
      <c r="L715" t="s">
        <v>125</v>
      </c>
      <c r="M715" t="s">
        <v>126</v>
      </c>
      <c r="N715" t="s">
        <v>102</v>
      </c>
      <c r="O715" t="s">
        <v>32</v>
      </c>
      <c r="P715" t="s">
        <v>52</v>
      </c>
      <c r="Q715">
        <v>3</v>
      </c>
      <c r="R715">
        <f>IFERROR(Table1_1[[#This Row],[Unit_Price]]*Table1_1[[#This Row],[Quantity]],"")</f>
        <v>6998</v>
      </c>
      <c r="S715">
        <f>IFERROR(Table1_1[[#This Row],[Gross_Sales]]*Table1_1[[#This Row],[Discount_%]],"")</f>
        <v>699.80000000000007</v>
      </c>
      <c r="T715">
        <f>IFERROR(Table1_1[[#This Row],[Gross_Sales]]-Table1_1[[#This Row],[Discount_amount]]+Table1_1[[#This Row],[Shipping_Cost]],"")</f>
        <v>6377.2</v>
      </c>
      <c r="U715">
        <f>IFERROR(Table1_1[[#This Row],[Net_Sale]]-(Table1_1[[#This Row],[Gross_Sales]]*70%),"")</f>
        <v>1478.6000000000004</v>
      </c>
      <c r="V715" s="7">
        <f>IFERROR(Table1_1[[#This Row],[Profit]]/Table1_1[[#This Row],[Net_Sale]],"")</f>
        <v>0.23185724142256797</v>
      </c>
      <c r="W715" t="str">
        <f>TEXT(Table1_1[[#This Row],[Order_Date]],"mmm")</f>
        <v>Oct</v>
      </c>
    </row>
    <row r="716" spans="1:23" x14ac:dyDescent="0.25">
      <c r="A716" t="s">
        <v>1102</v>
      </c>
      <c r="B716" t="s">
        <v>87</v>
      </c>
      <c r="C716" s="6">
        <v>45928</v>
      </c>
      <c r="D716" t="s">
        <v>90</v>
      </c>
      <c r="E716" t="s">
        <v>91</v>
      </c>
      <c r="F716" t="s">
        <v>37</v>
      </c>
      <c r="G716" t="s">
        <v>92</v>
      </c>
      <c r="H716">
        <v>2</v>
      </c>
      <c r="I716">
        <v>3499</v>
      </c>
      <c r="J716">
        <v>0.05</v>
      </c>
      <c r="K716">
        <v>99</v>
      </c>
      <c r="L716" t="s">
        <v>113</v>
      </c>
      <c r="M716" t="s">
        <v>114</v>
      </c>
      <c r="N716" t="s">
        <v>71</v>
      </c>
      <c r="O716" t="s">
        <v>59</v>
      </c>
      <c r="P716" t="s">
        <v>85</v>
      </c>
      <c r="Q716">
        <v>4</v>
      </c>
      <c r="R716">
        <f>IFERROR(Table1_1[[#This Row],[Unit_Price]]*Table1_1[[#This Row],[Quantity]],"")</f>
        <v>6998</v>
      </c>
      <c r="S716">
        <f>IFERROR(Table1_1[[#This Row],[Gross_Sales]]*Table1_1[[#This Row],[Discount_%]],"")</f>
        <v>349.90000000000003</v>
      </c>
      <c r="T716">
        <f>IFERROR(Table1_1[[#This Row],[Gross_Sales]]-Table1_1[[#This Row],[Discount_amount]]+Table1_1[[#This Row],[Shipping_Cost]],"")</f>
        <v>6747.1</v>
      </c>
      <c r="U716">
        <f>IFERROR(Table1_1[[#This Row],[Net_Sale]]-(Table1_1[[#This Row],[Gross_Sales]]*70%),"")</f>
        <v>1848.5000000000009</v>
      </c>
      <c r="V716" s="7">
        <f>IFERROR(Table1_1[[#This Row],[Profit]]/Table1_1[[#This Row],[Net_Sale]],"")</f>
        <v>0.27396955729128081</v>
      </c>
      <c r="W716" t="str">
        <f>TEXT(Table1_1[[#This Row],[Order_Date]],"mmm")</f>
        <v>Sep</v>
      </c>
    </row>
    <row r="717" spans="1:23" x14ac:dyDescent="0.25">
      <c r="A717" t="s">
        <v>1103</v>
      </c>
      <c r="B717" t="s">
        <v>354</v>
      </c>
      <c r="C717" s="6">
        <v>45988</v>
      </c>
      <c r="D717" t="s">
        <v>55</v>
      </c>
      <c r="E717" t="s">
        <v>56</v>
      </c>
      <c r="F717" t="s">
        <v>37</v>
      </c>
      <c r="G717" t="s">
        <v>38</v>
      </c>
      <c r="H717">
        <v>2</v>
      </c>
      <c r="I717">
        <v>2499</v>
      </c>
      <c r="J717">
        <v>0.1</v>
      </c>
      <c r="K717">
        <v>0</v>
      </c>
      <c r="L717" t="s">
        <v>119</v>
      </c>
      <c r="M717" t="s">
        <v>120</v>
      </c>
      <c r="N717" t="s">
        <v>71</v>
      </c>
      <c r="O717" t="s">
        <v>41</v>
      </c>
      <c r="P717" t="s">
        <v>80</v>
      </c>
      <c r="Q717">
        <v>4</v>
      </c>
      <c r="R717">
        <f>IFERROR(Table1_1[[#This Row],[Unit_Price]]*Table1_1[[#This Row],[Quantity]],"")</f>
        <v>4998</v>
      </c>
      <c r="S717">
        <f>IFERROR(Table1_1[[#This Row],[Gross_Sales]]*Table1_1[[#This Row],[Discount_%]],"")</f>
        <v>499.8</v>
      </c>
      <c r="T717">
        <f>IFERROR(Table1_1[[#This Row],[Gross_Sales]]-Table1_1[[#This Row],[Discount_amount]]+Table1_1[[#This Row],[Shipping_Cost]],"")</f>
        <v>4498.2</v>
      </c>
      <c r="U717">
        <f>IFERROR(Table1_1[[#This Row],[Net_Sale]]-(Table1_1[[#This Row],[Gross_Sales]]*70%),"")</f>
        <v>999.59999999999991</v>
      </c>
      <c r="V717" s="7">
        <f>IFERROR(Table1_1[[#This Row],[Profit]]/Table1_1[[#This Row],[Net_Sale]],"")</f>
        <v>0.22222222222222221</v>
      </c>
      <c r="W717" t="str">
        <f>TEXT(Table1_1[[#This Row],[Order_Date]],"mmm")</f>
        <v>Nov</v>
      </c>
    </row>
    <row r="718" spans="1:23" x14ac:dyDescent="0.25">
      <c r="A718" t="s">
        <v>1104</v>
      </c>
      <c r="B718" t="s">
        <v>1618</v>
      </c>
      <c r="C718" s="6">
        <v>45770</v>
      </c>
      <c r="D718" t="s">
        <v>169</v>
      </c>
      <c r="E718" t="s">
        <v>170</v>
      </c>
      <c r="F718" t="s">
        <v>98</v>
      </c>
      <c r="G718" t="s">
        <v>171</v>
      </c>
      <c r="H718">
        <v>1</v>
      </c>
      <c r="I718">
        <v>799</v>
      </c>
      <c r="J718">
        <v>0.05</v>
      </c>
      <c r="K718">
        <v>99</v>
      </c>
      <c r="L718" t="s">
        <v>119</v>
      </c>
      <c r="M718" t="s">
        <v>120</v>
      </c>
      <c r="N718" t="s">
        <v>50</v>
      </c>
      <c r="O718" t="s">
        <v>51</v>
      </c>
      <c r="P718" t="s">
        <v>80</v>
      </c>
      <c r="Q718">
        <v>3</v>
      </c>
      <c r="R718">
        <f>IFERROR(Table1_1[[#This Row],[Unit_Price]]*Table1_1[[#This Row],[Quantity]],"")</f>
        <v>799</v>
      </c>
      <c r="S718">
        <f>IFERROR(Table1_1[[#This Row],[Gross_Sales]]*Table1_1[[#This Row],[Discount_%]],"")</f>
        <v>39.950000000000003</v>
      </c>
      <c r="T718">
        <f>IFERROR(Table1_1[[#This Row],[Gross_Sales]]-Table1_1[[#This Row],[Discount_amount]]+Table1_1[[#This Row],[Shipping_Cost]],"")</f>
        <v>858.05</v>
      </c>
      <c r="U718">
        <f>IFERROR(Table1_1[[#This Row],[Net_Sale]]-(Table1_1[[#This Row],[Gross_Sales]]*70%),"")</f>
        <v>298.75</v>
      </c>
      <c r="V718" s="7">
        <f>IFERROR(Table1_1[[#This Row],[Profit]]/Table1_1[[#This Row],[Net_Sale]],"")</f>
        <v>0.3481731833809219</v>
      </c>
      <c r="W718" t="str">
        <f>TEXT(Table1_1[[#This Row],[Order_Date]],"mmm")</f>
        <v>Apr</v>
      </c>
    </row>
    <row r="719" spans="1:23" x14ac:dyDescent="0.25">
      <c r="A719" t="s">
        <v>1105</v>
      </c>
      <c r="B719" t="s">
        <v>809</v>
      </c>
      <c r="C719" s="6">
        <v>46002</v>
      </c>
      <c r="D719" t="s">
        <v>77</v>
      </c>
      <c r="E719" t="s">
        <v>78</v>
      </c>
      <c r="F719" t="s">
        <v>79</v>
      </c>
      <c r="G719" t="s">
        <v>28</v>
      </c>
      <c r="H719">
        <v>4</v>
      </c>
      <c r="I719">
        <v>6499</v>
      </c>
      <c r="J719">
        <v>0.1</v>
      </c>
      <c r="K719">
        <v>49</v>
      </c>
      <c r="L719" t="s">
        <v>57</v>
      </c>
      <c r="M719" t="s">
        <v>58</v>
      </c>
      <c r="N719" t="s">
        <v>71</v>
      </c>
      <c r="O719" t="s">
        <v>93</v>
      </c>
      <c r="P719" t="s">
        <v>33</v>
      </c>
      <c r="Q719">
        <v>3</v>
      </c>
      <c r="R719">
        <f>IFERROR(Table1_1[[#This Row],[Unit_Price]]*Table1_1[[#This Row],[Quantity]],"")</f>
        <v>25996</v>
      </c>
      <c r="S719">
        <f>IFERROR(Table1_1[[#This Row],[Gross_Sales]]*Table1_1[[#This Row],[Discount_%]],"")</f>
        <v>2599.6000000000004</v>
      </c>
      <c r="T719">
        <f>IFERROR(Table1_1[[#This Row],[Gross_Sales]]-Table1_1[[#This Row],[Discount_amount]]+Table1_1[[#This Row],[Shipping_Cost]],"")</f>
        <v>23445.4</v>
      </c>
      <c r="U719">
        <f>IFERROR(Table1_1[[#This Row],[Net_Sale]]-(Table1_1[[#This Row],[Gross_Sales]]*70%),"")</f>
        <v>5248.2000000000044</v>
      </c>
      <c r="V719" s="7">
        <f>IFERROR(Table1_1[[#This Row],[Profit]]/Table1_1[[#This Row],[Net_Sale]],"")</f>
        <v>0.223847748385611</v>
      </c>
      <c r="W719" t="str">
        <f>TEXT(Table1_1[[#This Row],[Order_Date]],"mmm")</f>
        <v>Dec</v>
      </c>
    </row>
    <row r="720" spans="1:23" x14ac:dyDescent="0.25">
      <c r="A720" t="s">
        <v>1106</v>
      </c>
      <c r="B720" t="s">
        <v>857</v>
      </c>
      <c r="C720" s="6">
        <v>45738</v>
      </c>
      <c r="D720" t="s">
        <v>90</v>
      </c>
      <c r="E720" t="s">
        <v>91</v>
      </c>
      <c r="F720" t="s">
        <v>37</v>
      </c>
      <c r="G720" t="s">
        <v>92</v>
      </c>
      <c r="H720">
        <v>1</v>
      </c>
      <c r="I720">
        <v>3499</v>
      </c>
      <c r="J720">
        <v>0.1</v>
      </c>
      <c r="K720">
        <v>79</v>
      </c>
      <c r="L720" t="s">
        <v>100</v>
      </c>
      <c r="M720" t="s">
        <v>101</v>
      </c>
      <c r="N720" t="s">
        <v>50</v>
      </c>
      <c r="O720" t="s">
        <v>41</v>
      </c>
      <c r="P720" t="s">
        <v>33</v>
      </c>
      <c r="Q720">
        <v>5</v>
      </c>
      <c r="R720">
        <f>IFERROR(Table1_1[[#This Row],[Unit_Price]]*Table1_1[[#This Row],[Quantity]],"")</f>
        <v>3499</v>
      </c>
      <c r="S720">
        <f>IFERROR(Table1_1[[#This Row],[Gross_Sales]]*Table1_1[[#This Row],[Discount_%]],"")</f>
        <v>349.90000000000003</v>
      </c>
      <c r="T720">
        <f>IFERROR(Table1_1[[#This Row],[Gross_Sales]]-Table1_1[[#This Row],[Discount_amount]]+Table1_1[[#This Row],[Shipping_Cost]],"")</f>
        <v>3228.1</v>
      </c>
      <c r="U720">
        <f>IFERROR(Table1_1[[#This Row],[Net_Sale]]-(Table1_1[[#This Row],[Gross_Sales]]*70%),"")</f>
        <v>778.80000000000018</v>
      </c>
      <c r="V720" s="7">
        <f>IFERROR(Table1_1[[#This Row],[Profit]]/Table1_1[[#This Row],[Net_Sale]],"")</f>
        <v>0.24125646665221034</v>
      </c>
      <c r="W720" t="str">
        <f>TEXT(Table1_1[[#This Row],[Order_Date]],"mmm")</f>
        <v>Mar</v>
      </c>
    </row>
    <row r="721" spans="1:23" x14ac:dyDescent="0.25">
      <c r="A721" t="s">
        <v>1107</v>
      </c>
      <c r="B721" t="s">
        <v>381</v>
      </c>
      <c r="C721" s="6">
        <v>45791</v>
      </c>
      <c r="D721" t="s">
        <v>35</v>
      </c>
      <c r="E721" t="s">
        <v>36</v>
      </c>
      <c r="F721" t="s">
        <v>37</v>
      </c>
      <c r="G721" t="s">
        <v>38</v>
      </c>
      <c r="H721">
        <v>1</v>
      </c>
      <c r="I721">
        <v>599</v>
      </c>
      <c r="J721">
        <v>0</v>
      </c>
      <c r="K721">
        <v>99</v>
      </c>
      <c r="L721" t="s">
        <v>39</v>
      </c>
      <c r="M721" t="s">
        <v>39</v>
      </c>
      <c r="N721" t="s">
        <v>31</v>
      </c>
      <c r="O721" t="s">
        <v>51</v>
      </c>
      <c r="P721" t="s">
        <v>33</v>
      </c>
      <c r="Q721">
        <v>4</v>
      </c>
      <c r="R721">
        <f>IFERROR(Table1_1[[#This Row],[Unit_Price]]*Table1_1[[#This Row],[Quantity]],"")</f>
        <v>599</v>
      </c>
      <c r="S721">
        <f>IFERROR(Table1_1[[#This Row],[Gross_Sales]]*Table1_1[[#This Row],[Discount_%]],"")</f>
        <v>0</v>
      </c>
      <c r="T721">
        <f>IFERROR(Table1_1[[#This Row],[Gross_Sales]]-Table1_1[[#This Row],[Discount_amount]]+Table1_1[[#This Row],[Shipping_Cost]],"")</f>
        <v>698</v>
      </c>
      <c r="U721">
        <f>IFERROR(Table1_1[[#This Row],[Net_Sale]]-(Table1_1[[#This Row],[Gross_Sales]]*70%),"")</f>
        <v>278.70000000000005</v>
      </c>
      <c r="V721" s="7">
        <f>IFERROR(Table1_1[[#This Row],[Profit]]/Table1_1[[#This Row],[Net_Sale]],"")</f>
        <v>0.39928366762177658</v>
      </c>
      <c r="W721" t="str">
        <f>TEXT(Table1_1[[#This Row],[Order_Date]],"mmm")</f>
        <v>May</v>
      </c>
    </row>
    <row r="722" spans="1:23" x14ac:dyDescent="0.25">
      <c r="A722" t="s">
        <v>1108</v>
      </c>
      <c r="B722" t="s">
        <v>61</v>
      </c>
      <c r="C722" s="6">
        <v>45945</v>
      </c>
      <c r="D722" t="s">
        <v>55</v>
      </c>
      <c r="E722" t="s">
        <v>56</v>
      </c>
      <c r="F722" t="s">
        <v>37</v>
      </c>
      <c r="G722" t="s">
        <v>38</v>
      </c>
      <c r="H722">
        <v>1</v>
      </c>
      <c r="I722">
        <v>2499</v>
      </c>
      <c r="J722">
        <v>0.05</v>
      </c>
      <c r="K722">
        <v>59</v>
      </c>
      <c r="L722" t="s">
        <v>125</v>
      </c>
      <c r="M722" t="s">
        <v>126</v>
      </c>
      <c r="N722" t="s">
        <v>102</v>
      </c>
      <c r="O722" t="s">
        <v>51</v>
      </c>
      <c r="P722" t="s">
        <v>33</v>
      </c>
      <c r="Q722">
        <v>2</v>
      </c>
      <c r="R722">
        <f>IFERROR(Table1_1[[#This Row],[Unit_Price]]*Table1_1[[#This Row],[Quantity]],"")</f>
        <v>2499</v>
      </c>
      <c r="S722">
        <f>IFERROR(Table1_1[[#This Row],[Gross_Sales]]*Table1_1[[#This Row],[Discount_%]],"")</f>
        <v>124.95</v>
      </c>
      <c r="T722">
        <f>IFERROR(Table1_1[[#This Row],[Gross_Sales]]-Table1_1[[#This Row],[Discount_amount]]+Table1_1[[#This Row],[Shipping_Cost]],"")</f>
        <v>2433.0500000000002</v>
      </c>
      <c r="U722">
        <f>IFERROR(Table1_1[[#This Row],[Net_Sale]]-(Table1_1[[#This Row],[Gross_Sales]]*70%),"")</f>
        <v>683.75000000000023</v>
      </c>
      <c r="V722" s="7">
        <f>IFERROR(Table1_1[[#This Row],[Profit]]/Table1_1[[#This Row],[Net_Sale]],"")</f>
        <v>0.28102587287560887</v>
      </c>
      <c r="W722" t="str">
        <f>TEXT(Table1_1[[#This Row],[Order_Date]],"mmm")</f>
        <v>Oct</v>
      </c>
    </row>
    <row r="723" spans="1:23" x14ac:dyDescent="0.25">
      <c r="A723" t="s">
        <v>1109</v>
      </c>
      <c r="B723" t="s">
        <v>1110</v>
      </c>
      <c r="C723" s="6">
        <v>45711</v>
      </c>
      <c r="D723" t="s">
        <v>77</v>
      </c>
      <c r="E723" t="s">
        <v>78</v>
      </c>
      <c r="F723" t="s">
        <v>79</v>
      </c>
      <c r="G723" t="s">
        <v>28</v>
      </c>
      <c r="H723">
        <v>2</v>
      </c>
      <c r="I723">
        <v>6499</v>
      </c>
      <c r="J723">
        <v>0.1</v>
      </c>
      <c r="K723">
        <v>0</v>
      </c>
      <c r="L723" t="s">
        <v>83</v>
      </c>
      <c r="M723" t="s">
        <v>84</v>
      </c>
      <c r="N723" t="s">
        <v>102</v>
      </c>
      <c r="O723" t="s">
        <v>32</v>
      </c>
      <c r="P723" t="s">
        <v>52</v>
      </c>
      <c r="Q723">
        <v>3</v>
      </c>
      <c r="R723">
        <f>IFERROR(Table1_1[[#This Row],[Unit_Price]]*Table1_1[[#This Row],[Quantity]],"")</f>
        <v>12998</v>
      </c>
      <c r="S723">
        <f>IFERROR(Table1_1[[#This Row],[Gross_Sales]]*Table1_1[[#This Row],[Discount_%]],"")</f>
        <v>1299.8000000000002</v>
      </c>
      <c r="T723">
        <f>IFERROR(Table1_1[[#This Row],[Gross_Sales]]-Table1_1[[#This Row],[Discount_amount]]+Table1_1[[#This Row],[Shipping_Cost]],"")</f>
        <v>11698.2</v>
      </c>
      <c r="U723">
        <f>IFERROR(Table1_1[[#This Row],[Net_Sale]]-(Table1_1[[#This Row],[Gross_Sales]]*70%),"")</f>
        <v>2599.6000000000022</v>
      </c>
      <c r="V723" s="7">
        <f>IFERROR(Table1_1[[#This Row],[Profit]]/Table1_1[[#This Row],[Net_Sale]],"")</f>
        <v>0.2222222222222224</v>
      </c>
      <c r="W723" t="str">
        <f>TEXT(Table1_1[[#This Row],[Order_Date]],"mmm")</f>
        <v>Feb</v>
      </c>
    </row>
    <row r="724" spans="1:23" x14ac:dyDescent="0.25">
      <c r="A724" t="s">
        <v>1111</v>
      </c>
      <c r="B724" t="s">
        <v>234</v>
      </c>
      <c r="C724" s="6">
        <v>45711</v>
      </c>
      <c r="D724" t="s">
        <v>55</v>
      </c>
      <c r="E724" t="s">
        <v>56</v>
      </c>
      <c r="F724" t="s">
        <v>37</v>
      </c>
      <c r="G724" t="s">
        <v>38</v>
      </c>
      <c r="H724">
        <v>1</v>
      </c>
      <c r="I724">
        <v>2499</v>
      </c>
      <c r="J724">
        <v>0</v>
      </c>
      <c r="K724">
        <v>59</v>
      </c>
      <c r="L724" t="s">
        <v>83</v>
      </c>
      <c r="M724" t="s">
        <v>84</v>
      </c>
      <c r="N724" t="s">
        <v>71</v>
      </c>
      <c r="O724" t="s">
        <v>59</v>
      </c>
      <c r="P724" t="s">
        <v>33</v>
      </c>
      <c r="Q724">
        <v>3</v>
      </c>
      <c r="R724">
        <f>IFERROR(Table1_1[[#This Row],[Unit_Price]]*Table1_1[[#This Row],[Quantity]],"")</f>
        <v>2499</v>
      </c>
      <c r="S724">
        <f>IFERROR(Table1_1[[#This Row],[Gross_Sales]]*Table1_1[[#This Row],[Discount_%]],"")</f>
        <v>0</v>
      </c>
      <c r="T724">
        <f>IFERROR(Table1_1[[#This Row],[Gross_Sales]]-Table1_1[[#This Row],[Discount_amount]]+Table1_1[[#This Row],[Shipping_Cost]],"")</f>
        <v>2558</v>
      </c>
      <c r="U724">
        <f>IFERROR(Table1_1[[#This Row],[Net_Sale]]-(Table1_1[[#This Row],[Gross_Sales]]*70%),"")</f>
        <v>808.7</v>
      </c>
      <c r="V724" s="7">
        <f>IFERROR(Table1_1[[#This Row],[Profit]]/Table1_1[[#This Row],[Net_Sale]],"")</f>
        <v>0.3161454261141517</v>
      </c>
      <c r="W724" t="str">
        <f>TEXT(Table1_1[[#This Row],[Order_Date]],"mmm")</f>
        <v>Feb</v>
      </c>
    </row>
    <row r="725" spans="1:23" x14ac:dyDescent="0.25">
      <c r="A725" t="s">
        <v>1112</v>
      </c>
      <c r="B725" t="s">
        <v>587</v>
      </c>
      <c r="C725" s="6">
        <v>45708</v>
      </c>
      <c r="D725" t="s">
        <v>62</v>
      </c>
      <c r="E725" t="s">
        <v>63</v>
      </c>
      <c r="F725" t="s">
        <v>46</v>
      </c>
      <c r="G725" t="s">
        <v>64</v>
      </c>
      <c r="H725">
        <v>2</v>
      </c>
      <c r="I725">
        <v>699</v>
      </c>
      <c r="J725">
        <v>0.05</v>
      </c>
      <c r="K725">
        <v>49</v>
      </c>
      <c r="L725" t="s">
        <v>119</v>
      </c>
      <c r="M725" t="s">
        <v>120</v>
      </c>
      <c r="N725" t="s">
        <v>50</v>
      </c>
      <c r="O725" t="s">
        <v>59</v>
      </c>
      <c r="P725" t="s">
        <v>33</v>
      </c>
      <c r="Q725">
        <v>4</v>
      </c>
      <c r="R725">
        <f>IFERROR(Table1_1[[#This Row],[Unit_Price]]*Table1_1[[#This Row],[Quantity]],"")</f>
        <v>1398</v>
      </c>
      <c r="S725">
        <f>IFERROR(Table1_1[[#This Row],[Gross_Sales]]*Table1_1[[#This Row],[Discount_%]],"")</f>
        <v>69.900000000000006</v>
      </c>
      <c r="T725">
        <f>IFERROR(Table1_1[[#This Row],[Gross_Sales]]-Table1_1[[#This Row],[Discount_amount]]+Table1_1[[#This Row],[Shipping_Cost]],"")</f>
        <v>1377.1</v>
      </c>
      <c r="U725">
        <f>IFERROR(Table1_1[[#This Row],[Net_Sale]]-(Table1_1[[#This Row],[Gross_Sales]]*70%),"")</f>
        <v>398.5</v>
      </c>
      <c r="V725" s="7">
        <f>IFERROR(Table1_1[[#This Row],[Profit]]/Table1_1[[#This Row],[Net_Sale]],"")</f>
        <v>0.28937622540120544</v>
      </c>
      <c r="W725" t="str">
        <f>TEXT(Table1_1[[#This Row],[Order_Date]],"mmm")</f>
        <v>Feb</v>
      </c>
    </row>
    <row r="726" spans="1:23" x14ac:dyDescent="0.25">
      <c r="A726" t="s">
        <v>1113</v>
      </c>
      <c r="B726" t="s">
        <v>89</v>
      </c>
      <c r="C726" s="6">
        <v>45900</v>
      </c>
      <c r="D726" t="s">
        <v>35</v>
      </c>
      <c r="E726" t="s">
        <v>36</v>
      </c>
      <c r="F726" t="s">
        <v>37</v>
      </c>
      <c r="G726" t="s">
        <v>38</v>
      </c>
      <c r="H726">
        <v>3</v>
      </c>
      <c r="I726">
        <v>599</v>
      </c>
      <c r="J726">
        <v>0</v>
      </c>
      <c r="K726">
        <v>0</v>
      </c>
      <c r="L726" t="s">
        <v>113</v>
      </c>
      <c r="M726" t="s">
        <v>114</v>
      </c>
      <c r="N726" t="s">
        <v>71</v>
      </c>
      <c r="O726" t="s">
        <v>59</v>
      </c>
      <c r="P726" t="s">
        <v>85</v>
      </c>
      <c r="Q726">
        <v>3</v>
      </c>
      <c r="R726">
        <f>IFERROR(Table1_1[[#This Row],[Unit_Price]]*Table1_1[[#This Row],[Quantity]],"")</f>
        <v>1797</v>
      </c>
      <c r="S726">
        <f>IFERROR(Table1_1[[#This Row],[Gross_Sales]]*Table1_1[[#This Row],[Discount_%]],"")</f>
        <v>0</v>
      </c>
      <c r="T726">
        <f>IFERROR(Table1_1[[#This Row],[Gross_Sales]]-Table1_1[[#This Row],[Discount_amount]]+Table1_1[[#This Row],[Shipping_Cost]],"")</f>
        <v>1797</v>
      </c>
      <c r="U726">
        <f>IFERROR(Table1_1[[#This Row],[Net_Sale]]-(Table1_1[[#This Row],[Gross_Sales]]*70%),"")</f>
        <v>539.10000000000014</v>
      </c>
      <c r="V726" s="7">
        <f>IFERROR(Table1_1[[#This Row],[Profit]]/Table1_1[[#This Row],[Net_Sale]],"")</f>
        <v>0.3000000000000001</v>
      </c>
      <c r="W726" t="str">
        <f>TEXT(Table1_1[[#This Row],[Order_Date]],"mmm")</f>
        <v>Aug</v>
      </c>
    </row>
    <row r="727" spans="1:23" x14ac:dyDescent="0.25">
      <c r="A727" t="s">
        <v>1114</v>
      </c>
      <c r="B727" t="s">
        <v>683</v>
      </c>
      <c r="C727" s="6">
        <v>45929</v>
      </c>
      <c r="D727" t="s">
        <v>25</v>
      </c>
      <c r="E727" t="s">
        <v>26</v>
      </c>
      <c r="F727" t="s">
        <v>27</v>
      </c>
      <c r="G727" t="s">
        <v>28</v>
      </c>
      <c r="H727">
        <v>1</v>
      </c>
      <c r="I727">
        <v>249</v>
      </c>
      <c r="J727">
        <v>0</v>
      </c>
      <c r="K727">
        <v>79</v>
      </c>
      <c r="L727" t="s">
        <v>113</v>
      </c>
      <c r="M727" t="s">
        <v>114</v>
      </c>
      <c r="N727" t="s">
        <v>40</v>
      </c>
      <c r="O727" t="s">
        <v>59</v>
      </c>
      <c r="P727" t="s">
        <v>33</v>
      </c>
      <c r="Q727">
        <v>3</v>
      </c>
      <c r="R727">
        <f>IFERROR(Table1_1[[#This Row],[Unit_Price]]*Table1_1[[#This Row],[Quantity]],"")</f>
        <v>249</v>
      </c>
      <c r="S727">
        <f>IFERROR(Table1_1[[#This Row],[Gross_Sales]]*Table1_1[[#This Row],[Discount_%]],"")</f>
        <v>0</v>
      </c>
      <c r="T727">
        <f>IFERROR(Table1_1[[#This Row],[Gross_Sales]]-Table1_1[[#This Row],[Discount_amount]]+Table1_1[[#This Row],[Shipping_Cost]],"")</f>
        <v>328</v>
      </c>
      <c r="U727">
        <f>IFERROR(Table1_1[[#This Row],[Net_Sale]]-(Table1_1[[#This Row],[Gross_Sales]]*70%),"")</f>
        <v>153.70000000000002</v>
      </c>
      <c r="V727" s="7">
        <f>IFERROR(Table1_1[[#This Row],[Profit]]/Table1_1[[#This Row],[Net_Sale]],"")</f>
        <v>0.46859756097560978</v>
      </c>
      <c r="W727" t="str">
        <f>TEXT(Table1_1[[#This Row],[Order_Date]],"mmm")</f>
        <v>Sep</v>
      </c>
    </row>
    <row r="728" spans="1:23" x14ac:dyDescent="0.25">
      <c r="A728" t="s">
        <v>1115</v>
      </c>
      <c r="B728" t="s">
        <v>818</v>
      </c>
      <c r="C728" s="6">
        <v>45884</v>
      </c>
      <c r="D728" t="s">
        <v>62</v>
      </c>
      <c r="E728" t="s">
        <v>63</v>
      </c>
      <c r="F728" t="s">
        <v>46</v>
      </c>
      <c r="G728" t="s">
        <v>64</v>
      </c>
      <c r="H728">
        <v>4</v>
      </c>
      <c r="I728">
        <v>699</v>
      </c>
      <c r="J728">
        <v>0.2</v>
      </c>
      <c r="K728">
        <v>99</v>
      </c>
      <c r="L728" t="s">
        <v>74</v>
      </c>
      <c r="M728" t="s">
        <v>49</v>
      </c>
      <c r="N728" t="s">
        <v>31</v>
      </c>
      <c r="O728" t="s">
        <v>51</v>
      </c>
      <c r="P728" t="s">
        <v>33</v>
      </c>
      <c r="Q728">
        <v>3</v>
      </c>
      <c r="R728">
        <f>IFERROR(Table1_1[[#This Row],[Unit_Price]]*Table1_1[[#This Row],[Quantity]],"")</f>
        <v>2796</v>
      </c>
      <c r="S728">
        <f>IFERROR(Table1_1[[#This Row],[Gross_Sales]]*Table1_1[[#This Row],[Discount_%]],"")</f>
        <v>559.20000000000005</v>
      </c>
      <c r="T728">
        <f>IFERROR(Table1_1[[#This Row],[Gross_Sales]]-Table1_1[[#This Row],[Discount_amount]]+Table1_1[[#This Row],[Shipping_Cost]],"")</f>
        <v>2335.8000000000002</v>
      </c>
      <c r="U728">
        <f>IFERROR(Table1_1[[#This Row],[Net_Sale]]-(Table1_1[[#This Row],[Gross_Sales]]*70%),"")</f>
        <v>378.60000000000036</v>
      </c>
      <c r="V728" s="7">
        <f>IFERROR(Table1_1[[#This Row],[Profit]]/Table1_1[[#This Row],[Net_Sale]],"")</f>
        <v>0.16208579501669679</v>
      </c>
      <c r="W728" t="str">
        <f>TEXT(Table1_1[[#This Row],[Order_Date]],"mmm")</f>
        <v>Aug</v>
      </c>
    </row>
    <row r="729" spans="1:23" x14ac:dyDescent="0.25">
      <c r="A729" t="s">
        <v>1116</v>
      </c>
      <c r="B729" t="s">
        <v>1117</v>
      </c>
      <c r="C729" s="6">
        <v>45859</v>
      </c>
      <c r="D729" t="s">
        <v>96</v>
      </c>
      <c r="E729" t="s">
        <v>97</v>
      </c>
      <c r="F729" t="s">
        <v>98</v>
      </c>
      <c r="G729" t="s">
        <v>99</v>
      </c>
      <c r="H729">
        <v>1</v>
      </c>
      <c r="I729">
        <v>1499</v>
      </c>
      <c r="J729">
        <v>0</v>
      </c>
      <c r="K729">
        <v>99</v>
      </c>
      <c r="L729" t="s">
        <v>780</v>
      </c>
      <c r="M729" t="s">
        <v>101</v>
      </c>
      <c r="N729" t="s">
        <v>102</v>
      </c>
      <c r="O729" t="s">
        <v>51</v>
      </c>
      <c r="P729" t="s">
        <v>80</v>
      </c>
      <c r="Q729">
        <v>4</v>
      </c>
      <c r="R729">
        <f>IFERROR(Table1_1[[#This Row],[Unit_Price]]*Table1_1[[#This Row],[Quantity]],"")</f>
        <v>1499</v>
      </c>
      <c r="S729">
        <f>IFERROR(Table1_1[[#This Row],[Gross_Sales]]*Table1_1[[#This Row],[Discount_%]],"")</f>
        <v>0</v>
      </c>
      <c r="T729">
        <f>IFERROR(Table1_1[[#This Row],[Gross_Sales]]-Table1_1[[#This Row],[Discount_amount]]+Table1_1[[#This Row],[Shipping_Cost]],"")</f>
        <v>1598</v>
      </c>
      <c r="U729">
        <f>IFERROR(Table1_1[[#This Row],[Net_Sale]]-(Table1_1[[#This Row],[Gross_Sales]]*70%),"")</f>
        <v>548.70000000000005</v>
      </c>
      <c r="V729" s="7">
        <f>IFERROR(Table1_1[[#This Row],[Profit]]/Table1_1[[#This Row],[Net_Sale]],"")</f>
        <v>0.34336670838548189</v>
      </c>
      <c r="W729" t="str">
        <f>TEXT(Table1_1[[#This Row],[Order_Date]],"mmm")</f>
        <v>Jul</v>
      </c>
    </row>
    <row r="730" spans="1:23" x14ac:dyDescent="0.25">
      <c r="A730" t="s">
        <v>1118</v>
      </c>
      <c r="B730" t="s">
        <v>292</v>
      </c>
      <c r="C730" s="6">
        <v>45818</v>
      </c>
      <c r="D730" t="s">
        <v>96</v>
      </c>
      <c r="E730" t="s">
        <v>97</v>
      </c>
      <c r="F730" t="s">
        <v>98</v>
      </c>
      <c r="G730" t="s">
        <v>99</v>
      </c>
      <c r="H730">
        <v>3</v>
      </c>
      <c r="I730">
        <v>1499</v>
      </c>
      <c r="J730">
        <v>0.15</v>
      </c>
      <c r="K730">
        <v>99</v>
      </c>
      <c r="L730" t="s">
        <v>83</v>
      </c>
      <c r="M730" t="s">
        <v>84</v>
      </c>
      <c r="N730" t="s">
        <v>40</v>
      </c>
      <c r="O730" t="s">
        <v>59</v>
      </c>
      <c r="P730" t="s">
        <v>33</v>
      </c>
      <c r="Q730">
        <v>3</v>
      </c>
      <c r="R730">
        <f>IFERROR(Table1_1[[#This Row],[Unit_Price]]*Table1_1[[#This Row],[Quantity]],"")</f>
        <v>4497</v>
      </c>
      <c r="S730">
        <f>IFERROR(Table1_1[[#This Row],[Gross_Sales]]*Table1_1[[#This Row],[Discount_%]],"")</f>
        <v>674.55</v>
      </c>
      <c r="T730">
        <f>IFERROR(Table1_1[[#This Row],[Gross_Sales]]-Table1_1[[#This Row],[Discount_amount]]+Table1_1[[#This Row],[Shipping_Cost]],"")</f>
        <v>3921.45</v>
      </c>
      <c r="U730">
        <f>IFERROR(Table1_1[[#This Row],[Net_Sale]]-(Table1_1[[#This Row],[Gross_Sales]]*70%),"")</f>
        <v>773.55000000000018</v>
      </c>
      <c r="V730" s="7">
        <f>IFERROR(Table1_1[[#This Row],[Profit]]/Table1_1[[#This Row],[Net_Sale]],"")</f>
        <v>0.19726121715181891</v>
      </c>
      <c r="W730" t="str">
        <f>TEXT(Table1_1[[#This Row],[Order_Date]],"mmm")</f>
        <v>Jun</v>
      </c>
    </row>
    <row r="731" spans="1:23" x14ac:dyDescent="0.25">
      <c r="A731" t="s">
        <v>1119</v>
      </c>
      <c r="B731" t="s">
        <v>1120</v>
      </c>
      <c r="C731" s="6">
        <v>45974</v>
      </c>
      <c r="D731" t="s">
        <v>67</v>
      </c>
      <c r="E731" t="s">
        <v>68</v>
      </c>
      <c r="F731" t="s">
        <v>37</v>
      </c>
      <c r="G731" t="s">
        <v>38</v>
      </c>
      <c r="H731">
        <v>2</v>
      </c>
      <c r="I731">
        <v>1299</v>
      </c>
      <c r="J731">
        <v>0.05</v>
      </c>
      <c r="K731">
        <v>79</v>
      </c>
      <c r="L731" t="s">
        <v>83</v>
      </c>
      <c r="M731" t="s">
        <v>84</v>
      </c>
      <c r="N731" t="s">
        <v>71</v>
      </c>
      <c r="O731" t="s">
        <v>93</v>
      </c>
      <c r="P731" t="s">
        <v>80</v>
      </c>
      <c r="Q731">
        <v>1</v>
      </c>
      <c r="R731">
        <f>IFERROR(Table1_1[[#This Row],[Unit_Price]]*Table1_1[[#This Row],[Quantity]],"")</f>
        <v>2598</v>
      </c>
      <c r="S731">
        <f>IFERROR(Table1_1[[#This Row],[Gross_Sales]]*Table1_1[[#This Row],[Discount_%]],"")</f>
        <v>129.9</v>
      </c>
      <c r="T731">
        <f>IFERROR(Table1_1[[#This Row],[Gross_Sales]]-Table1_1[[#This Row],[Discount_amount]]+Table1_1[[#This Row],[Shipping_Cost]],"")</f>
        <v>2547.1</v>
      </c>
      <c r="U731">
        <f>IFERROR(Table1_1[[#This Row],[Net_Sale]]-(Table1_1[[#This Row],[Gross_Sales]]*70%),"")</f>
        <v>728.5</v>
      </c>
      <c r="V731" s="7">
        <f>IFERROR(Table1_1[[#This Row],[Profit]]/Table1_1[[#This Row],[Net_Sale]],"")</f>
        <v>0.2860115425385733</v>
      </c>
      <c r="W731" t="str">
        <f>TEXT(Table1_1[[#This Row],[Order_Date]],"mmm")</f>
        <v>Nov</v>
      </c>
    </row>
    <row r="732" spans="1:23" x14ac:dyDescent="0.25">
      <c r="A732" t="s">
        <v>1121</v>
      </c>
      <c r="B732" t="s">
        <v>164</v>
      </c>
      <c r="C732" s="6">
        <v>45722</v>
      </c>
      <c r="D732" t="s">
        <v>62</v>
      </c>
      <c r="E732" t="s">
        <v>63</v>
      </c>
      <c r="F732" t="s">
        <v>46</v>
      </c>
      <c r="G732" t="s">
        <v>64</v>
      </c>
      <c r="H732">
        <v>1</v>
      </c>
      <c r="I732">
        <v>699</v>
      </c>
      <c r="J732">
        <v>0</v>
      </c>
      <c r="K732">
        <v>0</v>
      </c>
      <c r="L732" t="s">
        <v>74</v>
      </c>
      <c r="M732" t="s">
        <v>49</v>
      </c>
      <c r="N732" t="s">
        <v>102</v>
      </c>
      <c r="O732" t="s">
        <v>51</v>
      </c>
      <c r="P732" t="s">
        <v>33</v>
      </c>
      <c r="Q732">
        <v>5</v>
      </c>
      <c r="R732">
        <f>IFERROR(Table1_1[[#This Row],[Unit_Price]]*Table1_1[[#This Row],[Quantity]],"")</f>
        <v>699</v>
      </c>
      <c r="S732">
        <f>IFERROR(Table1_1[[#This Row],[Gross_Sales]]*Table1_1[[#This Row],[Discount_%]],"")</f>
        <v>0</v>
      </c>
      <c r="T732">
        <f>IFERROR(Table1_1[[#This Row],[Gross_Sales]]-Table1_1[[#This Row],[Discount_amount]]+Table1_1[[#This Row],[Shipping_Cost]],"")</f>
        <v>699</v>
      </c>
      <c r="U732">
        <f>IFERROR(Table1_1[[#This Row],[Net_Sale]]-(Table1_1[[#This Row],[Gross_Sales]]*70%),"")</f>
        <v>209.70000000000005</v>
      </c>
      <c r="V732" s="7">
        <f>IFERROR(Table1_1[[#This Row],[Profit]]/Table1_1[[#This Row],[Net_Sale]],"")</f>
        <v>0.30000000000000004</v>
      </c>
      <c r="W732" t="str">
        <f>TEXT(Table1_1[[#This Row],[Order_Date]],"mmm")</f>
        <v>Mar</v>
      </c>
    </row>
    <row r="733" spans="1:23" x14ac:dyDescent="0.25">
      <c r="A733" t="s">
        <v>1122</v>
      </c>
      <c r="B733" t="s">
        <v>336</v>
      </c>
      <c r="C733" s="6">
        <v>45934</v>
      </c>
      <c r="D733" t="s">
        <v>169</v>
      </c>
      <c r="E733" t="s">
        <v>170</v>
      </c>
      <c r="F733" t="s">
        <v>98</v>
      </c>
      <c r="G733" t="s">
        <v>171</v>
      </c>
      <c r="H733">
        <v>1</v>
      </c>
      <c r="I733">
        <v>799</v>
      </c>
      <c r="J733">
        <v>0.05</v>
      </c>
      <c r="K733">
        <v>79</v>
      </c>
      <c r="L733" t="s">
        <v>100</v>
      </c>
      <c r="M733" t="s">
        <v>101</v>
      </c>
      <c r="N733" t="s">
        <v>31</v>
      </c>
      <c r="O733" t="s">
        <v>93</v>
      </c>
      <c r="P733" t="s">
        <v>33</v>
      </c>
      <c r="Q733">
        <v>3</v>
      </c>
      <c r="R733">
        <f>IFERROR(Table1_1[[#This Row],[Unit_Price]]*Table1_1[[#This Row],[Quantity]],"")</f>
        <v>799</v>
      </c>
      <c r="S733">
        <f>IFERROR(Table1_1[[#This Row],[Gross_Sales]]*Table1_1[[#This Row],[Discount_%]],"")</f>
        <v>39.950000000000003</v>
      </c>
      <c r="T733">
        <f>IFERROR(Table1_1[[#This Row],[Gross_Sales]]-Table1_1[[#This Row],[Discount_amount]]+Table1_1[[#This Row],[Shipping_Cost]],"")</f>
        <v>838.05</v>
      </c>
      <c r="U733">
        <f>IFERROR(Table1_1[[#This Row],[Net_Sale]]-(Table1_1[[#This Row],[Gross_Sales]]*70%),"")</f>
        <v>278.75</v>
      </c>
      <c r="V733" s="7">
        <f>IFERROR(Table1_1[[#This Row],[Profit]]/Table1_1[[#This Row],[Net_Sale]],"")</f>
        <v>0.33261738559751808</v>
      </c>
      <c r="W733" t="str">
        <f>TEXT(Table1_1[[#This Row],[Order_Date]],"mmm")</f>
        <v>Oct</v>
      </c>
    </row>
    <row r="734" spans="1:23" x14ac:dyDescent="0.25">
      <c r="A734" t="s">
        <v>1123</v>
      </c>
      <c r="B734" t="s">
        <v>95</v>
      </c>
      <c r="C734" s="6">
        <v>45839</v>
      </c>
      <c r="D734" t="s">
        <v>169</v>
      </c>
      <c r="E734" t="s">
        <v>170</v>
      </c>
      <c r="F734" t="s">
        <v>98</v>
      </c>
      <c r="G734" t="s">
        <v>171</v>
      </c>
      <c r="H734">
        <v>2</v>
      </c>
      <c r="I734">
        <v>799</v>
      </c>
      <c r="J734">
        <v>0</v>
      </c>
      <c r="K734">
        <v>79</v>
      </c>
      <c r="L734" t="s">
        <v>48</v>
      </c>
      <c r="M734" t="s">
        <v>49</v>
      </c>
      <c r="N734" t="s">
        <v>102</v>
      </c>
      <c r="O734" t="s">
        <v>93</v>
      </c>
      <c r="P734" t="s">
        <v>80</v>
      </c>
      <c r="Q734">
        <v>4</v>
      </c>
      <c r="R734">
        <f>IFERROR(Table1_1[[#This Row],[Unit_Price]]*Table1_1[[#This Row],[Quantity]],"")</f>
        <v>1598</v>
      </c>
      <c r="S734">
        <f>IFERROR(Table1_1[[#This Row],[Gross_Sales]]*Table1_1[[#This Row],[Discount_%]],"")</f>
        <v>0</v>
      </c>
      <c r="T734">
        <f>IFERROR(Table1_1[[#This Row],[Gross_Sales]]-Table1_1[[#This Row],[Discount_amount]]+Table1_1[[#This Row],[Shipping_Cost]],"")</f>
        <v>1677</v>
      </c>
      <c r="U734">
        <f>IFERROR(Table1_1[[#This Row],[Net_Sale]]-(Table1_1[[#This Row],[Gross_Sales]]*70%),"")</f>
        <v>558.40000000000009</v>
      </c>
      <c r="V734" s="7">
        <f>IFERROR(Table1_1[[#This Row],[Profit]]/Table1_1[[#This Row],[Net_Sale]],"")</f>
        <v>0.33297555158020281</v>
      </c>
      <c r="W734" t="str">
        <f>TEXT(Table1_1[[#This Row],[Order_Date]],"mmm")</f>
        <v>Jul</v>
      </c>
    </row>
    <row r="735" spans="1:23" x14ac:dyDescent="0.25">
      <c r="A735" t="s">
        <v>1124</v>
      </c>
      <c r="B735" t="s">
        <v>457</v>
      </c>
      <c r="C735" s="6">
        <v>45955</v>
      </c>
      <c r="D735" t="s">
        <v>169</v>
      </c>
      <c r="E735" t="s">
        <v>170</v>
      </c>
      <c r="F735" t="s">
        <v>98</v>
      </c>
      <c r="G735" t="s">
        <v>171</v>
      </c>
      <c r="H735">
        <v>3</v>
      </c>
      <c r="I735">
        <v>799</v>
      </c>
      <c r="J735">
        <v>0.2</v>
      </c>
      <c r="K735">
        <v>99</v>
      </c>
      <c r="L735" t="s">
        <v>113</v>
      </c>
      <c r="M735" t="s">
        <v>114</v>
      </c>
      <c r="N735" t="s">
        <v>71</v>
      </c>
      <c r="O735" t="s">
        <v>51</v>
      </c>
      <c r="P735" t="s">
        <v>80</v>
      </c>
      <c r="Q735">
        <v>3</v>
      </c>
      <c r="R735">
        <f>IFERROR(Table1_1[[#This Row],[Unit_Price]]*Table1_1[[#This Row],[Quantity]],"")</f>
        <v>2397</v>
      </c>
      <c r="S735">
        <f>IFERROR(Table1_1[[#This Row],[Gross_Sales]]*Table1_1[[#This Row],[Discount_%]],"")</f>
        <v>479.40000000000003</v>
      </c>
      <c r="T735">
        <f>IFERROR(Table1_1[[#This Row],[Gross_Sales]]-Table1_1[[#This Row],[Discount_amount]]+Table1_1[[#This Row],[Shipping_Cost]],"")</f>
        <v>2016.6</v>
      </c>
      <c r="U735">
        <f>IFERROR(Table1_1[[#This Row],[Net_Sale]]-(Table1_1[[#This Row],[Gross_Sales]]*70%),"")</f>
        <v>338.70000000000005</v>
      </c>
      <c r="V735" s="7">
        <f>IFERROR(Table1_1[[#This Row],[Profit]]/Table1_1[[#This Row],[Net_Sale]],"")</f>
        <v>0.16795596548646238</v>
      </c>
      <c r="W735" t="str">
        <f>TEXT(Table1_1[[#This Row],[Order_Date]],"mmm")</f>
        <v>Oct</v>
      </c>
    </row>
    <row r="736" spans="1:23" x14ac:dyDescent="0.25">
      <c r="A736" t="s">
        <v>1125</v>
      </c>
      <c r="B736" t="s">
        <v>516</v>
      </c>
      <c r="C736" s="6">
        <v>45851</v>
      </c>
      <c r="D736" t="s">
        <v>25</v>
      </c>
      <c r="E736" t="s">
        <v>26</v>
      </c>
      <c r="F736" t="s">
        <v>27</v>
      </c>
      <c r="G736" t="s">
        <v>28</v>
      </c>
      <c r="H736">
        <v>2</v>
      </c>
      <c r="I736">
        <v>249</v>
      </c>
      <c r="J736">
        <v>0</v>
      </c>
      <c r="K736">
        <v>59</v>
      </c>
      <c r="L736" t="s">
        <v>125</v>
      </c>
      <c r="M736" t="s">
        <v>126</v>
      </c>
      <c r="N736" t="s">
        <v>102</v>
      </c>
      <c r="O736" t="s">
        <v>41</v>
      </c>
      <c r="P736" t="s">
        <v>33</v>
      </c>
      <c r="Q736">
        <v>3</v>
      </c>
      <c r="R736">
        <f>IFERROR(Table1_1[[#This Row],[Unit_Price]]*Table1_1[[#This Row],[Quantity]],"")</f>
        <v>498</v>
      </c>
      <c r="S736">
        <f>IFERROR(Table1_1[[#This Row],[Gross_Sales]]*Table1_1[[#This Row],[Discount_%]],"")</f>
        <v>0</v>
      </c>
      <c r="T736">
        <f>IFERROR(Table1_1[[#This Row],[Gross_Sales]]-Table1_1[[#This Row],[Discount_amount]]+Table1_1[[#This Row],[Shipping_Cost]],"")</f>
        <v>557</v>
      </c>
      <c r="U736">
        <f>IFERROR(Table1_1[[#This Row],[Net_Sale]]-(Table1_1[[#This Row],[Gross_Sales]]*70%),"")</f>
        <v>208.40000000000003</v>
      </c>
      <c r="V736" s="7">
        <f>IFERROR(Table1_1[[#This Row],[Profit]]/Table1_1[[#This Row],[Net_Sale]],"")</f>
        <v>0.37414721723518857</v>
      </c>
      <c r="W736" t="str">
        <f>TEXT(Table1_1[[#This Row],[Order_Date]],"mmm")</f>
        <v>Jul</v>
      </c>
    </row>
    <row r="737" spans="1:23" x14ac:dyDescent="0.25">
      <c r="A737" t="s">
        <v>1126</v>
      </c>
      <c r="B737" t="s">
        <v>440</v>
      </c>
      <c r="C737" s="6">
        <v>46022</v>
      </c>
      <c r="D737" t="s">
        <v>169</v>
      </c>
      <c r="E737" t="s">
        <v>170</v>
      </c>
      <c r="F737" t="s">
        <v>98</v>
      </c>
      <c r="G737" t="s">
        <v>171</v>
      </c>
      <c r="H737">
        <v>1</v>
      </c>
      <c r="I737">
        <v>799</v>
      </c>
      <c r="J737">
        <v>0</v>
      </c>
      <c r="K737">
        <v>0</v>
      </c>
      <c r="L737" t="s">
        <v>119</v>
      </c>
      <c r="M737" t="s">
        <v>120</v>
      </c>
      <c r="N737" t="s">
        <v>40</v>
      </c>
      <c r="O737" t="s">
        <v>41</v>
      </c>
      <c r="P737" t="s">
        <v>52</v>
      </c>
      <c r="Q737">
        <v>4</v>
      </c>
      <c r="R737">
        <f>IFERROR(Table1_1[[#This Row],[Unit_Price]]*Table1_1[[#This Row],[Quantity]],"")</f>
        <v>799</v>
      </c>
      <c r="S737">
        <f>IFERROR(Table1_1[[#This Row],[Gross_Sales]]*Table1_1[[#This Row],[Discount_%]],"")</f>
        <v>0</v>
      </c>
      <c r="T737">
        <f>IFERROR(Table1_1[[#This Row],[Gross_Sales]]-Table1_1[[#This Row],[Discount_amount]]+Table1_1[[#This Row],[Shipping_Cost]],"")</f>
        <v>799</v>
      </c>
      <c r="U737">
        <f>IFERROR(Table1_1[[#This Row],[Net_Sale]]-(Table1_1[[#This Row],[Gross_Sales]]*70%),"")</f>
        <v>239.70000000000005</v>
      </c>
      <c r="V737" s="7">
        <f>IFERROR(Table1_1[[#This Row],[Profit]]/Table1_1[[#This Row],[Net_Sale]],"")</f>
        <v>0.30000000000000004</v>
      </c>
      <c r="W737" t="str">
        <f>TEXT(Table1_1[[#This Row],[Order_Date]],"mmm")</f>
        <v>Dec</v>
      </c>
    </row>
    <row r="738" spans="1:23" x14ac:dyDescent="0.25">
      <c r="A738" t="s">
        <v>1127</v>
      </c>
      <c r="B738" t="s">
        <v>500</v>
      </c>
      <c r="C738" s="6">
        <v>46004</v>
      </c>
      <c r="D738" t="s">
        <v>67</v>
      </c>
      <c r="E738" t="s">
        <v>68</v>
      </c>
      <c r="F738" t="s">
        <v>37</v>
      </c>
      <c r="G738" t="s">
        <v>38</v>
      </c>
      <c r="H738">
        <v>1</v>
      </c>
      <c r="I738">
        <v>2017</v>
      </c>
      <c r="J738">
        <v>0.15</v>
      </c>
      <c r="K738">
        <v>99</v>
      </c>
      <c r="L738" t="s">
        <v>119</v>
      </c>
      <c r="M738" t="s">
        <v>120</v>
      </c>
      <c r="N738" t="s">
        <v>71</v>
      </c>
      <c r="O738" t="s">
        <v>32</v>
      </c>
      <c r="P738" t="s">
        <v>85</v>
      </c>
      <c r="Q738">
        <v>4</v>
      </c>
      <c r="R738">
        <f>IFERROR(Table1_1[[#This Row],[Unit_Price]]*Table1_1[[#This Row],[Quantity]],"")</f>
        <v>2017</v>
      </c>
      <c r="S738">
        <f>IFERROR(Table1_1[[#This Row],[Gross_Sales]]*Table1_1[[#This Row],[Discount_%]],"")</f>
        <v>302.55</v>
      </c>
      <c r="T738">
        <f>IFERROR(Table1_1[[#This Row],[Gross_Sales]]-Table1_1[[#This Row],[Discount_amount]]+Table1_1[[#This Row],[Shipping_Cost]],"")</f>
        <v>1813.45</v>
      </c>
      <c r="U738">
        <f>IFERROR(Table1_1[[#This Row],[Net_Sale]]-(Table1_1[[#This Row],[Gross_Sales]]*70%),"")</f>
        <v>401.55000000000018</v>
      </c>
      <c r="V738" s="7">
        <f>IFERROR(Table1_1[[#This Row],[Profit]]/Table1_1[[#This Row],[Net_Sale]],"")</f>
        <v>0.2214287683696822</v>
      </c>
      <c r="W738" t="str">
        <f>TEXT(Table1_1[[#This Row],[Order_Date]],"mmm")</f>
        <v>Dec</v>
      </c>
    </row>
    <row r="739" spans="1:23" x14ac:dyDescent="0.25">
      <c r="A739" t="s">
        <v>1128</v>
      </c>
      <c r="B739" t="s">
        <v>336</v>
      </c>
      <c r="C739" s="6">
        <v>46010</v>
      </c>
      <c r="D739" t="s">
        <v>25</v>
      </c>
      <c r="E739" t="s">
        <v>26</v>
      </c>
      <c r="F739" t="s">
        <v>27</v>
      </c>
      <c r="G739" t="s">
        <v>28</v>
      </c>
      <c r="H739">
        <v>5</v>
      </c>
      <c r="I739">
        <v>249</v>
      </c>
      <c r="J739">
        <v>0</v>
      </c>
      <c r="K739">
        <v>49</v>
      </c>
      <c r="L739" t="s">
        <v>57</v>
      </c>
      <c r="M739" t="s">
        <v>58</v>
      </c>
      <c r="N739" t="s">
        <v>50</v>
      </c>
      <c r="O739" t="s">
        <v>59</v>
      </c>
      <c r="P739" t="s">
        <v>52</v>
      </c>
      <c r="Q739">
        <v>3</v>
      </c>
      <c r="R739">
        <f>IFERROR(Table1_1[[#This Row],[Unit_Price]]*Table1_1[[#This Row],[Quantity]],"")</f>
        <v>1245</v>
      </c>
      <c r="S739">
        <f>IFERROR(Table1_1[[#This Row],[Gross_Sales]]*Table1_1[[#This Row],[Discount_%]],"")</f>
        <v>0</v>
      </c>
      <c r="T739">
        <f>IFERROR(Table1_1[[#This Row],[Gross_Sales]]-Table1_1[[#This Row],[Discount_amount]]+Table1_1[[#This Row],[Shipping_Cost]],"")</f>
        <v>1294</v>
      </c>
      <c r="U739">
        <f>IFERROR(Table1_1[[#This Row],[Net_Sale]]-(Table1_1[[#This Row],[Gross_Sales]]*70%),"")</f>
        <v>422.5</v>
      </c>
      <c r="V739" s="7">
        <f>IFERROR(Table1_1[[#This Row],[Profit]]/Table1_1[[#This Row],[Net_Sale]],"")</f>
        <v>0.32650695517774342</v>
      </c>
      <c r="W739" t="str">
        <f>TEXT(Table1_1[[#This Row],[Order_Date]],"mmm")</f>
        <v>Dec</v>
      </c>
    </row>
    <row r="740" spans="1:23" x14ac:dyDescent="0.25">
      <c r="A740" t="s">
        <v>1129</v>
      </c>
      <c r="B740" t="s">
        <v>417</v>
      </c>
      <c r="C740" s="6">
        <v>45920</v>
      </c>
      <c r="D740" t="s">
        <v>90</v>
      </c>
      <c r="E740" t="s">
        <v>91</v>
      </c>
      <c r="F740" t="s">
        <v>37</v>
      </c>
      <c r="G740" t="s">
        <v>92</v>
      </c>
      <c r="H740">
        <v>4</v>
      </c>
      <c r="I740">
        <v>3499</v>
      </c>
      <c r="J740">
        <v>0</v>
      </c>
      <c r="K740">
        <v>79</v>
      </c>
      <c r="L740" t="s">
        <v>100</v>
      </c>
      <c r="M740" t="s">
        <v>101</v>
      </c>
      <c r="N740" t="s">
        <v>31</v>
      </c>
      <c r="O740" t="s">
        <v>41</v>
      </c>
      <c r="P740" t="s">
        <v>80</v>
      </c>
      <c r="Q740">
        <v>5</v>
      </c>
      <c r="R740">
        <f>IFERROR(Table1_1[[#This Row],[Unit_Price]]*Table1_1[[#This Row],[Quantity]],"")</f>
        <v>13996</v>
      </c>
      <c r="S740">
        <f>IFERROR(Table1_1[[#This Row],[Gross_Sales]]*Table1_1[[#This Row],[Discount_%]],"")</f>
        <v>0</v>
      </c>
      <c r="T740">
        <f>IFERROR(Table1_1[[#This Row],[Gross_Sales]]-Table1_1[[#This Row],[Discount_amount]]+Table1_1[[#This Row],[Shipping_Cost]],"")</f>
        <v>14075</v>
      </c>
      <c r="U740">
        <f>IFERROR(Table1_1[[#This Row],[Net_Sale]]-(Table1_1[[#This Row],[Gross_Sales]]*70%),"")</f>
        <v>4277.8000000000011</v>
      </c>
      <c r="V740" s="7">
        <f>IFERROR(Table1_1[[#This Row],[Profit]]/Table1_1[[#This Row],[Net_Sale]],"")</f>
        <v>0.30392895204262887</v>
      </c>
      <c r="W740" t="str">
        <f>TEXT(Table1_1[[#This Row],[Order_Date]],"mmm")</f>
        <v>Sep</v>
      </c>
    </row>
    <row r="741" spans="1:23" x14ac:dyDescent="0.25">
      <c r="A741" t="s">
        <v>1130</v>
      </c>
      <c r="B741" t="s">
        <v>154</v>
      </c>
      <c r="C741" s="6">
        <v>45867</v>
      </c>
      <c r="D741" t="s">
        <v>169</v>
      </c>
      <c r="E741" t="s">
        <v>170</v>
      </c>
      <c r="F741" t="s">
        <v>98</v>
      </c>
      <c r="G741" t="s">
        <v>171</v>
      </c>
      <c r="H741">
        <v>2</v>
      </c>
      <c r="I741">
        <v>799</v>
      </c>
      <c r="J741">
        <v>0.15</v>
      </c>
      <c r="K741">
        <v>59</v>
      </c>
      <c r="L741" t="s">
        <v>29</v>
      </c>
      <c r="M741" t="s">
        <v>30</v>
      </c>
      <c r="N741" t="s">
        <v>102</v>
      </c>
      <c r="O741" t="s">
        <v>41</v>
      </c>
      <c r="P741" t="s">
        <v>33</v>
      </c>
      <c r="Q741">
        <v>1</v>
      </c>
      <c r="R741">
        <f>IFERROR(Table1_1[[#This Row],[Unit_Price]]*Table1_1[[#This Row],[Quantity]],"")</f>
        <v>1598</v>
      </c>
      <c r="S741">
        <f>IFERROR(Table1_1[[#This Row],[Gross_Sales]]*Table1_1[[#This Row],[Discount_%]],"")</f>
        <v>239.7</v>
      </c>
      <c r="T741">
        <f>IFERROR(Table1_1[[#This Row],[Gross_Sales]]-Table1_1[[#This Row],[Discount_amount]]+Table1_1[[#This Row],[Shipping_Cost]],"")</f>
        <v>1417.3</v>
      </c>
      <c r="U741">
        <f>IFERROR(Table1_1[[#This Row],[Net_Sale]]-(Table1_1[[#This Row],[Gross_Sales]]*70%),"")</f>
        <v>298.70000000000005</v>
      </c>
      <c r="V741" s="7">
        <f>IFERROR(Table1_1[[#This Row],[Profit]]/Table1_1[[#This Row],[Net_Sale]],"")</f>
        <v>0.21075283990686519</v>
      </c>
      <c r="W741" t="str">
        <f>TEXT(Table1_1[[#This Row],[Order_Date]],"mmm")</f>
        <v>Jul</v>
      </c>
    </row>
    <row r="742" spans="1:23" x14ac:dyDescent="0.25">
      <c r="A742" t="s">
        <v>1131</v>
      </c>
      <c r="B742" t="s">
        <v>673</v>
      </c>
      <c r="C742" s="6">
        <v>45813</v>
      </c>
      <c r="D742" t="s">
        <v>169</v>
      </c>
      <c r="E742" t="s">
        <v>170</v>
      </c>
      <c r="F742" t="s">
        <v>98</v>
      </c>
      <c r="G742" t="s">
        <v>171</v>
      </c>
      <c r="H742">
        <v>5</v>
      </c>
      <c r="I742">
        <v>799</v>
      </c>
      <c r="J742">
        <v>0</v>
      </c>
      <c r="K742">
        <v>49</v>
      </c>
      <c r="L742" t="s">
        <v>48</v>
      </c>
      <c r="M742" t="s">
        <v>49</v>
      </c>
      <c r="N742" t="s">
        <v>863</v>
      </c>
      <c r="O742" t="s">
        <v>51</v>
      </c>
      <c r="P742" t="s">
        <v>33</v>
      </c>
      <c r="Q742">
        <v>3</v>
      </c>
      <c r="R742">
        <f>IFERROR(Table1_1[[#This Row],[Unit_Price]]*Table1_1[[#This Row],[Quantity]],"")</f>
        <v>3995</v>
      </c>
      <c r="S742">
        <f>IFERROR(Table1_1[[#This Row],[Gross_Sales]]*Table1_1[[#This Row],[Discount_%]],"")</f>
        <v>0</v>
      </c>
      <c r="T742">
        <f>IFERROR(Table1_1[[#This Row],[Gross_Sales]]-Table1_1[[#This Row],[Discount_amount]]+Table1_1[[#This Row],[Shipping_Cost]],"")</f>
        <v>4044</v>
      </c>
      <c r="U742">
        <f>IFERROR(Table1_1[[#This Row],[Net_Sale]]-(Table1_1[[#This Row],[Gross_Sales]]*70%),"")</f>
        <v>1247.5</v>
      </c>
      <c r="V742" s="7">
        <f>IFERROR(Table1_1[[#This Row],[Profit]]/Table1_1[[#This Row],[Net_Sale]],"")</f>
        <v>0.30848170128585561</v>
      </c>
      <c r="W742" t="str">
        <f>TEXT(Table1_1[[#This Row],[Order_Date]],"mmm")</f>
        <v>Jun</v>
      </c>
    </row>
    <row r="743" spans="1:23" x14ac:dyDescent="0.25">
      <c r="A743" t="s">
        <v>1132</v>
      </c>
      <c r="B743" t="s">
        <v>150</v>
      </c>
      <c r="C743" s="6">
        <v>45908</v>
      </c>
      <c r="D743" t="s">
        <v>67</v>
      </c>
      <c r="E743" t="s">
        <v>68</v>
      </c>
      <c r="F743" t="s">
        <v>37</v>
      </c>
      <c r="G743" t="s">
        <v>38</v>
      </c>
      <c r="H743">
        <v>3</v>
      </c>
      <c r="I743">
        <v>1299</v>
      </c>
      <c r="J743">
        <v>0.05</v>
      </c>
      <c r="K743">
        <v>0</v>
      </c>
      <c r="L743" t="s">
        <v>100</v>
      </c>
      <c r="M743" t="s">
        <v>101</v>
      </c>
      <c r="N743" t="s">
        <v>40</v>
      </c>
      <c r="O743" t="s">
        <v>59</v>
      </c>
      <c r="P743" t="s">
        <v>85</v>
      </c>
      <c r="Q743">
        <v>5</v>
      </c>
      <c r="R743">
        <f>IFERROR(Table1_1[[#This Row],[Unit_Price]]*Table1_1[[#This Row],[Quantity]],"")</f>
        <v>3897</v>
      </c>
      <c r="S743">
        <f>IFERROR(Table1_1[[#This Row],[Gross_Sales]]*Table1_1[[#This Row],[Discount_%]],"")</f>
        <v>194.85000000000002</v>
      </c>
      <c r="T743">
        <f>IFERROR(Table1_1[[#This Row],[Gross_Sales]]-Table1_1[[#This Row],[Discount_amount]]+Table1_1[[#This Row],[Shipping_Cost]],"")</f>
        <v>3702.15</v>
      </c>
      <c r="U743">
        <f>IFERROR(Table1_1[[#This Row],[Net_Sale]]-(Table1_1[[#This Row],[Gross_Sales]]*70%),"")</f>
        <v>974.25000000000045</v>
      </c>
      <c r="V743" s="7">
        <f>IFERROR(Table1_1[[#This Row],[Profit]]/Table1_1[[#This Row],[Net_Sale]],"")</f>
        <v>0.2631578947368422</v>
      </c>
      <c r="W743" t="str">
        <f>TEXT(Table1_1[[#This Row],[Order_Date]],"mmm")</f>
        <v>Sep</v>
      </c>
    </row>
    <row r="744" spans="1:23" x14ac:dyDescent="0.25">
      <c r="A744" t="s">
        <v>1133</v>
      </c>
      <c r="B744" t="s">
        <v>345</v>
      </c>
      <c r="C744" s="6">
        <v>45830</v>
      </c>
      <c r="D744" t="s">
        <v>110</v>
      </c>
      <c r="E744" t="s">
        <v>111</v>
      </c>
      <c r="F744" t="s">
        <v>98</v>
      </c>
      <c r="G744" t="s">
        <v>112</v>
      </c>
      <c r="H744">
        <v>2</v>
      </c>
      <c r="I744">
        <v>2999</v>
      </c>
      <c r="J744">
        <v>0.15</v>
      </c>
      <c r="K744">
        <v>49</v>
      </c>
      <c r="L744" t="s">
        <v>125</v>
      </c>
      <c r="M744" t="s">
        <v>126</v>
      </c>
      <c r="N744" t="s">
        <v>102</v>
      </c>
      <c r="O744" t="s">
        <v>59</v>
      </c>
      <c r="P744" t="s">
        <v>80</v>
      </c>
      <c r="Q744">
        <v>3</v>
      </c>
      <c r="R744">
        <f>IFERROR(Table1_1[[#This Row],[Unit_Price]]*Table1_1[[#This Row],[Quantity]],"")</f>
        <v>5998</v>
      </c>
      <c r="S744">
        <f>IFERROR(Table1_1[[#This Row],[Gross_Sales]]*Table1_1[[#This Row],[Discount_%]],"")</f>
        <v>899.69999999999993</v>
      </c>
      <c r="T744">
        <f>IFERROR(Table1_1[[#This Row],[Gross_Sales]]-Table1_1[[#This Row],[Discount_amount]]+Table1_1[[#This Row],[Shipping_Cost]],"")</f>
        <v>5147.3</v>
      </c>
      <c r="U744">
        <f>IFERROR(Table1_1[[#This Row],[Net_Sale]]-(Table1_1[[#This Row],[Gross_Sales]]*70%),"")</f>
        <v>948.70000000000073</v>
      </c>
      <c r="V744" s="7">
        <f>IFERROR(Table1_1[[#This Row],[Profit]]/Table1_1[[#This Row],[Net_Sale]],"")</f>
        <v>0.1843102208925069</v>
      </c>
      <c r="W744" t="str">
        <f>TEXT(Table1_1[[#This Row],[Order_Date]],"mmm")</f>
        <v>Jun</v>
      </c>
    </row>
    <row r="745" spans="1:23" x14ac:dyDescent="0.25">
      <c r="A745" t="s">
        <v>1134</v>
      </c>
      <c r="B745" t="s">
        <v>168</v>
      </c>
      <c r="C745" s="6">
        <v>45824</v>
      </c>
      <c r="D745" t="s">
        <v>90</v>
      </c>
      <c r="E745" t="s">
        <v>91</v>
      </c>
      <c r="F745" t="s">
        <v>37</v>
      </c>
      <c r="G745" t="s">
        <v>92</v>
      </c>
      <c r="H745">
        <v>1</v>
      </c>
      <c r="I745">
        <v>3499</v>
      </c>
      <c r="J745">
        <v>0.2</v>
      </c>
      <c r="K745">
        <v>99</v>
      </c>
      <c r="L745" t="s">
        <v>119</v>
      </c>
      <c r="M745" t="s">
        <v>120</v>
      </c>
      <c r="N745" t="s">
        <v>40</v>
      </c>
      <c r="O745" t="s">
        <v>41</v>
      </c>
      <c r="P745" t="s">
        <v>85</v>
      </c>
      <c r="Q745">
        <v>4</v>
      </c>
      <c r="R745">
        <f>IFERROR(Table1_1[[#This Row],[Unit_Price]]*Table1_1[[#This Row],[Quantity]],"")</f>
        <v>3499</v>
      </c>
      <c r="S745">
        <f>IFERROR(Table1_1[[#This Row],[Gross_Sales]]*Table1_1[[#This Row],[Discount_%]],"")</f>
        <v>699.80000000000007</v>
      </c>
      <c r="T745">
        <f>IFERROR(Table1_1[[#This Row],[Gross_Sales]]-Table1_1[[#This Row],[Discount_amount]]+Table1_1[[#This Row],[Shipping_Cost]],"")</f>
        <v>2898.2</v>
      </c>
      <c r="U745">
        <f>IFERROR(Table1_1[[#This Row],[Net_Sale]]-(Table1_1[[#This Row],[Gross_Sales]]*70%),"")</f>
        <v>448.90000000000009</v>
      </c>
      <c r="V745" s="7">
        <f>IFERROR(Table1_1[[#This Row],[Profit]]/Table1_1[[#This Row],[Net_Sale]],"")</f>
        <v>0.15488924159823342</v>
      </c>
      <c r="W745" t="str">
        <f>TEXT(Table1_1[[#This Row],[Order_Date]],"mmm")</f>
        <v>Jun</v>
      </c>
    </row>
    <row r="746" spans="1:23" x14ac:dyDescent="0.25">
      <c r="A746" t="s">
        <v>1135</v>
      </c>
      <c r="B746" t="s">
        <v>660</v>
      </c>
      <c r="C746" s="6">
        <v>46001</v>
      </c>
      <c r="D746" t="s">
        <v>169</v>
      </c>
      <c r="E746" t="s">
        <v>170</v>
      </c>
      <c r="F746" t="s">
        <v>98</v>
      </c>
      <c r="G746" t="s">
        <v>171</v>
      </c>
      <c r="H746">
        <v>1</v>
      </c>
      <c r="I746">
        <v>799</v>
      </c>
      <c r="J746">
        <v>0.2</v>
      </c>
      <c r="K746">
        <v>0</v>
      </c>
      <c r="L746" t="s">
        <v>83</v>
      </c>
      <c r="M746" t="s">
        <v>84</v>
      </c>
      <c r="N746" t="s">
        <v>31</v>
      </c>
      <c r="O746" t="s">
        <v>32</v>
      </c>
      <c r="P746" t="s">
        <v>33</v>
      </c>
      <c r="Q746">
        <v>3</v>
      </c>
      <c r="R746">
        <f>IFERROR(Table1_1[[#This Row],[Unit_Price]]*Table1_1[[#This Row],[Quantity]],"")</f>
        <v>799</v>
      </c>
      <c r="S746">
        <f>IFERROR(Table1_1[[#This Row],[Gross_Sales]]*Table1_1[[#This Row],[Discount_%]],"")</f>
        <v>159.80000000000001</v>
      </c>
      <c r="T746">
        <f>IFERROR(Table1_1[[#This Row],[Gross_Sales]]-Table1_1[[#This Row],[Discount_amount]]+Table1_1[[#This Row],[Shipping_Cost]],"")</f>
        <v>639.20000000000005</v>
      </c>
      <c r="U746">
        <f>IFERROR(Table1_1[[#This Row],[Net_Sale]]-(Table1_1[[#This Row],[Gross_Sales]]*70%),"")</f>
        <v>79.900000000000091</v>
      </c>
      <c r="V746" s="7">
        <f>IFERROR(Table1_1[[#This Row],[Profit]]/Table1_1[[#This Row],[Net_Sale]],"")</f>
        <v>0.12500000000000014</v>
      </c>
      <c r="W746" t="str">
        <f>TEXT(Table1_1[[#This Row],[Order_Date]],"mmm")</f>
        <v>Dec</v>
      </c>
    </row>
    <row r="747" spans="1:23" x14ac:dyDescent="0.25">
      <c r="A747" t="s">
        <v>1136</v>
      </c>
      <c r="B747" t="s">
        <v>448</v>
      </c>
      <c r="C747" s="6">
        <v>45721</v>
      </c>
      <c r="D747" t="s">
        <v>77</v>
      </c>
      <c r="E747" t="s">
        <v>78</v>
      </c>
      <c r="F747" t="s">
        <v>79</v>
      </c>
      <c r="G747" t="s">
        <v>28</v>
      </c>
      <c r="H747">
        <v>2</v>
      </c>
      <c r="I747">
        <v>6499</v>
      </c>
      <c r="J747">
        <v>0</v>
      </c>
      <c r="K747">
        <v>99</v>
      </c>
      <c r="L747" t="s">
        <v>48</v>
      </c>
      <c r="M747" t="s">
        <v>49</v>
      </c>
      <c r="N747" t="s">
        <v>102</v>
      </c>
      <c r="O747" t="s">
        <v>93</v>
      </c>
      <c r="P747" t="s">
        <v>33</v>
      </c>
      <c r="Q747">
        <v>5</v>
      </c>
      <c r="R747">
        <f>IFERROR(Table1_1[[#This Row],[Unit_Price]]*Table1_1[[#This Row],[Quantity]],"")</f>
        <v>12998</v>
      </c>
      <c r="S747">
        <f>IFERROR(Table1_1[[#This Row],[Gross_Sales]]*Table1_1[[#This Row],[Discount_%]],"")</f>
        <v>0</v>
      </c>
      <c r="T747">
        <f>IFERROR(Table1_1[[#This Row],[Gross_Sales]]-Table1_1[[#This Row],[Discount_amount]]+Table1_1[[#This Row],[Shipping_Cost]],"")</f>
        <v>13097</v>
      </c>
      <c r="U747">
        <f>IFERROR(Table1_1[[#This Row],[Net_Sale]]-(Table1_1[[#This Row],[Gross_Sales]]*70%),"")</f>
        <v>3998.4000000000015</v>
      </c>
      <c r="V747" s="7">
        <f>IFERROR(Table1_1[[#This Row],[Profit]]/Table1_1[[#This Row],[Net_Sale]],"")</f>
        <v>0.30529128808124006</v>
      </c>
      <c r="W747" t="str">
        <f>TEXT(Table1_1[[#This Row],[Order_Date]],"mmm")</f>
        <v>Mar</v>
      </c>
    </row>
    <row r="748" spans="1:23" x14ac:dyDescent="0.25">
      <c r="A748" t="s">
        <v>1137</v>
      </c>
      <c r="B748" t="s">
        <v>942</v>
      </c>
      <c r="C748" s="6">
        <v>45915</v>
      </c>
      <c r="D748" t="s">
        <v>62</v>
      </c>
      <c r="E748" t="s">
        <v>63</v>
      </c>
      <c r="F748" t="s">
        <v>46</v>
      </c>
      <c r="G748" t="s">
        <v>64</v>
      </c>
      <c r="H748">
        <v>3</v>
      </c>
      <c r="I748">
        <v>699</v>
      </c>
      <c r="J748">
        <v>0.15</v>
      </c>
      <c r="K748">
        <v>49</v>
      </c>
      <c r="L748" t="s">
        <v>113</v>
      </c>
      <c r="M748" t="s">
        <v>114</v>
      </c>
      <c r="N748" t="s">
        <v>71</v>
      </c>
      <c r="O748" t="s">
        <v>41</v>
      </c>
      <c r="P748" t="s">
        <v>80</v>
      </c>
      <c r="Q748">
        <v>2</v>
      </c>
      <c r="R748">
        <f>IFERROR(Table1_1[[#This Row],[Unit_Price]]*Table1_1[[#This Row],[Quantity]],"")</f>
        <v>2097</v>
      </c>
      <c r="S748">
        <f>IFERROR(Table1_1[[#This Row],[Gross_Sales]]*Table1_1[[#This Row],[Discount_%]],"")</f>
        <v>314.55</v>
      </c>
      <c r="T748">
        <f>IFERROR(Table1_1[[#This Row],[Gross_Sales]]-Table1_1[[#This Row],[Discount_amount]]+Table1_1[[#This Row],[Shipping_Cost]],"")</f>
        <v>1831.45</v>
      </c>
      <c r="U748">
        <f>IFERROR(Table1_1[[#This Row],[Net_Sale]]-(Table1_1[[#This Row],[Gross_Sales]]*70%),"")</f>
        <v>363.55000000000018</v>
      </c>
      <c r="V748" s="7">
        <f>IFERROR(Table1_1[[#This Row],[Profit]]/Table1_1[[#This Row],[Net_Sale]],"")</f>
        <v>0.19850391766086989</v>
      </c>
      <c r="W748" t="str">
        <f>TEXT(Table1_1[[#This Row],[Order_Date]],"mmm")</f>
        <v>Sep</v>
      </c>
    </row>
    <row r="749" spans="1:23" x14ac:dyDescent="0.25">
      <c r="A749" t="s">
        <v>1138</v>
      </c>
      <c r="B749" t="s">
        <v>707</v>
      </c>
      <c r="C749" s="6">
        <v>45931</v>
      </c>
      <c r="D749" t="s">
        <v>77</v>
      </c>
      <c r="E749" t="s">
        <v>78</v>
      </c>
      <c r="F749" t="s">
        <v>79</v>
      </c>
      <c r="G749" t="s">
        <v>28</v>
      </c>
      <c r="H749">
        <v>1</v>
      </c>
      <c r="I749">
        <v>6499</v>
      </c>
      <c r="J749">
        <v>0.15</v>
      </c>
      <c r="K749">
        <v>0</v>
      </c>
      <c r="L749" t="s">
        <v>125</v>
      </c>
      <c r="M749" t="s">
        <v>126</v>
      </c>
      <c r="N749" t="s">
        <v>31</v>
      </c>
      <c r="O749" t="s">
        <v>51</v>
      </c>
      <c r="P749" t="s">
        <v>52</v>
      </c>
      <c r="Q749">
        <v>4</v>
      </c>
      <c r="R749">
        <f>IFERROR(Table1_1[[#This Row],[Unit_Price]]*Table1_1[[#This Row],[Quantity]],"")</f>
        <v>6499</v>
      </c>
      <c r="S749">
        <f>IFERROR(Table1_1[[#This Row],[Gross_Sales]]*Table1_1[[#This Row],[Discount_%]],"")</f>
        <v>974.84999999999991</v>
      </c>
      <c r="T749">
        <f>IFERROR(Table1_1[[#This Row],[Gross_Sales]]-Table1_1[[#This Row],[Discount_amount]]+Table1_1[[#This Row],[Shipping_Cost]],"")</f>
        <v>5524.15</v>
      </c>
      <c r="U749">
        <f>IFERROR(Table1_1[[#This Row],[Net_Sale]]-(Table1_1[[#This Row],[Gross_Sales]]*70%),"")</f>
        <v>974.85000000000036</v>
      </c>
      <c r="V749" s="7">
        <f>IFERROR(Table1_1[[#This Row],[Profit]]/Table1_1[[#This Row],[Net_Sale]],"")</f>
        <v>0.17647058823529418</v>
      </c>
      <c r="W749" t="str">
        <f>TEXT(Table1_1[[#This Row],[Order_Date]],"mmm")</f>
        <v>Oct</v>
      </c>
    </row>
    <row r="750" spans="1:23" x14ac:dyDescent="0.25">
      <c r="A750" t="s">
        <v>1139</v>
      </c>
      <c r="B750" t="s">
        <v>754</v>
      </c>
      <c r="C750" s="6">
        <v>45928</v>
      </c>
      <c r="D750" t="s">
        <v>105</v>
      </c>
      <c r="E750" t="s">
        <v>106</v>
      </c>
      <c r="F750" t="s">
        <v>37</v>
      </c>
      <c r="G750" t="s">
        <v>107</v>
      </c>
      <c r="H750">
        <v>1</v>
      </c>
      <c r="I750">
        <v>1799</v>
      </c>
      <c r="J750">
        <v>0</v>
      </c>
      <c r="K750">
        <v>0</v>
      </c>
      <c r="L750" t="s">
        <v>57</v>
      </c>
      <c r="M750" t="s">
        <v>58</v>
      </c>
      <c r="N750" t="s">
        <v>102</v>
      </c>
      <c r="O750" t="s">
        <v>41</v>
      </c>
      <c r="P750" t="s">
        <v>33</v>
      </c>
      <c r="Q750">
        <v>3</v>
      </c>
      <c r="R750">
        <f>IFERROR(Table1_1[[#This Row],[Unit_Price]]*Table1_1[[#This Row],[Quantity]],"")</f>
        <v>1799</v>
      </c>
      <c r="S750">
        <f>IFERROR(Table1_1[[#This Row],[Gross_Sales]]*Table1_1[[#This Row],[Discount_%]],"")</f>
        <v>0</v>
      </c>
      <c r="T750">
        <f>IFERROR(Table1_1[[#This Row],[Gross_Sales]]-Table1_1[[#This Row],[Discount_amount]]+Table1_1[[#This Row],[Shipping_Cost]],"")</f>
        <v>1799</v>
      </c>
      <c r="U750">
        <f>IFERROR(Table1_1[[#This Row],[Net_Sale]]-(Table1_1[[#This Row],[Gross_Sales]]*70%),"")</f>
        <v>539.70000000000005</v>
      </c>
      <c r="V750" s="7">
        <f>IFERROR(Table1_1[[#This Row],[Profit]]/Table1_1[[#This Row],[Net_Sale]],"")</f>
        <v>0.30000000000000004</v>
      </c>
      <c r="W750" t="str">
        <f>TEXT(Table1_1[[#This Row],[Order_Date]],"mmm")</f>
        <v>Sep</v>
      </c>
    </row>
    <row r="751" spans="1:23" x14ac:dyDescent="0.25">
      <c r="A751" t="s">
        <v>1140</v>
      </c>
      <c r="B751" t="s">
        <v>600</v>
      </c>
      <c r="C751" s="6">
        <v>45703</v>
      </c>
      <c r="D751" t="s">
        <v>105</v>
      </c>
      <c r="E751" t="s">
        <v>106</v>
      </c>
      <c r="F751" t="s">
        <v>37</v>
      </c>
      <c r="G751" t="s">
        <v>107</v>
      </c>
      <c r="H751">
        <v>1</v>
      </c>
      <c r="I751">
        <v>1799</v>
      </c>
      <c r="J751">
        <v>0.2</v>
      </c>
      <c r="K751">
        <v>49</v>
      </c>
      <c r="L751" t="s">
        <v>100</v>
      </c>
      <c r="M751" t="s">
        <v>101</v>
      </c>
      <c r="N751" t="s">
        <v>102</v>
      </c>
      <c r="O751" t="s">
        <v>51</v>
      </c>
      <c r="P751" t="s">
        <v>52</v>
      </c>
      <c r="Q751">
        <v>2</v>
      </c>
      <c r="R751">
        <f>IFERROR(Table1_1[[#This Row],[Unit_Price]]*Table1_1[[#This Row],[Quantity]],"")</f>
        <v>1799</v>
      </c>
      <c r="S751">
        <f>IFERROR(Table1_1[[#This Row],[Gross_Sales]]*Table1_1[[#This Row],[Discount_%]],"")</f>
        <v>359.8</v>
      </c>
      <c r="T751">
        <f>IFERROR(Table1_1[[#This Row],[Gross_Sales]]-Table1_1[[#This Row],[Discount_amount]]+Table1_1[[#This Row],[Shipping_Cost]],"")</f>
        <v>1488.2</v>
      </c>
      <c r="U751">
        <f>IFERROR(Table1_1[[#This Row],[Net_Sale]]-(Table1_1[[#This Row],[Gross_Sales]]*70%),"")</f>
        <v>228.90000000000009</v>
      </c>
      <c r="V751" s="7">
        <f>IFERROR(Table1_1[[#This Row],[Profit]]/Table1_1[[#This Row],[Net_Sale]],"")</f>
        <v>0.15380997177798689</v>
      </c>
      <c r="W751" t="str">
        <f>TEXT(Table1_1[[#This Row],[Order_Date]],"mmm")</f>
        <v>Feb</v>
      </c>
    </row>
    <row r="752" spans="1:23" x14ac:dyDescent="0.25">
      <c r="A752" t="s">
        <v>1141</v>
      </c>
      <c r="B752" t="s">
        <v>347</v>
      </c>
      <c r="C752" s="6">
        <v>45708</v>
      </c>
      <c r="D752" t="s">
        <v>35</v>
      </c>
      <c r="E752" t="s">
        <v>36</v>
      </c>
      <c r="F752" t="s">
        <v>37</v>
      </c>
      <c r="G752" t="s">
        <v>38</v>
      </c>
      <c r="H752">
        <v>1</v>
      </c>
      <c r="I752">
        <v>599</v>
      </c>
      <c r="J752">
        <v>0.05</v>
      </c>
      <c r="K752">
        <v>59</v>
      </c>
      <c r="L752" t="s">
        <v>39</v>
      </c>
      <c r="M752" t="s">
        <v>39</v>
      </c>
      <c r="N752" t="s">
        <v>31</v>
      </c>
      <c r="O752" t="s">
        <v>93</v>
      </c>
      <c r="P752" t="s">
        <v>52</v>
      </c>
      <c r="Q752">
        <v>2</v>
      </c>
      <c r="R752">
        <f>IFERROR(Table1_1[[#This Row],[Unit_Price]]*Table1_1[[#This Row],[Quantity]],"")</f>
        <v>599</v>
      </c>
      <c r="S752">
        <f>IFERROR(Table1_1[[#This Row],[Gross_Sales]]*Table1_1[[#This Row],[Discount_%]],"")</f>
        <v>29.950000000000003</v>
      </c>
      <c r="T752">
        <f>IFERROR(Table1_1[[#This Row],[Gross_Sales]]-Table1_1[[#This Row],[Discount_amount]]+Table1_1[[#This Row],[Shipping_Cost]],"")</f>
        <v>628.04999999999995</v>
      </c>
      <c r="U752">
        <f>IFERROR(Table1_1[[#This Row],[Net_Sale]]-(Table1_1[[#This Row],[Gross_Sales]]*70%),"")</f>
        <v>208.75</v>
      </c>
      <c r="V752" s="7">
        <f>IFERROR(Table1_1[[#This Row],[Profit]]/Table1_1[[#This Row],[Net_Sale]],"")</f>
        <v>0.33237799538253326</v>
      </c>
      <c r="W752" t="str">
        <f>TEXT(Table1_1[[#This Row],[Order_Date]],"mmm")</f>
        <v>Feb</v>
      </c>
    </row>
    <row r="753" spans="1:23" x14ac:dyDescent="0.25">
      <c r="A753" t="s">
        <v>1142</v>
      </c>
      <c r="B753" t="s">
        <v>73</v>
      </c>
      <c r="C753" s="6">
        <v>45910</v>
      </c>
      <c r="D753" t="s">
        <v>67</v>
      </c>
      <c r="E753" t="s">
        <v>68</v>
      </c>
      <c r="F753" t="s">
        <v>37</v>
      </c>
      <c r="G753" t="s">
        <v>38</v>
      </c>
      <c r="H753">
        <v>2</v>
      </c>
      <c r="I753">
        <v>1299</v>
      </c>
      <c r="J753">
        <v>0.1</v>
      </c>
      <c r="K753">
        <v>0</v>
      </c>
      <c r="L753" t="s">
        <v>125</v>
      </c>
      <c r="M753" t="s">
        <v>126</v>
      </c>
      <c r="N753" t="s">
        <v>31</v>
      </c>
      <c r="O753" t="s">
        <v>51</v>
      </c>
      <c r="P753" t="s">
        <v>85</v>
      </c>
      <c r="Q753">
        <v>4</v>
      </c>
      <c r="R753">
        <f>IFERROR(Table1_1[[#This Row],[Unit_Price]]*Table1_1[[#This Row],[Quantity]],"")</f>
        <v>2598</v>
      </c>
      <c r="S753">
        <f>IFERROR(Table1_1[[#This Row],[Gross_Sales]]*Table1_1[[#This Row],[Discount_%]],"")</f>
        <v>259.8</v>
      </c>
      <c r="T753">
        <f>IFERROR(Table1_1[[#This Row],[Gross_Sales]]-Table1_1[[#This Row],[Discount_amount]]+Table1_1[[#This Row],[Shipping_Cost]],"")</f>
        <v>2338.1999999999998</v>
      </c>
      <c r="U753">
        <f>IFERROR(Table1_1[[#This Row],[Net_Sale]]-(Table1_1[[#This Row],[Gross_Sales]]*70%),"")</f>
        <v>519.59999999999991</v>
      </c>
      <c r="V753" s="7">
        <f>IFERROR(Table1_1[[#This Row],[Profit]]/Table1_1[[#This Row],[Net_Sale]],"")</f>
        <v>0.22222222222222221</v>
      </c>
      <c r="W753" t="str">
        <f>TEXT(Table1_1[[#This Row],[Order_Date]],"mmm")</f>
        <v>Sep</v>
      </c>
    </row>
    <row r="754" spans="1:23" x14ac:dyDescent="0.25">
      <c r="A754" t="s">
        <v>1143</v>
      </c>
      <c r="B754" t="s">
        <v>773</v>
      </c>
      <c r="C754" s="6">
        <v>45672</v>
      </c>
      <c r="D754" t="s">
        <v>62</v>
      </c>
      <c r="E754" t="s">
        <v>63</v>
      </c>
      <c r="F754" t="s">
        <v>46</v>
      </c>
      <c r="G754" t="s">
        <v>64</v>
      </c>
      <c r="H754">
        <v>1</v>
      </c>
      <c r="I754">
        <v>699</v>
      </c>
      <c r="J754">
        <v>0</v>
      </c>
      <c r="K754">
        <v>59</v>
      </c>
      <c r="L754" t="s">
        <v>57</v>
      </c>
      <c r="M754" t="s">
        <v>58</v>
      </c>
      <c r="N754" t="s">
        <v>102</v>
      </c>
      <c r="O754" t="s">
        <v>93</v>
      </c>
      <c r="P754" t="s">
        <v>33</v>
      </c>
      <c r="Q754">
        <v>2</v>
      </c>
      <c r="R754">
        <f>IFERROR(Table1_1[[#This Row],[Unit_Price]]*Table1_1[[#This Row],[Quantity]],"")</f>
        <v>699</v>
      </c>
      <c r="S754">
        <f>IFERROR(Table1_1[[#This Row],[Gross_Sales]]*Table1_1[[#This Row],[Discount_%]],"")</f>
        <v>0</v>
      </c>
      <c r="T754">
        <f>IFERROR(Table1_1[[#This Row],[Gross_Sales]]-Table1_1[[#This Row],[Discount_amount]]+Table1_1[[#This Row],[Shipping_Cost]],"")</f>
        <v>758</v>
      </c>
      <c r="U754">
        <f>IFERROR(Table1_1[[#This Row],[Net_Sale]]-(Table1_1[[#This Row],[Gross_Sales]]*70%),"")</f>
        <v>268.70000000000005</v>
      </c>
      <c r="V754" s="7">
        <f>IFERROR(Table1_1[[#This Row],[Profit]]/Table1_1[[#This Row],[Net_Sale]],"")</f>
        <v>0.35448548812664915</v>
      </c>
      <c r="W754" t="str">
        <f>TEXT(Table1_1[[#This Row],[Order_Date]],"mmm")</f>
        <v>Jan</v>
      </c>
    </row>
    <row r="755" spans="1:23" x14ac:dyDescent="0.25">
      <c r="A755" t="s">
        <v>1144</v>
      </c>
      <c r="B755" t="s">
        <v>597</v>
      </c>
      <c r="C755" s="6">
        <v>45866</v>
      </c>
      <c r="D755" t="s">
        <v>62</v>
      </c>
      <c r="E755" t="s">
        <v>63</v>
      </c>
      <c r="F755" t="s">
        <v>46</v>
      </c>
      <c r="G755" t="s">
        <v>64</v>
      </c>
      <c r="H755">
        <v>1</v>
      </c>
      <c r="I755">
        <v>699</v>
      </c>
      <c r="J755">
        <v>0.15</v>
      </c>
      <c r="K755">
        <v>49</v>
      </c>
      <c r="L755" t="s">
        <v>100</v>
      </c>
      <c r="M755" t="s">
        <v>101</v>
      </c>
      <c r="N755" t="s">
        <v>71</v>
      </c>
      <c r="O755" t="s">
        <v>32</v>
      </c>
      <c r="P755" t="s">
        <v>80</v>
      </c>
      <c r="Q755">
        <v>2</v>
      </c>
      <c r="R755">
        <f>IFERROR(Table1_1[[#This Row],[Unit_Price]]*Table1_1[[#This Row],[Quantity]],"")</f>
        <v>699</v>
      </c>
      <c r="S755">
        <f>IFERROR(Table1_1[[#This Row],[Gross_Sales]]*Table1_1[[#This Row],[Discount_%]],"")</f>
        <v>104.85</v>
      </c>
      <c r="T755">
        <f>IFERROR(Table1_1[[#This Row],[Gross_Sales]]-Table1_1[[#This Row],[Discount_amount]]+Table1_1[[#This Row],[Shipping_Cost]],"")</f>
        <v>643.15</v>
      </c>
      <c r="U755">
        <f>IFERROR(Table1_1[[#This Row],[Net_Sale]]-(Table1_1[[#This Row],[Gross_Sales]]*70%),"")</f>
        <v>153.85000000000002</v>
      </c>
      <c r="V755" s="7">
        <f>IFERROR(Table1_1[[#This Row],[Profit]]/Table1_1[[#This Row],[Net_Sale]],"")</f>
        <v>0.23921324729845297</v>
      </c>
      <c r="W755" t="str">
        <f>TEXT(Table1_1[[#This Row],[Order_Date]],"mmm")</f>
        <v>Jul</v>
      </c>
    </row>
    <row r="756" spans="1:23" x14ac:dyDescent="0.25">
      <c r="A756" t="s">
        <v>1145</v>
      </c>
      <c r="B756" t="s">
        <v>403</v>
      </c>
      <c r="C756" s="6">
        <v>45942</v>
      </c>
      <c r="D756" t="s">
        <v>67</v>
      </c>
      <c r="E756" t="s">
        <v>68</v>
      </c>
      <c r="F756" t="s">
        <v>37</v>
      </c>
      <c r="G756" t="s">
        <v>38</v>
      </c>
      <c r="H756">
        <v>4</v>
      </c>
      <c r="I756">
        <v>1299</v>
      </c>
      <c r="J756">
        <v>0.1</v>
      </c>
      <c r="K756">
        <v>99</v>
      </c>
      <c r="L756" t="s">
        <v>83</v>
      </c>
      <c r="M756" t="s">
        <v>84</v>
      </c>
      <c r="N756" t="s">
        <v>50</v>
      </c>
      <c r="O756" t="s">
        <v>93</v>
      </c>
      <c r="P756" t="s">
        <v>33</v>
      </c>
      <c r="Q756">
        <v>1</v>
      </c>
      <c r="R756">
        <f>IFERROR(Table1_1[[#This Row],[Unit_Price]]*Table1_1[[#This Row],[Quantity]],"")</f>
        <v>5196</v>
      </c>
      <c r="S756">
        <f>IFERROR(Table1_1[[#This Row],[Gross_Sales]]*Table1_1[[#This Row],[Discount_%]],"")</f>
        <v>519.6</v>
      </c>
      <c r="T756">
        <f>IFERROR(Table1_1[[#This Row],[Gross_Sales]]-Table1_1[[#This Row],[Discount_amount]]+Table1_1[[#This Row],[Shipping_Cost]],"")</f>
        <v>4775.3999999999996</v>
      </c>
      <c r="U756">
        <f>IFERROR(Table1_1[[#This Row],[Net_Sale]]-(Table1_1[[#This Row],[Gross_Sales]]*70%),"")</f>
        <v>1138.1999999999998</v>
      </c>
      <c r="V756" s="7">
        <f>IFERROR(Table1_1[[#This Row],[Profit]]/Table1_1[[#This Row],[Net_Sale]],"")</f>
        <v>0.23834652594547051</v>
      </c>
      <c r="W756" t="str">
        <f>TEXT(Table1_1[[#This Row],[Order_Date]],"mmm")</f>
        <v>Oct</v>
      </c>
    </row>
    <row r="757" spans="1:23" x14ac:dyDescent="0.25">
      <c r="A757" t="s">
        <v>1146</v>
      </c>
      <c r="B757" t="s">
        <v>164</v>
      </c>
      <c r="C757" s="6">
        <v>46006</v>
      </c>
      <c r="D757" t="s">
        <v>90</v>
      </c>
      <c r="E757" t="s">
        <v>91</v>
      </c>
      <c r="F757" t="s">
        <v>37</v>
      </c>
      <c r="G757" t="s">
        <v>92</v>
      </c>
      <c r="H757">
        <v>2</v>
      </c>
      <c r="I757">
        <v>3499</v>
      </c>
      <c r="J757">
        <v>0</v>
      </c>
      <c r="K757">
        <v>99</v>
      </c>
      <c r="L757" t="s">
        <v>48</v>
      </c>
      <c r="M757" t="s">
        <v>49</v>
      </c>
      <c r="N757" t="s">
        <v>71</v>
      </c>
      <c r="O757" t="s">
        <v>93</v>
      </c>
      <c r="P757" t="s">
        <v>80</v>
      </c>
      <c r="Q757">
        <v>2</v>
      </c>
      <c r="R757">
        <f>IFERROR(Table1_1[[#This Row],[Unit_Price]]*Table1_1[[#This Row],[Quantity]],"")</f>
        <v>6998</v>
      </c>
      <c r="S757">
        <f>IFERROR(Table1_1[[#This Row],[Gross_Sales]]*Table1_1[[#This Row],[Discount_%]],"")</f>
        <v>0</v>
      </c>
      <c r="T757">
        <f>IFERROR(Table1_1[[#This Row],[Gross_Sales]]-Table1_1[[#This Row],[Discount_amount]]+Table1_1[[#This Row],[Shipping_Cost]],"")</f>
        <v>7097</v>
      </c>
      <c r="U757">
        <f>IFERROR(Table1_1[[#This Row],[Net_Sale]]-(Table1_1[[#This Row],[Gross_Sales]]*70%),"")</f>
        <v>2198.4000000000005</v>
      </c>
      <c r="V757" s="7">
        <f>IFERROR(Table1_1[[#This Row],[Profit]]/Table1_1[[#This Row],[Net_Sale]],"")</f>
        <v>0.30976468930534035</v>
      </c>
      <c r="W757" t="str">
        <f>TEXT(Table1_1[[#This Row],[Order_Date]],"mmm")</f>
        <v>Dec</v>
      </c>
    </row>
    <row r="758" spans="1:23" x14ac:dyDescent="0.25">
      <c r="A758" t="s">
        <v>1147</v>
      </c>
      <c r="B758" t="s">
        <v>309</v>
      </c>
      <c r="C758" s="6">
        <v>45811</v>
      </c>
      <c r="D758" t="s">
        <v>77</v>
      </c>
      <c r="E758" t="s">
        <v>78</v>
      </c>
      <c r="F758" t="s">
        <v>79</v>
      </c>
      <c r="G758" t="s">
        <v>28</v>
      </c>
      <c r="H758">
        <v>2</v>
      </c>
      <c r="I758">
        <v>6499</v>
      </c>
      <c r="J758">
        <v>0</v>
      </c>
      <c r="K758">
        <v>49</v>
      </c>
      <c r="L758" t="s">
        <v>83</v>
      </c>
      <c r="M758" t="s">
        <v>84</v>
      </c>
      <c r="N758" t="s">
        <v>71</v>
      </c>
      <c r="O758" t="s">
        <v>59</v>
      </c>
      <c r="P758" t="s">
        <v>80</v>
      </c>
      <c r="Q758">
        <v>2</v>
      </c>
      <c r="R758">
        <f>IFERROR(Table1_1[[#This Row],[Unit_Price]]*Table1_1[[#This Row],[Quantity]],"")</f>
        <v>12998</v>
      </c>
      <c r="S758">
        <f>IFERROR(Table1_1[[#This Row],[Gross_Sales]]*Table1_1[[#This Row],[Discount_%]],"")</f>
        <v>0</v>
      </c>
      <c r="T758">
        <f>IFERROR(Table1_1[[#This Row],[Gross_Sales]]-Table1_1[[#This Row],[Discount_amount]]+Table1_1[[#This Row],[Shipping_Cost]],"")</f>
        <v>13047</v>
      </c>
      <c r="U758">
        <f>IFERROR(Table1_1[[#This Row],[Net_Sale]]-(Table1_1[[#This Row],[Gross_Sales]]*70%),"")</f>
        <v>3948.4000000000015</v>
      </c>
      <c r="V758" s="7">
        <f>IFERROR(Table1_1[[#This Row],[Profit]]/Table1_1[[#This Row],[Net_Sale]],"")</f>
        <v>0.30262895684831775</v>
      </c>
      <c r="W758" t="str">
        <f>TEXT(Table1_1[[#This Row],[Order_Date]],"mmm")</f>
        <v>Jun</v>
      </c>
    </row>
    <row r="759" spans="1:23" x14ac:dyDescent="0.25">
      <c r="A759" t="s">
        <v>1148</v>
      </c>
      <c r="B759" t="s">
        <v>315</v>
      </c>
      <c r="C759" s="6">
        <v>45820</v>
      </c>
      <c r="D759" t="s">
        <v>44</v>
      </c>
      <c r="E759" t="s">
        <v>45</v>
      </c>
      <c r="F759" t="s">
        <v>46</v>
      </c>
      <c r="G759" t="s">
        <v>47</v>
      </c>
      <c r="H759">
        <v>4</v>
      </c>
      <c r="I759">
        <v>1199</v>
      </c>
      <c r="J759">
        <v>0.05</v>
      </c>
      <c r="K759">
        <v>79</v>
      </c>
      <c r="L759" t="s">
        <v>83</v>
      </c>
      <c r="M759" t="s">
        <v>84</v>
      </c>
      <c r="N759" t="s">
        <v>50</v>
      </c>
      <c r="O759" t="s">
        <v>51</v>
      </c>
      <c r="P759" t="s">
        <v>80</v>
      </c>
      <c r="Q759">
        <v>3</v>
      </c>
      <c r="R759">
        <f>IFERROR(Table1_1[[#This Row],[Unit_Price]]*Table1_1[[#This Row],[Quantity]],"")</f>
        <v>4796</v>
      </c>
      <c r="S759">
        <f>IFERROR(Table1_1[[#This Row],[Gross_Sales]]*Table1_1[[#This Row],[Discount_%]],"")</f>
        <v>239.8</v>
      </c>
      <c r="T759">
        <f>IFERROR(Table1_1[[#This Row],[Gross_Sales]]-Table1_1[[#This Row],[Discount_amount]]+Table1_1[[#This Row],[Shipping_Cost]],"")</f>
        <v>4635.2</v>
      </c>
      <c r="U759">
        <f>IFERROR(Table1_1[[#This Row],[Net_Sale]]-(Table1_1[[#This Row],[Gross_Sales]]*70%),"")</f>
        <v>1278</v>
      </c>
      <c r="V759" s="7">
        <f>IFERROR(Table1_1[[#This Row],[Profit]]/Table1_1[[#This Row],[Net_Sale]],"")</f>
        <v>0.275716258198136</v>
      </c>
      <c r="W759" t="str">
        <f>TEXT(Table1_1[[#This Row],[Order_Date]],"mmm")</f>
        <v>Jun</v>
      </c>
    </row>
    <row r="760" spans="1:23" x14ac:dyDescent="0.25">
      <c r="A760" t="s">
        <v>1149</v>
      </c>
      <c r="B760" t="s">
        <v>186</v>
      </c>
      <c r="C760" s="6">
        <v>45826</v>
      </c>
      <c r="D760" t="s">
        <v>67</v>
      </c>
      <c r="E760" t="s">
        <v>68</v>
      </c>
      <c r="F760" t="s">
        <v>37</v>
      </c>
      <c r="G760" t="s">
        <v>38</v>
      </c>
      <c r="H760">
        <v>4</v>
      </c>
      <c r="I760">
        <v>1299</v>
      </c>
      <c r="J760">
        <v>0</v>
      </c>
      <c r="K760">
        <v>0</v>
      </c>
      <c r="L760" t="s">
        <v>119</v>
      </c>
      <c r="M760" t="s">
        <v>120</v>
      </c>
      <c r="N760" t="s">
        <v>31</v>
      </c>
      <c r="O760" t="s">
        <v>93</v>
      </c>
      <c r="P760" t="s">
        <v>80</v>
      </c>
      <c r="Q760">
        <v>3</v>
      </c>
      <c r="R760">
        <f>IFERROR(Table1_1[[#This Row],[Unit_Price]]*Table1_1[[#This Row],[Quantity]],"")</f>
        <v>5196</v>
      </c>
      <c r="S760">
        <f>IFERROR(Table1_1[[#This Row],[Gross_Sales]]*Table1_1[[#This Row],[Discount_%]],"")</f>
        <v>0</v>
      </c>
      <c r="T760">
        <f>IFERROR(Table1_1[[#This Row],[Gross_Sales]]-Table1_1[[#This Row],[Discount_amount]]+Table1_1[[#This Row],[Shipping_Cost]],"")</f>
        <v>5196</v>
      </c>
      <c r="U760">
        <f>IFERROR(Table1_1[[#This Row],[Net_Sale]]-(Table1_1[[#This Row],[Gross_Sales]]*70%),"")</f>
        <v>1558.8000000000002</v>
      </c>
      <c r="V760" s="7">
        <f>IFERROR(Table1_1[[#This Row],[Profit]]/Table1_1[[#This Row],[Net_Sale]],"")</f>
        <v>0.30000000000000004</v>
      </c>
      <c r="W760" t="str">
        <f>TEXT(Table1_1[[#This Row],[Order_Date]],"mmm")</f>
        <v>Jun</v>
      </c>
    </row>
    <row r="761" spans="1:23" x14ac:dyDescent="0.25">
      <c r="A761" t="s">
        <v>1150</v>
      </c>
      <c r="B761" t="s">
        <v>188</v>
      </c>
      <c r="C761" s="6">
        <v>46014</v>
      </c>
      <c r="D761" t="s">
        <v>105</v>
      </c>
      <c r="E761" t="s">
        <v>106</v>
      </c>
      <c r="F761" t="s">
        <v>37</v>
      </c>
      <c r="G761" t="s">
        <v>107</v>
      </c>
      <c r="H761">
        <v>2</v>
      </c>
      <c r="I761">
        <v>1799</v>
      </c>
      <c r="J761">
        <v>0.15</v>
      </c>
      <c r="K761">
        <v>0</v>
      </c>
      <c r="L761" t="s">
        <v>57</v>
      </c>
      <c r="M761" t="s">
        <v>58</v>
      </c>
      <c r="N761" t="s">
        <v>102</v>
      </c>
      <c r="O761" t="s">
        <v>93</v>
      </c>
      <c r="P761" t="s">
        <v>52</v>
      </c>
      <c r="Q761">
        <v>3</v>
      </c>
      <c r="R761">
        <f>IFERROR(Table1_1[[#This Row],[Unit_Price]]*Table1_1[[#This Row],[Quantity]],"")</f>
        <v>3598</v>
      </c>
      <c r="S761">
        <f>IFERROR(Table1_1[[#This Row],[Gross_Sales]]*Table1_1[[#This Row],[Discount_%]],"")</f>
        <v>539.69999999999993</v>
      </c>
      <c r="T761">
        <f>IFERROR(Table1_1[[#This Row],[Gross_Sales]]-Table1_1[[#This Row],[Discount_amount]]+Table1_1[[#This Row],[Shipping_Cost]],"")</f>
        <v>3058.3</v>
      </c>
      <c r="U761">
        <f>IFERROR(Table1_1[[#This Row],[Net_Sale]]-(Table1_1[[#This Row],[Gross_Sales]]*70%),"")</f>
        <v>539.70000000000027</v>
      </c>
      <c r="V761" s="7">
        <f>IFERROR(Table1_1[[#This Row],[Profit]]/Table1_1[[#This Row],[Net_Sale]],"")</f>
        <v>0.17647058823529418</v>
      </c>
      <c r="W761" t="str">
        <f>TEXT(Table1_1[[#This Row],[Order_Date]],"mmm")</f>
        <v>Dec</v>
      </c>
    </row>
    <row r="762" spans="1:23" x14ac:dyDescent="0.25">
      <c r="A762" t="s">
        <v>1151</v>
      </c>
      <c r="B762" t="s">
        <v>181</v>
      </c>
      <c r="C762" s="6">
        <v>45838</v>
      </c>
      <c r="D762" t="s">
        <v>25</v>
      </c>
      <c r="E762" t="s">
        <v>26</v>
      </c>
      <c r="F762" t="s">
        <v>27</v>
      </c>
      <c r="G762" t="s">
        <v>28</v>
      </c>
      <c r="H762">
        <v>2</v>
      </c>
      <c r="I762">
        <v>249</v>
      </c>
      <c r="J762">
        <v>0.05</v>
      </c>
      <c r="K762">
        <v>79</v>
      </c>
      <c r="L762" t="s">
        <v>119</v>
      </c>
      <c r="M762" t="s">
        <v>120</v>
      </c>
      <c r="N762" t="s">
        <v>31</v>
      </c>
      <c r="O762" t="s">
        <v>93</v>
      </c>
      <c r="P762" t="s">
        <v>85</v>
      </c>
      <c r="Q762">
        <v>4</v>
      </c>
      <c r="R762">
        <f>IFERROR(Table1_1[[#This Row],[Unit_Price]]*Table1_1[[#This Row],[Quantity]],"")</f>
        <v>498</v>
      </c>
      <c r="S762">
        <f>IFERROR(Table1_1[[#This Row],[Gross_Sales]]*Table1_1[[#This Row],[Discount_%]],"")</f>
        <v>24.900000000000002</v>
      </c>
      <c r="T762">
        <f>IFERROR(Table1_1[[#This Row],[Gross_Sales]]-Table1_1[[#This Row],[Discount_amount]]+Table1_1[[#This Row],[Shipping_Cost]],"")</f>
        <v>552.1</v>
      </c>
      <c r="U762">
        <f>IFERROR(Table1_1[[#This Row],[Net_Sale]]-(Table1_1[[#This Row],[Gross_Sales]]*70%),"")</f>
        <v>203.50000000000006</v>
      </c>
      <c r="V762" s="7">
        <f>IFERROR(Table1_1[[#This Row],[Profit]]/Table1_1[[#This Row],[Net_Sale]],"")</f>
        <v>0.36859264625973565</v>
      </c>
      <c r="W762" t="str">
        <f>TEXT(Table1_1[[#This Row],[Order_Date]],"mmm")</f>
        <v>Jun</v>
      </c>
    </row>
    <row r="763" spans="1:23" x14ac:dyDescent="0.25">
      <c r="A763" t="s">
        <v>1152</v>
      </c>
      <c r="B763" t="s">
        <v>160</v>
      </c>
      <c r="C763" s="6">
        <v>45771</v>
      </c>
      <c r="D763" t="s">
        <v>169</v>
      </c>
      <c r="E763" t="s">
        <v>170</v>
      </c>
      <c r="F763" t="s">
        <v>98</v>
      </c>
      <c r="G763" t="s">
        <v>171</v>
      </c>
      <c r="H763">
        <v>1</v>
      </c>
      <c r="I763">
        <v>799</v>
      </c>
      <c r="J763">
        <v>0.2</v>
      </c>
      <c r="K763">
        <v>59</v>
      </c>
      <c r="L763" t="s">
        <v>113</v>
      </c>
      <c r="M763" t="s">
        <v>114</v>
      </c>
      <c r="N763" t="s">
        <v>31</v>
      </c>
      <c r="O763" t="s">
        <v>32</v>
      </c>
      <c r="P763" t="s">
        <v>33</v>
      </c>
      <c r="Q763">
        <v>3</v>
      </c>
      <c r="R763">
        <f>IFERROR(Table1_1[[#This Row],[Unit_Price]]*Table1_1[[#This Row],[Quantity]],"")</f>
        <v>799</v>
      </c>
      <c r="S763">
        <f>IFERROR(Table1_1[[#This Row],[Gross_Sales]]*Table1_1[[#This Row],[Discount_%]],"")</f>
        <v>159.80000000000001</v>
      </c>
      <c r="T763">
        <f>IFERROR(Table1_1[[#This Row],[Gross_Sales]]-Table1_1[[#This Row],[Discount_amount]]+Table1_1[[#This Row],[Shipping_Cost]],"")</f>
        <v>698.2</v>
      </c>
      <c r="U763">
        <f>IFERROR(Table1_1[[#This Row],[Net_Sale]]-(Table1_1[[#This Row],[Gross_Sales]]*70%),"")</f>
        <v>138.90000000000009</v>
      </c>
      <c r="V763" s="7">
        <f>IFERROR(Table1_1[[#This Row],[Profit]]/Table1_1[[#This Row],[Net_Sale]],"")</f>
        <v>0.198940131767402</v>
      </c>
      <c r="W763" t="str">
        <f>TEXT(Table1_1[[#This Row],[Order_Date]],"mmm")</f>
        <v>Apr</v>
      </c>
    </row>
    <row r="764" spans="1:23" x14ac:dyDescent="0.25">
      <c r="A764" t="s">
        <v>1153</v>
      </c>
      <c r="B764" t="s">
        <v>148</v>
      </c>
      <c r="C764" s="6">
        <v>45910</v>
      </c>
      <c r="D764" t="s">
        <v>110</v>
      </c>
      <c r="E764" t="s">
        <v>111</v>
      </c>
      <c r="F764" t="s">
        <v>98</v>
      </c>
      <c r="G764" t="s">
        <v>112</v>
      </c>
      <c r="H764">
        <v>1</v>
      </c>
      <c r="I764">
        <v>2999</v>
      </c>
      <c r="J764">
        <v>0.1</v>
      </c>
      <c r="K764">
        <v>99</v>
      </c>
      <c r="L764" t="s">
        <v>113</v>
      </c>
      <c r="M764" t="s">
        <v>114</v>
      </c>
      <c r="N764" t="s">
        <v>31</v>
      </c>
      <c r="O764" t="s">
        <v>41</v>
      </c>
      <c r="P764" t="s">
        <v>33</v>
      </c>
      <c r="Q764">
        <v>3</v>
      </c>
      <c r="R764">
        <f>IFERROR(Table1_1[[#This Row],[Unit_Price]]*Table1_1[[#This Row],[Quantity]],"")</f>
        <v>2999</v>
      </c>
      <c r="S764">
        <f>IFERROR(Table1_1[[#This Row],[Gross_Sales]]*Table1_1[[#This Row],[Discount_%]],"")</f>
        <v>299.90000000000003</v>
      </c>
      <c r="T764">
        <f>IFERROR(Table1_1[[#This Row],[Gross_Sales]]-Table1_1[[#This Row],[Discount_amount]]+Table1_1[[#This Row],[Shipping_Cost]],"")</f>
        <v>2798.1</v>
      </c>
      <c r="U764">
        <f>IFERROR(Table1_1[[#This Row],[Net_Sale]]-(Table1_1[[#This Row],[Gross_Sales]]*70%),"")</f>
        <v>698.80000000000018</v>
      </c>
      <c r="V764" s="7">
        <f>IFERROR(Table1_1[[#This Row],[Profit]]/Table1_1[[#This Row],[Net_Sale]],"")</f>
        <v>0.24974089560773388</v>
      </c>
      <c r="W764" t="str">
        <f>TEXT(Table1_1[[#This Row],[Order_Date]],"mmm")</f>
        <v>Sep</v>
      </c>
    </row>
    <row r="765" spans="1:23" x14ac:dyDescent="0.25">
      <c r="A765" t="s">
        <v>1154</v>
      </c>
      <c r="B765" t="s">
        <v>409</v>
      </c>
      <c r="C765" s="6">
        <v>45800</v>
      </c>
      <c r="D765" t="s">
        <v>25</v>
      </c>
      <c r="E765" t="s">
        <v>26</v>
      </c>
      <c r="F765" t="s">
        <v>27</v>
      </c>
      <c r="G765" t="s">
        <v>28</v>
      </c>
      <c r="H765">
        <v>1</v>
      </c>
      <c r="I765">
        <v>249</v>
      </c>
      <c r="J765">
        <v>0</v>
      </c>
      <c r="K765">
        <v>99</v>
      </c>
      <c r="L765" t="s">
        <v>57</v>
      </c>
      <c r="M765" t="s">
        <v>58</v>
      </c>
      <c r="N765" t="s">
        <v>102</v>
      </c>
      <c r="O765" t="s">
        <v>32</v>
      </c>
      <c r="P765" t="s">
        <v>52</v>
      </c>
      <c r="Q765">
        <v>5</v>
      </c>
      <c r="R765">
        <f>IFERROR(Table1_1[[#This Row],[Unit_Price]]*Table1_1[[#This Row],[Quantity]],"")</f>
        <v>249</v>
      </c>
      <c r="S765">
        <f>IFERROR(Table1_1[[#This Row],[Gross_Sales]]*Table1_1[[#This Row],[Discount_%]],"")</f>
        <v>0</v>
      </c>
      <c r="T765">
        <f>IFERROR(Table1_1[[#This Row],[Gross_Sales]]-Table1_1[[#This Row],[Discount_amount]]+Table1_1[[#This Row],[Shipping_Cost]],"")</f>
        <v>348</v>
      </c>
      <c r="U765">
        <f>IFERROR(Table1_1[[#This Row],[Net_Sale]]-(Table1_1[[#This Row],[Gross_Sales]]*70%),"")</f>
        <v>173.70000000000002</v>
      </c>
      <c r="V765" s="7">
        <f>IFERROR(Table1_1[[#This Row],[Profit]]/Table1_1[[#This Row],[Net_Sale]],"")</f>
        <v>0.49913793103448278</v>
      </c>
      <c r="W765" t="str">
        <f>TEXT(Table1_1[[#This Row],[Order_Date]],"mmm")</f>
        <v>May</v>
      </c>
    </row>
    <row r="766" spans="1:23" x14ac:dyDescent="0.25">
      <c r="A766" t="s">
        <v>1155</v>
      </c>
      <c r="B766" t="s">
        <v>274</v>
      </c>
      <c r="C766" s="6">
        <v>45691</v>
      </c>
      <c r="D766" t="s">
        <v>105</v>
      </c>
      <c r="E766" t="s">
        <v>106</v>
      </c>
      <c r="F766" t="s">
        <v>37</v>
      </c>
      <c r="G766" t="s">
        <v>107</v>
      </c>
      <c r="H766">
        <v>2</v>
      </c>
      <c r="I766">
        <v>1799</v>
      </c>
      <c r="J766">
        <v>0</v>
      </c>
      <c r="K766">
        <v>99</v>
      </c>
      <c r="L766" t="s">
        <v>29</v>
      </c>
      <c r="M766" t="s">
        <v>30</v>
      </c>
      <c r="N766" t="s">
        <v>50</v>
      </c>
      <c r="O766" t="s">
        <v>93</v>
      </c>
      <c r="P766" t="s">
        <v>85</v>
      </c>
      <c r="Q766">
        <v>3</v>
      </c>
      <c r="R766">
        <f>IFERROR(Table1_1[[#This Row],[Unit_Price]]*Table1_1[[#This Row],[Quantity]],"")</f>
        <v>3598</v>
      </c>
      <c r="S766">
        <f>IFERROR(Table1_1[[#This Row],[Gross_Sales]]*Table1_1[[#This Row],[Discount_%]],"")</f>
        <v>0</v>
      </c>
      <c r="T766">
        <f>IFERROR(Table1_1[[#This Row],[Gross_Sales]]-Table1_1[[#This Row],[Discount_amount]]+Table1_1[[#This Row],[Shipping_Cost]],"")</f>
        <v>3697</v>
      </c>
      <c r="U766">
        <f>IFERROR(Table1_1[[#This Row],[Net_Sale]]-(Table1_1[[#This Row],[Gross_Sales]]*70%),"")</f>
        <v>1178.4000000000001</v>
      </c>
      <c r="V766" s="7">
        <f>IFERROR(Table1_1[[#This Row],[Profit]]/Table1_1[[#This Row],[Net_Sale]],"")</f>
        <v>0.31874492832025969</v>
      </c>
      <c r="W766" t="str">
        <f>TEXT(Table1_1[[#This Row],[Order_Date]],"mmm")</f>
        <v>Feb</v>
      </c>
    </row>
    <row r="767" spans="1:23" x14ac:dyDescent="0.25">
      <c r="A767" t="s">
        <v>1156</v>
      </c>
      <c r="B767" t="s">
        <v>1059</v>
      </c>
      <c r="C767" s="6">
        <v>46006</v>
      </c>
      <c r="D767" t="s">
        <v>25</v>
      </c>
      <c r="E767" t="s">
        <v>26</v>
      </c>
      <c r="F767" t="s">
        <v>27</v>
      </c>
      <c r="G767" t="s">
        <v>28</v>
      </c>
      <c r="H767">
        <v>2</v>
      </c>
      <c r="I767">
        <v>249</v>
      </c>
      <c r="J767">
        <v>0</v>
      </c>
      <c r="K767">
        <v>79</v>
      </c>
      <c r="L767" t="s">
        <v>982</v>
      </c>
      <c r="M767" t="s">
        <v>84</v>
      </c>
      <c r="N767" t="s">
        <v>71</v>
      </c>
      <c r="O767" t="s">
        <v>59</v>
      </c>
      <c r="P767" t="s">
        <v>52</v>
      </c>
      <c r="Q767">
        <v>3</v>
      </c>
      <c r="R767">
        <f>IFERROR(Table1_1[[#This Row],[Unit_Price]]*Table1_1[[#This Row],[Quantity]],"")</f>
        <v>498</v>
      </c>
      <c r="S767">
        <f>IFERROR(Table1_1[[#This Row],[Gross_Sales]]*Table1_1[[#This Row],[Discount_%]],"")</f>
        <v>0</v>
      </c>
      <c r="T767">
        <f>IFERROR(Table1_1[[#This Row],[Gross_Sales]]-Table1_1[[#This Row],[Discount_amount]]+Table1_1[[#This Row],[Shipping_Cost]],"")</f>
        <v>577</v>
      </c>
      <c r="U767">
        <f>IFERROR(Table1_1[[#This Row],[Net_Sale]]-(Table1_1[[#This Row],[Gross_Sales]]*70%),"")</f>
        <v>228.40000000000003</v>
      </c>
      <c r="V767" s="7">
        <f>IFERROR(Table1_1[[#This Row],[Profit]]/Table1_1[[#This Row],[Net_Sale]],"")</f>
        <v>0.39584055459272105</v>
      </c>
      <c r="W767" t="str">
        <f>TEXT(Table1_1[[#This Row],[Order_Date]],"mmm")</f>
        <v>Dec</v>
      </c>
    </row>
    <row r="768" spans="1:23" x14ac:dyDescent="0.25">
      <c r="A768" t="s">
        <v>1157</v>
      </c>
      <c r="B768" t="s">
        <v>733</v>
      </c>
      <c r="C768" s="6">
        <v>45923</v>
      </c>
      <c r="D768" t="s">
        <v>96</v>
      </c>
      <c r="E768" t="s">
        <v>97</v>
      </c>
      <c r="F768" t="s">
        <v>98</v>
      </c>
      <c r="G768" t="s">
        <v>99</v>
      </c>
      <c r="H768">
        <v>1</v>
      </c>
      <c r="I768">
        <v>1499</v>
      </c>
      <c r="J768">
        <v>0.15</v>
      </c>
      <c r="K768">
        <v>0</v>
      </c>
      <c r="L768" t="s">
        <v>48</v>
      </c>
      <c r="M768" t="s">
        <v>49</v>
      </c>
      <c r="N768" t="s">
        <v>31</v>
      </c>
      <c r="O768" t="s">
        <v>51</v>
      </c>
      <c r="P768" t="s">
        <v>33</v>
      </c>
      <c r="Q768">
        <v>4</v>
      </c>
      <c r="R768">
        <f>IFERROR(Table1_1[[#This Row],[Unit_Price]]*Table1_1[[#This Row],[Quantity]],"")</f>
        <v>1499</v>
      </c>
      <c r="S768">
        <f>IFERROR(Table1_1[[#This Row],[Gross_Sales]]*Table1_1[[#This Row],[Discount_%]],"")</f>
        <v>224.85</v>
      </c>
      <c r="T768">
        <f>IFERROR(Table1_1[[#This Row],[Gross_Sales]]-Table1_1[[#This Row],[Discount_amount]]+Table1_1[[#This Row],[Shipping_Cost]],"")</f>
        <v>1274.1500000000001</v>
      </c>
      <c r="U768">
        <f>IFERROR(Table1_1[[#This Row],[Net_Sale]]-(Table1_1[[#This Row],[Gross_Sales]]*70%),"")</f>
        <v>224.85000000000014</v>
      </c>
      <c r="V768" s="7">
        <f>IFERROR(Table1_1[[#This Row],[Profit]]/Table1_1[[#This Row],[Net_Sale]],"")</f>
        <v>0.17647058823529421</v>
      </c>
      <c r="W768" t="str">
        <f>TEXT(Table1_1[[#This Row],[Order_Date]],"mmm")</f>
        <v>Sep</v>
      </c>
    </row>
    <row r="769" spans="1:23" x14ac:dyDescent="0.25">
      <c r="A769" t="s">
        <v>1158</v>
      </c>
      <c r="B769" t="s">
        <v>642</v>
      </c>
      <c r="C769" s="6">
        <v>45858</v>
      </c>
      <c r="D769" t="s">
        <v>62</v>
      </c>
      <c r="E769" t="s">
        <v>63</v>
      </c>
      <c r="F769" t="s">
        <v>46</v>
      </c>
      <c r="G769" t="s">
        <v>64</v>
      </c>
      <c r="H769">
        <v>1</v>
      </c>
      <c r="I769">
        <v>699</v>
      </c>
      <c r="J769">
        <v>0.15</v>
      </c>
      <c r="K769">
        <v>0</v>
      </c>
      <c r="L769" t="s">
        <v>119</v>
      </c>
      <c r="M769" t="s">
        <v>120</v>
      </c>
      <c r="N769" t="s">
        <v>40</v>
      </c>
      <c r="O769" t="s">
        <v>93</v>
      </c>
      <c r="P769" t="s">
        <v>33</v>
      </c>
      <c r="Q769">
        <v>2</v>
      </c>
      <c r="R769">
        <f>IFERROR(Table1_1[[#This Row],[Unit_Price]]*Table1_1[[#This Row],[Quantity]],"")</f>
        <v>699</v>
      </c>
      <c r="S769">
        <f>IFERROR(Table1_1[[#This Row],[Gross_Sales]]*Table1_1[[#This Row],[Discount_%]],"")</f>
        <v>104.85</v>
      </c>
      <c r="T769">
        <f>IFERROR(Table1_1[[#This Row],[Gross_Sales]]-Table1_1[[#This Row],[Discount_amount]]+Table1_1[[#This Row],[Shipping_Cost]],"")</f>
        <v>594.15</v>
      </c>
      <c r="U769">
        <f>IFERROR(Table1_1[[#This Row],[Net_Sale]]-(Table1_1[[#This Row],[Gross_Sales]]*70%),"")</f>
        <v>104.85000000000002</v>
      </c>
      <c r="V769" s="7">
        <f>IFERROR(Table1_1[[#This Row],[Profit]]/Table1_1[[#This Row],[Net_Sale]],"")</f>
        <v>0.17647058823529416</v>
      </c>
      <c r="W769" t="str">
        <f>TEXT(Table1_1[[#This Row],[Order_Date]],"mmm")</f>
        <v>Jul</v>
      </c>
    </row>
    <row r="770" spans="1:23" x14ac:dyDescent="0.25">
      <c r="A770" t="s">
        <v>1159</v>
      </c>
      <c r="B770" t="s">
        <v>692</v>
      </c>
      <c r="C770" s="6">
        <v>45690</v>
      </c>
      <c r="D770" t="s">
        <v>67</v>
      </c>
      <c r="E770" t="s">
        <v>68</v>
      </c>
      <c r="F770" t="s">
        <v>37</v>
      </c>
      <c r="G770" t="s">
        <v>38</v>
      </c>
      <c r="H770">
        <v>1</v>
      </c>
      <c r="I770">
        <v>1299</v>
      </c>
      <c r="J770">
        <v>0</v>
      </c>
      <c r="K770">
        <v>79</v>
      </c>
      <c r="L770" t="s">
        <v>100</v>
      </c>
      <c r="M770" t="s">
        <v>101</v>
      </c>
      <c r="N770" t="s">
        <v>31</v>
      </c>
      <c r="O770" t="s">
        <v>32</v>
      </c>
      <c r="P770" t="s">
        <v>33</v>
      </c>
      <c r="Q770">
        <v>3</v>
      </c>
      <c r="R770">
        <f>IFERROR(Table1_1[[#This Row],[Unit_Price]]*Table1_1[[#This Row],[Quantity]],"")</f>
        <v>1299</v>
      </c>
      <c r="S770">
        <f>IFERROR(Table1_1[[#This Row],[Gross_Sales]]*Table1_1[[#This Row],[Discount_%]],"")</f>
        <v>0</v>
      </c>
      <c r="T770">
        <f>IFERROR(Table1_1[[#This Row],[Gross_Sales]]-Table1_1[[#This Row],[Discount_amount]]+Table1_1[[#This Row],[Shipping_Cost]],"")</f>
        <v>1378</v>
      </c>
      <c r="U770">
        <f>IFERROR(Table1_1[[#This Row],[Net_Sale]]-(Table1_1[[#This Row],[Gross_Sales]]*70%),"")</f>
        <v>468.70000000000005</v>
      </c>
      <c r="V770" s="7">
        <f>IFERROR(Table1_1[[#This Row],[Profit]]/Table1_1[[#This Row],[Net_Sale]],"")</f>
        <v>0.3401306240928883</v>
      </c>
      <c r="W770" t="str">
        <f>TEXT(Table1_1[[#This Row],[Order_Date]],"mmm")</f>
        <v>Feb</v>
      </c>
    </row>
    <row r="771" spans="1:23" x14ac:dyDescent="0.25">
      <c r="A771" t="s">
        <v>1160</v>
      </c>
      <c r="B771" t="s">
        <v>1161</v>
      </c>
      <c r="C771" s="6">
        <v>45784</v>
      </c>
      <c r="D771" t="s">
        <v>25</v>
      </c>
      <c r="E771" t="s">
        <v>26</v>
      </c>
      <c r="F771" t="s">
        <v>27</v>
      </c>
      <c r="G771" t="s">
        <v>28</v>
      </c>
      <c r="H771">
        <v>3</v>
      </c>
      <c r="I771">
        <v>249</v>
      </c>
      <c r="J771">
        <v>0.05</v>
      </c>
      <c r="K771">
        <v>0</v>
      </c>
      <c r="L771" t="s">
        <v>74</v>
      </c>
      <c r="M771" t="s">
        <v>49</v>
      </c>
      <c r="N771" t="s">
        <v>102</v>
      </c>
      <c r="O771" t="s">
        <v>41</v>
      </c>
      <c r="P771" t="s">
        <v>33</v>
      </c>
      <c r="Q771">
        <v>1</v>
      </c>
      <c r="R771">
        <f>IFERROR(Table1_1[[#This Row],[Unit_Price]]*Table1_1[[#This Row],[Quantity]],"")</f>
        <v>747</v>
      </c>
      <c r="S771">
        <f>IFERROR(Table1_1[[#This Row],[Gross_Sales]]*Table1_1[[#This Row],[Discount_%]],"")</f>
        <v>37.35</v>
      </c>
      <c r="T771">
        <f>IFERROR(Table1_1[[#This Row],[Gross_Sales]]-Table1_1[[#This Row],[Discount_amount]]+Table1_1[[#This Row],[Shipping_Cost]],"")</f>
        <v>709.65</v>
      </c>
      <c r="U771">
        <f>IFERROR(Table1_1[[#This Row],[Net_Sale]]-(Table1_1[[#This Row],[Gross_Sales]]*70%),"")</f>
        <v>186.75</v>
      </c>
      <c r="V771" s="7">
        <f>IFERROR(Table1_1[[#This Row],[Profit]]/Table1_1[[#This Row],[Net_Sale]],"")</f>
        <v>0.26315789473684209</v>
      </c>
      <c r="W771" t="str">
        <f>TEXT(Table1_1[[#This Row],[Order_Date]],"mmm")</f>
        <v>May</v>
      </c>
    </row>
    <row r="772" spans="1:23" x14ac:dyDescent="0.25">
      <c r="A772" t="s">
        <v>1162</v>
      </c>
      <c r="B772" t="s">
        <v>440</v>
      </c>
      <c r="C772" s="6">
        <v>45706</v>
      </c>
      <c r="D772" t="s">
        <v>44</v>
      </c>
      <c r="E772" t="s">
        <v>45</v>
      </c>
      <c r="F772" t="s">
        <v>46</v>
      </c>
      <c r="G772" t="s">
        <v>47</v>
      </c>
      <c r="H772">
        <v>1</v>
      </c>
      <c r="I772">
        <v>1199</v>
      </c>
      <c r="J772">
        <v>0</v>
      </c>
      <c r="K772">
        <v>0</v>
      </c>
      <c r="L772" t="s">
        <v>125</v>
      </c>
      <c r="M772" t="s">
        <v>126</v>
      </c>
      <c r="N772" t="s">
        <v>863</v>
      </c>
      <c r="O772" t="s">
        <v>59</v>
      </c>
      <c r="P772" t="s">
        <v>85</v>
      </c>
      <c r="Q772">
        <v>3</v>
      </c>
      <c r="R772">
        <f>IFERROR(Table1_1[[#This Row],[Unit_Price]]*Table1_1[[#This Row],[Quantity]],"")</f>
        <v>1199</v>
      </c>
      <c r="S772">
        <f>IFERROR(Table1_1[[#This Row],[Gross_Sales]]*Table1_1[[#This Row],[Discount_%]],"")</f>
        <v>0</v>
      </c>
      <c r="T772">
        <f>IFERROR(Table1_1[[#This Row],[Gross_Sales]]-Table1_1[[#This Row],[Discount_amount]]+Table1_1[[#This Row],[Shipping_Cost]],"")</f>
        <v>1199</v>
      </c>
      <c r="U772">
        <f>IFERROR(Table1_1[[#This Row],[Net_Sale]]-(Table1_1[[#This Row],[Gross_Sales]]*70%),"")</f>
        <v>359.70000000000005</v>
      </c>
      <c r="V772" s="7">
        <f>IFERROR(Table1_1[[#This Row],[Profit]]/Table1_1[[#This Row],[Net_Sale]],"")</f>
        <v>0.30000000000000004</v>
      </c>
      <c r="W772" t="str">
        <f>TEXT(Table1_1[[#This Row],[Order_Date]],"mmm")</f>
        <v>Feb</v>
      </c>
    </row>
    <row r="773" spans="1:23" x14ac:dyDescent="0.25">
      <c r="A773" t="s">
        <v>1163</v>
      </c>
      <c r="B773" t="s">
        <v>715</v>
      </c>
      <c r="C773" s="6">
        <v>45689</v>
      </c>
      <c r="D773" t="s">
        <v>77</v>
      </c>
      <c r="E773" t="s">
        <v>78</v>
      </c>
      <c r="F773" t="s">
        <v>79</v>
      </c>
      <c r="G773" t="s">
        <v>28</v>
      </c>
      <c r="H773">
        <v>3</v>
      </c>
      <c r="I773">
        <v>6499</v>
      </c>
      <c r="J773">
        <v>0.15</v>
      </c>
      <c r="K773">
        <v>79</v>
      </c>
      <c r="L773" t="s">
        <v>29</v>
      </c>
      <c r="M773" t="s">
        <v>30</v>
      </c>
      <c r="N773" t="s">
        <v>31</v>
      </c>
      <c r="O773" t="s">
        <v>93</v>
      </c>
      <c r="P773" t="s">
        <v>33</v>
      </c>
      <c r="Q773">
        <v>5</v>
      </c>
      <c r="R773">
        <f>IFERROR(Table1_1[[#This Row],[Unit_Price]]*Table1_1[[#This Row],[Quantity]],"")</f>
        <v>19497</v>
      </c>
      <c r="S773">
        <f>IFERROR(Table1_1[[#This Row],[Gross_Sales]]*Table1_1[[#This Row],[Discount_%]],"")</f>
        <v>2924.5499999999997</v>
      </c>
      <c r="T773">
        <f>IFERROR(Table1_1[[#This Row],[Gross_Sales]]-Table1_1[[#This Row],[Discount_amount]]+Table1_1[[#This Row],[Shipping_Cost]],"")</f>
        <v>16651.45</v>
      </c>
      <c r="U773">
        <f>IFERROR(Table1_1[[#This Row],[Net_Sale]]-(Table1_1[[#This Row],[Gross_Sales]]*70%),"")</f>
        <v>3003.5500000000011</v>
      </c>
      <c r="V773" s="7">
        <f>IFERROR(Table1_1[[#This Row],[Profit]]/Table1_1[[#This Row],[Net_Sale]],"")</f>
        <v>0.18037768482624641</v>
      </c>
      <c r="W773" t="str">
        <f>TEXT(Table1_1[[#This Row],[Order_Date]],"mmm")</f>
        <v>Feb</v>
      </c>
    </row>
    <row r="774" spans="1:23" x14ac:dyDescent="0.25">
      <c r="A774" t="s">
        <v>1164</v>
      </c>
      <c r="B774" t="s">
        <v>835</v>
      </c>
      <c r="C774" s="6">
        <v>45863</v>
      </c>
      <c r="D774" t="s">
        <v>35</v>
      </c>
      <c r="E774" t="s">
        <v>36</v>
      </c>
      <c r="F774" t="s">
        <v>37</v>
      </c>
      <c r="G774" t="s">
        <v>38</v>
      </c>
      <c r="H774">
        <v>3</v>
      </c>
      <c r="I774">
        <v>599</v>
      </c>
      <c r="J774">
        <v>0</v>
      </c>
      <c r="K774">
        <v>99</v>
      </c>
      <c r="L774" t="s">
        <v>48</v>
      </c>
      <c r="M774" t="s">
        <v>49</v>
      </c>
      <c r="N774" t="s">
        <v>40</v>
      </c>
      <c r="O774" t="s">
        <v>59</v>
      </c>
      <c r="P774" t="s">
        <v>52</v>
      </c>
      <c r="Q774">
        <v>4</v>
      </c>
      <c r="R774">
        <f>IFERROR(Table1_1[[#This Row],[Unit_Price]]*Table1_1[[#This Row],[Quantity]],"")</f>
        <v>1797</v>
      </c>
      <c r="S774">
        <f>IFERROR(Table1_1[[#This Row],[Gross_Sales]]*Table1_1[[#This Row],[Discount_%]],"")</f>
        <v>0</v>
      </c>
      <c r="T774">
        <f>IFERROR(Table1_1[[#This Row],[Gross_Sales]]-Table1_1[[#This Row],[Discount_amount]]+Table1_1[[#This Row],[Shipping_Cost]],"")</f>
        <v>1896</v>
      </c>
      <c r="U774">
        <f>IFERROR(Table1_1[[#This Row],[Net_Sale]]-(Table1_1[[#This Row],[Gross_Sales]]*70%),"")</f>
        <v>638.10000000000014</v>
      </c>
      <c r="V774" s="7">
        <f>IFERROR(Table1_1[[#This Row],[Profit]]/Table1_1[[#This Row],[Net_Sale]],"")</f>
        <v>0.33655063291139248</v>
      </c>
      <c r="W774" t="str">
        <f>TEXT(Table1_1[[#This Row],[Order_Date]],"mmm")</f>
        <v>Jul</v>
      </c>
    </row>
    <row r="775" spans="1:23" x14ac:dyDescent="0.25">
      <c r="A775" t="s">
        <v>1165</v>
      </c>
      <c r="B775" t="s">
        <v>1081</v>
      </c>
      <c r="C775" s="6">
        <v>45831</v>
      </c>
      <c r="D775" t="s">
        <v>96</v>
      </c>
      <c r="E775" t="s">
        <v>97</v>
      </c>
      <c r="F775" t="s">
        <v>98</v>
      </c>
      <c r="G775" t="s">
        <v>99</v>
      </c>
      <c r="H775">
        <v>2</v>
      </c>
      <c r="I775">
        <v>1499</v>
      </c>
      <c r="J775">
        <v>0.1</v>
      </c>
      <c r="K775">
        <v>99</v>
      </c>
      <c r="L775" t="s">
        <v>125</v>
      </c>
      <c r="M775" t="s">
        <v>126</v>
      </c>
      <c r="N775" t="s">
        <v>102</v>
      </c>
      <c r="O775" t="s">
        <v>41</v>
      </c>
      <c r="P775" t="s">
        <v>33</v>
      </c>
      <c r="Q775">
        <v>1</v>
      </c>
      <c r="R775">
        <f>IFERROR(Table1_1[[#This Row],[Unit_Price]]*Table1_1[[#This Row],[Quantity]],"")</f>
        <v>2998</v>
      </c>
      <c r="S775">
        <f>IFERROR(Table1_1[[#This Row],[Gross_Sales]]*Table1_1[[#This Row],[Discount_%]],"")</f>
        <v>299.8</v>
      </c>
      <c r="T775">
        <f>IFERROR(Table1_1[[#This Row],[Gross_Sales]]-Table1_1[[#This Row],[Discount_amount]]+Table1_1[[#This Row],[Shipping_Cost]],"")</f>
        <v>2797.2</v>
      </c>
      <c r="U775">
        <f>IFERROR(Table1_1[[#This Row],[Net_Sale]]-(Table1_1[[#This Row],[Gross_Sales]]*70%),"")</f>
        <v>698.59999999999991</v>
      </c>
      <c r="V775" s="7">
        <f>IFERROR(Table1_1[[#This Row],[Profit]]/Table1_1[[#This Row],[Net_Sale]],"")</f>
        <v>0.24974974974974973</v>
      </c>
      <c r="W775" t="str">
        <f>TEXT(Table1_1[[#This Row],[Order_Date]],"mmm")</f>
        <v>Jun</v>
      </c>
    </row>
    <row r="776" spans="1:23" x14ac:dyDescent="0.25">
      <c r="A776" t="s">
        <v>1166</v>
      </c>
      <c r="B776" t="s">
        <v>713</v>
      </c>
      <c r="C776" s="6">
        <v>45692</v>
      </c>
      <c r="D776" t="s">
        <v>55</v>
      </c>
      <c r="E776" t="s">
        <v>56</v>
      </c>
      <c r="F776" t="s">
        <v>37</v>
      </c>
      <c r="G776" t="s">
        <v>38</v>
      </c>
      <c r="H776">
        <v>2</v>
      </c>
      <c r="I776">
        <v>2499</v>
      </c>
      <c r="J776">
        <v>0.15</v>
      </c>
      <c r="K776">
        <v>49</v>
      </c>
      <c r="L776" t="s">
        <v>39</v>
      </c>
      <c r="M776" t="s">
        <v>39</v>
      </c>
      <c r="N776" t="s">
        <v>71</v>
      </c>
      <c r="O776" t="s">
        <v>51</v>
      </c>
      <c r="P776" t="s">
        <v>33</v>
      </c>
      <c r="Q776">
        <v>4</v>
      </c>
      <c r="R776">
        <f>IFERROR(Table1_1[[#This Row],[Unit_Price]]*Table1_1[[#This Row],[Quantity]],"")</f>
        <v>4998</v>
      </c>
      <c r="S776">
        <f>IFERROR(Table1_1[[#This Row],[Gross_Sales]]*Table1_1[[#This Row],[Discount_%]],"")</f>
        <v>749.69999999999993</v>
      </c>
      <c r="T776">
        <f>IFERROR(Table1_1[[#This Row],[Gross_Sales]]-Table1_1[[#This Row],[Discount_amount]]+Table1_1[[#This Row],[Shipping_Cost]],"")</f>
        <v>4297.3</v>
      </c>
      <c r="U776">
        <f>IFERROR(Table1_1[[#This Row],[Net_Sale]]-(Table1_1[[#This Row],[Gross_Sales]]*70%),"")</f>
        <v>798.70000000000027</v>
      </c>
      <c r="V776" s="7">
        <f>IFERROR(Table1_1[[#This Row],[Profit]]/Table1_1[[#This Row],[Net_Sale]],"")</f>
        <v>0.18586088939566711</v>
      </c>
      <c r="W776" t="str">
        <f>TEXT(Table1_1[[#This Row],[Order_Date]],"mmm")</f>
        <v>Feb</v>
      </c>
    </row>
    <row r="777" spans="1:23" x14ac:dyDescent="0.25">
      <c r="A777" t="s">
        <v>1167</v>
      </c>
      <c r="B777" t="s">
        <v>116</v>
      </c>
      <c r="C777" s="6">
        <v>45782</v>
      </c>
      <c r="D777" t="s">
        <v>90</v>
      </c>
      <c r="E777" t="s">
        <v>91</v>
      </c>
      <c r="F777" t="s">
        <v>37</v>
      </c>
      <c r="G777" t="s">
        <v>92</v>
      </c>
      <c r="H777">
        <v>1</v>
      </c>
      <c r="I777">
        <v>3499</v>
      </c>
      <c r="J777">
        <v>0</v>
      </c>
      <c r="K777">
        <v>49</v>
      </c>
      <c r="L777" t="s">
        <v>125</v>
      </c>
      <c r="M777" t="s">
        <v>126</v>
      </c>
      <c r="N777" t="s">
        <v>102</v>
      </c>
      <c r="O777" t="s">
        <v>59</v>
      </c>
      <c r="P777" t="s">
        <v>33</v>
      </c>
      <c r="Q777">
        <v>5</v>
      </c>
      <c r="R777">
        <f>IFERROR(Table1_1[[#This Row],[Unit_Price]]*Table1_1[[#This Row],[Quantity]],"")</f>
        <v>3499</v>
      </c>
      <c r="S777">
        <f>IFERROR(Table1_1[[#This Row],[Gross_Sales]]*Table1_1[[#This Row],[Discount_%]],"")</f>
        <v>0</v>
      </c>
      <c r="T777">
        <f>IFERROR(Table1_1[[#This Row],[Gross_Sales]]-Table1_1[[#This Row],[Discount_amount]]+Table1_1[[#This Row],[Shipping_Cost]],"")</f>
        <v>3548</v>
      </c>
      <c r="U777">
        <f>IFERROR(Table1_1[[#This Row],[Net_Sale]]-(Table1_1[[#This Row],[Gross_Sales]]*70%),"")</f>
        <v>1098.7000000000003</v>
      </c>
      <c r="V777" s="7">
        <f>IFERROR(Table1_1[[#This Row],[Profit]]/Table1_1[[#This Row],[Net_Sale]],"")</f>
        <v>0.30966741826381067</v>
      </c>
      <c r="W777" t="str">
        <f>TEXT(Table1_1[[#This Row],[Order_Date]],"mmm")</f>
        <v>May</v>
      </c>
    </row>
    <row r="778" spans="1:23" x14ac:dyDescent="0.25">
      <c r="A778" t="s">
        <v>1168</v>
      </c>
      <c r="B778" t="s">
        <v>1618</v>
      </c>
      <c r="C778" s="6">
        <v>45935</v>
      </c>
      <c r="D778" t="s">
        <v>25</v>
      </c>
      <c r="E778" t="s">
        <v>26</v>
      </c>
      <c r="F778" t="s">
        <v>27</v>
      </c>
      <c r="G778" t="s">
        <v>28</v>
      </c>
      <c r="H778">
        <v>1</v>
      </c>
      <c r="I778">
        <v>249</v>
      </c>
      <c r="J778">
        <v>0.05</v>
      </c>
      <c r="K778">
        <v>99</v>
      </c>
      <c r="L778" t="s">
        <v>74</v>
      </c>
      <c r="M778" t="s">
        <v>49</v>
      </c>
      <c r="N778" t="s">
        <v>71</v>
      </c>
      <c r="O778" t="s">
        <v>51</v>
      </c>
      <c r="P778" t="s">
        <v>52</v>
      </c>
      <c r="Q778">
        <v>1</v>
      </c>
      <c r="R778">
        <f>IFERROR(Table1_1[[#This Row],[Unit_Price]]*Table1_1[[#This Row],[Quantity]],"")</f>
        <v>249</v>
      </c>
      <c r="S778">
        <f>IFERROR(Table1_1[[#This Row],[Gross_Sales]]*Table1_1[[#This Row],[Discount_%]],"")</f>
        <v>12.450000000000001</v>
      </c>
      <c r="T778">
        <f>IFERROR(Table1_1[[#This Row],[Gross_Sales]]-Table1_1[[#This Row],[Discount_amount]]+Table1_1[[#This Row],[Shipping_Cost]],"")</f>
        <v>335.55</v>
      </c>
      <c r="U778">
        <f>IFERROR(Table1_1[[#This Row],[Net_Sale]]-(Table1_1[[#This Row],[Gross_Sales]]*70%),"")</f>
        <v>161.25000000000003</v>
      </c>
      <c r="V778" s="7">
        <f>IFERROR(Table1_1[[#This Row],[Profit]]/Table1_1[[#This Row],[Net_Sale]],"")</f>
        <v>0.48055431381314268</v>
      </c>
      <c r="W778" t="str">
        <f>TEXT(Table1_1[[#This Row],[Order_Date]],"mmm")</f>
        <v>Oct</v>
      </c>
    </row>
    <row r="779" spans="1:23" x14ac:dyDescent="0.25">
      <c r="A779" t="s">
        <v>1169</v>
      </c>
      <c r="B779" t="s">
        <v>1053</v>
      </c>
      <c r="C779" s="6">
        <v>45732</v>
      </c>
      <c r="D779" t="s">
        <v>62</v>
      </c>
      <c r="E779" t="s">
        <v>63</v>
      </c>
      <c r="F779" t="s">
        <v>46</v>
      </c>
      <c r="G779" t="s">
        <v>64</v>
      </c>
      <c r="H779">
        <v>2</v>
      </c>
      <c r="I779">
        <v>699</v>
      </c>
      <c r="J779">
        <v>0.15</v>
      </c>
      <c r="K779">
        <v>0</v>
      </c>
      <c r="L779" t="s">
        <v>125</v>
      </c>
      <c r="M779" t="s">
        <v>126</v>
      </c>
      <c r="N779" t="s">
        <v>71</v>
      </c>
      <c r="O779" t="s">
        <v>41</v>
      </c>
      <c r="P779" t="s">
        <v>85</v>
      </c>
      <c r="Q779">
        <v>2</v>
      </c>
      <c r="R779">
        <f>IFERROR(Table1_1[[#This Row],[Unit_Price]]*Table1_1[[#This Row],[Quantity]],"")</f>
        <v>1398</v>
      </c>
      <c r="S779">
        <f>IFERROR(Table1_1[[#This Row],[Gross_Sales]]*Table1_1[[#This Row],[Discount_%]],"")</f>
        <v>209.7</v>
      </c>
      <c r="T779">
        <f>IFERROR(Table1_1[[#This Row],[Gross_Sales]]-Table1_1[[#This Row],[Discount_amount]]+Table1_1[[#This Row],[Shipping_Cost]],"")</f>
        <v>1188.3</v>
      </c>
      <c r="U779">
        <f>IFERROR(Table1_1[[#This Row],[Net_Sale]]-(Table1_1[[#This Row],[Gross_Sales]]*70%),"")</f>
        <v>209.70000000000005</v>
      </c>
      <c r="V779" s="7">
        <f>IFERROR(Table1_1[[#This Row],[Profit]]/Table1_1[[#This Row],[Net_Sale]],"")</f>
        <v>0.17647058823529416</v>
      </c>
      <c r="W779" t="str">
        <f>TEXT(Table1_1[[#This Row],[Order_Date]],"mmm")</f>
        <v>Mar</v>
      </c>
    </row>
    <row r="780" spans="1:23" x14ac:dyDescent="0.25">
      <c r="A780" t="s">
        <v>1170</v>
      </c>
      <c r="B780" t="s">
        <v>483</v>
      </c>
      <c r="C780" s="6">
        <v>45832</v>
      </c>
      <c r="D780" t="s">
        <v>25</v>
      </c>
      <c r="E780" t="s">
        <v>26</v>
      </c>
      <c r="F780" t="s">
        <v>27</v>
      </c>
      <c r="G780" t="s">
        <v>28</v>
      </c>
      <c r="H780">
        <v>3</v>
      </c>
      <c r="I780">
        <v>249</v>
      </c>
      <c r="J780">
        <v>0.2</v>
      </c>
      <c r="K780">
        <v>79</v>
      </c>
      <c r="L780" t="s">
        <v>113</v>
      </c>
      <c r="M780" t="s">
        <v>114</v>
      </c>
      <c r="N780" t="s">
        <v>102</v>
      </c>
      <c r="O780" t="s">
        <v>32</v>
      </c>
      <c r="P780" t="s">
        <v>52</v>
      </c>
      <c r="Q780">
        <v>3</v>
      </c>
      <c r="R780">
        <f>IFERROR(Table1_1[[#This Row],[Unit_Price]]*Table1_1[[#This Row],[Quantity]],"")</f>
        <v>747</v>
      </c>
      <c r="S780">
        <f>IFERROR(Table1_1[[#This Row],[Gross_Sales]]*Table1_1[[#This Row],[Discount_%]],"")</f>
        <v>149.4</v>
      </c>
      <c r="T780">
        <f>IFERROR(Table1_1[[#This Row],[Gross_Sales]]-Table1_1[[#This Row],[Discount_amount]]+Table1_1[[#This Row],[Shipping_Cost]],"")</f>
        <v>676.6</v>
      </c>
      <c r="U780">
        <f>IFERROR(Table1_1[[#This Row],[Net_Sale]]-(Table1_1[[#This Row],[Gross_Sales]]*70%),"")</f>
        <v>153.70000000000005</v>
      </c>
      <c r="V780" s="7">
        <f>IFERROR(Table1_1[[#This Row],[Profit]]/Table1_1[[#This Row],[Net_Sale]],"")</f>
        <v>0.22716523795447832</v>
      </c>
      <c r="W780" t="str">
        <f>TEXT(Table1_1[[#This Row],[Order_Date]],"mmm")</f>
        <v>Jun</v>
      </c>
    </row>
    <row r="781" spans="1:23" x14ac:dyDescent="0.25">
      <c r="A781" t="s">
        <v>1171</v>
      </c>
      <c r="B781" t="s">
        <v>945</v>
      </c>
      <c r="C781" s="6">
        <v>45741</v>
      </c>
      <c r="D781" t="s">
        <v>44</v>
      </c>
      <c r="E781" t="s">
        <v>45</v>
      </c>
      <c r="F781" t="s">
        <v>46</v>
      </c>
      <c r="G781" t="s">
        <v>47</v>
      </c>
      <c r="H781">
        <v>1</v>
      </c>
      <c r="I781">
        <v>1199</v>
      </c>
      <c r="J781">
        <v>0.1</v>
      </c>
      <c r="K781">
        <v>49</v>
      </c>
      <c r="L781" t="s">
        <v>48</v>
      </c>
      <c r="M781" t="s">
        <v>49</v>
      </c>
      <c r="N781" t="s">
        <v>50</v>
      </c>
      <c r="O781" t="s">
        <v>41</v>
      </c>
      <c r="P781" t="s">
        <v>33</v>
      </c>
      <c r="Q781">
        <v>4</v>
      </c>
      <c r="R781">
        <f>IFERROR(Table1_1[[#This Row],[Unit_Price]]*Table1_1[[#This Row],[Quantity]],"")</f>
        <v>1199</v>
      </c>
      <c r="S781">
        <f>IFERROR(Table1_1[[#This Row],[Gross_Sales]]*Table1_1[[#This Row],[Discount_%]],"")</f>
        <v>119.9</v>
      </c>
      <c r="T781">
        <f>IFERROR(Table1_1[[#This Row],[Gross_Sales]]-Table1_1[[#This Row],[Discount_amount]]+Table1_1[[#This Row],[Shipping_Cost]],"")</f>
        <v>1128.0999999999999</v>
      </c>
      <c r="U781">
        <f>IFERROR(Table1_1[[#This Row],[Net_Sale]]-(Table1_1[[#This Row],[Gross_Sales]]*70%),"")</f>
        <v>288.79999999999995</v>
      </c>
      <c r="V781" s="7">
        <f>IFERROR(Table1_1[[#This Row],[Profit]]/Table1_1[[#This Row],[Net_Sale]],"")</f>
        <v>0.256005673255917</v>
      </c>
      <c r="W781" t="str">
        <f>TEXT(Table1_1[[#This Row],[Order_Date]],"mmm")</f>
        <v>Mar</v>
      </c>
    </row>
    <row r="782" spans="1:23" x14ac:dyDescent="0.25">
      <c r="A782" t="s">
        <v>1172</v>
      </c>
      <c r="B782" t="s">
        <v>1173</v>
      </c>
      <c r="C782" s="6">
        <v>45827</v>
      </c>
      <c r="D782" t="s">
        <v>44</v>
      </c>
      <c r="E782" t="s">
        <v>45</v>
      </c>
      <c r="F782" t="s">
        <v>46</v>
      </c>
      <c r="G782" t="s">
        <v>47</v>
      </c>
      <c r="H782">
        <v>1</v>
      </c>
      <c r="I782">
        <v>1199</v>
      </c>
      <c r="J782">
        <v>0.1</v>
      </c>
      <c r="K782">
        <v>49</v>
      </c>
      <c r="L782" t="s">
        <v>113</v>
      </c>
      <c r="M782" t="s">
        <v>114</v>
      </c>
      <c r="N782" t="s">
        <v>71</v>
      </c>
      <c r="O782" t="s">
        <v>93</v>
      </c>
      <c r="P782" t="s">
        <v>33</v>
      </c>
      <c r="Q782">
        <v>1</v>
      </c>
      <c r="R782">
        <f>IFERROR(Table1_1[[#This Row],[Unit_Price]]*Table1_1[[#This Row],[Quantity]],"")</f>
        <v>1199</v>
      </c>
      <c r="S782">
        <f>IFERROR(Table1_1[[#This Row],[Gross_Sales]]*Table1_1[[#This Row],[Discount_%]],"")</f>
        <v>119.9</v>
      </c>
      <c r="T782">
        <f>IFERROR(Table1_1[[#This Row],[Gross_Sales]]-Table1_1[[#This Row],[Discount_amount]]+Table1_1[[#This Row],[Shipping_Cost]],"")</f>
        <v>1128.0999999999999</v>
      </c>
      <c r="U782">
        <f>IFERROR(Table1_1[[#This Row],[Net_Sale]]-(Table1_1[[#This Row],[Gross_Sales]]*70%),"")</f>
        <v>288.79999999999995</v>
      </c>
      <c r="V782" s="7">
        <f>IFERROR(Table1_1[[#This Row],[Profit]]/Table1_1[[#This Row],[Net_Sale]],"")</f>
        <v>0.256005673255917</v>
      </c>
      <c r="W782" t="str">
        <f>TEXT(Table1_1[[#This Row],[Order_Date]],"mmm")</f>
        <v>Jun</v>
      </c>
    </row>
    <row r="783" spans="1:23" x14ac:dyDescent="0.25">
      <c r="A783" t="s">
        <v>1174</v>
      </c>
      <c r="B783" t="s">
        <v>737</v>
      </c>
      <c r="C783" s="6">
        <v>45730</v>
      </c>
      <c r="D783" t="s">
        <v>169</v>
      </c>
      <c r="E783" t="s">
        <v>170</v>
      </c>
      <c r="F783" t="s">
        <v>98</v>
      </c>
      <c r="G783" t="s">
        <v>171</v>
      </c>
      <c r="H783">
        <v>2</v>
      </c>
      <c r="I783">
        <v>799</v>
      </c>
      <c r="J783">
        <v>0.2</v>
      </c>
      <c r="K783">
        <v>99</v>
      </c>
      <c r="L783" t="s">
        <v>39</v>
      </c>
      <c r="M783" t="s">
        <v>39</v>
      </c>
      <c r="N783" t="s">
        <v>31</v>
      </c>
      <c r="O783" t="s">
        <v>93</v>
      </c>
      <c r="P783" t="s">
        <v>33</v>
      </c>
      <c r="Q783">
        <v>2</v>
      </c>
      <c r="R783">
        <f>IFERROR(Table1_1[[#This Row],[Unit_Price]]*Table1_1[[#This Row],[Quantity]],"")</f>
        <v>1598</v>
      </c>
      <c r="S783">
        <f>IFERROR(Table1_1[[#This Row],[Gross_Sales]]*Table1_1[[#This Row],[Discount_%]],"")</f>
        <v>319.60000000000002</v>
      </c>
      <c r="T783">
        <f>IFERROR(Table1_1[[#This Row],[Gross_Sales]]-Table1_1[[#This Row],[Discount_amount]]+Table1_1[[#This Row],[Shipping_Cost]],"")</f>
        <v>1377.4</v>
      </c>
      <c r="U783">
        <f>IFERROR(Table1_1[[#This Row],[Net_Sale]]-(Table1_1[[#This Row],[Gross_Sales]]*70%),"")</f>
        <v>258.80000000000018</v>
      </c>
      <c r="V783" s="7">
        <f>IFERROR(Table1_1[[#This Row],[Profit]]/Table1_1[[#This Row],[Net_Sale]],"")</f>
        <v>0.18789022796573265</v>
      </c>
      <c r="W783" t="str">
        <f>TEXT(Table1_1[[#This Row],[Order_Date]],"mmm")</f>
        <v>Mar</v>
      </c>
    </row>
    <row r="784" spans="1:23" x14ac:dyDescent="0.25">
      <c r="A784" t="s">
        <v>1175</v>
      </c>
      <c r="B784" t="s">
        <v>479</v>
      </c>
      <c r="C784" s="6">
        <v>45792</v>
      </c>
      <c r="D784" t="s">
        <v>67</v>
      </c>
      <c r="E784" t="s">
        <v>68</v>
      </c>
      <c r="F784" t="s">
        <v>37</v>
      </c>
      <c r="G784" t="s">
        <v>38</v>
      </c>
      <c r="H784">
        <v>1</v>
      </c>
      <c r="I784">
        <v>1299</v>
      </c>
      <c r="J784">
        <v>0.15</v>
      </c>
      <c r="K784">
        <v>49</v>
      </c>
      <c r="L784" t="s">
        <v>48</v>
      </c>
      <c r="M784" t="s">
        <v>49</v>
      </c>
      <c r="N784" t="s">
        <v>50</v>
      </c>
      <c r="O784" t="s">
        <v>93</v>
      </c>
      <c r="P784" t="s">
        <v>33</v>
      </c>
      <c r="Q784">
        <v>2</v>
      </c>
      <c r="R784">
        <f>IFERROR(Table1_1[[#This Row],[Unit_Price]]*Table1_1[[#This Row],[Quantity]],"")</f>
        <v>1299</v>
      </c>
      <c r="S784">
        <f>IFERROR(Table1_1[[#This Row],[Gross_Sales]]*Table1_1[[#This Row],[Discount_%]],"")</f>
        <v>194.85</v>
      </c>
      <c r="T784">
        <f>IFERROR(Table1_1[[#This Row],[Gross_Sales]]-Table1_1[[#This Row],[Discount_amount]]+Table1_1[[#This Row],[Shipping_Cost]],"")</f>
        <v>1153.1500000000001</v>
      </c>
      <c r="U784">
        <f>IFERROR(Table1_1[[#This Row],[Net_Sale]]-(Table1_1[[#This Row],[Gross_Sales]]*70%),"")</f>
        <v>243.85000000000014</v>
      </c>
      <c r="V784" s="7">
        <f>IFERROR(Table1_1[[#This Row],[Profit]]/Table1_1[[#This Row],[Net_Sale]],"")</f>
        <v>0.21146425009755895</v>
      </c>
      <c r="W784" t="str">
        <f>TEXT(Table1_1[[#This Row],[Order_Date]],"mmm")</f>
        <v>May</v>
      </c>
    </row>
    <row r="785" spans="1:23" x14ac:dyDescent="0.25">
      <c r="A785" t="s">
        <v>1176</v>
      </c>
      <c r="B785" t="s">
        <v>148</v>
      </c>
      <c r="C785" s="6">
        <v>46004</v>
      </c>
      <c r="D785" t="s">
        <v>110</v>
      </c>
      <c r="E785" t="s">
        <v>111</v>
      </c>
      <c r="F785" t="s">
        <v>98</v>
      </c>
      <c r="G785" t="s">
        <v>112</v>
      </c>
      <c r="H785">
        <v>1</v>
      </c>
      <c r="I785">
        <v>2999</v>
      </c>
      <c r="J785">
        <v>0</v>
      </c>
      <c r="K785">
        <v>59</v>
      </c>
      <c r="L785" t="s">
        <v>29</v>
      </c>
      <c r="M785" t="s">
        <v>30</v>
      </c>
      <c r="N785" t="s">
        <v>71</v>
      </c>
      <c r="O785" t="s">
        <v>59</v>
      </c>
      <c r="P785" t="s">
        <v>80</v>
      </c>
      <c r="Q785">
        <v>2</v>
      </c>
      <c r="R785">
        <f>IFERROR(Table1_1[[#This Row],[Unit_Price]]*Table1_1[[#This Row],[Quantity]],"")</f>
        <v>2999</v>
      </c>
      <c r="S785">
        <f>IFERROR(Table1_1[[#This Row],[Gross_Sales]]*Table1_1[[#This Row],[Discount_%]],"")</f>
        <v>0</v>
      </c>
      <c r="T785">
        <f>IFERROR(Table1_1[[#This Row],[Gross_Sales]]-Table1_1[[#This Row],[Discount_amount]]+Table1_1[[#This Row],[Shipping_Cost]],"")</f>
        <v>3058</v>
      </c>
      <c r="U785">
        <f>IFERROR(Table1_1[[#This Row],[Net_Sale]]-(Table1_1[[#This Row],[Gross_Sales]]*70%),"")</f>
        <v>958.70000000000027</v>
      </c>
      <c r="V785" s="7">
        <f>IFERROR(Table1_1[[#This Row],[Profit]]/Table1_1[[#This Row],[Net_Sale]],"")</f>
        <v>0.31350555918901252</v>
      </c>
      <c r="W785" t="str">
        <f>TEXT(Table1_1[[#This Row],[Order_Date]],"mmm")</f>
        <v>Dec</v>
      </c>
    </row>
    <row r="786" spans="1:23" x14ac:dyDescent="0.25">
      <c r="A786" t="s">
        <v>1177</v>
      </c>
      <c r="B786" t="s">
        <v>411</v>
      </c>
      <c r="C786" s="6">
        <v>45927</v>
      </c>
      <c r="D786" t="s">
        <v>169</v>
      </c>
      <c r="E786" t="s">
        <v>170</v>
      </c>
      <c r="F786" t="s">
        <v>98</v>
      </c>
      <c r="G786" t="s">
        <v>171</v>
      </c>
      <c r="H786">
        <v>2</v>
      </c>
      <c r="I786">
        <v>799</v>
      </c>
      <c r="J786">
        <v>0.2</v>
      </c>
      <c r="K786">
        <v>0</v>
      </c>
      <c r="L786" t="s">
        <v>74</v>
      </c>
      <c r="M786" t="s">
        <v>49</v>
      </c>
      <c r="N786" t="s">
        <v>50</v>
      </c>
      <c r="O786" t="s">
        <v>41</v>
      </c>
      <c r="P786" t="s">
        <v>52</v>
      </c>
      <c r="Q786">
        <v>3</v>
      </c>
      <c r="R786">
        <f>IFERROR(Table1_1[[#This Row],[Unit_Price]]*Table1_1[[#This Row],[Quantity]],"")</f>
        <v>1598</v>
      </c>
      <c r="S786">
        <f>IFERROR(Table1_1[[#This Row],[Gross_Sales]]*Table1_1[[#This Row],[Discount_%]],"")</f>
        <v>319.60000000000002</v>
      </c>
      <c r="T786">
        <f>IFERROR(Table1_1[[#This Row],[Gross_Sales]]-Table1_1[[#This Row],[Discount_amount]]+Table1_1[[#This Row],[Shipping_Cost]],"")</f>
        <v>1278.4000000000001</v>
      </c>
      <c r="U786">
        <f>IFERROR(Table1_1[[#This Row],[Net_Sale]]-(Table1_1[[#This Row],[Gross_Sales]]*70%),"")</f>
        <v>159.80000000000018</v>
      </c>
      <c r="V786" s="7">
        <f>IFERROR(Table1_1[[#This Row],[Profit]]/Table1_1[[#This Row],[Net_Sale]],"")</f>
        <v>0.12500000000000014</v>
      </c>
      <c r="W786" t="str">
        <f>TEXT(Table1_1[[#This Row],[Order_Date]],"mmm")</f>
        <v>Sep</v>
      </c>
    </row>
    <row r="787" spans="1:23" x14ac:dyDescent="0.25">
      <c r="A787" t="s">
        <v>1178</v>
      </c>
      <c r="B787" t="s">
        <v>61</v>
      </c>
      <c r="C787" s="6">
        <v>46013</v>
      </c>
      <c r="D787" t="s">
        <v>67</v>
      </c>
      <c r="E787" t="s">
        <v>68</v>
      </c>
      <c r="F787" t="s">
        <v>37</v>
      </c>
      <c r="G787" t="s">
        <v>38</v>
      </c>
      <c r="H787">
        <v>2</v>
      </c>
      <c r="I787">
        <v>1299</v>
      </c>
      <c r="J787">
        <v>0.1</v>
      </c>
      <c r="K787">
        <v>49</v>
      </c>
      <c r="L787" t="s">
        <v>113</v>
      </c>
      <c r="M787" t="s">
        <v>114</v>
      </c>
      <c r="N787" t="s">
        <v>102</v>
      </c>
      <c r="O787" t="s">
        <v>32</v>
      </c>
      <c r="P787" t="s">
        <v>85</v>
      </c>
      <c r="Q787">
        <v>2</v>
      </c>
      <c r="R787">
        <f>IFERROR(Table1_1[[#This Row],[Unit_Price]]*Table1_1[[#This Row],[Quantity]],"")</f>
        <v>2598</v>
      </c>
      <c r="S787">
        <f>IFERROR(Table1_1[[#This Row],[Gross_Sales]]*Table1_1[[#This Row],[Discount_%]],"")</f>
        <v>259.8</v>
      </c>
      <c r="T787">
        <f>IFERROR(Table1_1[[#This Row],[Gross_Sales]]-Table1_1[[#This Row],[Discount_amount]]+Table1_1[[#This Row],[Shipping_Cost]],"")</f>
        <v>2387.1999999999998</v>
      </c>
      <c r="U787">
        <f>IFERROR(Table1_1[[#This Row],[Net_Sale]]-(Table1_1[[#This Row],[Gross_Sales]]*70%),"")</f>
        <v>568.59999999999991</v>
      </c>
      <c r="V787" s="7">
        <f>IFERROR(Table1_1[[#This Row],[Profit]]/Table1_1[[#This Row],[Net_Sale]],"")</f>
        <v>0.23818699731903484</v>
      </c>
      <c r="W787" t="str">
        <f>TEXT(Table1_1[[#This Row],[Order_Date]],"mmm")</f>
        <v>Dec</v>
      </c>
    </row>
    <row r="788" spans="1:23" x14ac:dyDescent="0.25">
      <c r="A788" t="s">
        <v>1179</v>
      </c>
      <c r="B788" t="s">
        <v>713</v>
      </c>
      <c r="C788" s="6">
        <v>45825</v>
      </c>
      <c r="D788" t="s">
        <v>62</v>
      </c>
      <c r="E788" t="s">
        <v>63</v>
      </c>
      <c r="F788" t="s">
        <v>46</v>
      </c>
      <c r="G788" t="s">
        <v>64</v>
      </c>
      <c r="H788">
        <v>3</v>
      </c>
      <c r="I788">
        <v>699</v>
      </c>
      <c r="J788">
        <v>0.05</v>
      </c>
      <c r="K788">
        <v>49</v>
      </c>
      <c r="L788" t="s">
        <v>48</v>
      </c>
      <c r="M788" t="s">
        <v>49</v>
      </c>
      <c r="N788" t="s">
        <v>102</v>
      </c>
      <c r="O788" t="s">
        <v>59</v>
      </c>
      <c r="P788" t="s">
        <v>80</v>
      </c>
      <c r="Q788">
        <v>2</v>
      </c>
      <c r="R788">
        <f>IFERROR(Table1_1[[#This Row],[Unit_Price]]*Table1_1[[#This Row],[Quantity]],"")</f>
        <v>2097</v>
      </c>
      <c r="S788">
        <f>IFERROR(Table1_1[[#This Row],[Gross_Sales]]*Table1_1[[#This Row],[Discount_%]],"")</f>
        <v>104.85000000000001</v>
      </c>
      <c r="T788">
        <f>IFERROR(Table1_1[[#This Row],[Gross_Sales]]-Table1_1[[#This Row],[Discount_amount]]+Table1_1[[#This Row],[Shipping_Cost]],"")</f>
        <v>2041.15</v>
      </c>
      <c r="U788">
        <f>IFERROR(Table1_1[[#This Row],[Net_Sale]]-(Table1_1[[#This Row],[Gross_Sales]]*70%),"")</f>
        <v>573.25000000000023</v>
      </c>
      <c r="V788" s="7">
        <f>IFERROR(Table1_1[[#This Row],[Profit]]/Table1_1[[#This Row],[Net_Sale]],"")</f>
        <v>0.28084658158391113</v>
      </c>
      <c r="W788" t="str">
        <f>TEXT(Table1_1[[#This Row],[Order_Date]],"mmm")</f>
        <v>Jun</v>
      </c>
    </row>
    <row r="789" spans="1:23" x14ac:dyDescent="0.25">
      <c r="A789" t="s">
        <v>1180</v>
      </c>
      <c r="B789" t="s">
        <v>713</v>
      </c>
      <c r="C789" s="6">
        <v>45997</v>
      </c>
      <c r="D789" t="s">
        <v>77</v>
      </c>
      <c r="E789" t="s">
        <v>78</v>
      </c>
      <c r="F789" t="s">
        <v>79</v>
      </c>
      <c r="G789" t="s">
        <v>28</v>
      </c>
      <c r="H789">
        <v>1</v>
      </c>
      <c r="I789">
        <v>6499</v>
      </c>
      <c r="J789">
        <v>0.15</v>
      </c>
      <c r="K789">
        <v>79</v>
      </c>
      <c r="L789" t="s">
        <v>29</v>
      </c>
      <c r="M789" t="s">
        <v>30</v>
      </c>
      <c r="N789" t="s">
        <v>71</v>
      </c>
      <c r="O789" t="s">
        <v>59</v>
      </c>
      <c r="P789" t="s">
        <v>33</v>
      </c>
      <c r="Q789">
        <v>5</v>
      </c>
      <c r="R789">
        <f>IFERROR(Table1_1[[#This Row],[Unit_Price]]*Table1_1[[#This Row],[Quantity]],"")</f>
        <v>6499</v>
      </c>
      <c r="S789">
        <f>IFERROR(Table1_1[[#This Row],[Gross_Sales]]*Table1_1[[#This Row],[Discount_%]],"")</f>
        <v>974.84999999999991</v>
      </c>
      <c r="T789">
        <f>IFERROR(Table1_1[[#This Row],[Gross_Sales]]-Table1_1[[#This Row],[Discount_amount]]+Table1_1[[#This Row],[Shipping_Cost]],"")</f>
        <v>5603.15</v>
      </c>
      <c r="U789">
        <f>IFERROR(Table1_1[[#This Row],[Net_Sale]]-(Table1_1[[#This Row],[Gross_Sales]]*70%),"")</f>
        <v>1053.8500000000004</v>
      </c>
      <c r="V789" s="7">
        <f>IFERROR(Table1_1[[#This Row],[Profit]]/Table1_1[[#This Row],[Net_Sale]],"")</f>
        <v>0.18808170404147675</v>
      </c>
      <c r="W789" t="str">
        <f>TEXT(Table1_1[[#This Row],[Order_Date]],"mmm")</f>
        <v>Dec</v>
      </c>
    </row>
    <row r="790" spans="1:23" x14ac:dyDescent="0.25">
      <c r="A790" t="s">
        <v>1181</v>
      </c>
      <c r="B790" t="s">
        <v>417</v>
      </c>
      <c r="C790" s="6">
        <v>45849</v>
      </c>
      <c r="D790" t="s">
        <v>90</v>
      </c>
      <c r="E790" t="s">
        <v>91</v>
      </c>
      <c r="F790" t="s">
        <v>37</v>
      </c>
      <c r="G790" t="s">
        <v>92</v>
      </c>
      <c r="H790">
        <v>1</v>
      </c>
      <c r="I790">
        <v>3499</v>
      </c>
      <c r="J790">
        <v>0.2</v>
      </c>
      <c r="K790">
        <v>79</v>
      </c>
      <c r="L790" t="s">
        <v>100</v>
      </c>
      <c r="M790" t="s">
        <v>101</v>
      </c>
      <c r="N790" t="s">
        <v>71</v>
      </c>
      <c r="O790" t="s">
        <v>32</v>
      </c>
      <c r="P790" t="s">
        <v>52</v>
      </c>
      <c r="Q790">
        <v>4</v>
      </c>
      <c r="R790">
        <f>IFERROR(Table1_1[[#This Row],[Unit_Price]]*Table1_1[[#This Row],[Quantity]],"")</f>
        <v>3499</v>
      </c>
      <c r="S790">
        <f>IFERROR(Table1_1[[#This Row],[Gross_Sales]]*Table1_1[[#This Row],[Discount_%]],"")</f>
        <v>699.80000000000007</v>
      </c>
      <c r="T790">
        <f>IFERROR(Table1_1[[#This Row],[Gross_Sales]]-Table1_1[[#This Row],[Discount_amount]]+Table1_1[[#This Row],[Shipping_Cost]],"")</f>
        <v>2878.2</v>
      </c>
      <c r="U790">
        <f>IFERROR(Table1_1[[#This Row],[Net_Sale]]-(Table1_1[[#This Row],[Gross_Sales]]*70%),"")</f>
        <v>428.90000000000009</v>
      </c>
      <c r="V790" s="7">
        <f>IFERROR(Table1_1[[#This Row],[Profit]]/Table1_1[[#This Row],[Net_Sale]],"")</f>
        <v>0.14901674657772224</v>
      </c>
      <c r="W790" t="str">
        <f>TEXT(Table1_1[[#This Row],[Order_Date]],"mmm")</f>
        <v>Jul</v>
      </c>
    </row>
    <row r="791" spans="1:23" x14ac:dyDescent="0.25">
      <c r="A791" t="s">
        <v>1182</v>
      </c>
      <c r="B791" t="s">
        <v>500</v>
      </c>
      <c r="C791" s="6">
        <v>45764</v>
      </c>
      <c r="D791" t="s">
        <v>25</v>
      </c>
      <c r="E791" t="s">
        <v>26</v>
      </c>
      <c r="F791" t="s">
        <v>27</v>
      </c>
      <c r="G791" t="s">
        <v>28</v>
      </c>
      <c r="H791">
        <v>2</v>
      </c>
      <c r="I791">
        <v>249</v>
      </c>
      <c r="J791">
        <v>0.1</v>
      </c>
      <c r="K791">
        <v>49</v>
      </c>
      <c r="L791" t="s">
        <v>125</v>
      </c>
      <c r="M791" t="s">
        <v>126</v>
      </c>
      <c r="N791" t="s">
        <v>50</v>
      </c>
      <c r="O791" t="s">
        <v>51</v>
      </c>
      <c r="P791" t="s">
        <v>33</v>
      </c>
      <c r="Q791">
        <v>4</v>
      </c>
      <c r="R791">
        <f>IFERROR(Table1_1[[#This Row],[Unit_Price]]*Table1_1[[#This Row],[Quantity]],"")</f>
        <v>498</v>
      </c>
      <c r="S791">
        <f>IFERROR(Table1_1[[#This Row],[Gross_Sales]]*Table1_1[[#This Row],[Discount_%]],"")</f>
        <v>49.800000000000004</v>
      </c>
      <c r="T791">
        <f>IFERROR(Table1_1[[#This Row],[Gross_Sales]]-Table1_1[[#This Row],[Discount_amount]]+Table1_1[[#This Row],[Shipping_Cost]],"")</f>
        <v>497.2</v>
      </c>
      <c r="U791">
        <f>IFERROR(Table1_1[[#This Row],[Net_Sale]]-(Table1_1[[#This Row],[Gross_Sales]]*70%),"")</f>
        <v>148.60000000000002</v>
      </c>
      <c r="V791" s="7">
        <f>IFERROR(Table1_1[[#This Row],[Profit]]/Table1_1[[#This Row],[Net_Sale]],"")</f>
        <v>0.29887369267900249</v>
      </c>
      <c r="W791" t="str">
        <f>TEXT(Table1_1[[#This Row],[Order_Date]],"mmm")</f>
        <v>Apr</v>
      </c>
    </row>
    <row r="792" spans="1:23" x14ac:dyDescent="0.25">
      <c r="A792" t="s">
        <v>1183</v>
      </c>
      <c r="B792" t="s">
        <v>591</v>
      </c>
      <c r="C792" s="6">
        <v>45849</v>
      </c>
      <c r="D792" t="s">
        <v>96</v>
      </c>
      <c r="E792" t="s">
        <v>97</v>
      </c>
      <c r="F792" t="s">
        <v>98</v>
      </c>
      <c r="G792" t="s">
        <v>99</v>
      </c>
      <c r="H792">
        <v>1</v>
      </c>
      <c r="I792">
        <v>1499</v>
      </c>
      <c r="J792">
        <v>0</v>
      </c>
      <c r="K792">
        <v>0</v>
      </c>
      <c r="L792" t="s">
        <v>125</v>
      </c>
      <c r="M792" t="s">
        <v>126</v>
      </c>
      <c r="N792" t="s">
        <v>40</v>
      </c>
      <c r="O792" t="s">
        <v>32</v>
      </c>
      <c r="P792" t="s">
        <v>33</v>
      </c>
      <c r="Q792">
        <v>3</v>
      </c>
      <c r="R792">
        <f>IFERROR(Table1_1[[#This Row],[Unit_Price]]*Table1_1[[#This Row],[Quantity]],"")</f>
        <v>1499</v>
      </c>
      <c r="S792">
        <f>IFERROR(Table1_1[[#This Row],[Gross_Sales]]*Table1_1[[#This Row],[Discount_%]],"")</f>
        <v>0</v>
      </c>
      <c r="T792">
        <f>IFERROR(Table1_1[[#This Row],[Gross_Sales]]-Table1_1[[#This Row],[Discount_amount]]+Table1_1[[#This Row],[Shipping_Cost]],"")</f>
        <v>1499</v>
      </c>
      <c r="U792">
        <f>IFERROR(Table1_1[[#This Row],[Net_Sale]]-(Table1_1[[#This Row],[Gross_Sales]]*70%),"")</f>
        <v>449.70000000000005</v>
      </c>
      <c r="V792" s="7">
        <f>IFERROR(Table1_1[[#This Row],[Profit]]/Table1_1[[#This Row],[Net_Sale]],"")</f>
        <v>0.30000000000000004</v>
      </c>
      <c r="W792" t="str">
        <f>TEXT(Table1_1[[#This Row],[Order_Date]],"mmm")</f>
        <v>Jul</v>
      </c>
    </row>
    <row r="793" spans="1:23" x14ac:dyDescent="0.25">
      <c r="A793" t="s">
        <v>1184</v>
      </c>
      <c r="B793" t="s">
        <v>692</v>
      </c>
      <c r="C793" s="6">
        <v>45920</v>
      </c>
      <c r="D793" t="s">
        <v>67</v>
      </c>
      <c r="E793" t="s">
        <v>68</v>
      </c>
      <c r="F793" t="s">
        <v>37</v>
      </c>
      <c r="G793" t="s">
        <v>38</v>
      </c>
      <c r="H793">
        <v>1</v>
      </c>
      <c r="I793">
        <v>1299</v>
      </c>
      <c r="J793">
        <v>0.1</v>
      </c>
      <c r="K793">
        <v>79</v>
      </c>
      <c r="L793" t="s">
        <v>125</v>
      </c>
      <c r="M793" t="s">
        <v>126</v>
      </c>
      <c r="N793" t="s">
        <v>40</v>
      </c>
      <c r="O793" t="s">
        <v>51</v>
      </c>
      <c r="P793" t="s">
        <v>52</v>
      </c>
      <c r="Q793">
        <v>3</v>
      </c>
      <c r="R793">
        <f>IFERROR(Table1_1[[#This Row],[Unit_Price]]*Table1_1[[#This Row],[Quantity]],"")</f>
        <v>1299</v>
      </c>
      <c r="S793">
        <f>IFERROR(Table1_1[[#This Row],[Gross_Sales]]*Table1_1[[#This Row],[Discount_%]],"")</f>
        <v>129.9</v>
      </c>
      <c r="T793">
        <f>IFERROR(Table1_1[[#This Row],[Gross_Sales]]-Table1_1[[#This Row],[Discount_amount]]+Table1_1[[#This Row],[Shipping_Cost]],"")</f>
        <v>1248.0999999999999</v>
      </c>
      <c r="U793">
        <f>IFERROR(Table1_1[[#This Row],[Net_Sale]]-(Table1_1[[#This Row],[Gross_Sales]]*70%),"")</f>
        <v>338.79999999999995</v>
      </c>
      <c r="V793" s="7">
        <f>IFERROR(Table1_1[[#This Row],[Profit]]/Table1_1[[#This Row],[Net_Sale]],"")</f>
        <v>0.27145260796410542</v>
      </c>
      <c r="W793" t="str">
        <f>TEXT(Table1_1[[#This Row],[Order_Date]],"mmm")</f>
        <v>Sep</v>
      </c>
    </row>
    <row r="794" spans="1:23" x14ac:dyDescent="0.25">
      <c r="A794" t="s">
        <v>1185</v>
      </c>
      <c r="B794" t="s">
        <v>289</v>
      </c>
      <c r="C794" s="6">
        <v>45670</v>
      </c>
      <c r="D794" t="s">
        <v>90</v>
      </c>
      <c r="E794" t="s">
        <v>91</v>
      </c>
      <c r="F794" t="s">
        <v>37</v>
      </c>
      <c r="G794" t="s">
        <v>92</v>
      </c>
      <c r="H794">
        <v>1</v>
      </c>
      <c r="I794">
        <v>3499</v>
      </c>
      <c r="J794">
        <v>0.05</v>
      </c>
      <c r="K794">
        <v>0</v>
      </c>
      <c r="L794" t="s">
        <v>74</v>
      </c>
      <c r="M794" t="s">
        <v>49</v>
      </c>
      <c r="N794" t="s">
        <v>31</v>
      </c>
      <c r="O794" t="s">
        <v>51</v>
      </c>
      <c r="P794" t="s">
        <v>33</v>
      </c>
      <c r="Q794">
        <v>3</v>
      </c>
      <c r="R794">
        <f>IFERROR(Table1_1[[#This Row],[Unit_Price]]*Table1_1[[#This Row],[Quantity]],"")</f>
        <v>3499</v>
      </c>
      <c r="S794">
        <f>IFERROR(Table1_1[[#This Row],[Gross_Sales]]*Table1_1[[#This Row],[Discount_%]],"")</f>
        <v>174.95000000000002</v>
      </c>
      <c r="T794">
        <f>IFERROR(Table1_1[[#This Row],[Gross_Sales]]-Table1_1[[#This Row],[Discount_amount]]+Table1_1[[#This Row],[Shipping_Cost]],"")</f>
        <v>3324.05</v>
      </c>
      <c r="U794">
        <f>IFERROR(Table1_1[[#This Row],[Net_Sale]]-(Table1_1[[#This Row],[Gross_Sales]]*70%),"")</f>
        <v>874.75000000000045</v>
      </c>
      <c r="V794" s="7">
        <f>IFERROR(Table1_1[[#This Row],[Profit]]/Table1_1[[#This Row],[Net_Sale]],"")</f>
        <v>0.2631578947368422</v>
      </c>
      <c r="W794" t="str">
        <f>TEXT(Table1_1[[#This Row],[Order_Date]],"mmm")</f>
        <v>Jan</v>
      </c>
    </row>
    <row r="795" spans="1:23" x14ac:dyDescent="0.25">
      <c r="A795" t="s">
        <v>1186</v>
      </c>
      <c r="B795" t="s">
        <v>717</v>
      </c>
      <c r="C795" s="6">
        <v>45698</v>
      </c>
      <c r="D795" t="s">
        <v>62</v>
      </c>
      <c r="E795" t="s">
        <v>63</v>
      </c>
      <c r="F795" t="s">
        <v>46</v>
      </c>
      <c r="G795" t="s">
        <v>64</v>
      </c>
      <c r="H795">
        <v>2</v>
      </c>
      <c r="I795">
        <v>699</v>
      </c>
      <c r="J795">
        <v>0</v>
      </c>
      <c r="K795">
        <v>0</v>
      </c>
      <c r="L795" t="s">
        <v>83</v>
      </c>
      <c r="M795" t="s">
        <v>84</v>
      </c>
      <c r="N795" t="s">
        <v>71</v>
      </c>
      <c r="O795" t="s">
        <v>93</v>
      </c>
      <c r="P795" t="s">
        <v>33</v>
      </c>
      <c r="Q795">
        <v>5</v>
      </c>
      <c r="R795">
        <f>IFERROR(Table1_1[[#This Row],[Unit_Price]]*Table1_1[[#This Row],[Quantity]],"")</f>
        <v>1398</v>
      </c>
      <c r="S795">
        <f>IFERROR(Table1_1[[#This Row],[Gross_Sales]]*Table1_1[[#This Row],[Discount_%]],"")</f>
        <v>0</v>
      </c>
      <c r="T795">
        <f>IFERROR(Table1_1[[#This Row],[Gross_Sales]]-Table1_1[[#This Row],[Discount_amount]]+Table1_1[[#This Row],[Shipping_Cost]],"")</f>
        <v>1398</v>
      </c>
      <c r="U795">
        <f>IFERROR(Table1_1[[#This Row],[Net_Sale]]-(Table1_1[[#This Row],[Gross_Sales]]*70%),"")</f>
        <v>419.40000000000009</v>
      </c>
      <c r="V795" s="7">
        <f>IFERROR(Table1_1[[#This Row],[Profit]]/Table1_1[[#This Row],[Net_Sale]],"")</f>
        <v>0.30000000000000004</v>
      </c>
      <c r="W795" t="str">
        <f>TEXT(Table1_1[[#This Row],[Order_Date]],"mmm")</f>
        <v>Feb</v>
      </c>
    </row>
    <row r="796" spans="1:23" x14ac:dyDescent="0.25">
      <c r="A796" t="s">
        <v>1187</v>
      </c>
      <c r="B796" t="s">
        <v>1188</v>
      </c>
      <c r="C796" s="6">
        <v>45826</v>
      </c>
      <c r="D796" t="s">
        <v>67</v>
      </c>
      <c r="E796" t="s">
        <v>68</v>
      </c>
      <c r="F796" t="s">
        <v>37</v>
      </c>
      <c r="G796" t="s">
        <v>38</v>
      </c>
      <c r="H796">
        <v>1</v>
      </c>
      <c r="I796">
        <v>1299</v>
      </c>
      <c r="J796">
        <v>0.2</v>
      </c>
      <c r="K796">
        <v>59</v>
      </c>
      <c r="L796" t="s">
        <v>74</v>
      </c>
      <c r="M796" t="s">
        <v>49</v>
      </c>
      <c r="N796" t="s">
        <v>102</v>
      </c>
      <c r="O796" t="s">
        <v>41</v>
      </c>
      <c r="P796" t="s">
        <v>80</v>
      </c>
      <c r="Q796">
        <v>3</v>
      </c>
      <c r="R796">
        <f>IFERROR(Table1_1[[#This Row],[Unit_Price]]*Table1_1[[#This Row],[Quantity]],"")</f>
        <v>1299</v>
      </c>
      <c r="S796">
        <f>IFERROR(Table1_1[[#This Row],[Gross_Sales]]*Table1_1[[#This Row],[Discount_%]],"")</f>
        <v>259.8</v>
      </c>
      <c r="T796">
        <f>IFERROR(Table1_1[[#This Row],[Gross_Sales]]-Table1_1[[#This Row],[Discount_amount]]+Table1_1[[#This Row],[Shipping_Cost]],"")</f>
        <v>1098.2</v>
      </c>
      <c r="U796">
        <f>IFERROR(Table1_1[[#This Row],[Net_Sale]]-(Table1_1[[#This Row],[Gross_Sales]]*70%),"")</f>
        <v>188.90000000000009</v>
      </c>
      <c r="V796" s="7">
        <f>IFERROR(Table1_1[[#This Row],[Profit]]/Table1_1[[#This Row],[Net_Sale]],"")</f>
        <v>0.17200874157712628</v>
      </c>
      <c r="W796" t="str">
        <f>TEXT(Table1_1[[#This Row],[Order_Date]],"mmm")</f>
        <v>Jun</v>
      </c>
    </row>
    <row r="797" spans="1:23" x14ac:dyDescent="0.25">
      <c r="A797" t="s">
        <v>1189</v>
      </c>
      <c r="B797" t="s">
        <v>257</v>
      </c>
      <c r="C797" s="6">
        <v>45662</v>
      </c>
      <c r="D797" t="s">
        <v>77</v>
      </c>
      <c r="E797" t="s">
        <v>78</v>
      </c>
      <c r="F797" t="s">
        <v>79</v>
      </c>
      <c r="G797" t="s">
        <v>28</v>
      </c>
      <c r="H797">
        <v>4</v>
      </c>
      <c r="I797">
        <v>6499</v>
      </c>
      <c r="J797">
        <v>0.1</v>
      </c>
      <c r="K797">
        <v>79</v>
      </c>
      <c r="L797" t="s">
        <v>83</v>
      </c>
      <c r="M797" t="s">
        <v>84</v>
      </c>
      <c r="N797" t="s">
        <v>31</v>
      </c>
      <c r="O797" t="s">
        <v>59</v>
      </c>
      <c r="P797" t="s">
        <v>33</v>
      </c>
      <c r="Q797">
        <v>3</v>
      </c>
      <c r="R797">
        <f>IFERROR(Table1_1[[#This Row],[Unit_Price]]*Table1_1[[#This Row],[Quantity]],"")</f>
        <v>25996</v>
      </c>
      <c r="S797">
        <f>IFERROR(Table1_1[[#This Row],[Gross_Sales]]*Table1_1[[#This Row],[Discount_%]],"")</f>
        <v>2599.6000000000004</v>
      </c>
      <c r="T797">
        <f>IFERROR(Table1_1[[#This Row],[Gross_Sales]]-Table1_1[[#This Row],[Discount_amount]]+Table1_1[[#This Row],[Shipping_Cost]],"")</f>
        <v>23475.4</v>
      </c>
      <c r="U797">
        <f>IFERROR(Table1_1[[#This Row],[Net_Sale]]-(Table1_1[[#This Row],[Gross_Sales]]*70%),"")</f>
        <v>5278.2000000000044</v>
      </c>
      <c r="V797" s="7">
        <f>IFERROR(Table1_1[[#This Row],[Profit]]/Table1_1[[#This Row],[Net_Sale]],"")</f>
        <v>0.22483961934620939</v>
      </c>
      <c r="W797" t="str">
        <f>TEXT(Table1_1[[#This Row],[Order_Date]],"mmm")</f>
        <v>Jan</v>
      </c>
    </row>
    <row r="798" spans="1:23" x14ac:dyDescent="0.25">
      <c r="A798" t="s">
        <v>1190</v>
      </c>
      <c r="B798" t="s">
        <v>457</v>
      </c>
      <c r="C798" s="6">
        <v>45774</v>
      </c>
      <c r="D798" t="s">
        <v>62</v>
      </c>
      <c r="E798" t="s">
        <v>63</v>
      </c>
      <c r="F798" t="s">
        <v>46</v>
      </c>
      <c r="G798" t="s">
        <v>64</v>
      </c>
      <c r="H798">
        <v>3</v>
      </c>
      <c r="I798">
        <v>699</v>
      </c>
      <c r="J798">
        <v>0</v>
      </c>
      <c r="K798">
        <v>79</v>
      </c>
      <c r="L798" t="s">
        <v>100</v>
      </c>
      <c r="M798" t="s">
        <v>101</v>
      </c>
      <c r="N798" t="s">
        <v>102</v>
      </c>
      <c r="O798" t="s">
        <v>32</v>
      </c>
      <c r="P798" t="s">
        <v>80</v>
      </c>
      <c r="Q798">
        <v>3</v>
      </c>
      <c r="R798">
        <f>IFERROR(Table1_1[[#This Row],[Unit_Price]]*Table1_1[[#This Row],[Quantity]],"")</f>
        <v>2097</v>
      </c>
      <c r="S798">
        <f>IFERROR(Table1_1[[#This Row],[Gross_Sales]]*Table1_1[[#This Row],[Discount_%]],"")</f>
        <v>0</v>
      </c>
      <c r="T798">
        <f>IFERROR(Table1_1[[#This Row],[Gross_Sales]]-Table1_1[[#This Row],[Discount_amount]]+Table1_1[[#This Row],[Shipping_Cost]],"")</f>
        <v>2176</v>
      </c>
      <c r="U798">
        <f>IFERROR(Table1_1[[#This Row],[Net_Sale]]-(Table1_1[[#This Row],[Gross_Sales]]*70%),"")</f>
        <v>708.10000000000014</v>
      </c>
      <c r="V798" s="7">
        <f>IFERROR(Table1_1[[#This Row],[Profit]]/Table1_1[[#This Row],[Net_Sale]],"")</f>
        <v>0.32541360294117655</v>
      </c>
      <c r="W798" t="str">
        <f>TEXT(Table1_1[[#This Row],[Order_Date]],"mmm")</f>
        <v>Apr</v>
      </c>
    </row>
    <row r="799" spans="1:23" x14ac:dyDescent="0.25">
      <c r="A799" t="s">
        <v>1191</v>
      </c>
      <c r="B799" t="s">
        <v>232</v>
      </c>
      <c r="C799" s="6">
        <v>45894</v>
      </c>
      <c r="D799" t="s">
        <v>62</v>
      </c>
      <c r="E799" t="s">
        <v>63</v>
      </c>
      <c r="F799" t="s">
        <v>46</v>
      </c>
      <c r="G799" t="s">
        <v>64</v>
      </c>
      <c r="H799">
        <v>2</v>
      </c>
      <c r="I799">
        <v>699</v>
      </c>
      <c r="J799">
        <v>0.05</v>
      </c>
      <c r="K799">
        <v>49</v>
      </c>
      <c r="L799" t="s">
        <v>119</v>
      </c>
      <c r="M799" t="s">
        <v>120</v>
      </c>
      <c r="N799" t="s">
        <v>40</v>
      </c>
      <c r="O799" t="s">
        <v>41</v>
      </c>
      <c r="P799" t="s">
        <v>33</v>
      </c>
      <c r="Q799">
        <v>4</v>
      </c>
      <c r="R799">
        <f>IFERROR(Table1_1[[#This Row],[Unit_Price]]*Table1_1[[#This Row],[Quantity]],"")</f>
        <v>1398</v>
      </c>
      <c r="S799">
        <f>IFERROR(Table1_1[[#This Row],[Gross_Sales]]*Table1_1[[#This Row],[Discount_%]],"")</f>
        <v>69.900000000000006</v>
      </c>
      <c r="T799">
        <f>IFERROR(Table1_1[[#This Row],[Gross_Sales]]-Table1_1[[#This Row],[Discount_amount]]+Table1_1[[#This Row],[Shipping_Cost]],"")</f>
        <v>1377.1</v>
      </c>
      <c r="U799">
        <f>IFERROR(Table1_1[[#This Row],[Net_Sale]]-(Table1_1[[#This Row],[Gross_Sales]]*70%),"")</f>
        <v>398.5</v>
      </c>
      <c r="V799" s="7">
        <f>IFERROR(Table1_1[[#This Row],[Profit]]/Table1_1[[#This Row],[Net_Sale]],"")</f>
        <v>0.28937622540120544</v>
      </c>
      <c r="W799" t="str">
        <f>TEXT(Table1_1[[#This Row],[Order_Date]],"mmm")</f>
        <v>Aug</v>
      </c>
    </row>
    <row r="800" spans="1:23" x14ac:dyDescent="0.25">
      <c r="A800" t="s">
        <v>1192</v>
      </c>
      <c r="B800" t="s">
        <v>552</v>
      </c>
      <c r="C800" s="6">
        <v>45729</v>
      </c>
      <c r="D800" t="s">
        <v>90</v>
      </c>
      <c r="E800" t="s">
        <v>91</v>
      </c>
      <c r="F800" t="s">
        <v>37</v>
      </c>
      <c r="G800" t="s">
        <v>92</v>
      </c>
      <c r="H800">
        <v>1</v>
      </c>
      <c r="I800">
        <v>3499</v>
      </c>
      <c r="J800">
        <v>0.05</v>
      </c>
      <c r="K800">
        <v>0</v>
      </c>
      <c r="L800" t="s">
        <v>83</v>
      </c>
      <c r="M800" t="s">
        <v>84</v>
      </c>
      <c r="N800" t="s">
        <v>71</v>
      </c>
      <c r="O800" t="s">
        <v>51</v>
      </c>
      <c r="P800" t="s">
        <v>33</v>
      </c>
      <c r="Q800">
        <v>2</v>
      </c>
      <c r="R800">
        <f>IFERROR(Table1_1[[#This Row],[Unit_Price]]*Table1_1[[#This Row],[Quantity]],"")</f>
        <v>3499</v>
      </c>
      <c r="S800">
        <f>IFERROR(Table1_1[[#This Row],[Gross_Sales]]*Table1_1[[#This Row],[Discount_%]],"")</f>
        <v>174.95000000000002</v>
      </c>
      <c r="T800">
        <f>IFERROR(Table1_1[[#This Row],[Gross_Sales]]-Table1_1[[#This Row],[Discount_amount]]+Table1_1[[#This Row],[Shipping_Cost]],"")</f>
        <v>3324.05</v>
      </c>
      <c r="U800">
        <f>IFERROR(Table1_1[[#This Row],[Net_Sale]]-(Table1_1[[#This Row],[Gross_Sales]]*70%),"")</f>
        <v>874.75000000000045</v>
      </c>
      <c r="V800" s="7">
        <f>IFERROR(Table1_1[[#This Row],[Profit]]/Table1_1[[#This Row],[Net_Sale]],"")</f>
        <v>0.2631578947368422</v>
      </c>
      <c r="W800" t="str">
        <f>TEXT(Table1_1[[#This Row],[Order_Date]],"mmm")</f>
        <v>Mar</v>
      </c>
    </row>
    <row r="801" spans="1:23" x14ac:dyDescent="0.25">
      <c r="A801" t="s">
        <v>1193</v>
      </c>
      <c r="B801" t="s">
        <v>745</v>
      </c>
      <c r="C801" s="6">
        <v>45864</v>
      </c>
      <c r="D801" t="s">
        <v>96</v>
      </c>
      <c r="E801" t="s">
        <v>97</v>
      </c>
      <c r="F801" t="s">
        <v>98</v>
      </c>
      <c r="G801" t="s">
        <v>99</v>
      </c>
      <c r="H801">
        <v>2</v>
      </c>
      <c r="I801">
        <v>1499</v>
      </c>
      <c r="J801">
        <v>0.05</v>
      </c>
      <c r="K801">
        <v>99</v>
      </c>
      <c r="L801" t="s">
        <v>57</v>
      </c>
      <c r="M801" t="s">
        <v>58</v>
      </c>
      <c r="N801" t="s">
        <v>102</v>
      </c>
      <c r="O801" t="s">
        <v>93</v>
      </c>
      <c r="P801" t="s">
        <v>33</v>
      </c>
      <c r="Q801">
        <v>2</v>
      </c>
      <c r="R801">
        <f>IFERROR(Table1_1[[#This Row],[Unit_Price]]*Table1_1[[#This Row],[Quantity]],"")</f>
        <v>2998</v>
      </c>
      <c r="S801">
        <f>IFERROR(Table1_1[[#This Row],[Gross_Sales]]*Table1_1[[#This Row],[Discount_%]],"")</f>
        <v>149.9</v>
      </c>
      <c r="T801">
        <f>IFERROR(Table1_1[[#This Row],[Gross_Sales]]-Table1_1[[#This Row],[Discount_amount]]+Table1_1[[#This Row],[Shipping_Cost]],"")</f>
        <v>2947.1</v>
      </c>
      <c r="U801">
        <f>IFERROR(Table1_1[[#This Row],[Net_Sale]]-(Table1_1[[#This Row],[Gross_Sales]]*70%),"")</f>
        <v>848.5</v>
      </c>
      <c r="V801" s="7">
        <f>IFERROR(Table1_1[[#This Row],[Profit]]/Table1_1[[#This Row],[Net_Sale]],"")</f>
        <v>0.28791014895999456</v>
      </c>
      <c r="W801" t="str">
        <f>TEXT(Table1_1[[#This Row],[Order_Date]],"mmm")</f>
        <v>Jul</v>
      </c>
    </row>
    <row r="802" spans="1:23" x14ac:dyDescent="0.25">
      <c r="A802" t="s">
        <v>1194</v>
      </c>
      <c r="B802" t="s">
        <v>1618</v>
      </c>
      <c r="C802" s="6">
        <v>45966</v>
      </c>
      <c r="D802" t="s">
        <v>105</v>
      </c>
      <c r="E802" t="s">
        <v>106</v>
      </c>
      <c r="F802" t="s">
        <v>37</v>
      </c>
      <c r="G802" t="s">
        <v>107</v>
      </c>
      <c r="H802">
        <v>2</v>
      </c>
      <c r="I802">
        <v>1799</v>
      </c>
      <c r="J802">
        <v>0.1</v>
      </c>
      <c r="K802">
        <v>49</v>
      </c>
      <c r="L802" t="s">
        <v>74</v>
      </c>
      <c r="M802" t="s">
        <v>49</v>
      </c>
      <c r="N802" t="s">
        <v>31</v>
      </c>
      <c r="O802" t="s">
        <v>32</v>
      </c>
      <c r="P802" t="s">
        <v>52</v>
      </c>
      <c r="Q802">
        <v>4</v>
      </c>
      <c r="R802">
        <f>IFERROR(Table1_1[[#This Row],[Unit_Price]]*Table1_1[[#This Row],[Quantity]],"")</f>
        <v>3598</v>
      </c>
      <c r="S802">
        <f>IFERROR(Table1_1[[#This Row],[Gross_Sales]]*Table1_1[[#This Row],[Discount_%]],"")</f>
        <v>359.8</v>
      </c>
      <c r="T802">
        <f>IFERROR(Table1_1[[#This Row],[Gross_Sales]]-Table1_1[[#This Row],[Discount_amount]]+Table1_1[[#This Row],[Shipping_Cost]],"")</f>
        <v>3287.2</v>
      </c>
      <c r="U802">
        <f>IFERROR(Table1_1[[#This Row],[Net_Sale]]-(Table1_1[[#This Row],[Gross_Sales]]*70%),"")</f>
        <v>768.59999999999991</v>
      </c>
      <c r="V802" s="7">
        <f>IFERROR(Table1_1[[#This Row],[Profit]]/Table1_1[[#This Row],[Net_Sale]],"")</f>
        <v>0.23381601362862009</v>
      </c>
      <c r="W802" t="str">
        <f>TEXT(Table1_1[[#This Row],[Order_Date]],"mmm")</f>
        <v>Nov</v>
      </c>
    </row>
    <row r="803" spans="1:23" x14ac:dyDescent="0.25">
      <c r="A803" t="s">
        <v>1195</v>
      </c>
      <c r="B803" t="s">
        <v>574</v>
      </c>
      <c r="C803" s="6">
        <v>45949</v>
      </c>
      <c r="D803" t="s">
        <v>67</v>
      </c>
      <c r="E803" t="s">
        <v>68</v>
      </c>
      <c r="F803" t="s">
        <v>37</v>
      </c>
      <c r="G803" t="s">
        <v>38</v>
      </c>
      <c r="H803">
        <v>1</v>
      </c>
      <c r="I803">
        <v>1299</v>
      </c>
      <c r="J803">
        <v>0</v>
      </c>
      <c r="K803">
        <v>49</v>
      </c>
      <c r="L803" t="s">
        <v>119</v>
      </c>
      <c r="M803" t="s">
        <v>120</v>
      </c>
      <c r="N803" t="s">
        <v>102</v>
      </c>
      <c r="O803" t="s">
        <v>41</v>
      </c>
      <c r="P803" t="s">
        <v>33</v>
      </c>
      <c r="Q803">
        <v>1</v>
      </c>
      <c r="R803">
        <f>IFERROR(Table1_1[[#This Row],[Unit_Price]]*Table1_1[[#This Row],[Quantity]],"")</f>
        <v>1299</v>
      </c>
      <c r="S803">
        <f>IFERROR(Table1_1[[#This Row],[Gross_Sales]]*Table1_1[[#This Row],[Discount_%]],"")</f>
        <v>0</v>
      </c>
      <c r="T803">
        <f>IFERROR(Table1_1[[#This Row],[Gross_Sales]]-Table1_1[[#This Row],[Discount_amount]]+Table1_1[[#This Row],[Shipping_Cost]],"")</f>
        <v>1348</v>
      </c>
      <c r="U803">
        <f>IFERROR(Table1_1[[#This Row],[Net_Sale]]-(Table1_1[[#This Row],[Gross_Sales]]*70%),"")</f>
        <v>438.70000000000005</v>
      </c>
      <c r="V803" s="7">
        <f>IFERROR(Table1_1[[#This Row],[Profit]]/Table1_1[[#This Row],[Net_Sale]],"")</f>
        <v>0.32544510385756681</v>
      </c>
      <c r="W803" t="str">
        <f>TEXT(Table1_1[[#This Row],[Order_Date]],"mmm")</f>
        <v>Oct</v>
      </c>
    </row>
    <row r="804" spans="1:23" x14ac:dyDescent="0.25">
      <c r="A804" t="s">
        <v>1196</v>
      </c>
      <c r="B804" t="s">
        <v>457</v>
      </c>
      <c r="C804" s="6">
        <v>45753</v>
      </c>
      <c r="D804" t="s">
        <v>77</v>
      </c>
      <c r="E804" t="s">
        <v>78</v>
      </c>
      <c r="F804" t="s">
        <v>79</v>
      </c>
      <c r="G804" t="s">
        <v>28</v>
      </c>
      <c r="H804">
        <v>2</v>
      </c>
      <c r="I804">
        <v>6499</v>
      </c>
      <c r="J804">
        <v>0.05</v>
      </c>
      <c r="K804">
        <v>49</v>
      </c>
      <c r="L804" t="s">
        <v>125</v>
      </c>
      <c r="M804" t="s">
        <v>126</v>
      </c>
      <c r="N804" t="s">
        <v>71</v>
      </c>
      <c r="O804" t="s">
        <v>32</v>
      </c>
      <c r="P804" t="s">
        <v>52</v>
      </c>
      <c r="Q804">
        <v>1</v>
      </c>
      <c r="R804">
        <f>IFERROR(Table1_1[[#This Row],[Unit_Price]]*Table1_1[[#This Row],[Quantity]],"")</f>
        <v>12998</v>
      </c>
      <c r="S804">
        <f>IFERROR(Table1_1[[#This Row],[Gross_Sales]]*Table1_1[[#This Row],[Discount_%]],"")</f>
        <v>649.90000000000009</v>
      </c>
      <c r="T804">
        <f>IFERROR(Table1_1[[#This Row],[Gross_Sales]]-Table1_1[[#This Row],[Discount_amount]]+Table1_1[[#This Row],[Shipping_Cost]],"")</f>
        <v>12397.1</v>
      </c>
      <c r="U804">
        <f>IFERROR(Table1_1[[#This Row],[Net_Sale]]-(Table1_1[[#This Row],[Gross_Sales]]*70%),"")</f>
        <v>3298.5000000000018</v>
      </c>
      <c r="V804" s="7">
        <f>IFERROR(Table1_1[[#This Row],[Profit]]/Table1_1[[#This Row],[Net_Sale]],"")</f>
        <v>0.26607029063248677</v>
      </c>
      <c r="W804" t="str">
        <f>TEXT(Table1_1[[#This Row],[Order_Date]],"mmm")</f>
        <v>Apr</v>
      </c>
    </row>
    <row r="805" spans="1:23" x14ac:dyDescent="0.25">
      <c r="A805" t="s">
        <v>1197</v>
      </c>
      <c r="B805" t="s">
        <v>1062</v>
      </c>
      <c r="C805" s="6">
        <v>45663</v>
      </c>
      <c r="D805" t="s">
        <v>90</v>
      </c>
      <c r="E805" t="s">
        <v>91</v>
      </c>
      <c r="F805" t="s">
        <v>37</v>
      </c>
      <c r="G805" t="s">
        <v>92</v>
      </c>
      <c r="H805">
        <v>1</v>
      </c>
      <c r="I805">
        <v>3499</v>
      </c>
      <c r="J805">
        <v>0.1</v>
      </c>
      <c r="K805">
        <v>49</v>
      </c>
      <c r="L805" t="s">
        <v>39</v>
      </c>
      <c r="M805" t="s">
        <v>39</v>
      </c>
      <c r="N805" t="s">
        <v>50</v>
      </c>
      <c r="O805" t="s">
        <v>32</v>
      </c>
      <c r="P805" t="s">
        <v>52</v>
      </c>
      <c r="Q805">
        <v>4</v>
      </c>
      <c r="R805">
        <f>IFERROR(Table1_1[[#This Row],[Unit_Price]]*Table1_1[[#This Row],[Quantity]],"")</f>
        <v>3499</v>
      </c>
      <c r="S805">
        <f>IFERROR(Table1_1[[#This Row],[Gross_Sales]]*Table1_1[[#This Row],[Discount_%]],"")</f>
        <v>349.90000000000003</v>
      </c>
      <c r="T805">
        <f>IFERROR(Table1_1[[#This Row],[Gross_Sales]]-Table1_1[[#This Row],[Discount_amount]]+Table1_1[[#This Row],[Shipping_Cost]],"")</f>
        <v>3198.1</v>
      </c>
      <c r="U805">
        <f>IFERROR(Table1_1[[#This Row],[Net_Sale]]-(Table1_1[[#This Row],[Gross_Sales]]*70%),"")</f>
        <v>748.80000000000018</v>
      </c>
      <c r="V805" s="7">
        <f>IFERROR(Table1_1[[#This Row],[Profit]]/Table1_1[[#This Row],[Net_Sale]],"")</f>
        <v>0.23413902004315068</v>
      </c>
      <c r="W805" t="str">
        <f>TEXT(Table1_1[[#This Row],[Order_Date]],"mmm")</f>
        <v>Jan</v>
      </c>
    </row>
    <row r="806" spans="1:23" x14ac:dyDescent="0.25">
      <c r="A806" t="s">
        <v>1198</v>
      </c>
      <c r="B806" t="s">
        <v>186</v>
      </c>
      <c r="C806" s="6">
        <v>45763</v>
      </c>
      <c r="D806" t="s">
        <v>90</v>
      </c>
      <c r="E806" t="s">
        <v>91</v>
      </c>
      <c r="F806" t="s">
        <v>37</v>
      </c>
      <c r="G806" t="s">
        <v>92</v>
      </c>
      <c r="H806">
        <v>1</v>
      </c>
      <c r="I806">
        <v>3499</v>
      </c>
      <c r="J806">
        <v>0.05</v>
      </c>
      <c r="K806">
        <v>79</v>
      </c>
      <c r="L806" t="s">
        <v>29</v>
      </c>
      <c r="M806" t="s">
        <v>30</v>
      </c>
      <c r="N806" t="s">
        <v>50</v>
      </c>
      <c r="O806" t="s">
        <v>32</v>
      </c>
      <c r="P806" t="s">
        <v>33</v>
      </c>
      <c r="Q806">
        <v>5</v>
      </c>
      <c r="R806">
        <f>IFERROR(Table1_1[[#This Row],[Unit_Price]]*Table1_1[[#This Row],[Quantity]],"")</f>
        <v>3499</v>
      </c>
      <c r="S806">
        <f>IFERROR(Table1_1[[#This Row],[Gross_Sales]]*Table1_1[[#This Row],[Discount_%]],"")</f>
        <v>174.95000000000002</v>
      </c>
      <c r="T806">
        <f>IFERROR(Table1_1[[#This Row],[Gross_Sales]]-Table1_1[[#This Row],[Discount_amount]]+Table1_1[[#This Row],[Shipping_Cost]],"")</f>
        <v>3403.05</v>
      </c>
      <c r="U806">
        <f>IFERROR(Table1_1[[#This Row],[Net_Sale]]-(Table1_1[[#This Row],[Gross_Sales]]*70%),"")</f>
        <v>953.75000000000045</v>
      </c>
      <c r="V806" s="7">
        <f>IFERROR(Table1_1[[#This Row],[Profit]]/Table1_1[[#This Row],[Net_Sale]],"")</f>
        <v>0.28026329322225663</v>
      </c>
      <c r="W806" t="str">
        <f>TEXT(Table1_1[[#This Row],[Order_Date]],"mmm")</f>
        <v>Apr</v>
      </c>
    </row>
    <row r="807" spans="1:23" x14ac:dyDescent="0.25">
      <c r="A807" t="s">
        <v>1199</v>
      </c>
      <c r="B807" t="s">
        <v>609</v>
      </c>
      <c r="C807" s="6">
        <v>46008</v>
      </c>
      <c r="D807" t="s">
        <v>110</v>
      </c>
      <c r="E807" t="s">
        <v>111</v>
      </c>
      <c r="F807" t="s">
        <v>98</v>
      </c>
      <c r="G807" t="s">
        <v>112</v>
      </c>
      <c r="H807">
        <v>1</v>
      </c>
      <c r="I807">
        <v>2999</v>
      </c>
      <c r="J807">
        <v>0</v>
      </c>
      <c r="K807">
        <v>49</v>
      </c>
      <c r="L807" t="s">
        <v>125</v>
      </c>
      <c r="M807" t="s">
        <v>126</v>
      </c>
      <c r="N807" t="s">
        <v>31</v>
      </c>
      <c r="O807" t="s">
        <v>59</v>
      </c>
      <c r="P807" t="s">
        <v>33</v>
      </c>
      <c r="Q807">
        <v>5</v>
      </c>
      <c r="R807">
        <f>IFERROR(Table1_1[[#This Row],[Unit_Price]]*Table1_1[[#This Row],[Quantity]],"")</f>
        <v>2999</v>
      </c>
      <c r="S807">
        <f>IFERROR(Table1_1[[#This Row],[Gross_Sales]]*Table1_1[[#This Row],[Discount_%]],"")</f>
        <v>0</v>
      </c>
      <c r="T807">
        <f>IFERROR(Table1_1[[#This Row],[Gross_Sales]]-Table1_1[[#This Row],[Discount_amount]]+Table1_1[[#This Row],[Shipping_Cost]],"")</f>
        <v>3048</v>
      </c>
      <c r="U807">
        <f>IFERROR(Table1_1[[#This Row],[Net_Sale]]-(Table1_1[[#This Row],[Gross_Sales]]*70%),"")</f>
        <v>948.70000000000027</v>
      </c>
      <c r="V807" s="7">
        <f>IFERROR(Table1_1[[#This Row],[Profit]]/Table1_1[[#This Row],[Net_Sale]],"")</f>
        <v>0.31125328083989512</v>
      </c>
      <c r="W807" t="str">
        <f>TEXT(Table1_1[[#This Row],[Order_Date]],"mmm")</f>
        <v>Dec</v>
      </c>
    </row>
    <row r="808" spans="1:23" x14ac:dyDescent="0.25">
      <c r="A808" t="s">
        <v>1200</v>
      </c>
      <c r="B808" t="s">
        <v>582</v>
      </c>
      <c r="C808" s="6">
        <v>45949</v>
      </c>
      <c r="D808" t="s">
        <v>67</v>
      </c>
      <c r="E808" t="s">
        <v>68</v>
      </c>
      <c r="F808" t="s">
        <v>37</v>
      </c>
      <c r="G808" t="s">
        <v>38</v>
      </c>
      <c r="H808">
        <v>1</v>
      </c>
      <c r="I808">
        <v>1299</v>
      </c>
      <c r="J808">
        <v>0.15</v>
      </c>
      <c r="K808">
        <v>0</v>
      </c>
      <c r="L808" t="s">
        <v>83</v>
      </c>
      <c r="M808" t="s">
        <v>84</v>
      </c>
      <c r="N808" t="s">
        <v>71</v>
      </c>
      <c r="O808" t="s">
        <v>59</v>
      </c>
      <c r="P808" t="s">
        <v>52</v>
      </c>
      <c r="Q808">
        <v>3</v>
      </c>
      <c r="R808">
        <f>IFERROR(Table1_1[[#This Row],[Unit_Price]]*Table1_1[[#This Row],[Quantity]],"")</f>
        <v>1299</v>
      </c>
      <c r="S808">
        <f>IFERROR(Table1_1[[#This Row],[Gross_Sales]]*Table1_1[[#This Row],[Discount_%]],"")</f>
        <v>194.85</v>
      </c>
      <c r="T808">
        <f>IFERROR(Table1_1[[#This Row],[Gross_Sales]]-Table1_1[[#This Row],[Discount_amount]]+Table1_1[[#This Row],[Shipping_Cost]],"")</f>
        <v>1104.1500000000001</v>
      </c>
      <c r="U808">
        <f>IFERROR(Table1_1[[#This Row],[Net_Sale]]-(Table1_1[[#This Row],[Gross_Sales]]*70%),"")</f>
        <v>194.85000000000014</v>
      </c>
      <c r="V808" s="7">
        <f>IFERROR(Table1_1[[#This Row],[Profit]]/Table1_1[[#This Row],[Net_Sale]],"")</f>
        <v>0.17647058823529424</v>
      </c>
      <c r="W808" t="str">
        <f>TEXT(Table1_1[[#This Row],[Order_Date]],"mmm")</f>
        <v>Oct</v>
      </c>
    </row>
    <row r="809" spans="1:23" x14ac:dyDescent="0.25">
      <c r="A809" t="s">
        <v>1201</v>
      </c>
      <c r="B809" t="s">
        <v>951</v>
      </c>
      <c r="C809" s="6">
        <v>45747</v>
      </c>
      <c r="D809" t="s">
        <v>77</v>
      </c>
      <c r="E809" t="s">
        <v>78</v>
      </c>
      <c r="F809" t="s">
        <v>79</v>
      </c>
      <c r="G809" t="s">
        <v>28</v>
      </c>
      <c r="H809">
        <v>1</v>
      </c>
      <c r="I809">
        <v>6499</v>
      </c>
      <c r="J809">
        <v>0.15</v>
      </c>
      <c r="K809">
        <v>79</v>
      </c>
      <c r="L809" t="s">
        <v>48</v>
      </c>
      <c r="M809" t="s">
        <v>49</v>
      </c>
      <c r="N809" t="s">
        <v>40</v>
      </c>
      <c r="O809" t="s">
        <v>41</v>
      </c>
      <c r="P809" t="s">
        <v>33</v>
      </c>
      <c r="Q809">
        <v>3</v>
      </c>
      <c r="R809">
        <f>IFERROR(Table1_1[[#This Row],[Unit_Price]]*Table1_1[[#This Row],[Quantity]],"")</f>
        <v>6499</v>
      </c>
      <c r="S809">
        <f>IFERROR(Table1_1[[#This Row],[Gross_Sales]]*Table1_1[[#This Row],[Discount_%]],"")</f>
        <v>974.84999999999991</v>
      </c>
      <c r="T809">
        <f>IFERROR(Table1_1[[#This Row],[Gross_Sales]]-Table1_1[[#This Row],[Discount_amount]]+Table1_1[[#This Row],[Shipping_Cost]],"")</f>
        <v>5603.15</v>
      </c>
      <c r="U809">
        <f>IFERROR(Table1_1[[#This Row],[Net_Sale]]-(Table1_1[[#This Row],[Gross_Sales]]*70%),"")</f>
        <v>1053.8500000000004</v>
      </c>
      <c r="V809" s="7">
        <f>IFERROR(Table1_1[[#This Row],[Profit]]/Table1_1[[#This Row],[Net_Sale]],"")</f>
        <v>0.18808170404147675</v>
      </c>
      <c r="W809" t="str">
        <f>TEXT(Table1_1[[#This Row],[Order_Date]],"mmm")</f>
        <v>Mar</v>
      </c>
    </row>
    <row r="810" spans="1:23" x14ac:dyDescent="0.25">
      <c r="A810" t="s">
        <v>1202</v>
      </c>
      <c r="B810" t="s">
        <v>252</v>
      </c>
      <c r="C810" s="6">
        <v>45680</v>
      </c>
      <c r="D810" t="s">
        <v>44</v>
      </c>
      <c r="E810" t="s">
        <v>45</v>
      </c>
      <c r="F810" t="s">
        <v>46</v>
      </c>
      <c r="G810" t="s">
        <v>47</v>
      </c>
      <c r="H810">
        <v>1</v>
      </c>
      <c r="I810">
        <v>1199</v>
      </c>
      <c r="J810">
        <v>0.05</v>
      </c>
      <c r="K810">
        <v>99</v>
      </c>
      <c r="L810" t="s">
        <v>29</v>
      </c>
      <c r="M810" t="s">
        <v>30</v>
      </c>
      <c r="N810" t="s">
        <v>31</v>
      </c>
      <c r="O810" t="s">
        <v>41</v>
      </c>
      <c r="P810" t="s">
        <v>33</v>
      </c>
      <c r="Q810">
        <v>4</v>
      </c>
      <c r="R810">
        <f>IFERROR(Table1_1[[#This Row],[Unit_Price]]*Table1_1[[#This Row],[Quantity]],"")</f>
        <v>1199</v>
      </c>
      <c r="S810">
        <f>IFERROR(Table1_1[[#This Row],[Gross_Sales]]*Table1_1[[#This Row],[Discount_%]],"")</f>
        <v>59.95</v>
      </c>
      <c r="T810">
        <f>IFERROR(Table1_1[[#This Row],[Gross_Sales]]-Table1_1[[#This Row],[Discount_amount]]+Table1_1[[#This Row],[Shipping_Cost]],"")</f>
        <v>1238.05</v>
      </c>
      <c r="U810">
        <f>IFERROR(Table1_1[[#This Row],[Net_Sale]]-(Table1_1[[#This Row],[Gross_Sales]]*70%),"")</f>
        <v>398.75</v>
      </c>
      <c r="V810" s="7">
        <f>IFERROR(Table1_1[[#This Row],[Profit]]/Table1_1[[#This Row],[Net_Sale]],"")</f>
        <v>0.32207907596623725</v>
      </c>
      <c r="W810" t="str">
        <f>TEXT(Table1_1[[#This Row],[Order_Date]],"mmm")</f>
        <v>Jan</v>
      </c>
    </row>
    <row r="811" spans="1:23" x14ac:dyDescent="0.25">
      <c r="A811" t="s">
        <v>1203</v>
      </c>
      <c r="B811" t="s">
        <v>168</v>
      </c>
      <c r="C811" s="6">
        <v>45846</v>
      </c>
      <c r="D811" t="s">
        <v>96</v>
      </c>
      <c r="E811" t="s">
        <v>97</v>
      </c>
      <c r="F811" t="s">
        <v>98</v>
      </c>
      <c r="G811" t="s">
        <v>99</v>
      </c>
      <c r="H811">
        <v>1</v>
      </c>
      <c r="I811">
        <v>1499</v>
      </c>
      <c r="J811">
        <v>0.15</v>
      </c>
      <c r="K811">
        <v>59</v>
      </c>
      <c r="L811" t="s">
        <v>83</v>
      </c>
      <c r="M811" t="s">
        <v>84</v>
      </c>
      <c r="N811" t="s">
        <v>40</v>
      </c>
      <c r="O811" t="s">
        <v>41</v>
      </c>
      <c r="P811" t="s">
        <v>33</v>
      </c>
      <c r="Q811">
        <v>3</v>
      </c>
      <c r="R811">
        <f>IFERROR(Table1_1[[#This Row],[Unit_Price]]*Table1_1[[#This Row],[Quantity]],"")</f>
        <v>1499</v>
      </c>
      <c r="S811">
        <f>IFERROR(Table1_1[[#This Row],[Gross_Sales]]*Table1_1[[#This Row],[Discount_%]],"")</f>
        <v>224.85</v>
      </c>
      <c r="T811">
        <f>IFERROR(Table1_1[[#This Row],[Gross_Sales]]-Table1_1[[#This Row],[Discount_amount]]+Table1_1[[#This Row],[Shipping_Cost]],"")</f>
        <v>1333.15</v>
      </c>
      <c r="U811">
        <f>IFERROR(Table1_1[[#This Row],[Net_Sale]]-(Table1_1[[#This Row],[Gross_Sales]]*70%),"")</f>
        <v>283.85000000000014</v>
      </c>
      <c r="V811" s="7">
        <f>IFERROR(Table1_1[[#This Row],[Profit]]/Table1_1[[#This Row],[Net_Sale]],"")</f>
        <v>0.21291677605670789</v>
      </c>
      <c r="W811" t="str">
        <f>TEXT(Table1_1[[#This Row],[Order_Date]],"mmm")</f>
        <v>Jul</v>
      </c>
    </row>
    <row r="812" spans="1:23" x14ac:dyDescent="0.25">
      <c r="A812" t="s">
        <v>1204</v>
      </c>
      <c r="B812" t="s">
        <v>450</v>
      </c>
      <c r="C812" s="6">
        <v>45671</v>
      </c>
      <c r="D812" t="s">
        <v>67</v>
      </c>
      <c r="E812" t="s">
        <v>68</v>
      </c>
      <c r="F812" t="s">
        <v>37</v>
      </c>
      <c r="G812" t="s">
        <v>38</v>
      </c>
      <c r="H812">
        <v>1</v>
      </c>
      <c r="I812">
        <v>1299</v>
      </c>
      <c r="J812">
        <v>0.2</v>
      </c>
      <c r="K812">
        <v>79</v>
      </c>
      <c r="L812" t="s">
        <v>83</v>
      </c>
      <c r="M812" t="s">
        <v>84</v>
      </c>
      <c r="N812" t="s">
        <v>71</v>
      </c>
      <c r="O812" t="s">
        <v>59</v>
      </c>
      <c r="P812" t="s">
        <v>80</v>
      </c>
      <c r="Q812">
        <v>3</v>
      </c>
      <c r="R812">
        <f>IFERROR(Table1_1[[#This Row],[Unit_Price]]*Table1_1[[#This Row],[Quantity]],"")</f>
        <v>1299</v>
      </c>
      <c r="S812">
        <f>IFERROR(Table1_1[[#This Row],[Gross_Sales]]*Table1_1[[#This Row],[Discount_%]],"")</f>
        <v>259.8</v>
      </c>
      <c r="T812">
        <f>IFERROR(Table1_1[[#This Row],[Gross_Sales]]-Table1_1[[#This Row],[Discount_amount]]+Table1_1[[#This Row],[Shipping_Cost]],"")</f>
        <v>1118.2</v>
      </c>
      <c r="U812">
        <f>IFERROR(Table1_1[[#This Row],[Net_Sale]]-(Table1_1[[#This Row],[Gross_Sales]]*70%),"")</f>
        <v>208.90000000000009</v>
      </c>
      <c r="V812" s="7">
        <f>IFERROR(Table1_1[[#This Row],[Profit]]/Table1_1[[#This Row],[Net_Sale]],"")</f>
        <v>0.18681810051869083</v>
      </c>
      <c r="W812" t="str">
        <f>TEXT(Table1_1[[#This Row],[Order_Date]],"mmm")</f>
        <v>Jan</v>
      </c>
    </row>
    <row r="813" spans="1:23" x14ac:dyDescent="0.25">
      <c r="A813" t="s">
        <v>1205</v>
      </c>
      <c r="B813" t="s">
        <v>122</v>
      </c>
      <c r="C813" s="6">
        <v>45786</v>
      </c>
      <c r="D813" t="s">
        <v>67</v>
      </c>
      <c r="E813" t="s">
        <v>68</v>
      </c>
      <c r="F813" t="s">
        <v>37</v>
      </c>
      <c r="G813" t="s">
        <v>38</v>
      </c>
      <c r="H813">
        <v>1</v>
      </c>
      <c r="I813">
        <v>1299</v>
      </c>
      <c r="J813">
        <v>0.05</v>
      </c>
      <c r="K813">
        <v>79</v>
      </c>
      <c r="L813" t="s">
        <v>57</v>
      </c>
      <c r="M813" t="s">
        <v>58</v>
      </c>
      <c r="N813" t="s">
        <v>40</v>
      </c>
      <c r="O813" t="s">
        <v>93</v>
      </c>
      <c r="P813" t="s">
        <v>33</v>
      </c>
      <c r="Q813">
        <v>1</v>
      </c>
      <c r="R813">
        <f>IFERROR(Table1_1[[#This Row],[Unit_Price]]*Table1_1[[#This Row],[Quantity]],"")</f>
        <v>1299</v>
      </c>
      <c r="S813">
        <f>IFERROR(Table1_1[[#This Row],[Gross_Sales]]*Table1_1[[#This Row],[Discount_%]],"")</f>
        <v>64.95</v>
      </c>
      <c r="T813">
        <f>IFERROR(Table1_1[[#This Row],[Gross_Sales]]-Table1_1[[#This Row],[Discount_amount]]+Table1_1[[#This Row],[Shipping_Cost]],"")</f>
        <v>1313.05</v>
      </c>
      <c r="U813">
        <f>IFERROR(Table1_1[[#This Row],[Net_Sale]]-(Table1_1[[#This Row],[Gross_Sales]]*70%),"")</f>
        <v>403.75</v>
      </c>
      <c r="V813" s="7">
        <f>IFERROR(Table1_1[[#This Row],[Profit]]/Table1_1[[#This Row],[Net_Sale]],"")</f>
        <v>0.30749019458512622</v>
      </c>
      <c r="W813" t="str">
        <f>TEXT(Table1_1[[#This Row],[Order_Date]],"mmm")</f>
        <v>May</v>
      </c>
    </row>
    <row r="814" spans="1:23" x14ac:dyDescent="0.25">
      <c r="A814" t="s">
        <v>1206</v>
      </c>
      <c r="B814" t="s">
        <v>942</v>
      </c>
      <c r="C814" s="6">
        <v>45882</v>
      </c>
      <c r="D814" t="s">
        <v>62</v>
      </c>
      <c r="E814" t="s">
        <v>63</v>
      </c>
      <c r="F814" t="s">
        <v>46</v>
      </c>
      <c r="G814" t="s">
        <v>64</v>
      </c>
      <c r="H814">
        <v>2</v>
      </c>
      <c r="I814">
        <v>699</v>
      </c>
      <c r="J814">
        <v>0</v>
      </c>
      <c r="K814">
        <v>49</v>
      </c>
      <c r="L814" t="s">
        <v>113</v>
      </c>
      <c r="M814" t="s">
        <v>114</v>
      </c>
      <c r="N814" t="s">
        <v>102</v>
      </c>
      <c r="O814" t="s">
        <v>93</v>
      </c>
      <c r="P814" t="s">
        <v>33</v>
      </c>
      <c r="Q814">
        <v>2</v>
      </c>
      <c r="R814">
        <f>IFERROR(Table1_1[[#This Row],[Unit_Price]]*Table1_1[[#This Row],[Quantity]],"")</f>
        <v>1398</v>
      </c>
      <c r="S814">
        <f>IFERROR(Table1_1[[#This Row],[Gross_Sales]]*Table1_1[[#This Row],[Discount_%]],"")</f>
        <v>0</v>
      </c>
      <c r="T814">
        <f>IFERROR(Table1_1[[#This Row],[Gross_Sales]]-Table1_1[[#This Row],[Discount_amount]]+Table1_1[[#This Row],[Shipping_Cost]],"")</f>
        <v>1447</v>
      </c>
      <c r="U814">
        <f>IFERROR(Table1_1[[#This Row],[Net_Sale]]-(Table1_1[[#This Row],[Gross_Sales]]*70%),"")</f>
        <v>468.40000000000009</v>
      </c>
      <c r="V814" s="7">
        <f>IFERROR(Table1_1[[#This Row],[Profit]]/Table1_1[[#This Row],[Net_Sale]],"")</f>
        <v>0.32370421561852114</v>
      </c>
      <c r="W814" t="str">
        <f>TEXT(Table1_1[[#This Row],[Order_Date]],"mmm")</f>
        <v>Aug</v>
      </c>
    </row>
    <row r="815" spans="1:23" x14ac:dyDescent="0.25">
      <c r="A815" t="s">
        <v>1207</v>
      </c>
      <c r="B815" t="s">
        <v>837</v>
      </c>
      <c r="C815" s="6">
        <v>45858</v>
      </c>
      <c r="D815" t="s">
        <v>110</v>
      </c>
      <c r="E815" t="s">
        <v>111</v>
      </c>
      <c r="F815" t="s">
        <v>98</v>
      </c>
      <c r="G815" t="s">
        <v>112</v>
      </c>
      <c r="H815">
        <v>2</v>
      </c>
      <c r="I815">
        <v>2999</v>
      </c>
      <c r="J815">
        <v>0</v>
      </c>
      <c r="K815">
        <v>59</v>
      </c>
      <c r="L815" t="s">
        <v>29</v>
      </c>
      <c r="M815" t="s">
        <v>30</v>
      </c>
      <c r="N815" t="s">
        <v>40</v>
      </c>
      <c r="O815" t="s">
        <v>51</v>
      </c>
      <c r="P815" t="s">
        <v>80</v>
      </c>
      <c r="Q815">
        <v>2</v>
      </c>
      <c r="R815">
        <f>IFERROR(Table1_1[[#This Row],[Unit_Price]]*Table1_1[[#This Row],[Quantity]],"")</f>
        <v>5998</v>
      </c>
      <c r="S815">
        <f>IFERROR(Table1_1[[#This Row],[Gross_Sales]]*Table1_1[[#This Row],[Discount_%]],"")</f>
        <v>0</v>
      </c>
      <c r="T815">
        <f>IFERROR(Table1_1[[#This Row],[Gross_Sales]]-Table1_1[[#This Row],[Discount_amount]]+Table1_1[[#This Row],[Shipping_Cost]],"")</f>
        <v>6057</v>
      </c>
      <c r="U815">
        <f>IFERROR(Table1_1[[#This Row],[Net_Sale]]-(Table1_1[[#This Row],[Gross_Sales]]*70%),"")</f>
        <v>1858.4000000000005</v>
      </c>
      <c r="V815" s="7">
        <f>IFERROR(Table1_1[[#This Row],[Profit]]/Table1_1[[#This Row],[Net_Sale]],"")</f>
        <v>0.30681855704143973</v>
      </c>
      <c r="W815" t="str">
        <f>TEXT(Table1_1[[#This Row],[Order_Date]],"mmm")</f>
        <v>Jul</v>
      </c>
    </row>
    <row r="816" spans="1:23" x14ac:dyDescent="0.25">
      <c r="A816" t="s">
        <v>1208</v>
      </c>
      <c r="B816" t="s">
        <v>545</v>
      </c>
      <c r="C816" s="6">
        <v>45930</v>
      </c>
      <c r="D816" t="s">
        <v>67</v>
      </c>
      <c r="E816" t="s">
        <v>68</v>
      </c>
      <c r="F816" t="s">
        <v>37</v>
      </c>
      <c r="G816" t="s">
        <v>38</v>
      </c>
      <c r="H816">
        <v>3</v>
      </c>
      <c r="I816">
        <v>1299</v>
      </c>
      <c r="J816">
        <v>0</v>
      </c>
      <c r="K816">
        <v>99</v>
      </c>
      <c r="L816" t="s">
        <v>39</v>
      </c>
      <c r="M816" t="s">
        <v>39</v>
      </c>
      <c r="N816" t="s">
        <v>40</v>
      </c>
      <c r="O816" t="s">
        <v>51</v>
      </c>
      <c r="P816" t="s">
        <v>80</v>
      </c>
      <c r="Q816">
        <v>4</v>
      </c>
      <c r="R816">
        <f>IFERROR(Table1_1[[#This Row],[Unit_Price]]*Table1_1[[#This Row],[Quantity]],"")</f>
        <v>3897</v>
      </c>
      <c r="S816">
        <f>IFERROR(Table1_1[[#This Row],[Gross_Sales]]*Table1_1[[#This Row],[Discount_%]],"")</f>
        <v>0</v>
      </c>
      <c r="T816">
        <f>IFERROR(Table1_1[[#This Row],[Gross_Sales]]-Table1_1[[#This Row],[Discount_amount]]+Table1_1[[#This Row],[Shipping_Cost]],"")</f>
        <v>3996</v>
      </c>
      <c r="U816">
        <f>IFERROR(Table1_1[[#This Row],[Net_Sale]]-(Table1_1[[#This Row],[Gross_Sales]]*70%),"")</f>
        <v>1268.1000000000004</v>
      </c>
      <c r="V816" s="7">
        <f>IFERROR(Table1_1[[#This Row],[Profit]]/Table1_1[[#This Row],[Net_Sale]],"")</f>
        <v>0.31734234234234243</v>
      </c>
      <c r="W816" t="str">
        <f>TEXT(Table1_1[[#This Row],[Order_Date]],"mmm")</f>
        <v>Sep</v>
      </c>
    </row>
    <row r="817" spans="1:23" x14ac:dyDescent="0.25">
      <c r="A817" t="s">
        <v>1209</v>
      </c>
      <c r="B817" t="s">
        <v>502</v>
      </c>
      <c r="C817" s="6">
        <v>45851</v>
      </c>
      <c r="D817" t="s">
        <v>35</v>
      </c>
      <c r="E817" t="s">
        <v>36</v>
      </c>
      <c r="F817" t="s">
        <v>37</v>
      </c>
      <c r="G817" t="s">
        <v>38</v>
      </c>
      <c r="H817">
        <v>1</v>
      </c>
      <c r="I817">
        <v>599</v>
      </c>
      <c r="J817">
        <v>0.05</v>
      </c>
      <c r="K817">
        <v>49</v>
      </c>
      <c r="L817" t="s">
        <v>125</v>
      </c>
      <c r="M817" t="s">
        <v>126</v>
      </c>
      <c r="N817" t="s">
        <v>31</v>
      </c>
      <c r="O817" t="s">
        <v>93</v>
      </c>
      <c r="P817" t="s">
        <v>33</v>
      </c>
      <c r="Q817">
        <v>4</v>
      </c>
      <c r="R817">
        <f>IFERROR(Table1_1[[#This Row],[Unit_Price]]*Table1_1[[#This Row],[Quantity]],"")</f>
        <v>599</v>
      </c>
      <c r="S817">
        <f>IFERROR(Table1_1[[#This Row],[Gross_Sales]]*Table1_1[[#This Row],[Discount_%]],"")</f>
        <v>29.950000000000003</v>
      </c>
      <c r="T817">
        <f>IFERROR(Table1_1[[#This Row],[Gross_Sales]]-Table1_1[[#This Row],[Discount_amount]]+Table1_1[[#This Row],[Shipping_Cost]],"")</f>
        <v>618.04999999999995</v>
      </c>
      <c r="U817">
        <f>IFERROR(Table1_1[[#This Row],[Net_Sale]]-(Table1_1[[#This Row],[Gross_Sales]]*70%),"")</f>
        <v>198.75</v>
      </c>
      <c r="V817" s="7">
        <f>IFERROR(Table1_1[[#This Row],[Profit]]/Table1_1[[#This Row],[Net_Sale]],"")</f>
        <v>0.32157592427797105</v>
      </c>
      <c r="W817" t="str">
        <f>TEXT(Table1_1[[#This Row],[Order_Date]],"mmm")</f>
        <v>Jul</v>
      </c>
    </row>
    <row r="818" spans="1:23" x14ac:dyDescent="0.25">
      <c r="A818" t="s">
        <v>1210</v>
      </c>
      <c r="B818" t="s">
        <v>510</v>
      </c>
      <c r="C818" s="6">
        <v>45756</v>
      </c>
      <c r="D818" t="s">
        <v>35</v>
      </c>
      <c r="E818" t="s">
        <v>36</v>
      </c>
      <c r="F818" t="s">
        <v>37</v>
      </c>
      <c r="G818" t="s">
        <v>38</v>
      </c>
      <c r="H818">
        <v>1</v>
      </c>
      <c r="I818">
        <v>599</v>
      </c>
      <c r="J818">
        <v>0</v>
      </c>
      <c r="K818">
        <v>0</v>
      </c>
      <c r="L818" t="s">
        <v>39</v>
      </c>
      <c r="M818" t="s">
        <v>39</v>
      </c>
      <c r="N818" t="s">
        <v>50</v>
      </c>
      <c r="O818" t="s">
        <v>93</v>
      </c>
      <c r="P818" t="s">
        <v>33</v>
      </c>
      <c r="Q818">
        <v>4</v>
      </c>
      <c r="R818">
        <f>IFERROR(Table1_1[[#This Row],[Unit_Price]]*Table1_1[[#This Row],[Quantity]],"")</f>
        <v>599</v>
      </c>
      <c r="S818">
        <f>IFERROR(Table1_1[[#This Row],[Gross_Sales]]*Table1_1[[#This Row],[Discount_%]],"")</f>
        <v>0</v>
      </c>
      <c r="T818">
        <f>IFERROR(Table1_1[[#This Row],[Gross_Sales]]-Table1_1[[#This Row],[Discount_amount]]+Table1_1[[#This Row],[Shipping_Cost]],"")</f>
        <v>599</v>
      </c>
      <c r="U818">
        <f>IFERROR(Table1_1[[#This Row],[Net_Sale]]-(Table1_1[[#This Row],[Gross_Sales]]*70%),"")</f>
        <v>179.70000000000005</v>
      </c>
      <c r="V818" s="7">
        <f>IFERROR(Table1_1[[#This Row],[Profit]]/Table1_1[[#This Row],[Net_Sale]],"")</f>
        <v>0.3000000000000001</v>
      </c>
      <c r="W818" t="str">
        <f>TEXT(Table1_1[[#This Row],[Order_Date]],"mmm")</f>
        <v>Apr</v>
      </c>
    </row>
    <row r="819" spans="1:23" x14ac:dyDescent="0.25">
      <c r="A819" t="s">
        <v>1211</v>
      </c>
      <c r="B819" t="s">
        <v>448</v>
      </c>
      <c r="C819" s="6">
        <v>45823</v>
      </c>
      <c r="D819" t="s">
        <v>62</v>
      </c>
      <c r="E819" t="s">
        <v>63</v>
      </c>
      <c r="F819" t="s">
        <v>46</v>
      </c>
      <c r="G819" t="s">
        <v>64</v>
      </c>
      <c r="H819">
        <v>3</v>
      </c>
      <c r="I819">
        <v>699</v>
      </c>
      <c r="J819">
        <v>0.15</v>
      </c>
      <c r="K819">
        <v>49</v>
      </c>
      <c r="L819" t="s">
        <v>29</v>
      </c>
      <c r="M819" t="s">
        <v>30</v>
      </c>
      <c r="N819" t="s">
        <v>40</v>
      </c>
      <c r="O819" t="s">
        <v>59</v>
      </c>
      <c r="P819" t="s">
        <v>33</v>
      </c>
      <c r="Q819">
        <v>1</v>
      </c>
      <c r="R819">
        <f>IFERROR(Table1_1[[#This Row],[Unit_Price]]*Table1_1[[#This Row],[Quantity]],"")</f>
        <v>2097</v>
      </c>
      <c r="S819">
        <f>IFERROR(Table1_1[[#This Row],[Gross_Sales]]*Table1_1[[#This Row],[Discount_%]],"")</f>
        <v>314.55</v>
      </c>
      <c r="T819">
        <f>IFERROR(Table1_1[[#This Row],[Gross_Sales]]-Table1_1[[#This Row],[Discount_amount]]+Table1_1[[#This Row],[Shipping_Cost]],"")</f>
        <v>1831.45</v>
      </c>
      <c r="U819">
        <f>IFERROR(Table1_1[[#This Row],[Net_Sale]]-(Table1_1[[#This Row],[Gross_Sales]]*70%),"")</f>
        <v>363.55000000000018</v>
      </c>
      <c r="V819" s="7">
        <f>IFERROR(Table1_1[[#This Row],[Profit]]/Table1_1[[#This Row],[Net_Sale]],"")</f>
        <v>0.19850391766086989</v>
      </c>
      <c r="W819" t="str">
        <f>TEXT(Table1_1[[#This Row],[Order_Date]],"mmm")</f>
        <v>Jun</v>
      </c>
    </row>
    <row r="820" spans="1:23" x14ac:dyDescent="0.25">
      <c r="A820" t="s">
        <v>1212</v>
      </c>
      <c r="B820" t="s">
        <v>779</v>
      </c>
      <c r="C820" s="6">
        <v>45823</v>
      </c>
      <c r="D820" t="s">
        <v>67</v>
      </c>
      <c r="E820" t="s">
        <v>68</v>
      </c>
      <c r="F820" t="s">
        <v>37</v>
      </c>
      <c r="G820" t="s">
        <v>38</v>
      </c>
      <c r="H820">
        <v>1</v>
      </c>
      <c r="I820">
        <v>1299</v>
      </c>
      <c r="J820">
        <v>0.2</v>
      </c>
      <c r="K820">
        <v>59</v>
      </c>
      <c r="L820" t="s">
        <v>113</v>
      </c>
      <c r="M820" t="s">
        <v>114</v>
      </c>
      <c r="N820" t="s">
        <v>40</v>
      </c>
      <c r="O820" t="s">
        <v>41</v>
      </c>
      <c r="P820" t="s">
        <v>52</v>
      </c>
      <c r="Q820">
        <v>4</v>
      </c>
      <c r="R820">
        <f>IFERROR(Table1_1[[#This Row],[Unit_Price]]*Table1_1[[#This Row],[Quantity]],"")</f>
        <v>1299</v>
      </c>
      <c r="S820">
        <f>IFERROR(Table1_1[[#This Row],[Gross_Sales]]*Table1_1[[#This Row],[Discount_%]],"")</f>
        <v>259.8</v>
      </c>
      <c r="T820">
        <f>IFERROR(Table1_1[[#This Row],[Gross_Sales]]-Table1_1[[#This Row],[Discount_amount]]+Table1_1[[#This Row],[Shipping_Cost]],"")</f>
        <v>1098.2</v>
      </c>
      <c r="U820">
        <f>IFERROR(Table1_1[[#This Row],[Net_Sale]]-(Table1_1[[#This Row],[Gross_Sales]]*70%),"")</f>
        <v>188.90000000000009</v>
      </c>
      <c r="V820" s="7">
        <f>IFERROR(Table1_1[[#This Row],[Profit]]/Table1_1[[#This Row],[Net_Sale]],"")</f>
        <v>0.17200874157712628</v>
      </c>
      <c r="W820" t="str">
        <f>TEXT(Table1_1[[#This Row],[Order_Date]],"mmm")</f>
        <v>Jun</v>
      </c>
    </row>
    <row r="821" spans="1:23" x14ac:dyDescent="0.25">
      <c r="A821" t="s">
        <v>1213</v>
      </c>
      <c r="B821" t="s">
        <v>940</v>
      </c>
      <c r="C821" s="6">
        <v>45800</v>
      </c>
      <c r="D821" t="s">
        <v>67</v>
      </c>
      <c r="E821" t="s">
        <v>68</v>
      </c>
      <c r="F821" t="s">
        <v>37</v>
      </c>
      <c r="G821" t="s">
        <v>38</v>
      </c>
      <c r="H821">
        <v>2</v>
      </c>
      <c r="I821">
        <v>1299</v>
      </c>
      <c r="J821">
        <v>0</v>
      </c>
      <c r="K821">
        <v>0</v>
      </c>
      <c r="L821" t="s">
        <v>29</v>
      </c>
      <c r="M821" t="s">
        <v>30</v>
      </c>
      <c r="N821" t="s">
        <v>40</v>
      </c>
      <c r="O821" t="s">
        <v>51</v>
      </c>
      <c r="P821" t="s">
        <v>33</v>
      </c>
      <c r="Q821">
        <v>3</v>
      </c>
      <c r="R821">
        <f>IFERROR(Table1_1[[#This Row],[Unit_Price]]*Table1_1[[#This Row],[Quantity]],"")</f>
        <v>2598</v>
      </c>
      <c r="S821">
        <f>IFERROR(Table1_1[[#This Row],[Gross_Sales]]*Table1_1[[#This Row],[Discount_%]],"")</f>
        <v>0</v>
      </c>
      <c r="T821">
        <f>IFERROR(Table1_1[[#This Row],[Gross_Sales]]-Table1_1[[#This Row],[Discount_amount]]+Table1_1[[#This Row],[Shipping_Cost]],"")</f>
        <v>2598</v>
      </c>
      <c r="U821">
        <f>IFERROR(Table1_1[[#This Row],[Net_Sale]]-(Table1_1[[#This Row],[Gross_Sales]]*70%),"")</f>
        <v>779.40000000000009</v>
      </c>
      <c r="V821" s="7">
        <f>IFERROR(Table1_1[[#This Row],[Profit]]/Table1_1[[#This Row],[Net_Sale]],"")</f>
        <v>0.30000000000000004</v>
      </c>
      <c r="W821" t="str">
        <f>TEXT(Table1_1[[#This Row],[Order_Date]],"mmm")</f>
        <v>May</v>
      </c>
    </row>
    <row r="822" spans="1:23" x14ac:dyDescent="0.25">
      <c r="A822" t="s">
        <v>1214</v>
      </c>
      <c r="B822" t="s">
        <v>1092</v>
      </c>
      <c r="C822" s="6">
        <v>45710</v>
      </c>
      <c r="D822" t="s">
        <v>44</v>
      </c>
      <c r="E822" t="s">
        <v>45</v>
      </c>
      <c r="F822" t="s">
        <v>46</v>
      </c>
      <c r="G822" t="s">
        <v>47</v>
      </c>
      <c r="H822">
        <v>5</v>
      </c>
      <c r="I822">
        <v>1199</v>
      </c>
      <c r="J822">
        <v>0</v>
      </c>
      <c r="K822">
        <v>59</v>
      </c>
      <c r="L822" t="s">
        <v>119</v>
      </c>
      <c r="M822" t="s">
        <v>120</v>
      </c>
      <c r="N822" t="s">
        <v>102</v>
      </c>
      <c r="O822" t="s">
        <v>51</v>
      </c>
      <c r="P822" t="s">
        <v>85</v>
      </c>
      <c r="Q822">
        <v>3</v>
      </c>
      <c r="R822">
        <f>IFERROR(Table1_1[[#This Row],[Unit_Price]]*Table1_1[[#This Row],[Quantity]],"")</f>
        <v>5995</v>
      </c>
      <c r="S822">
        <f>IFERROR(Table1_1[[#This Row],[Gross_Sales]]*Table1_1[[#This Row],[Discount_%]],"")</f>
        <v>0</v>
      </c>
      <c r="T822">
        <f>IFERROR(Table1_1[[#This Row],[Gross_Sales]]-Table1_1[[#This Row],[Discount_amount]]+Table1_1[[#This Row],[Shipping_Cost]],"")</f>
        <v>6054</v>
      </c>
      <c r="U822">
        <f>IFERROR(Table1_1[[#This Row],[Net_Sale]]-(Table1_1[[#This Row],[Gross_Sales]]*70%),"")</f>
        <v>1857.5</v>
      </c>
      <c r="V822" s="7">
        <f>IFERROR(Table1_1[[#This Row],[Profit]]/Table1_1[[#This Row],[Net_Sale]],"")</f>
        <v>0.30682193591014206</v>
      </c>
      <c r="W822" t="str">
        <f>TEXT(Table1_1[[#This Row],[Order_Date]],"mmm")</f>
        <v>Feb</v>
      </c>
    </row>
    <row r="823" spans="1:23" x14ac:dyDescent="0.25">
      <c r="A823" t="s">
        <v>1216</v>
      </c>
      <c r="B823" t="s">
        <v>884</v>
      </c>
      <c r="C823" s="6">
        <v>46013</v>
      </c>
      <c r="D823" t="s">
        <v>77</v>
      </c>
      <c r="E823" t="s">
        <v>78</v>
      </c>
      <c r="F823" t="s">
        <v>79</v>
      </c>
      <c r="G823" t="s">
        <v>28</v>
      </c>
      <c r="H823">
        <v>2</v>
      </c>
      <c r="I823">
        <v>6499</v>
      </c>
      <c r="J823">
        <v>0.2</v>
      </c>
      <c r="K823">
        <v>59</v>
      </c>
      <c r="L823" t="s">
        <v>57</v>
      </c>
      <c r="M823" t="s">
        <v>58</v>
      </c>
      <c r="N823" t="s">
        <v>31</v>
      </c>
      <c r="O823" t="s">
        <v>51</v>
      </c>
      <c r="P823" t="s">
        <v>33</v>
      </c>
      <c r="Q823">
        <v>1</v>
      </c>
      <c r="R823">
        <f>IFERROR(Table1_1[[#This Row],[Unit_Price]]*Table1_1[[#This Row],[Quantity]],"")</f>
        <v>12998</v>
      </c>
      <c r="S823">
        <f>IFERROR(Table1_1[[#This Row],[Gross_Sales]]*Table1_1[[#This Row],[Discount_%]],"")</f>
        <v>2599.6000000000004</v>
      </c>
      <c r="T823">
        <f>IFERROR(Table1_1[[#This Row],[Gross_Sales]]-Table1_1[[#This Row],[Discount_amount]]+Table1_1[[#This Row],[Shipping_Cost]],"")</f>
        <v>10457.4</v>
      </c>
      <c r="U823">
        <f>IFERROR(Table1_1[[#This Row],[Net_Sale]]-(Table1_1[[#This Row],[Gross_Sales]]*70%),"")</f>
        <v>1358.8000000000011</v>
      </c>
      <c r="V823" s="7">
        <f>IFERROR(Table1_1[[#This Row],[Profit]]/Table1_1[[#This Row],[Net_Sale]],"")</f>
        <v>0.12993669554573806</v>
      </c>
      <c r="W823" t="str">
        <f>TEXT(Table1_1[[#This Row],[Order_Date]],"mmm")</f>
        <v>Dec</v>
      </c>
    </row>
    <row r="824" spans="1:23" x14ac:dyDescent="0.25">
      <c r="A824" t="s">
        <v>1217</v>
      </c>
      <c r="B824" t="s">
        <v>779</v>
      </c>
      <c r="C824" s="6">
        <v>45919</v>
      </c>
      <c r="D824" t="s">
        <v>44</v>
      </c>
      <c r="E824" t="s">
        <v>45</v>
      </c>
      <c r="F824" t="s">
        <v>46</v>
      </c>
      <c r="G824" t="s">
        <v>47</v>
      </c>
      <c r="H824">
        <v>1</v>
      </c>
      <c r="I824">
        <v>1199</v>
      </c>
      <c r="J824">
        <v>0.15</v>
      </c>
      <c r="K824">
        <v>99</v>
      </c>
      <c r="L824" t="s">
        <v>125</v>
      </c>
      <c r="M824" t="s">
        <v>126</v>
      </c>
      <c r="N824" t="s">
        <v>50</v>
      </c>
      <c r="O824" t="s">
        <v>93</v>
      </c>
      <c r="P824" t="s">
        <v>33</v>
      </c>
      <c r="Q824">
        <v>5</v>
      </c>
      <c r="R824">
        <f>IFERROR(Table1_1[[#This Row],[Unit_Price]]*Table1_1[[#This Row],[Quantity]],"")</f>
        <v>1199</v>
      </c>
      <c r="S824">
        <f>IFERROR(Table1_1[[#This Row],[Gross_Sales]]*Table1_1[[#This Row],[Discount_%]],"")</f>
        <v>179.85</v>
      </c>
      <c r="T824">
        <f>IFERROR(Table1_1[[#This Row],[Gross_Sales]]-Table1_1[[#This Row],[Discount_amount]]+Table1_1[[#This Row],[Shipping_Cost]],"")</f>
        <v>1118.1500000000001</v>
      </c>
      <c r="U824">
        <f>IFERROR(Table1_1[[#This Row],[Net_Sale]]-(Table1_1[[#This Row],[Gross_Sales]]*70%),"")</f>
        <v>278.85000000000014</v>
      </c>
      <c r="V824" s="7">
        <f>IFERROR(Table1_1[[#This Row],[Profit]]/Table1_1[[#This Row],[Net_Sale]],"")</f>
        <v>0.24938514510575516</v>
      </c>
      <c r="W824" t="str">
        <f>TEXT(Table1_1[[#This Row],[Order_Date]],"mmm")</f>
        <v>Sep</v>
      </c>
    </row>
    <row r="825" spans="1:23" x14ac:dyDescent="0.25">
      <c r="A825" t="s">
        <v>1218</v>
      </c>
      <c r="B825" t="s">
        <v>267</v>
      </c>
      <c r="C825" s="6">
        <v>45877</v>
      </c>
      <c r="D825" t="s">
        <v>55</v>
      </c>
      <c r="E825" t="s">
        <v>56</v>
      </c>
      <c r="F825" t="s">
        <v>37</v>
      </c>
      <c r="G825" t="s">
        <v>38</v>
      </c>
      <c r="H825">
        <v>1</v>
      </c>
      <c r="I825">
        <v>2499</v>
      </c>
      <c r="J825">
        <v>0</v>
      </c>
      <c r="K825">
        <v>49</v>
      </c>
      <c r="L825" t="s">
        <v>48</v>
      </c>
      <c r="M825" t="s">
        <v>49</v>
      </c>
      <c r="N825" t="s">
        <v>40</v>
      </c>
      <c r="O825" t="s">
        <v>51</v>
      </c>
      <c r="P825" t="s">
        <v>33</v>
      </c>
      <c r="Q825">
        <v>2</v>
      </c>
      <c r="R825">
        <f>IFERROR(Table1_1[[#This Row],[Unit_Price]]*Table1_1[[#This Row],[Quantity]],"")</f>
        <v>2499</v>
      </c>
      <c r="S825">
        <f>IFERROR(Table1_1[[#This Row],[Gross_Sales]]*Table1_1[[#This Row],[Discount_%]],"")</f>
        <v>0</v>
      </c>
      <c r="T825">
        <f>IFERROR(Table1_1[[#This Row],[Gross_Sales]]-Table1_1[[#This Row],[Discount_amount]]+Table1_1[[#This Row],[Shipping_Cost]],"")</f>
        <v>2548</v>
      </c>
      <c r="U825">
        <f>IFERROR(Table1_1[[#This Row],[Net_Sale]]-(Table1_1[[#This Row],[Gross_Sales]]*70%),"")</f>
        <v>798.7</v>
      </c>
      <c r="V825" s="7">
        <f>IFERROR(Table1_1[[#This Row],[Profit]]/Table1_1[[#This Row],[Net_Sale]],"")</f>
        <v>0.31346153846153846</v>
      </c>
      <c r="W825" t="str">
        <f>TEXT(Table1_1[[#This Row],[Order_Date]],"mmm")</f>
        <v>Aug</v>
      </c>
    </row>
    <row r="826" spans="1:23" x14ac:dyDescent="0.25">
      <c r="A826" t="s">
        <v>1219</v>
      </c>
      <c r="B826" t="s">
        <v>1081</v>
      </c>
      <c r="C826" s="6">
        <v>45677</v>
      </c>
      <c r="D826" t="s">
        <v>105</v>
      </c>
      <c r="E826" t="s">
        <v>106</v>
      </c>
      <c r="F826" t="s">
        <v>37</v>
      </c>
      <c r="G826" t="s">
        <v>107</v>
      </c>
      <c r="H826">
        <v>1</v>
      </c>
      <c r="I826">
        <v>1799</v>
      </c>
      <c r="J826">
        <v>0.15</v>
      </c>
      <c r="K826">
        <v>79</v>
      </c>
      <c r="L826" t="s">
        <v>57</v>
      </c>
      <c r="M826" t="s">
        <v>58</v>
      </c>
      <c r="N826" t="s">
        <v>50</v>
      </c>
      <c r="O826" t="s">
        <v>51</v>
      </c>
      <c r="P826" t="s">
        <v>80</v>
      </c>
      <c r="Q826">
        <v>3</v>
      </c>
      <c r="R826">
        <f>IFERROR(Table1_1[[#This Row],[Unit_Price]]*Table1_1[[#This Row],[Quantity]],"")</f>
        <v>1799</v>
      </c>
      <c r="S826">
        <f>IFERROR(Table1_1[[#This Row],[Gross_Sales]]*Table1_1[[#This Row],[Discount_%]],"")</f>
        <v>269.84999999999997</v>
      </c>
      <c r="T826">
        <f>IFERROR(Table1_1[[#This Row],[Gross_Sales]]-Table1_1[[#This Row],[Discount_amount]]+Table1_1[[#This Row],[Shipping_Cost]],"")</f>
        <v>1608.15</v>
      </c>
      <c r="U826">
        <f>IFERROR(Table1_1[[#This Row],[Net_Sale]]-(Table1_1[[#This Row],[Gross_Sales]]*70%),"")</f>
        <v>348.85000000000014</v>
      </c>
      <c r="V826" s="7">
        <f>IFERROR(Table1_1[[#This Row],[Profit]]/Table1_1[[#This Row],[Net_Sale]],"")</f>
        <v>0.21692628175232417</v>
      </c>
      <c r="W826" t="str">
        <f>TEXT(Table1_1[[#This Row],[Order_Date]],"mmm")</f>
        <v>Jan</v>
      </c>
    </row>
    <row r="827" spans="1:23" x14ac:dyDescent="0.25">
      <c r="A827" t="s">
        <v>1220</v>
      </c>
      <c r="B827" t="s">
        <v>483</v>
      </c>
      <c r="C827" s="6">
        <v>45870</v>
      </c>
      <c r="D827" t="s">
        <v>25</v>
      </c>
      <c r="E827" t="s">
        <v>26</v>
      </c>
      <c r="F827" t="s">
        <v>27</v>
      </c>
      <c r="G827" t="s">
        <v>28</v>
      </c>
      <c r="H827">
        <v>2</v>
      </c>
      <c r="I827">
        <v>249</v>
      </c>
      <c r="J827">
        <v>0</v>
      </c>
      <c r="K827">
        <v>49</v>
      </c>
      <c r="L827" t="s">
        <v>39</v>
      </c>
      <c r="M827" t="s">
        <v>39</v>
      </c>
      <c r="N827" t="s">
        <v>71</v>
      </c>
      <c r="O827" t="s">
        <v>41</v>
      </c>
      <c r="P827" t="s">
        <v>33</v>
      </c>
      <c r="Q827">
        <v>2</v>
      </c>
      <c r="R827">
        <f>IFERROR(Table1_1[[#This Row],[Unit_Price]]*Table1_1[[#This Row],[Quantity]],"")</f>
        <v>498</v>
      </c>
      <c r="S827">
        <f>IFERROR(Table1_1[[#This Row],[Gross_Sales]]*Table1_1[[#This Row],[Discount_%]],"")</f>
        <v>0</v>
      </c>
      <c r="T827">
        <f>IFERROR(Table1_1[[#This Row],[Gross_Sales]]-Table1_1[[#This Row],[Discount_amount]]+Table1_1[[#This Row],[Shipping_Cost]],"")</f>
        <v>547</v>
      </c>
      <c r="U827">
        <f>IFERROR(Table1_1[[#This Row],[Net_Sale]]-(Table1_1[[#This Row],[Gross_Sales]]*70%),"")</f>
        <v>198.40000000000003</v>
      </c>
      <c r="V827" s="7">
        <f>IFERROR(Table1_1[[#This Row],[Profit]]/Table1_1[[#This Row],[Net_Sale]],"")</f>
        <v>0.36270566727605125</v>
      </c>
      <c r="W827" t="str">
        <f>TEXT(Table1_1[[#This Row],[Order_Date]],"mmm")</f>
        <v>Aug</v>
      </c>
    </row>
    <row r="828" spans="1:23" x14ac:dyDescent="0.25">
      <c r="A828" t="s">
        <v>1221</v>
      </c>
      <c r="B828" t="s">
        <v>450</v>
      </c>
      <c r="C828" s="6">
        <v>45998</v>
      </c>
      <c r="D828" t="s">
        <v>62</v>
      </c>
      <c r="E828" t="s">
        <v>63</v>
      </c>
      <c r="F828" t="s">
        <v>46</v>
      </c>
      <c r="G828" t="s">
        <v>64</v>
      </c>
      <c r="H828">
        <v>4</v>
      </c>
      <c r="I828">
        <v>699</v>
      </c>
      <c r="J828">
        <v>0.2</v>
      </c>
      <c r="K828">
        <v>49</v>
      </c>
      <c r="L828" t="s">
        <v>39</v>
      </c>
      <c r="M828" t="s">
        <v>39</v>
      </c>
      <c r="N828" t="s">
        <v>102</v>
      </c>
      <c r="O828" t="s">
        <v>51</v>
      </c>
      <c r="P828" t="s">
        <v>80</v>
      </c>
      <c r="Q828">
        <v>2</v>
      </c>
      <c r="R828">
        <f>IFERROR(Table1_1[[#This Row],[Unit_Price]]*Table1_1[[#This Row],[Quantity]],"")</f>
        <v>2796</v>
      </c>
      <c r="S828">
        <f>IFERROR(Table1_1[[#This Row],[Gross_Sales]]*Table1_1[[#This Row],[Discount_%]],"")</f>
        <v>559.20000000000005</v>
      </c>
      <c r="T828">
        <f>IFERROR(Table1_1[[#This Row],[Gross_Sales]]-Table1_1[[#This Row],[Discount_amount]]+Table1_1[[#This Row],[Shipping_Cost]],"")</f>
        <v>2285.8000000000002</v>
      </c>
      <c r="U828">
        <f>IFERROR(Table1_1[[#This Row],[Net_Sale]]-(Table1_1[[#This Row],[Gross_Sales]]*70%),"")</f>
        <v>328.60000000000036</v>
      </c>
      <c r="V828" s="7">
        <f>IFERROR(Table1_1[[#This Row],[Profit]]/Table1_1[[#This Row],[Net_Sale]],"")</f>
        <v>0.14375710910840858</v>
      </c>
      <c r="W828" t="str">
        <f>TEXT(Table1_1[[#This Row],[Order_Date]],"mmm")</f>
        <v>Dec</v>
      </c>
    </row>
    <row r="829" spans="1:23" x14ac:dyDescent="0.25">
      <c r="A829" t="s">
        <v>1222</v>
      </c>
      <c r="B829" t="s">
        <v>470</v>
      </c>
      <c r="C829" s="6">
        <v>45909</v>
      </c>
      <c r="D829" t="s">
        <v>90</v>
      </c>
      <c r="E829" t="s">
        <v>91</v>
      </c>
      <c r="F829" t="s">
        <v>37</v>
      </c>
      <c r="G829" t="s">
        <v>92</v>
      </c>
      <c r="H829">
        <v>1</v>
      </c>
      <c r="I829">
        <v>3499</v>
      </c>
      <c r="J829">
        <v>0.2</v>
      </c>
      <c r="K829">
        <v>49</v>
      </c>
      <c r="L829" t="s">
        <v>39</v>
      </c>
      <c r="M829" t="s">
        <v>39</v>
      </c>
      <c r="N829" t="s">
        <v>50</v>
      </c>
      <c r="O829" t="s">
        <v>93</v>
      </c>
      <c r="P829" t="s">
        <v>33</v>
      </c>
      <c r="Q829">
        <v>2</v>
      </c>
      <c r="R829">
        <f>IFERROR(Table1_1[[#This Row],[Unit_Price]]*Table1_1[[#This Row],[Quantity]],"")</f>
        <v>3499</v>
      </c>
      <c r="S829">
        <f>IFERROR(Table1_1[[#This Row],[Gross_Sales]]*Table1_1[[#This Row],[Discount_%]],"")</f>
        <v>699.80000000000007</v>
      </c>
      <c r="T829">
        <f>IFERROR(Table1_1[[#This Row],[Gross_Sales]]-Table1_1[[#This Row],[Discount_amount]]+Table1_1[[#This Row],[Shipping_Cost]],"")</f>
        <v>2848.2</v>
      </c>
      <c r="U829">
        <f>IFERROR(Table1_1[[#This Row],[Net_Sale]]-(Table1_1[[#This Row],[Gross_Sales]]*70%),"")</f>
        <v>398.90000000000009</v>
      </c>
      <c r="V829" s="7">
        <f>IFERROR(Table1_1[[#This Row],[Profit]]/Table1_1[[#This Row],[Net_Sale]],"")</f>
        <v>0.14005336703883159</v>
      </c>
      <c r="W829" t="str">
        <f>TEXT(Table1_1[[#This Row],[Order_Date]],"mmm")</f>
        <v>Sep</v>
      </c>
    </row>
    <row r="830" spans="1:23" x14ac:dyDescent="0.25">
      <c r="A830" t="s">
        <v>1223</v>
      </c>
      <c r="B830" t="s">
        <v>116</v>
      </c>
      <c r="C830" s="6">
        <v>45762</v>
      </c>
      <c r="D830" t="s">
        <v>44</v>
      </c>
      <c r="E830" t="s">
        <v>45</v>
      </c>
      <c r="F830" t="s">
        <v>46</v>
      </c>
      <c r="G830" t="s">
        <v>47</v>
      </c>
      <c r="H830">
        <v>3</v>
      </c>
      <c r="I830">
        <v>1199</v>
      </c>
      <c r="J830">
        <v>0.1</v>
      </c>
      <c r="K830">
        <v>79</v>
      </c>
      <c r="L830" t="s">
        <v>83</v>
      </c>
      <c r="M830" t="s">
        <v>84</v>
      </c>
      <c r="N830" t="s">
        <v>50</v>
      </c>
      <c r="O830" t="s">
        <v>41</v>
      </c>
      <c r="P830" t="s">
        <v>33</v>
      </c>
      <c r="Q830">
        <v>2</v>
      </c>
      <c r="R830">
        <f>IFERROR(Table1_1[[#This Row],[Unit_Price]]*Table1_1[[#This Row],[Quantity]],"")</f>
        <v>3597</v>
      </c>
      <c r="S830">
        <f>IFERROR(Table1_1[[#This Row],[Gross_Sales]]*Table1_1[[#This Row],[Discount_%]],"")</f>
        <v>359.70000000000005</v>
      </c>
      <c r="T830">
        <f>IFERROR(Table1_1[[#This Row],[Gross_Sales]]-Table1_1[[#This Row],[Discount_amount]]+Table1_1[[#This Row],[Shipping_Cost]],"")</f>
        <v>3316.3</v>
      </c>
      <c r="U830">
        <f>IFERROR(Table1_1[[#This Row],[Net_Sale]]-(Table1_1[[#This Row],[Gross_Sales]]*70%),"")</f>
        <v>798.40000000000055</v>
      </c>
      <c r="V830" s="7">
        <f>IFERROR(Table1_1[[#This Row],[Profit]]/Table1_1[[#This Row],[Net_Sale]],"")</f>
        <v>0.24075023369417739</v>
      </c>
      <c r="W830" t="str">
        <f>TEXT(Table1_1[[#This Row],[Order_Date]],"mmm")</f>
        <v>Apr</v>
      </c>
    </row>
    <row r="831" spans="1:23" x14ac:dyDescent="0.25">
      <c r="A831" t="s">
        <v>1224</v>
      </c>
      <c r="B831" t="s">
        <v>315</v>
      </c>
      <c r="C831" s="6">
        <v>45813</v>
      </c>
      <c r="D831" t="s">
        <v>96</v>
      </c>
      <c r="E831" t="s">
        <v>97</v>
      </c>
      <c r="F831" t="s">
        <v>98</v>
      </c>
      <c r="G831" t="s">
        <v>99</v>
      </c>
      <c r="H831">
        <v>2</v>
      </c>
      <c r="I831">
        <v>1499</v>
      </c>
      <c r="J831">
        <v>0.2</v>
      </c>
      <c r="K831">
        <v>49</v>
      </c>
      <c r="L831" t="s">
        <v>100</v>
      </c>
      <c r="M831" t="s">
        <v>101</v>
      </c>
      <c r="N831" t="s">
        <v>40</v>
      </c>
      <c r="O831" t="s">
        <v>93</v>
      </c>
      <c r="P831" t="s">
        <v>52</v>
      </c>
      <c r="Q831">
        <v>3</v>
      </c>
      <c r="R831">
        <f>IFERROR(Table1_1[[#This Row],[Unit_Price]]*Table1_1[[#This Row],[Quantity]],"")</f>
        <v>2998</v>
      </c>
      <c r="S831">
        <f>IFERROR(Table1_1[[#This Row],[Gross_Sales]]*Table1_1[[#This Row],[Discount_%]],"")</f>
        <v>599.6</v>
      </c>
      <c r="T831">
        <f>IFERROR(Table1_1[[#This Row],[Gross_Sales]]-Table1_1[[#This Row],[Discount_amount]]+Table1_1[[#This Row],[Shipping_Cost]],"")</f>
        <v>2447.4</v>
      </c>
      <c r="U831">
        <f>IFERROR(Table1_1[[#This Row],[Net_Sale]]-(Table1_1[[#This Row],[Gross_Sales]]*70%),"")</f>
        <v>348.80000000000018</v>
      </c>
      <c r="V831" s="7">
        <f>IFERROR(Table1_1[[#This Row],[Profit]]/Table1_1[[#This Row],[Net_Sale]],"")</f>
        <v>0.14251859115796361</v>
      </c>
      <c r="W831" t="str">
        <f>TEXT(Table1_1[[#This Row],[Order_Date]],"mmm")</f>
        <v>Jun</v>
      </c>
    </row>
    <row r="832" spans="1:23" x14ac:dyDescent="0.25">
      <c r="A832" t="s">
        <v>1225</v>
      </c>
      <c r="B832" t="s">
        <v>43</v>
      </c>
      <c r="C832" s="6">
        <v>45883</v>
      </c>
      <c r="D832" t="s">
        <v>96</v>
      </c>
      <c r="E832" t="s">
        <v>97</v>
      </c>
      <c r="F832" t="s">
        <v>98</v>
      </c>
      <c r="G832" t="s">
        <v>99</v>
      </c>
      <c r="H832">
        <v>1</v>
      </c>
      <c r="I832">
        <v>1499</v>
      </c>
      <c r="J832">
        <v>0.2</v>
      </c>
      <c r="K832">
        <v>79</v>
      </c>
      <c r="L832" t="s">
        <v>57</v>
      </c>
      <c r="M832" t="s">
        <v>58</v>
      </c>
      <c r="N832" t="s">
        <v>40</v>
      </c>
      <c r="O832" t="s">
        <v>93</v>
      </c>
      <c r="P832" t="s">
        <v>85</v>
      </c>
      <c r="Q832">
        <v>3</v>
      </c>
      <c r="R832">
        <f>IFERROR(Table1_1[[#This Row],[Unit_Price]]*Table1_1[[#This Row],[Quantity]],"")</f>
        <v>1499</v>
      </c>
      <c r="S832">
        <f>IFERROR(Table1_1[[#This Row],[Gross_Sales]]*Table1_1[[#This Row],[Discount_%]],"")</f>
        <v>299.8</v>
      </c>
      <c r="T832">
        <f>IFERROR(Table1_1[[#This Row],[Gross_Sales]]-Table1_1[[#This Row],[Discount_amount]]+Table1_1[[#This Row],[Shipping_Cost]],"")</f>
        <v>1278.2</v>
      </c>
      <c r="U832">
        <f>IFERROR(Table1_1[[#This Row],[Net_Sale]]-(Table1_1[[#This Row],[Gross_Sales]]*70%),"")</f>
        <v>228.90000000000009</v>
      </c>
      <c r="V832" s="7">
        <f>IFERROR(Table1_1[[#This Row],[Profit]]/Table1_1[[#This Row],[Net_Sale]],"")</f>
        <v>0.17907995618838998</v>
      </c>
      <c r="W832" t="str">
        <f>TEXT(Table1_1[[#This Row],[Order_Date]],"mmm")</f>
        <v>Aug</v>
      </c>
    </row>
    <row r="833" spans="1:23" x14ac:dyDescent="0.25">
      <c r="A833" t="s">
        <v>1226</v>
      </c>
      <c r="B833" t="s">
        <v>360</v>
      </c>
      <c r="C833" s="6">
        <v>45811</v>
      </c>
      <c r="D833" t="s">
        <v>96</v>
      </c>
      <c r="E833" t="s">
        <v>97</v>
      </c>
      <c r="F833" t="s">
        <v>98</v>
      </c>
      <c r="G833" t="s">
        <v>99</v>
      </c>
      <c r="H833">
        <v>3</v>
      </c>
      <c r="I833">
        <v>1499</v>
      </c>
      <c r="J833">
        <v>0.15</v>
      </c>
      <c r="K833">
        <v>49</v>
      </c>
      <c r="L833" t="s">
        <v>57</v>
      </c>
      <c r="M833" t="s">
        <v>58</v>
      </c>
      <c r="N833" t="s">
        <v>40</v>
      </c>
      <c r="O833" t="s">
        <v>59</v>
      </c>
      <c r="P833" t="s">
        <v>33</v>
      </c>
      <c r="Q833">
        <v>3</v>
      </c>
      <c r="R833">
        <f>IFERROR(Table1_1[[#This Row],[Unit_Price]]*Table1_1[[#This Row],[Quantity]],"")</f>
        <v>4497</v>
      </c>
      <c r="S833">
        <f>IFERROR(Table1_1[[#This Row],[Gross_Sales]]*Table1_1[[#This Row],[Discount_%]],"")</f>
        <v>674.55</v>
      </c>
      <c r="T833">
        <f>IFERROR(Table1_1[[#This Row],[Gross_Sales]]-Table1_1[[#This Row],[Discount_amount]]+Table1_1[[#This Row],[Shipping_Cost]],"")</f>
        <v>3871.45</v>
      </c>
      <c r="U833">
        <f>IFERROR(Table1_1[[#This Row],[Net_Sale]]-(Table1_1[[#This Row],[Gross_Sales]]*70%),"")</f>
        <v>723.55000000000018</v>
      </c>
      <c r="V833" s="7">
        <f>IFERROR(Table1_1[[#This Row],[Profit]]/Table1_1[[#This Row],[Net_Sale]],"")</f>
        <v>0.18689379948081475</v>
      </c>
      <c r="W833" t="str">
        <f>TEXT(Table1_1[[#This Row],[Order_Date]],"mmm")</f>
        <v>Jun</v>
      </c>
    </row>
    <row r="834" spans="1:23" x14ac:dyDescent="0.25">
      <c r="A834" t="s">
        <v>1227</v>
      </c>
      <c r="B834" t="s">
        <v>1228</v>
      </c>
      <c r="C834" s="6">
        <v>45968</v>
      </c>
      <c r="D834" t="s">
        <v>90</v>
      </c>
      <c r="E834" t="s">
        <v>91</v>
      </c>
      <c r="F834" t="s">
        <v>37</v>
      </c>
      <c r="G834" t="s">
        <v>92</v>
      </c>
      <c r="H834">
        <v>1</v>
      </c>
      <c r="I834">
        <v>3499</v>
      </c>
      <c r="J834">
        <v>0</v>
      </c>
      <c r="K834">
        <v>79</v>
      </c>
      <c r="L834" t="s">
        <v>48</v>
      </c>
      <c r="M834" t="s">
        <v>49</v>
      </c>
      <c r="N834" t="s">
        <v>50</v>
      </c>
      <c r="O834" t="s">
        <v>41</v>
      </c>
      <c r="P834" t="s">
        <v>33</v>
      </c>
      <c r="Q834">
        <v>1</v>
      </c>
      <c r="R834">
        <f>IFERROR(Table1_1[[#This Row],[Unit_Price]]*Table1_1[[#This Row],[Quantity]],"")</f>
        <v>3499</v>
      </c>
      <c r="S834">
        <f>IFERROR(Table1_1[[#This Row],[Gross_Sales]]*Table1_1[[#This Row],[Discount_%]],"")</f>
        <v>0</v>
      </c>
      <c r="T834">
        <f>IFERROR(Table1_1[[#This Row],[Gross_Sales]]-Table1_1[[#This Row],[Discount_amount]]+Table1_1[[#This Row],[Shipping_Cost]],"")</f>
        <v>3578</v>
      </c>
      <c r="U834">
        <f>IFERROR(Table1_1[[#This Row],[Net_Sale]]-(Table1_1[[#This Row],[Gross_Sales]]*70%),"")</f>
        <v>1128.7000000000003</v>
      </c>
      <c r="V834" s="7">
        <f>IFERROR(Table1_1[[#This Row],[Profit]]/Table1_1[[#This Row],[Net_Sale]],"")</f>
        <v>0.31545556176634998</v>
      </c>
      <c r="W834" t="str">
        <f>TEXT(Table1_1[[#This Row],[Order_Date]],"mmm")</f>
        <v>Nov</v>
      </c>
    </row>
    <row r="835" spans="1:23" x14ac:dyDescent="0.25">
      <c r="A835" t="s">
        <v>1229</v>
      </c>
      <c r="B835" t="s">
        <v>271</v>
      </c>
      <c r="C835" s="6">
        <v>45849</v>
      </c>
      <c r="D835" t="s">
        <v>35</v>
      </c>
      <c r="E835" t="s">
        <v>36</v>
      </c>
      <c r="F835" t="s">
        <v>37</v>
      </c>
      <c r="G835" t="s">
        <v>38</v>
      </c>
      <c r="H835">
        <v>2</v>
      </c>
      <c r="I835">
        <v>599</v>
      </c>
      <c r="J835">
        <v>0.1</v>
      </c>
      <c r="K835">
        <v>59</v>
      </c>
      <c r="L835" t="s">
        <v>83</v>
      </c>
      <c r="M835" t="s">
        <v>84</v>
      </c>
      <c r="N835" t="s">
        <v>40</v>
      </c>
      <c r="O835" t="s">
        <v>51</v>
      </c>
      <c r="P835" t="s">
        <v>52</v>
      </c>
      <c r="Q835">
        <v>3</v>
      </c>
      <c r="R835">
        <f>IFERROR(Table1_1[[#This Row],[Unit_Price]]*Table1_1[[#This Row],[Quantity]],"")</f>
        <v>1198</v>
      </c>
      <c r="S835">
        <f>IFERROR(Table1_1[[#This Row],[Gross_Sales]]*Table1_1[[#This Row],[Discount_%]],"")</f>
        <v>119.80000000000001</v>
      </c>
      <c r="T835">
        <f>IFERROR(Table1_1[[#This Row],[Gross_Sales]]-Table1_1[[#This Row],[Discount_amount]]+Table1_1[[#This Row],[Shipping_Cost]],"")</f>
        <v>1137.2</v>
      </c>
      <c r="U835">
        <f>IFERROR(Table1_1[[#This Row],[Net_Sale]]-(Table1_1[[#This Row],[Gross_Sales]]*70%),"")</f>
        <v>298.60000000000014</v>
      </c>
      <c r="V835" s="7">
        <f>IFERROR(Table1_1[[#This Row],[Profit]]/Table1_1[[#This Row],[Net_Sale]],"")</f>
        <v>0.26257474498768918</v>
      </c>
      <c r="W835" t="str">
        <f>TEXT(Table1_1[[#This Row],[Order_Date]],"mmm")</f>
        <v>Jul</v>
      </c>
    </row>
    <row r="836" spans="1:23" x14ac:dyDescent="0.25">
      <c r="A836" t="s">
        <v>1230</v>
      </c>
      <c r="B836" t="s">
        <v>800</v>
      </c>
      <c r="C836" s="6">
        <v>45677</v>
      </c>
      <c r="D836" t="s">
        <v>44</v>
      </c>
      <c r="E836" t="s">
        <v>45</v>
      </c>
      <c r="F836" t="s">
        <v>46</v>
      </c>
      <c r="G836" t="s">
        <v>47</v>
      </c>
      <c r="H836">
        <v>1</v>
      </c>
      <c r="I836">
        <v>1199</v>
      </c>
      <c r="J836">
        <v>0</v>
      </c>
      <c r="K836">
        <v>49</v>
      </c>
      <c r="L836" t="s">
        <v>29</v>
      </c>
      <c r="M836" t="s">
        <v>30</v>
      </c>
      <c r="N836" t="s">
        <v>71</v>
      </c>
      <c r="O836" t="s">
        <v>51</v>
      </c>
      <c r="P836" t="s">
        <v>85</v>
      </c>
      <c r="Q836">
        <v>5</v>
      </c>
      <c r="R836">
        <f>IFERROR(Table1_1[[#This Row],[Unit_Price]]*Table1_1[[#This Row],[Quantity]],"")</f>
        <v>1199</v>
      </c>
      <c r="S836">
        <f>IFERROR(Table1_1[[#This Row],[Gross_Sales]]*Table1_1[[#This Row],[Discount_%]],"")</f>
        <v>0</v>
      </c>
      <c r="T836">
        <f>IFERROR(Table1_1[[#This Row],[Gross_Sales]]-Table1_1[[#This Row],[Discount_amount]]+Table1_1[[#This Row],[Shipping_Cost]],"")</f>
        <v>1248</v>
      </c>
      <c r="U836">
        <f>IFERROR(Table1_1[[#This Row],[Net_Sale]]-(Table1_1[[#This Row],[Gross_Sales]]*70%),"")</f>
        <v>408.70000000000005</v>
      </c>
      <c r="V836" s="7">
        <f>IFERROR(Table1_1[[#This Row],[Profit]]/Table1_1[[#This Row],[Net_Sale]],"")</f>
        <v>0.32748397435897442</v>
      </c>
      <c r="W836" t="str">
        <f>TEXT(Table1_1[[#This Row],[Order_Date]],"mmm")</f>
        <v>Jan</v>
      </c>
    </row>
    <row r="837" spans="1:23" x14ac:dyDescent="0.25">
      <c r="A837" t="s">
        <v>1231</v>
      </c>
      <c r="B837" t="s">
        <v>1232</v>
      </c>
      <c r="C837" s="6">
        <v>45846</v>
      </c>
      <c r="D837" t="s">
        <v>77</v>
      </c>
      <c r="E837" t="s">
        <v>78</v>
      </c>
      <c r="F837" t="s">
        <v>79</v>
      </c>
      <c r="G837" t="s">
        <v>28</v>
      </c>
      <c r="H837">
        <v>2</v>
      </c>
      <c r="I837">
        <v>6499</v>
      </c>
      <c r="J837">
        <v>0.1</v>
      </c>
      <c r="K837">
        <v>79</v>
      </c>
      <c r="L837" t="s">
        <v>119</v>
      </c>
      <c r="M837" t="s">
        <v>120</v>
      </c>
      <c r="N837" t="s">
        <v>50</v>
      </c>
      <c r="O837" t="s">
        <v>59</v>
      </c>
      <c r="P837" t="s">
        <v>80</v>
      </c>
      <c r="Q837">
        <v>1</v>
      </c>
      <c r="R837">
        <f>IFERROR(Table1_1[[#This Row],[Unit_Price]]*Table1_1[[#This Row],[Quantity]],"")</f>
        <v>12998</v>
      </c>
      <c r="S837">
        <f>IFERROR(Table1_1[[#This Row],[Gross_Sales]]*Table1_1[[#This Row],[Discount_%]],"")</f>
        <v>1299.8000000000002</v>
      </c>
      <c r="T837">
        <f>IFERROR(Table1_1[[#This Row],[Gross_Sales]]-Table1_1[[#This Row],[Discount_amount]]+Table1_1[[#This Row],[Shipping_Cost]],"")</f>
        <v>11777.2</v>
      </c>
      <c r="U837">
        <f>IFERROR(Table1_1[[#This Row],[Net_Sale]]-(Table1_1[[#This Row],[Gross_Sales]]*70%),"")</f>
        <v>2678.6000000000022</v>
      </c>
      <c r="V837" s="7">
        <f>IFERROR(Table1_1[[#This Row],[Profit]]/Table1_1[[#This Row],[Net_Sale]],"")</f>
        <v>0.22743945929422971</v>
      </c>
      <c r="W837" t="str">
        <f>TEXT(Table1_1[[#This Row],[Order_Date]],"mmm")</f>
        <v>Jul</v>
      </c>
    </row>
    <row r="838" spans="1:23" x14ac:dyDescent="0.25">
      <c r="A838" t="s">
        <v>1233</v>
      </c>
      <c r="B838" t="s">
        <v>1234</v>
      </c>
      <c r="C838" s="6">
        <v>45988</v>
      </c>
      <c r="D838" t="s">
        <v>169</v>
      </c>
      <c r="E838" t="s">
        <v>170</v>
      </c>
      <c r="F838" t="s">
        <v>98</v>
      </c>
      <c r="G838" t="s">
        <v>171</v>
      </c>
      <c r="H838">
        <v>2</v>
      </c>
      <c r="I838">
        <v>799</v>
      </c>
      <c r="J838">
        <v>0.1</v>
      </c>
      <c r="K838">
        <v>49</v>
      </c>
      <c r="L838" t="s">
        <v>39</v>
      </c>
      <c r="M838" t="s">
        <v>39</v>
      </c>
      <c r="N838" t="s">
        <v>50</v>
      </c>
      <c r="O838" t="s">
        <v>32</v>
      </c>
      <c r="P838" t="s">
        <v>85</v>
      </c>
      <c r="Q838">
        <v>5</v>
      </c>
      <c r="R838">
        <f>IFERROR(Table1_1[[#This Row],[Unit_Price]]*Table1_1[[#This Row],[Quantity]],"")</f>
        <v>1598</v>
      </c>
      <c r="S838">
        <f>IFERROR(Table1_1[[#This Row],[Gross_Sales]]*Table1_1[[#This Row],[Discount_%]],"")</f>
        <v>159.80000000000001</v>
      </c>
      <c r="T838">
        <f>IFERROR(Table1_1[[#This Row],[Gross_Sales]]-Table1_1[[#This Row],[Discount_amount]]+Table1_1[[#This Row],[Shipping_Cost]],"")</f>
        <v>1487.2</v>
      </c>
      <c r="U838">
        <f>IFERROR(Table1_1[[#This Row],[Net_Sale]]-(Table1_1[[#This Row],[Gross_Sales]]*70%),"")</f>
        <v>368.60000000000014</v>
      </c>
      <c r="V838" s="7">
        <f>IFERROR(Table1_1[[#This Row],[Profit]]/Table1_1[[#This Row],[Net_Sale]],"")</f>
        <v>0.24784830554061332</v>
      </c>
      <c r="W838" t="str">
        <f>TEXT(Table1_1[[#This Row],[Order_Date]],"mmm")</f>
        <v>Nov</v>
      </c>
    </row>
    <row r="839" spans="1:23" x14ac:dyDescent="0.25">
      <c r="A839" t="s">
        <v>1235</v>
      </c>
      <c r="B839" t="s">
        <v>618</v>
      </c>
      <c r="C839" s="6">
        <v>45705</v>
      </c>
      <c r="D839" t="s">
        <v>25</v>
      </c>
      <c r="E839" t="s">
        <v>26</v>
      </c>
      <c r="F839" t="s">
        <v>27</v>
      </c>
      <c r="G839" t="s">
        <v>28</v>
      </c>
      <c r="H839">
        <v>1</v>
      </c>
      <c r="I839">
        <v>249</v>
      </c>
      <c r="J839">
        <v>0.1</v>
      </c>
      <c r="K839">
        <v>99</v>
      </c>
      <c r="L839" t="s">
        <v>100</v>
      </c>
      <c r="M839" t="s">
        <v>101</v>
      </c>
      <c r="N839" t="s">
        <v>102</v>
      </c>
      <c r="O839" t="s">
        <v>41</v>
      </c>
      <c r="P839" t="s">
        <v>52</v>
      </c>
      <c r="Q839">
        <v>4</v>
      </c>
      <c r="R839">
        <f>IFERROR(Table1_1[[#This Row],[Unit_Price]]*Table1_1[[#This Row],[Quantity]],"")</f>
        <v>249</v>
      </c>
      <c r="S839">
        <f>IFERROR(Table1_1[[#This Row],[Gross_Sales]]*Table1_1[[#This Row],[Discount_%]],"")</f>
        <v>24.900000000000002</v>
      </c>
      <c r="T839">
        <f>IFERROR(Table1_1[[#This Row],[Gross_Sales]]-Table1_1[[#This Row],[Discount_amount]]+Table1_1[[#This Row],[Shipping_Cost]],"")</f>
        <v>323.10000000000002</v>
      </c>
      <c r="U839">
        <f>IFERROR(Table1_1[[#This Row],[Net_Sale]]-(Table1_1[[#This Row],[Gross_Sales]]*70%),"")</f>
        <v>148.80000000000004</v>
      </c>
      <c r="V839" s="7">
        <f>IFERROR(Table1_1[[#This Row],[Profit]]/Table1_1[[#This Row],[Net_Sale]],"")</f>
        <v>0.46053853296193137</v>
      </c>
      <c r="W839" t="str">
        <f>TEXT(Table1_1[[#This Row],[Order_Date]],"mmm")</f>
        <v>Feb</v>
      </c>
    </row>
    <row r="840" spans="1:23" x14ac:dyDescent="0.25">
      <c r="A840" t="s">
        <v>1236</v>
      </c>
      <c r="B840" t="s">
        <v>906</v>
      </c>
      <c r="C840" s="6">
        <v>45812</v>
      </c>
      <c r="D840" t="s">
        <v>105</v>
      </c>
      <c r="E840" t="s">
        <v>106</v>
      </c>
      <c r="F840" t="s">
        <v>37</v>
      </c>
      <c r="G840" t="s">
        <v>107</v>
      </c>
      <c r="H840">
        <v>1</v>
      </c>
      <c r="I840">
        <v>1799</v>
      </c>
      <c r="J840">
        <v>0.1</v>
      </c>
      <c r="K840">
        <v>99</v>
      </c>
      <c r="L840" t="s">
        <v>558</v>
      </c>
      <c r="M840" t="s">
        <v>58</v>
      </c>
      <c r="N840" t="s">
        <v>40</v>
      </c>
      <c r="O840" t="s">
        <v>93</v>
      </c>
      <c r="P840" t="s">
        <v>80</v>
      </c>
      <c r="Q840">
        <v>1</v>
      </c>
      <c r="R840">
        <f>IFERROR(Table1_1[[#This Row],[Unit_Price]]*Table1_1[[#This Row],[Quantity]],"")</f>
        <v>1799</v>
      </c>
      <c r="S840">
        <f>IFERROR(Table1_1[[#This Row],[Gross_Sales]]*Table1_1[[#This Row],[Discount_%]],"")</f>
        <v>179.9</v>
      </c>
      <c r="T840">
        <f>IFERROR(Table1_1[[#This Row],[Gross_Sales]]-Table1_1[[#This Row],[Discount_amount]]+Table1_1[[#This Row],[Shipping_Cost]],"")</f>
        <v>1718.1</v>
      </c>
      <c r="U840">
        <f>IFERROR(Table1_1[[#This Row],[Net_Sale]]-(Table1_1[[#This Row],[Gross_Sales]]*70%),"")</f>
        <v>458.79999999999995</v>
      </c>
      <c r="V840" s="7">
        <f>IFERROR(Table1_1[[#This Row],[Profit]]/Table1_1[[#This Row],[Net_Sale]],"")</f>
        <v>0.26703917117746345</v>
      </c>
      <c r="W840" t="str">
        <f>TEXT(Table1_1[[#This Row],[Order_Date]],"mmm")</f>
        <v>Jun</v>
      </c>
    </row>
    <row r="841" spans="1:23" x14ac:dyDescent="0.25">
      <c r="A841" t="s">
        <v>1237</v>
      </c>
      <c r="B841" t="s">
        <v>906</v>
      </c>
      <c r="C841" s="6">
        <v>45834</v>
      </c>
      <c r="D841" t="s">
        <v>25</v>
      </c>
      <c r="E841" t="s">
        <v>26</v>
      </c>
      <c r="F841" t="s">
        <v>27</v>
      </c>
      <c r="G841" t="s">
        <v>28</v>
      </c>
      <c r="H841">
        <v>3</v>
      </c>
      <c r="I841">
        <v>249</v>
      </c>
      <c r="J841">
        <v>0</v>
      </c>
      <c r="K841">
        <v>79</v>
      </c>
      <c r="L841" t="s">
        <v>125</v>
      </c>
      <c r="M841" t="s">
        <v>126</v>
      </c>
      <c r="N841" t="s">
        <v>31</v>
      </c>
      <c r="O841" t="s">
        <v>41</v>
      </c>
      <c r="P841" t="s">
        <v>80</v>
      </c>
      <c r="Q841">
        <v>3</v>
      </c>
      <c r="R841">
        <f>IFERROR(Table1_1[[#This Row],[Unit_Price]]*Table1_1[[#This Row],[Quantity]],"")</f>
        <v>747</v>
      </c>
      <c r="S841">
        <f>IFERROR(Table1_1[[#This Row],[Gross_Sales]]*Table1_1[[#This Row],[Discount_%]],"")</f>
        <v>0</v>
      </c>
      <c r="T841">
        <f>IFERROR(Table1_1[[#This Row],[Gross_Sales]]-Table1_1[[#This Row],[Discount_amount]]+Table1_1[[#This Row],[Shipping_Cost]],"")</f>
        <v>826</v>
      </c>
      <c r="U841">
        <f>IFERROR(Table1_1[[#This Row],[Net_Sale]]-(Table1_1[[#This Row],[Gross_Sales]]*70%),"")</f>
        <v>303.10000000000002</v>
      </c>
      <c r="V841" s="7">
        <f>IFERROR(Table1_1[[#This Row],[Profit]]/Table1_1[[#This Row],[Net_Sale]],"")</f>
        <v>0.36694915254237293</v>
      </c>
      <c r="W841" t="str">
        <f>TEXT(Table1_1[[#This Row],[Order_Date]],"mmm")</f>
        <v>Jun</v>
      </c>
    </row>
    <row r="842" spans="1:23" x14ac:dyDescent="0.25">
      <c r="A842" t="s">
        <v>1238</v>
      </c>
      <c r="B842" t="s">
        <v>1031</v>
      </c>
      <c r="C842" s="6">
        <v>46014</v>
      </c>
      <c r="D842" t="s">
        <v>90</v>
      </c>
      <c r="E842" t="s">
        <v>91</v>
      </c>
      <c r="F842" t="s">
        <v>37</v>
      </c>
      <c r="G842" t="s">
        <v>92</v>
      </c>
      <c r="H842">
        <v>1</v>
      </c>
      <c r="I842">
        <v>3499</v>
      </c>
      <c r="J842">
        <v>0.2</v>
      </c>
      <c r="K842">
        <v>59</v>
      </c>
      <c r="L842" t="s">
        <v>39</v>
      </c>
      <c r="M842" t="s">
        <v>39</v>
      </c>
      <c r="N842" t="s">
        <v>50</v>
      </c>
      <c r="O842" t="s">
        <v>41</v>
      </c>
      <c r="P842" t="s">
        <v>52</v>
      </c>
      <c r="Q842">
        <v>3</v>
      </c>
      <c r="R842">
        <f>IFERROR(Table1_1[[#This Row],[Unit_Price]]*Table1_1[[#This Row],[Quantity]],"")</f>
        <v>3499</v>
      </c>
      <c r="S842">
        <f>IFERROR(Table1_1[[#This Row],[Gross_Sales]]*Table1_1[[#This Row],[Discount_%]],"")</f>
        <v>699.80000000000007</v>
      </c>
      <c r="T842">
        <f>IFERROR(Table1_1[[#This Row],[Gross_Sales]]-Table1_1[[#This Row],[Discount_amount]]+Table1_1[[#This Row],[Shipping_Cost]],"")</f>
        <v>2858.2</v>
      </c>
      <c r="U842">
        <f>IFERROR(Table1_1[[#This Row],[Net_Sale]]-(Table1_1[[#This Row],[Gross_Sales]]*70%),"")</f>
        <v>408.90000000000009</v>
      </c>
      <c r="V842" s="7">
        <f>IFERROR(Table1_1[[#This Row],[Profit]]/Table1_1[[#This Row],[Net_Sale]],"")</f>
        <v>0.14306206703519703</v>
      </c>
      <c r="W842" t="str">
        <f>TEXT(Table1_1[[#This Row],[Order_Date]],"mmm")</f>
        <v>Dec</v>
      </c>
    </row>
    <row r="843" spans="1:23" x14ac:dyDescent="0.25">
      <c r="A843" t="s">
        <v>1239</v>
      </c>
      <c r="B843" t="s">
        <v>436</v>
      </c>
      <c r="C843" s="6">
        <v>45751</v>
      </c>
      <c r="D843" t="s">
        <v>105</v>
      </c>
      <c r="E843" t="s">
        <v>106</v>
      </c>
      <c r="F843" t="s">
        <v>37</v>
      </c>
      <c r="G843" t="s">
        <v>107</v>
      </c>
      <c r="H843">
        <v>1</v>
      </c>
      <c r="I843">
        <v>1799</v>
      </c>
      <c r="J843">
        <v>0.15</v>
      </c>
      <c r="K843">
        <v>49</v>
      </c>
      <c r="L843" t="s">
        <v>100</v>
      </c>
      <c r="M843" t="s">
        <v>101</v>
      </c>
      <c r="N843" t="s">
        <v>50</v>
      </c>
      <c r="O843" t="s">
        <v>93</v>
      </c>
      <c r="P843" t="s">
        <v>52</v>
      </c>
      <c r="Q843">
        <v>3</v>
      </c>
      <c r="R843">
        <f>IFERROR(Table1_1[[#This Row],[Unit_Price]]*Table1_1[[#This Row],[Quantity]],"")</f>
        <v>1799</v>
      </c>
      <c r="S843">
        <f>IFERROR(Table1_1[[#This Row],[Gross_Sales]]*Table1_1[[#This Row],[Discount_%]],"")</f>
        <v>269.84999999999997</v>
      </c>
      <c r="T843">
        <f>IFERROR(Table1_1[[#This Row],[Gross_Sales]]-Table1_1[[#This Row],[Discount_amount]]+Table1_1[[#This Row],[Shipping_Cost]],"")</f>
        <v>1578.15</v>
      </c>
      <c r="U843">
        <f>IFERROR(Table1_1[[#This Row],[Net_Sale]]-(Table1_1[[#This Row],[Gross_Sales]]*70%),"")</f>
        <v>318.85000000000014</v>
      </c>
      <c r="V843" s="7">
        <f>IFERROR(Table1_1[[#This Row],[Profit]]/Table1_1[[#This Row],[Net_Sale]],"")</f>
        <v>0.20204036371701051</v>
      </c>
      <c r="W843" t="str">
        <f>TEXT(Table1_1[[#This Row],[Order_Date]],"mmm")</f>
        <v>Apr</v>
      </c>
    </row>
    <row r="844" spans="1:23" x14ac:dyDescent="0.25">
      <c r="A844" t="s">
        <v>1240</v>
      </c>
      <c r="B844" t="s">
        <v>376</v>
      </c>
      <c r="C844" s="6">
        <v>45867</v>
      </c>
      <c r="D844" t="s">
        <v>105</v>
      </c>
      <c r="E844" t="s">
        <v>106</v>
      </c>
      <c r="F844" t="s">
        <v>37</v>
      </c>
      <c r="G844" t="s">
        <v>107</v>
      </c>
      <c r="H844">
        <v>1</v>
      </c>
      <c r="I844">
        <v>1799</v>
      </c>
      <c r="J844">
        <v>0</v>
      </c>
      <c r="K844">
        <v>49</v>
      </c>
      <c r="L844" t="s">
        <v>113</v>
      </c>
      <c r="M844" t="s">
        <v>114</v>
      </c>
      <c r="N844" t="s">
        <v>71</v>
      </c>
      <c r="O844" t="s">
        <v>93</v>
      </c>
      <c r="P844" t="s">
        <v>85</v>
      </c>
      <c r="Q844">
        <v>4</v>
      </c>
      <c r="R844">
        <f>IFERROR(Table1_1[[#This Row],[Unit_Price]]*Table1_1[[#This Row],[Quantity]],"")</f>
        <v>1799</v>
      </c>
      <c r="S844">
        <f>IFERROR(Table1_1[[#This Row],[Gross_Sales]]*Table1_1[[#This Row],[Discount_%]],"")</f>
        <v>0</v>
      </c>
      <c r="T844">
        <f>IFERROR(Table1_1[[#This Row],[Gross_Sales]]-Table1_1[[#This Row],[Discount_amount]]+Table1_1[[#This Row],[Shipping_Cost]],"")</f>
        <v>1848</v>
      </c>
      <c r="U844">
        <f>IFERROR(Table1_1[[#This Row],[Net_Sale]]-(Table1_1[[#This Row],[Gross_Sales]]*70%),"")</f>
        <v>588.70000000000005</v>
      </c>
      <c r="V844" s="7">
        <f>IFERROR(Table1_1[[#This Row],[Profit]]/Table1_1[[#This Row],[Net_Sale]],"")</f>
        <v>0.3185606060606061</v>
      </c>
      <c r="W844" t="str">
        <f>TEXT(Table1_1[[#This Row],[Order_Date]],"mmm")</f>
        <v>Jul</v>
      </c>
    </row>
    <row r="845" spans="1:23" x14ac:dyDescent="0.25">
      <c r="A845" t="s">
        <v>1241</v>
      </c>
      <c r="B845" t="s">
        <v>146</v>
      </c>
      <c r="C845" s="6">
        <v>45673</v>
      </c>
      <c r="D845" t="s">
        <v>55</v>
      </c>
      <c r="E845" t="s">
        <v>56</v>
      </c>
      <c r="F845" t="s">
        <v>37</v>
      </c>
      <c r="G845" t="s">
        <v>38</v>
      </c>
      <c r="H845">
        <v>1</v>
      </c>
      <c r="I845">
        <v>2499</v>
      </c>
      <c r="J845">
        <v>0.1</v>
      </c>
      <c r="K845">
        <v>0</v>
      </c>
      <c r="L845" t="s">
        <v>48</v>
      </c>
      <c r="M845" t="s">
        <v>49</v>
      </c>
      <c r="N845" t="s">
        <v>31</v>
      </c>
      <c r="O845" t="s">
        <v>51</v>
      </c>
      <c r="P845" t="s">
        <v>52</v>
      </c>
      <c r="Q845">
        <v>3</v>
      </c>
      <c r="R845">
        <f>IFERROR(Table1_1[[#This Row],[Unit_Price]]*Table1_1[[#This Row],[Quantity]],"")</f>
        <v>2499</v>
      </c>
      <c r="S845">
        <f>IFERROR(Table1_1[[#This Row],[Gross_Sales]]*Table1_1[[#This Row],[Discount_%]],"")</f>
        <v>249.9</v>
      </c>
      <c r="T845">
        <f>IFERROR(Table1_1[[#This Row],[Gross_Sales]]-Table1_1[[#This Row],[Discount_amount]]+Table1_1[[#This Row],[Shipping_Cost]],"")</f>
        <v>2249.1</v>
      </c>
      <c r="U845">
        <f>IFERROR(Table1_1[[#This Row],[Net_Sale]]-(Table1_1[[#This Row],[Gross_Sales]]*70%),"")</f>
        <v>499.79999999999995</v>
      </c>
      <c r="V845" s="7">
        <f>IFERROR(Table1_1[[#This Row],[Profit]]/Table1_1[[#This Row],[Net_Sale]],"")</f>
        <v>0.22222222222222221</v>
      </c>
      <c r="W845" t="str">
        <f>TEXT(Table1_1[[#This Row],[Order_Date]],"mmm")</f>
        <v>Jan</v>
      </c>
    </row>
    <row r="846" spans="1:23" x14ac:dyDescent="0.25">
      <c r="A846" t="s">
        <v>1242</v>
      </c>
      <c r="B846" t="s">
        <v>576</v>
      </c>
      <c r="C846" s="6">
        <v>45679</v>
      </c>
      <c r="D846" t="s">
        <v>35</v>
      </c>
      <c r="E846" t="s">
        <v>36</v>
      </c>
      <c r="F846" t="s">
        <v>37</v>
      </c>
      <c r="G846" t="s">
        <v>38</v>
      </c>
      <c r="H846">
        <v>3</v>
      </c>
      <c r="I846">
        <v>599</v>
      </c>
      <c r="J846">
        <v>0</v>
      </c>
      <c r="K846">
        <v>79</v>
      </c>
      <c r="L846" t="s">
        <v>125</v>
      </c>
      <c r="M846" t="s">
        <v>126</v>
      </c>
      <c r="N846" t="s">
        <v>71</v>
      </c>
      <c r="O846" t="s">
        <v>59</v>
      </c>
      <c r="P846" t="s">
        <v>85</v>
      </c>
      <c r="Q846">
        <v>4</v>
      </c>
      <c r="R846">
        <f>IFERROR(Table1_1[[#This Row],[Unit_Price]]*Table1_1[[#This Row],[Quantity]],"")</f>
        <v>1797</v>
      </c>
      <c r="S846">
        <f>IFERROR(Table1_1[[#This Row],[Gross_Sales]]*Table1_1[[#This Row],[Discount_%]],"")</f>
        <v>0</v>
      </c>
      <c r="T846">
        <f>IFERROR(Table1_1[[#This Row],[Gross_Sales]]-Table1_1[[#This Row],[Discount_amount]]+Table1_1[[#This Row],[Shipping_Cost]],"")</f>
        <v>1876</v>
      </c>
      <c r="U846">
        <f>IFERROR(Table1_1[[#This Row],[Net_Sale]]-(Table1_1[[#This Row],[Gross_Sales]]*70%),"")</f>
        <v>618.10000000000014</v>
      </c>
      <c r="V846" s="7">
        <f>IFERROR(Table1_1[[#This Row],[Profit]]/Table1_1[[#This Row],[Net_Sale]],"")</f>
        <v>0.32947761194029856</v>
      </c>
      <c r="W846" t="str">
        <f>TEXT(Table1_1[[#This Row],[Order_Date]],"mmm")</f>
        <v>Jan</v>
      </c>
    </row>
    <row r="847" spans="1:23" x14ac:dyDescent="0.25">
      <c r="A847" t="s">
        <v>1243</v>
      </c>
      <c r="B847" t="s">
        <v>737</v>
      </c>
      <c r="C847" s="6">
        <v>45847</v>
      </c>
      <c r="D847" t="s">
        <v>169</v>
      </c>
      <c r="E847" t="s">
        <v>170</v>
      </c>
      <c r="F847" t="s">
        <v>98</v>
      </c>
      <c r="G847" t="s">
        <v>171</v>
      </c>
      <c r="H847">
        <v>1</v>
      </c>
      <c r="I847">
        <v>799</v>
      </c>
      <c r="J847">
        <v>0.05</v>
      </c>
      <c r="K847">
        <v>49</v>
      </c>
      <c r="L847" t="s">
        <v>125</v>
      </c>
      <c r="M847" t="s">
        <v>126</v>
      </c>
      <c r="N847" t="s">
        <v>40</v>
      </c>
      <c r="O847" t="s">
        <v>59</v>
      </c>
      <c r="P847" t="s">
        <v>33</v>
      </c>
      <c r="Q847">
        <v>5</v>
      </c>
      <c r="R847">
        <f>IFERROR(Table1_1[[#This Row],[Unit_Price]]*Table1_1[[#This Row],[Quantity]],"")</f>
        <v>799</v>
      </c>
      <c r="S847">
        <f>IFERROR(Table1_1[[#This Row],[Gross_Sales]]*Table1_1[[#This Row],[Discount_%]],"")</f>
        <v>39.950000000000003</v>
      </c>
      <c r="T847">
        <f>IFERROR(Table1_1[[#This Row],[Gross_Sales]]-Table1_1[[#This Row],[Discount_amount]]+Table1_1[[#This Row],[Shipping_Cost]],"")</f>
        <v>808.05</v>
      </c>
      <c r="U847">
        <f>IFERROR(Table1_1[[#This Row],[Net_Sale]]-(Table1_1[[#This Row],[Gross_Sales]]*70%),"")</f>
        <v>248.75</v>
      </c>
      <c r="V847" s="7">
        <f>IFERROR(Table1_1[[#This Row],[Profit]]/Table1_1[[#This Row],[Net_Sale]],"")</f>
        <v>0.3078398613947157</v>
      </c>
      <c r="W847" t="str">
        <f>TEXT(Table1_1[[#This Row],[Order_Date]],"mmm")</f>
        <v>Jul</v>
      </c>
    </row>
    <row r="848" spans="1:23" x14ac:dyDescent="0.25">
      <c r="A848" t="s">
        <v>1244</v>
      </c>
      <c r="B848" t="s">
        <v>311</v>
      </c>
      <c r="C848" s="6">
        <v>45709</v>
      </c>
      <c r="D848" t="s">
        <v>35</v>
      </c>
      <c r="E848" t="s">
        <v>36</v>
      </c>
      <c r="F848" t="s">
        <v>37</v>
      </c>
      <c r="G848" t="s">
        <v>38</v>
      </c>
      <c r="H848">
        <v>3</v>
      </c>
      <c r="I848">
        <v>599</v>
      </c>
      <c r="J848">
        <v>0.1</v>
      </c>
      <c r="K848">
        <v>49</v>
      </c>
      <c r="L848" t="s">
        <v>74</v>
      </c>
      <c r="M848" t="s">
        <v>49</v>
      </c>
      <c r="N848" t="s">
        <v>102</v>
      </c>
      <c r="O848" t="s">
        <v>93</v>
      </c>
      <c r="P848" t="s">
        <v>80</v>
      </c>
      <c r="Q848">
        <v>3</v>
      </c>
      <c r="R848">
        <f>IFERROR(Table1_1[[#This Row],[Unit_Price]]*Table1_1[[#This Row],[Quantity]],"")</f>
        <v>1797</v>
      </c>
      <c r="S848">
        <f>IFERROR(Table1_1[[#This Row],[Gross_Sales]]*Table1_1[[#This Row],[Discount_%]],"")</f>
        <v>179.70000000000002</v>
      </c>
      <c r="T848">
        <f>IFERROR(Table1_1[[#This Row],[Gross_Sales]]-Table1_1[[#This Row],[Discount_amount]]+Table1_1[[#This Row],[Shipping_Cost]],"")</f>
        <v>1666.3</v>
      </c>
      <c r="U848">
        <f>IFERROR(Table1_1[[#This Row],[Net_Sale]]-(Table1_1[[#This Row],[Gross_Sales]]*70%),"")</f>
        <v>408.40000000000009</v>
      </c>
      <c r="V848" s="7">
        <f>IFERROR(Table1_1[[#This Row],[Profit]]/Table1_1[[#This Row],[Net_Sale]],"")</f>
        <v>0.24509392066254582</v>
      </c>
      <c r="W848" t="str">
        <f>TEXT(Table1_1[[#This Row],[Order_Date]],"mmm")</f>
        <v>Feb</v>
      </c>
    </row>
    <row r="849" spans="1:23" x14ac:dyDescent="0.25">
      <c r="A849" t="s">
        <v>1245</v>
      </c>
      <c r="B849" t="s">
        <v>372</v>
      </c>
      <c r="C849" s="6">
        <v>45785</v>
      </c>
      <c r="D849" t="s">
        <v>62</v>
      </c>
      <c r="E849" t="s">
        <v>63</v>
      </c>
      <c r="F849" t="s">
        <v>46</v>
      </c>
      <c r="G849" t="s">
        <v>64</v>
      </c>
      <c r="H849">
        <v>4</v>
      </c>
      <c r="I849">
        <v>699</v>
      </c>
      <c r="J849">
        <v>0.2</v>
      </c>
      <c r="K849">
        <v>79</v>
      </c>
      <c r="L849" t="s">
        <v>48</v>
      </c>
      <c r="M849" t="s">
        <v>49</v>
      </c>
      <c r="N849" t="s">
        <v>40</v>
      </c>
      <c r="O849" t="s">
        <v>41</v>
      </c>
      <c r="P849" t="s">
        <v>85</v>
      </c>
      <c r="Q849">
        <v>1</v>
      </c>
      <c r="R849">
        <f>IFERROR(Table1_1[[#This Row],[Unit_Price]]*Table1_1[[#This Row],[Quantity]],"")</f>
        <v>2796</v>
      </c>
      <c r="S849">
        <f>IFERROR(Table1_1[[#This Row],[Gross_Sales]]*Table1_1[[#This Row],[Discount_%]],"")</f>
        <v>559.20000000000005</v>
      </c>
      <c r="T849">
        <f>IFERROR(Table1_1[[#This Row],[Gross_Sales]]-Table1_1[[#This Row],[Discount_amount]]+Table1_1[[#This Row],[Shipping_Cost]],"")</f>
        <v>2315.8000000000002</v>
      </c>
      <c r="U849">
        <f>IFERROR(Table1_1[[#This Row],[Net_Sale]]-(Table1_1[[#This Row],[Gross_Sales]]*70%),"")</f>
        <v>358.60000000000036</v>
      </c>
      <c r="V849" s="7">
        <f>IFERROR(Table1_1[[#This Row],[Profit]]/Table1_1[[#This Row],[Net_Sale]],"")</f>
        <v>0.15484929613956314</v>
      </c>
      <c r="W849" t="str">
        <f>TEXT(Table1_1[[#This Row],[Order_Date]],"mmm")</f>
        <v>May</v>
      </c>
    </row>
    <row r="850" spans="1:23" x14ac:dyDescent="0.25">
      <c r="A850" t="s">
        <v>1246</v>
      </c>
      <c r="B850" t="s">
        <v>457</v>
      </c>
      <c r="C850" s="6">
        <v>45842</v>
      </c>
      <c r="D850" t="s">
        <v>25</v>
      </c>
      <c r="E850" t="s">
        <v>26</v>
      </c>
      <c r="F850" t="s">
        <v>27</v>
      </c>
      <c r="G850" t="s">
        <v>28</v>
      </c>
      <c r="H850">
        <v>1</v>
      </c>
      <c r="I850">
        <v>249</v>
      </c>
      <c r="J850">
        <v>0.05</v>
      </c>
      <c r="K850">
        <v>79</v>
      </c>
      <c r="L850" t="s">
        <v>74</v>
      </c>
      <c r="M850" t="s">
        <v>49</v>
      </c>
      <c r="N850" t="s">
        <v>102</v>
      </c>
      <c r="O850" t="s">
        <v>59</v>
      </c>
      <c r="P850" t="s">
        <v>80</v>
      </c>
      <c r="Q850">
        <v>4</v>
      </c>
      <c r="R850">
        <f>IFERROR(Table1_1[[#This Row],[Unit_Price]]*Table1_1[[#This Row],[Quantity]],"")</f>
        <v>249</v>
      </c>
      <c r="S850">
        <f>IFERROR(Table1_1[[#This Row],[Gross_Sales]]*Table1_1[[#This Row],[Discount_%]],"")</f>
        <v>12.450000000000001</v>
      </c>
      <c r="T850">
        <f>IFERROR(Table1_1[[#This Row],[Gross_Sales]]-Table1_1[[#This Row],[Discount_amount]]+Table1_1[[#This Row],[Shipping_Cost]],"")</f>
        <v>315.55</v>
      </c>
      <c r="U850">
        <f>IFERROR(Table1_1[[#This Row],[Net_Sale]]-(Table1_1[[#This Row],[Gross_Sales]]*70%),"")</f>
        <v>141.25000000000003</v>
      </c>
      <c r="V850" s="7">
        <f>IFERROR(Table1_1[[#This Row],[Profit]]/Table1_1[[#This Row],[Net_Sale]],"")</f>
        <v>0.44763112026620194</v>
      </c>
      <c r="W850" t="str">
        <f>TEXT(Table1_1[[#This Row],[Order_Date]],"mmm")</f>
        <v>Jul</v>
      </c>
    </row>
    <row r="851" spans="1:23" x14ac:dyDescent="0.25">
      <c r="A851" t="s">
        <v>1247</v>
      </c>
      <c r="B851" t="s">
        <v>495</v>
      </c>
      <c r="C851" s="6">
        <v>45836</v>
      </c>
      <c r="D851" t="s">
        <v>77</v>
      </c>
      <c r="E851" t="s">
        <v>78</v>
      </c>
      <c r="F851" t="s">
        <v>79</v>
      </c>
      <c r="G851" t="s">
        <v>28</v>
      </c>
      <c r="H851">
        <v>3</v>
      </c>
      <c r="I851">
        <v>6499</v>
      </c>
      <c r="J851">
        <v>0.2</v>
      </c>
      <c r="K851">
        <v>0</v>
      </c>
      <c r="L851" t="s">
        <v>125</v>
      </c>
      <c r="M851" t="s">
        <v>126</v>
      </c>
      <c r="N851" t="s">
        <v>71</v>
      </c>
      <c r="O851" t="s">
        <v>32</v>
      </c>
      <c r="P851" t="s">
        <v>52</v>
      </c>
      <c r="Q851">
        <v>2</v>
      </c>
      <c r="R851">
        <f>IFERROR(Table1_1[[#This Row],[Unit_Price]]*Table1_1[[#This Row],[Quantity]],"")</f>
        <v>19497</v>
      </c>
      <c r="S851">
        <f>IFERROR(Table1_1[[#This Row],[Gross_Sales]]*Table1_1[[#This Row],[Discount_%]],"")</f>
        <v>3899.4</v>
      </c>
      <c r="T851">
        <f>IFERROR(Table1_1[[#This Row],[Gross_Sales]]-Table1_1[[#This Row],[Discount_amount]]+Table1_1[[#This Row],[Shipping_Cost]],"")</f>
        <v>15597.6</v>
      </c>
      <c r="U851">
        <f>IFERROR(Table1_1[[#This Row],[Net_Sale]]-(Table1_1[[#This Row],[Gross_Sales]]*70%),"")</f>
        <v>1949.7000000000007</v>
      </c>
      <c r="V851" s="7">
        <f>IFERROR(Table1_1[[#This Row],[Profit]]/Table1_1[[#This Row],[Net_Sale]],"")</f>
        <v>0.12500000000000006</v>
      </c>
      <c r="W851" t="str">
        <f>TEXT(Table1_1[[#This Row],[Order_Date]],"mmm")</f>
        <v>Jun</v>
      </c>
    </row>
    <row r="852" spans="1:23" x14ac:dyDescent="0.25">
      <c r="A852" t="s">
        <v>1248</v>
      </c>
      <c r="B852" t="s">
        <v>1249</v>
      </c>
      <c r="C852" s="6">
        <v>45950</v>
      </c>
      <c r="D852" t="s">
        <v>77</v>
      </c>
      <c r="E852" t="s">
        <v>78</v>
      </c>
      <c r="F852" t="s">
        <v>79</v>
      </c>
      <c r="G852" t="s">
        <v>28</v>
      </c>
      <c r="H852">
        <v>3</v>
      </c>
      <c r="I852">
        <v>6499</v>
      </c>
      <c r="J852">
        <v>0</v>
      </c>
      <c r="K852">
        <v>79</v>
      </c>
      <c r="L852" t="s">
        <v>100</v>
      </c>
      <c r="M852" t="s">
        <v>101</v>
      </c>
      <c r="N852" t="s">
        <v>71</v>
      </c>
      <c r="O852" t="s">
        <v>32</v>
      </c>
      <c r="P852" t="s">
        <v>33</v>
      </c>
      <c r="Q852">
        <v>3</v>
      </c>
      <c r="R852">
        <f>IFERROR(Table1_1[[#This Row],[Unit_Price]]*Table1_1[[#This Row],[Quantity]],"")</f>
        <v>19497</v>
      </c>
      <c r="S852">
        <f>IFERROR(Table1_1[[#This Row],[Gross_Sales]]*Table1_1[[#This Row],[Discount_%]],"")</f>
        <v>0</v>
      </c>
      <c r="T852">
        <f>IFERROR(Table1_1[[#This Row],[Gross_Sales]]-Table1_1[[#This Row],[Discount_amount]]+Table1_1[[#This Row],[Shipping_Cost]],"")</f>
        <v>19576</v>
      </c>
      <c r="U852">
        <f>IFERROR(Table1_1[[#This Row],[Net_Sale]]-(Table1_1[[#This Row],[Gross_Sales]]*70%),"")</f>
        <v>5928.1</v>
      </c>
      <c r="V852" s="7">
        <f>IFERROR(Table1_1[[#This Row],[Profit]]/Table1_1[[#This Row],[Net_Sale]],"")</f>
        <v>0.30282488761749082</v>
      </c>
      <c r="W852" t="str">
        <f>TEXT(Table1_1[[#This Row],[Order_Date]],"mmm")</f>
        <v>Oct</v>
      </c>
    </row>
    <row r="853" spans="1:23" x14ac:dyDescent="0.25">
      <c r="A853" t="s">
        <v>1250</v>
      </c>
      <c r="B853" t="s">
        <v>319</v>
      </c>
      <c r="C853" s="6">
        <v>45717</v>
      </c>
      <c r="D853" t="s">
        <v>90</v>
      </c>
      <c r="E853" t="s">
        <v>91</v>
      </c>
      <c r="F853" t="s">
        <v>37</v>
      </c>
      <c r="G853" t="s">
        <v>92</v>
      </c>
      <c r="H853">
        <v>3</v>
      </c>
      <c r="I853">
        <v>3499</v>
      </c>
      <c r="J853">
        <v>0</v>
      </c>
      <c r="K853">
        <v>49</v>
      </c>
      <c r="L853" t="s">
        <v>100</v>
      </c>
      <c r="M853" t="s">
        <v>101</v>
      </c>
      <c r="N853" t="s">
        <v>430</v>
      </c>
      <c r="O853" t="s">
        <v>93</v>
      </c>
      <c r="P853" t="s">
        <v>85</v>
      </c>
      <c r="Q853">
        <v>1</v>
      </c>
      <c r="R853">
        <f>IFERROR(Table1_1[[#This Row],[Unit_Price]]*Table1_1[[#This Row],[Quantity]],"")</f>
        <v>10497</v>
      </c>
      <c r="S853">
        <f>IFERROR(Table1_1[[#This Row],[Gross_Sales]]*Table1_1[[#This Row],[Discount_%]],"")</f>
        <v>0</v>
      </c>
      <c r="T853">
        <f>IFERROR(Table1_1[[#This Row],[Gross_Sales]]-Table1_1[[#This Row],[Discount_amount]]+Table1_1[[#This Row],[Shipping_Cost]],"")</f>
        <v>10546</v>
      </c>
      <c r="U853">
        <f>IFERROR(Table1_1[[#This Row],[Net_Sale]]-(Table1_1[[#This Row],[Gross_Sales]]*70%),"")</f>
        <v>3198.1000000000004</v>
      </c>
      <c r="V853" s="7">
        <f>IFERROR(Table1_1[[#This Row],[Profit]]/Table1_1[[#This Row],[Net_Sale]],"")</f>
        <v>0.30325241797838048</v>
      </c>
      <c r="W853" t="str">
        <f>TEXT(Table1_1[[#This Row],[Order_Date]],"mmm")</f>
        <v>Mar</v>
      </c>
    </row>
    <row r="854" spans="1:23" x14ac:dyDescent="0.25">
      <c r="A854" t="s">
        <v>1251</v>
      </c>
      <c r="B854" t="s">
        <v>186</v>
      </c>
      <c r="C854" s="6">
        <v>45825</v>
      </c>
      <c r="D854" t="s">
        <v>96</v>
      </c>
      <c r="E854" t="s">
        <v>97</v>
      </c>
      <c r="F854" t="s">
        <v>98</v>
      </c>
      <c r="G854" t="s">
        <v>99</v>
      </c>
      <c r="H854">
        <v>1</v>
      </c>
      <c r="I854">
        <v>1499</v>
      </c>
      <c r="J854">
        <v>0</v>
      </c>
      <c r="K854">
        <v>59</v>
      </c>
      <c r="L854" t="s">
        <v>39</v>
      </c>
      <c r="M854" t="s">
        <v>39</v>
      </c>
      <c r="N854" t="s">
        <v>31</v>
      </c>
      <c r="O854" t="s">
        <v>41</v>
      </c>
      <c r="P854" t="s">
        <v>33</v>
      </c>
      <c r="Q854">
        <v>5</v>
      </c>
      <c r="R854">
        <f>IFERROR(Table1_1[[#This Row],[Unit_Price]]*Table1_1[[#This Row],[Quantity]],"")</f>
        <v>1499</v>
      </c>
      <c r="S854">
        <f>IFERROR(Table1_1[[#This Row],[Gross_Sales]]*Table1_1[[#This Row],[Discount_%]],"")</f>
        <v>0</v>
      </c>
      <c r="T854">
        <f>IFERROR(Table1_1[[#This Row],[Gross_Sales]]-Table1_1[[#This Row],[Discount_amount]]+Table1_1[[#This Row],[Shipping_Cost]],"")</f>
        <v>1558</v>
      </c>
      <c r="U854">
        <f>IFERROR(Table1_1[[#This Row],[Net_Sale]]-(Table1_1[[#This Row],[Gross_Sales]]*70%),"")</f>
        <v>508.70000000000005</v>
      </c>
      <c r="V854" s="7">
        <f>IFERROR(Table1_1[[#This Row],[Profit]]/Table1_1[[#This Row],[Net_Sale]],"")</f>
        <v>0.32650834403080875</v>
      </c>
      <c r="W854" t="str">
        <f>TEXT(Table1_1[[#This Row],[Order_Date]],"mmm")</f>
        <v>Jun</v>
      </c>
    </row>
    <row r="855" spans="1:23" x14ac:dyDescent="0.25">
      <c r="A855" t="s">
        <v>1252</v>
      </c>
      <c r="B855" t="s">
        <v>715</v>
      </c>
      <c r="C855" s="6">
        <v>46012</v>
      </c>
      <c r="D855" t="s">
        <v>25</v>
      </c>
      <c r="E855" t="s">
        <v>26</v>
      </c>
      <c r="F855" t="s">
        <v>27</v>
      </c>
      <c r="G855" t="s">
        <v>28</v>
      </c>
      <c r="H855">
        <v>1</v>
      </c>
      <c r="I855">
        <v>249</v>
      </c>
      <c r="J855">
        <v>0.15</v>
      </c>
      <c r="K855">
        <v>99</v>
      </c>
      <c r="L855" t="s">
        <v>119</v>
      </c>
      <c r="M855" t="s">
        <v>120</v>
      </c>
      <c r="N855" t="s">
        <v>71</v>
      </c>
      <c r="O855" t="s">
        <v>59</v>
      </c>
      <c r="P855" t="s">
        <v>33</v>
      </c>
      <c r="Q855">
        <v>3</v>
      </c>
      <c r="R855">
        <f>IFERROR(Table1_1[[#This Row],[Unit_Price]]*Table1_1[[#This Row],[Quantity]],"")</f>
        <v>249</v>
      </c>
      <c r="S855">
        <f>IFERROR(Table1_1[[#This Row],[Gross_Sales]]*Table1_1[[#This Row],[Discount_%]],"")</f>
        <v>37.35</v>
      </c>
      <c r="T855">
        <f>IFERROR(Table1_1[[#This Row],[Gross_Sales]]-Table1_1[[#This Row],[Discount_amount]]+Table1_1[[#This Row],[Shipping_Cost]],"")</f>
        <v>310.64999999999998</v>
      </c>
      <c r="U855">
        <f>IFERROR(Table1_1[[#This Row],[Net_Sale]]-(Table1_1[[#This Row],[Gross_Sales]]*70%),"")</f>
        <v>136.35</v>
      </c>
      <c r="V855" s="7">
        <f>IFERROR(Table1_1[[#This Row],[Profit]]/Table1_1[[#This Row],[Net_Sale]],"")</f>
        <v>0.43891839690970547</v>
      </c>
      <c r="W855" t="str">
        <f>TEXT(Table1_1[[#This Row],[Order_Date]],"mmm")</f>
        <v>Dec</v>
      </c>
    </row>
    <row r="856" spans="1:23" x14ac:dyDescent="0.25">
      <c r="A856" t="s">
        <v>1253</v>
      </c>
      <c r="B856" t="s">
        <v>162</v>
      </c>
      <c r="C856" s="6">
        <v>45945</v>
      </c>
      <c r="D856" t="s">
        <v>77</v>
      </c>
      <c r="E856" t="s">
        <v>78</v>
      </c>
      <c r="F856" t="s">
        <v>79</v>
      </c>
      <c r="G856" t="s">
        <v>28</v>
      </c>
      <c r="H856">
        <v>2</v>
      </c>
      <c r="I856">
        <v>6499</v>
      </c>
      <c r="J856">
        <v>0</v>
      </c>
      <c r="K856">
        <v>59</v>
      </c>
      <c r="L856" t="s">
        <v>57</v>
      </c>
      <c r="M856" t="s">
        <v>58</v>
      </c>
      <c r="N856" t="s">
        <v>71</v>
      </c>
      <c r="O856" t="s">
        <v>93</v>
      </c>
      <c r="P856" t="s">
        <v>33</v>
      </c>
      <c r="Q856">
        <v>1</v>
      </c>
      <c r="R856">
        <f>IFERROR(Table1_1[[#This Row],[Unit_Price]]*Table1_1[[#This Row],[Quantity]],"")</f>
        <v>12998</v>
      </c>
      <c r="S856">
        <f>IFERROR(Table1_1[[#This Row],[Gross_Sales]]*Table1_1[[#This Row],[Discount_%]],"")</f>
        <v>0</v>
      </c>
      <c r="T856">
        <f>IFERROR(Table1_1[[#This Row],[Gross_Sales]]-Table1_1[[#This Row],[Discount_amount]]+Table1_1[[#This Row],[Shipping_Cost]],"")</f>
        <v>13057</v>
      </c>
      <c r="U856">
        <f>IFERROR(Table1_1[[#This Row],[Net_Sale]]-(Table1_1[[#This Row],[Gross_Sales]]*70%),"")</f>
        <v>3958.4000000000015</v>
      </c>
      <c r="V856" s="7">
        <f>IFERROR(Table1_1[[#This Row],[Profit]]/Table1_1[[#This Row],[Net_Sale]],"")</f>
        <v>0.30316305430037538</v>
      </c>
      <c r="W856" t="str">
        <f>TEXT(Table1_1[[#This Row],[Order_Date]],"mmm")</f>
        <v>Oct</v>
      </c>
    </row>
    <row r="857" spans="1:23" x14ac:dyDescent="0.25">
      <c r="A857" t="s">
        <v>1254</v>
      </c>
      <c r="B857" t="s">
        <v>304</v>
      </c>
      <c r="C857" s="6">
        <v>45754</v>
      </c>
      <c r="D857" t="s">
        <v>55</v>
      </c>
      <c r="E857" t="s">
        <v>56</v>
      </c>
      <c r="F857" t="s">
        <v>37</v>
      </c>
      <c r="G857" t="s">
        <v>38</v>
      </c>
      <c r="H857">
        <v>2</v>
      </c>
      <c r="I857">
        <v>2499</v>
      </c>
      <c r="J857">
        <v>0.05</v>
      </c>
      <c r="K857">
        <v>49</v>
      </c>
      <c r="L857" t="s">
        <v>74</v>
      </c>
      <c r="M857" t="s">
        <v>49</v>
      </c>
      <c r="N857" t="s">
        <v>40</v>
      </c>
      <c r="O857" t="s">
        <v>32</v>
      </c>
      <c r="P857" t="s">
        <v>85</v>
      </c>
      <c r="Q857">
        <v>3</v>
      </c>
      <c r="R857">
        <f>IFERROR(Table1_1[[#This Row],[Unit_Price]]*Table1_1[[#This Row],[Quantity]],"")</f>
        <v>4998</v>
      </c>
      <c r="S857">
        <f>IFERROR(Table1_1[[#This Row],[Gross_Sales]]*Table1_1[[#This Row],[Discount_%]],"")</f>
        <v>249.9</v>
      </c>
      <c r="T857">
        <f>IFERROR(Table1_1[[#This Row],[Gross_Sales]]-Table1_1[[#This Row],[Discount_amount]]+Table1_1[[#This Row],[Shipping_Cost]],"")</f>
        <v>4797.1000000000004</v>
      </c>
      <c r="U857">
        <f>IFERROR(Table1_1[[#This Row],[Net_Sale]]-(Table1_1[[#This Row],[Gross_Sales]]*70%),"")</f>
        <v>1298.5000000000005</v>
      </c>
      <c r="V857" s="7">
        <f>IFERROR(Table1_1[[#This Row],[Profit]]/Table1_1[[#This Row],[Net_Sale]],"")</f>
        <v>0.27068437180796739</v>
      </c>
      <c r="W857" t="str">
        <f>TEXT(Table1_1[[#This Row],[Order_Date]],"mmm")</f>
        <v>Apr</v>
      </c>
    </row>
    <row r="858" spans="1:23" x14ac:dyDescent="0.25">
      <c r="A858" t="s">
        <v>1256</v>
      </c>
      <c r="B858" t="s">
        <v>166</v>
      </c>
      <c r="C858" s="6">
        <v>45932</v>
      </c>
      <c r="D858" t="s">
        <v>35</v>
      </c>
      <c r="E858" t="s">
        <v>36</v>
      </c>
      <c r="F858" t="s">
        <v>37</v>
      </c>
      <c r="G858" t="s">
        <v>38</v>
      </c>
      <c r="H858">
        <v>1</v>
      </c>
      <c r="I858">
        <v>599</v>
      </c>
      <c r="J858">
        <v>0.1</v>
      </c>
      <c r="K858">
        <v>59</v>
      </c>
      <c r="L858" t="s">
        <v>48</v>
      </c>
      <c r="M858" t="s">
        <v>49</v>
      </c>
      <c r="N858" t="s">
        <v>50</v>
      </c>
      <c r="O858" t="s">
        <v>32</v>
      </c>
      <c r="P858" t="s">
        <v>52</v>
      </c>
      <c r="Q858">
        <v>3</v>
      </c>
      <c r="R858">
        <f>IFERROR(Table1_1[[#This Row],[Unit_Price]]*Table1_1[[#This Row],[Quantity]],"")</f>
        <v>599</v>
      </c>
      <c r="S858">
        <f>IFERROR(Table1_1[[#This Row],[Gross_Sales]]*Table1_1[[#This Row],[Discount_%]],"")</f>
        <v>59.900000000000006</v>
      </c>
      <c r="T858">
        <f>IFERROR(Table1_1[[#This Row],[Gross_Sales]]-Table1_1[[#This Row],[Discount_amount]]+Table1_1[[#This Row],[Shipping_Cost]],"")</f>
        <v>598.1</v>
      </c>
      <c r="U858">
        <f>IFERROR(Table1_1[[#This Row],[Net_Sale]]-(Table1_1[[#This Row],[Gross_Sales]]*70%),"")</f>
        <v>178.80000000000007</v>
      </c>
      <c r="V858" s="7">
        <f>IFERROR(Table1_1[[#This Row],[Profit]]/Table1_1[[#This Row],[Net_Sale]],"")</f>
        <v>0.29894666443738516</v>
      </c>
      <c r="W858" t="str">
        <f>TEXT(Table1_1[[#This Row],[Order_Date]],"mmm")</f>
        <v>Oct</v>
      </c>
    </row>
    <row r="859" spans="1:23" x14ac:dyDescent="0.25">
      <c r="A859" t="s">
        <v>1257</v>
      </c>
      <c r="B859" t="s">
        <v>591</v>
      </c>
      <c r="C859" s="6">
        <v>45860</v>
      </c>
      <c r="D859" t="s">
        <v>44</v>
      </c>
      <c r="E859" t="s">
        <v>45</v>
      </c>
      <c r="F859" t="s">
        <v>46</v>
      </c>
      <c r="G859" t="s">
        <v>47</v>
      </c>
      <c r="H859">
        <v>1</v>
      </c>
      <c r="I859">
        <v>1199</v>
      </c>
      <c r="J859">
        <v>0.05</v>
      </c>
      <c r="K859">
        <v>49</v>
      </c>
      <c r="L859" t="s">
        <v>125</v>
      </c>
      <c r="M859" t="s">
        <v>126</v>
      </c>
      <c r="N859" t="s">
        <v>50</v>
      </c>
      <c r="O859" t="s">
        <v>59</v>
      </c>
      <c r="P859" t="s">
        <v>52</v>
      </c>
      <c r="Q859">
        <v>3</v>
      </c>
      <c r="R859">
        <f>IFERROR(Table1_1[[#This Row],[Unit_Price]]*Table1_1[[#This Row],[Quantity]],"")</f>
        <v>1199</v>
      </c>
      <c r="S859">
        <f>IFERROR(Table1_1[[#This Row],[Gross_Sales]]*Table1_1[[#This Row],[Discount_%]],"")</f>
        <v>59.95</v>
      </c>
      <c r="T859">
        <f>IFERROR(Table1_1[[#This Row],[Gross_Sales]]-Table1_1[[#This Row],[Discount_amount]]+Table1_1[[#This Row],[Shipping_Cost]],"")</f>
        <v>1188.05</v>
      </c>
      <c r="U859">
        <f>IFERROR(Table1_1[[#This Row],[Net_Sale]]-(Table1_1[[#This Row],[Gross_Sales]]*70%),"")</f>
        <v>348.75</v>
      </c>
      <c r="V859" s="7">
        <f>IFERROR(Table1_1[[#This Row],[Profit]]/Table1_1[[#This Row],[Net_Sale]],"")</f>
        <v>0.29354825133622325</v>
      </c>
      <c r="W859" t="str">
        <f>TEXT(Table1_1[[#This Row],[Order_Date]],"mmm")</f>
        <v>Jul</v>
      </c>
    </row>
    <row r="860" spans="1:23" x14ac:dyDescent="0.25">
      <c r="A860" t="s">
        <v>1258</v>
      </c>
      <c r="B860" t="s">
        <v>385</v>
      </c>
      <c r="C860" s="6">
        <v>45732</v>
      </c>
      <c r="D860" t="s">
        <v>90</v>
      </c>
      <c r="E860" t="s">
        <v>91</v>
      </c>
      <c r="F860" t="s">
        <v>37</v>
      </c>
      <c r="G860" t="s">
        <v>92</v>
      </c>
      <c r="H860">
        <v>2</v>
      </c>
      <c r="I860">
        <v>3499</v>
      </c>
      <c r="J860">
        <v>0</v>
      </c>
      <c r="K860">
        <v>99</v>
      </c>
      <c r="L860" t="s">
        <v>100</v>
      </c>
      <c r="M860" t="s">
        <v>101</v>
      </c>
      <c r="N860" t="s">
        <v>71</v>
      </c>
      <c r="O860" t="s">
        <v>32</v>
      </c>
      <c r="P860" t="s">
        <v>80</v>
      </c>
      <c r="Q860">
        <v>3</v>
      </c>
      <c r="R860">
        <f>IFERROR(Table1_1[[#This Row],[Unit_Price]]*Table1_1[[#This Row],[Quantity]],"")</f>
        <v>6998</v>
      </c>
      <c r="S860">
        <f>IFERROR(Table1_1[[#This Row],[Gross_Sales]]*Table1_1[[#This Row],[Discount_%]],"")</f>
        <v>0</v>
      </c>
      <c r="T860">
        <f>IFERROR(Table1_1[[#This Row],[Gross_Sales]]-Table1_1[[#This Row],[Discount_amount]]+Table1_1[[#This Row],[Shipping_Cost]],"")</f>
        <v>7097</v>
      </c>
      <c r="U860">
        <f>IFERROR(Table1_1[[#This Row],[Net_Sale]]-(Table1_1[[#This Row],[Gross_Sales]]*70%),"")</f>
        <v>2198.4000000000005</v>
      </c>
      <c r="V860" s="7">
        <f>IFERROR(Table1_1[[#This Row],[Profit]]/Table1_1[[#This Row],[Net_Sale]],"")</f>
        <v>0.30976468930534035</v>
      </c>
      <c r="W860" t="str">
        <f>TEXT(Table1_1[[#This Row],[Order_Date]],"mmm")</f>
        <v>Mar</v>
      </c>
    </row>
    <row r="861" spans="1:23" x14ac:dyDescent="0.25">
      <c r="A861" t="s">
        <v>1259</v>
      </c>
      <c r="B861" t="s">
        <v>252</v>
      </c>
      <c r="C861" s="6">
        <v>46019</v>
      </c>
      <c r="D861" t="s">
        <v>55</v>
      </c>
      <c r="E861" t="s">
        <v>56</v>
      </c>
      <c r="F861" t="s">
        <v>37</v>
      </c>
      <c r="G861" t="s">
        <v>38</v>
      </c>
      <c r="H861">
        <v>5</v>
      </c>
      <c r="I861">
        <v>2499</v>
      </c>
      <c r="J861">
        <v>0</v>
      </c>
      <c r="K861">
        <v>79</v>
      </c>
      <c r="L861" t="s">
        <v>48</v>
      </c>
      <c r="M861" t="s">
        <v>49</v>
      </c>
      <c r="N861" t="s">
        <v>40</v>
      </c>
      <c r="O861" t="s">
        <v>93</v>
      </c>
      <c r="P861" t="s">
        <v>80</v>
      </c>
      <c r="Q861">
        <v>3</v>
      </c>
      <c r="R861">
        <f>IFERROR(Table1_1[[#This Row],[Unit_Price]]*Table1_1[[#This Row],[Quantity]],"")</f>
        <v>12495</v>
      </c>
      <c r="S861">
        <f>IFERROR(Table1_1[[#This Row],[Gross_Sales]]*Table1_1[[#This Row],[Discount_%]],"")</f>
        <v>0</v>
      </c>
      <c r="T861">
        <f>IFERROR(Table1_1[[#This Row],[Gross_Sales]]-Table1_1[[#This Row],[Discount_amount]]+Table1_1[[#This Row],[Shipping_Cost]],"")</f>
        <v>12574</v>
      </c>
      <c r="U861">
        <f>IFERROR(Table1_1[[#This Row],[Net_Sale]]-(Table1_1[[#This Row],[Gross_Sales]]*70%),"")</f>
        <v>3827.5</v>
      </c>
      <c r="V861" s="7">
        <f>IFERROR(Table1_1[[#This Row],[Profit]]/Table1_1[[#This Row],[Net_Sale]],"")</f>
        <v>0.30439796405280739</v>
      </c>
      <c r="W861" t="str">
        <f>TEXT(Table1_1[[#This Row],[Order_Date]],"mmm")</f>
        <v>Dec</v>
      </c>
    </row>
    <row r="862" spans="1:23" x14ac:dyDescent="0.25">
      <c r="A862" t="s">
        <v>1260</v>
      </c>
      <c r="B862" t="s">
        <v>479</v>
      </c>
      <c r="C862" s="6">
        <v>45765</v>
      </c>
      <c r="D862" t="s">
        <v>169</v>
      </c>
      <c r="E862" t="s">
        <v>170</v>
      </c>
      <c r="F862" t="s">
        <v>98</v>
      </c>
      <c r="G862" t="s">
        <v>171</v>
      </c>
      <c r="H862">
        <v>3</v>
      </c>
      <c r="I862">
        <v>799</v>
      </c>
      <c r="J862">
        <v>0.2</v>
      </c>
      <c r="K862">
        <v>0</v>
      </c>
      <c r="L862" t="s">
        <v>100</v>
      </c>
      <c r="M862" t="s">
        <v>101</v>
      </c>
      <c r="N862" t="s">
        <v>40</v>
      </c>
      <c r="O862" t="s">
        <v>59</v>
      </c>
      <c r="P862" t="s">
        <v>33</v>
      </c>
      <c r="Q862">
        <v>3</v>
      </c>
      <c r="R862">
        <f>IFERROR(Table1_1[[#This Row],[Unit_Price]]*Table1_1[[#This Row],[Quantity]],"")</f>
        <v>2397</v>
      </c>
      <c r="S862">
        <f>IFERROR(Table1_1[[#This Row],[Gross_Sales]]*Table1_1[[#This Row],[Discount_%]],"")</f>
        <v>479.40000000000003</v>
      </c>
      <c r="T862">
        <f>IFERROR(Table1_1[[#This Row],[Gross_Sales]]-Table1_1[[#This Row],[Discount_amount]]+Table1_1[[#This Row],[Shipping_Cost]],"")</f>
        <v>1917.6</v>
      </c>
      <c r="U862">
        <f>IFERROR(Table1_1[[#This Row],[Net_Sale]]-(Table1_1[[#This Row],[Gross_Sales]]*70%),"")</f>
        <v>239.70000000000005</v>
      </c>
      <c r="V862" s="7">
        <f>IFERROR(Table1_1[[#This Row],[Profit]]/Table1_1[[#This Row],[Net_Sale]],"")</f>
        <v>0.12500000000000003</v>
      </c>
      <c r="W862" t="str">
        <f>TEXT(Table1_1[[#This Row],[Order_Date]],"mmm")</f>
        <v>Apr</v>
      </c>
    </row>
    <row r="863" spans="1:23" x14ac:dyDescent="0.25">
      <c r="A863" t="s">
        <v>1261</v>
      </c>
      <c r="B863" t="s">
        <v>144</v>
      </c>
      <c r="C863" s="6">
        <v>45938</v>
      </c>
      <c r="D863" t="s">
        <v>25</v>
      </c>
      <c r="E863" t="s">
        <v>26</v>
      </c>
      <c r="F863" t="s">
        <v>27</v>
      </c>
      <c r="G863" t="s">
        <v>28</v>
      </c>
      <c r="H863">
        <v>5</v>
      </c>
      <c r="I863">
        <v>249</v>
      </c>
      <c r="J863">
        <v>0.2</v>
      </c>
      <c r="K863">
        <v>79</v>
      </c>
      <c r="L863" t="s">
        <v>100</v>
      </c>
      <c r="M863" t="s">
        <v>101</v>
      </c>
      <c r="N863" t="s">
        <v>40</v>
      </c>
      <c r="O863" t="s">
        <v>59</v>
      </c>
      <c r="P863" t="s">
        <v>52</v>
      </c>
      <c r="Q863">
        <v>1</v>
      </c>
      <c r="R863">
        <f>IFERROR(Table1_1[[#This Row],[Unit_Price]]*Table1_1[[#This Row],[Quantity]],"")</f>
        <v>1245</v>
      </c>
      <c r="S863">
        <f>IFERROR(Table1_1[[#This Row],[Gross_Sales]]*Table1_1[[#This Row],[Discount_%]],"")</f>
        <v>249</v>
      </c>
      <c r="T863">
        <f>IFERROR(Table1_1[[#This Row],[Gross_Sales]]-Table1_1[[#This Row],[Discount_amount]]+Table1_1[[#This Row],[Shipping_Cost]],"")</f>
        <v>1075</v>
      </c>
      <c r="U863">
        <f>IFERROR(Table1_1[[#This Row],[Net_Sale]]-(Table1_1[[#This Row],[Gross_Sales]]*70%),"")</f>
        <v>203.5</v>
      </c>
      <c r="V863" s="7">
        <f>IFERROR(Table1_1[[#This Row],[Profit]]/Table1_1[[#This Row],[Net_Sale]],"")</f>
        <v>0.18930232558139534</v>
      </c>
      <c r="W863" t="str">
        <f>TEXT(Table1_1[[#This Row],[Order_Date]],"mmm")</f>
        <v>Oct</v>
      </c>
    </row>
    <row r="864" spans="1:23" x14ac:dyDescent="0.25">
      <c r="A864" t="s">
        <v>1262</v>
      </c>
      <c r="B864" t="s">
        <v>697</v>
      </c>
      <c r="C864" s="6">
        <v>45757</v>
      </c>
      <c r="D864" t="s">
        <v>62</v>
      </c>
      <c r="E864" t="s">
        <v>63</v>
      </c>
      <c r="F864" t="s">
        <v>46</v>
      </c>
      <c r="G864" t="s">
        <v>64</v>
      </c>
      <c r="H864">
        <v>1</v>
      </c>
      <c r="I864">
        <v>2017</v>
      </c>
      <c r="J864">
        <v>0.1</v>
      </c>
      <c r="K864">
        <v>0</v>
      </c>
      <c r="L864" t="s">
        <v>48</v>
      </c>
      <c r="M864" t="s">
        <v>49</v>
      </c>
      <c r="N864" t="s">
        <v>71</v>
      </c>
      <c r="O864" t="s">
        <v>32</v>
      </c>
      <c r="P864" t="s">
        <v>85</v>
      </c>
      <c r="Q864">
        <v>3</v>
      </c>
      <c r="R864">
        <f>IFERROR(Table1_1[[#This Row],[Unit_Price]]*Table1_1[[#This Row],[Quantity]],"")</f>
        <v>2017</v>
      </c>
      <c r="S864">
        <f>IFERROR(Table1_1[[#This Row],[Gross_Sales]]*Table1_1[[#This Row],[Discount_%]],"")</f>
        <v>201.70000000000002</v>
      </c>
      <c r="T864">
        <f>IFERROR(Table1_1[[#This Row],[Gross_Sales]]-Table1_1[[#This Row],[Discount_amount]]+Table1_1[[#This Row],[Shipping_Cost]],"")</f>
        <v>1815.3</v>
      </c>
      <c r="U864">
        <f>IFERROR(Table1_1[[#This Row],[Net_Sale]]-(Table1_1[[#This Row],[Gross_Sales]]*70%),"")</f>
        <v>403.40000000000009</v>
      </c>
      <c r="V864" s="7">
        <f>IFERROR(Table1_1[[#This Row],[Profit]]/Table1_1[[#This Row],[Net_Sale]],"")</f>
        <v>0.22222222222222227</v>
      </c>
      <c r="W864" t="str">
        <f>TEXT(Table1_1[[#This Row],[Order_Date]],"mmm")</f>
        <v>Apr</v>
      </c>
    </row>
    <row r="865" spans="1:23" x14ac:dyDescent="0.25">
      <c r="A865" t="s">
        <v>1263</v>
      </c>
      <c r="B865" t="s">
        <v>252</v>
      </c>
      <c r="C865" s="6">
        <v>45741</v>
      </c>
      <c r="D865" t="s">
        <v>35</v>
      </c>
      <c r="E865" t="s">
        <v>36</v>
      </c>
      <c r="F865" t="s">
        <v>37</v>
      </c>
      <c r="G865" t="s">
        <v>38</v>
      </c>
      <c r="H865">
        <v>2</v>
      </c>
      <c r="I865">
        <v>599</v>
      </c>
      <c r="J865">
        <v>0.2</v>
      </c>
      <c r="K865">
        <v>79</v>
      </c>
      <c r="L865" t="s">
        <v>48</v>
      </c>
      <c r="M865" t="s">
        <v>49</v>
      </c>
      <c r="N865" t="s">
        <v>50</v>
      </c>
      <c r="O865" t="s">
        <v>41</v>
      </c>
      <c r="P865" t="s">
        <v>52</v>
      </c>
      <c r="Q865">
        <v>2</v>
      </c>
      <c r="R865">
        <f>IFERROR(Table1_1[[#This Row],[Unit_Price]]*Table1_1[[#This Row],[Quantity]],"")</f>
        <v>1198</v>
      </c>
      <c r="S865">
        <f>IFERROR(Table1_1[[#This Row],[Gross_Sales]]*Table1_1[[#This Row],[Discount_%]],"")</f>
        <v>239.60000000000002</v>
      </c>
      <c r="T865">
        <f>IFERROR(Table1_1[[#This Row],[Gross_Sales]]-Table1_1[[#This Row],[Discount_amount]]+Table1_1[[#This Row],[Shipping_Cost]],"")</f>
        <v>1037.4000000000001</v>
      </c>
      <c r="U865">
        <f>IFERROR(Table1_1[[#This Row],[Net_Sale]]-(Table1_1[[#This Row],[Gross_Sales]]*70%),"")</f>
        <v>198.80000000000018</v>
      </c>
      <c r="V865" s="7">
        <f>IFERROR(Table1_1[[#This Row],[Profit]]/Table1_1[[#This Row],[Net_Sale]],"")</f>
        <v>0.19163292847503391</v>
      </c>
      <c r="W865" t="str">
        <f>TEXT(Table1_1[[#This Row],[Order_Date]],"mmm")</f>
        <v>Mar</v>
      </c>
    </row>
    <row r="866" spans="1:23" x14ac:dyDescent="0.25">
      <c r="A866" t="s">
        <v>1264</v>
      </c>
      <c r="B866" t="s">
        <v>347</v>
      </c>
      <c r="C866" s="6">
        <v>45662</v>
      </c>
      <c r="D866" t="s">
        <v>77</v>
      </c>
      <c r="E866" t="s">
        <v>78</v>
      </c>
      <c r="F866" t="s">
        <v>79</v>
      </c>
      <c r="G866" t="s">
        <v>28</v>
      </c>
      <c r="H866">
        <v>2</v>
      </c>
      <c r="I866">
        <v>6499</v>
      </c>
      <c r="J866">
        <v>0</v>
      </c>
      <c r="K866">
        <v>49</v>
      </c>
      <c r="L866" t="s">
        <v>113</v>
      </c>
      <c r="M866" t="s">
        <v>114</v>
      </c>
      <c r="N866" t="s">
        <v>40</v>
      </c>
      <c r="O866" t="s">
        <v>41</v>
      </c>
      <c r="P866" t="s">
        <v>85</v>
      </c>
      <c r="Q866">
        <v>1</v>
      </c>
      <c r="R866">
        <f>IFERROR(Table1_1[[#This Row],[Unit_Price]]*Table1_1[[#This Row],[Quantity]],"")</f>
        <v>12998</v>
      </c>
      <c r="S866">
        <f>IFERROR(Table1_1[[#This Row],[Gross_Sales]]*Table1_1[[#This Row],[Discount_%]],"")</f>
        <v>0</v>
      </c>
      <c r="T866">
        <f>IFERROR(Table1_1[[#This Row],[Gross_Sales]]-Table1_1[[#This Row],[Discount_amount]]+Table1_1[[#This Row],[Shipping_Cost]],"")</f>
        <v>13047</v>
      </c>
      <c r="U866">
        <f>IFERROR(Table1_1[[#This Row],[Net_Sale]]-(Table1_1[[#This Row],[Gross_Sales]]*70%),"")</f>
        <v>3948.4000000000015</v>
      </c>
      <c r="V866" s="7">
        <f>IFERROR(Table1_1[[#This Row],[Profit]]/Table1_1[[#This Row],[Net_Sale]],"")</f>
        <v>0.30262895684831775</v>
      </c>
      <c r="W866" t="str">
        <f>TEXT(Table1_1[[#This Row],[Order_Date]],"mmm")</f>
        <v>Jan</v>
      </c>
    </row>
    <row r="867" spans="1:23" x14ac:dyDescent="0.25">
      <c r="A867" t="s">
        <v>1265</v>
      </c>
      <c r="B867" t="s">
        <v>265</v>
      </c>
      <c r="C867" s="6">
        <v>45749</v>
      </c>
      <c r="D867" t="s">
        <v>55</v>
      </c>
      <c r="E867" t="s">
        <v>56</v>
      </c>
      <c r="F867" t="s">
        <v>37</v>
      </c>
      <c r="G867" t="s">
        <v>38</v>
      </c>
      <c r="H867">
        <v>1</v>
      </c>
      <c r="I867">
        <v>2499</v>
      </c>
      <c r="J867">
        <v>0.2</v>
      </c>
      <c r="K867">
        <v>59</v>
      </c>
      <c r="L867" t="s">
        <v>934</v>
      </c>
      <c r="M867" t="s">
        <v>49</v>
      </c>
      <c r="N867" t="s">
        <v>50</v>
      </c>
      <c r="O867" t="s">
        <v>59</v>
      </c>
      <c r="P867" t="s">
        <v>85</v>
      </c>
      <c r="Q867">
        <v>2</v>
      </c>
      <c r="R867">
        <f>IFERROR(Table1_1[[#This Row],[Unit_Price]]*Table1_1[[#This Row],[Quantity]],"")</f>
        <v>2499</v>
      </c>
      <c r="S867">
        <f>IFERROR(Table1_1[[#This Row],[Gross_Sales]]*Table1_1[[#This Row],[Discount_%]],"")</f>
        <v>499.8</v>
      </c>
      <c r="T867">
        <f>IFERROR(Table1_1[[#This Row],[Gross_Sales]]-Table1_1[[#This Row],[Discount_amount]]+Table1_1[[#This Row],[Shipping_Cost]],"")</f>
        <v>2058.1999999999998</v>
      </c>
      <c r="U867">
        <f>IFERROR(Table1_1[[#This Row],[Net_Sale]]-(Table1_1[[#This Row],[Gross_Sales]]*70%),"")</f>
        <v>308.89999999999986</v>
      </c>
      <c r="V867" s="7">
        <f>IFERROR(Table1_1[[#This Row],[Profit]]/Table1_1[[#This Row],[Net_Sale]],"")</f>
        <v>0.15008259644349425</v>
      </c>
      <c r="W867" t="str">
        <f>TEXT(Table1_1[[#This Row],[Order_Date]],"mmm")</f>
        <v>Apr</v>
      </c>
    </row>
    <row r="868" spans="1:23" x14ac:dyDescent="0.25">
      <c r="A868" t="s">
        <v>1266</v>
      </c>
      <c r="B868" t="s">
        <v>323</v>
      </c>
      <c r="C868" s="6">
        <v>45908</v>
      </c>
      <c r="D868" t="s">
        <v>35</v>
      </c>
      <c r="E868" t="s">
        <v>36</v>
      </c>
      <c r="F868" t="s">
        <v>37</v>
      </c>
      <c r="G868" t="s">
        <v>38</v>
      </c>
      <c r="H868">
        <v>1</v>
      </c>
      <c r="I868">
        <v>599</v>
      </c>
      <c r="J868">
        <v>0</v>
      </c>
      <c r="K868">
        <v>79</v>
      </c>
      <c r="L868" t="s">
        <v>29</v>
      </c>
      <c r="M868" t="s">
        <v>30</v>
      </c>
      <c r="N868" t="s">
        <v>40</v>
      </c>
      <c r="O868" t="s">
        <v>59</v>
      </c>
      <c r="P868" t="s">
        <v>85</v>
      </c>
      <c r="Q868">
        <v>3</v>
      </c>
      <c r="R868">
        <f>IFERROR(Table1_1[[#This Row],[Unit_Price]]*Table1_1[[#This Row],[Quantity]],"")</f>
        <v>599</v>
      </c>
      <c r="S868">
        <f>IFERROR(Table1_1[[#This Row],[Gross_Sales]]*Table1_1[[#This Row],[Discount_%]],"")</f>
        <v>0</v>
      </c>
      <c r="T868">
        <f>IFERROR(Table1_1[[#This Row],[Gross_Sales]]-Table1_1[[#This Row],[Discount_amount]]+Table1_1[[#This Row],[Shipping_Cost]],"")</f>
        <v>678</v>
      </c>
      <c r="U868">
        <f>IFERROR(Table1_1[[#This Row],[Net_Sale]]-(Table1_1[[#This Row],[Gross_Sales]]*70%),"")</f>
        <v>258.70000000000005</v>
      </c>
      <c r="V868" s="7">
        <f>IFERROR(Table1_1[[#This Row],[Profit]]/Table1_1[[#This Row],[Net_Sale]],"")</f>
        <v>0.38156342182890862</v>
      </c>
      <c r="W868" t="str">
        <f>TEXT(Table1_1[[#This Row],[Order_Date]],"mmm")</f>
        <v>Sep</v>
      </c>
    </row>
    <row r="869" spans="1:23" x14ac:dyDescent="0.25">
      <c r="A869" t="s">
        <v>1267</v>
      </c>
      <c r="B869" t="s">
        <v>642</v>
      </c>
      <c r="C869" s="6">
        <v>45719</v>
      </c>
      <c r="D869" t="s">
        <v>25</v>
      </c>
      <c r="E869" t="s">
        <v>26</v>
      </c>
      <c r="F869" t="s">
        <v>27</v>
      </c>
      <c r="G869" t="s">
        <v>28</v>
      </c>
      <c r="H869">
        <v>1</v>
      </c>
      <c r="I869">
        <v>249</v>
      </c>
      <c r="J869">
        <v>0.1</v>
      </c>
      <c r="K869">
        <v>99</v>
      </c>
      <c r="L869" t="s">
        <v>119</v>
      </c>
      <c r="M869" t="s">
        <v>120</v>
      </c>
      <c r="N869" t="s">
        <v>31</v>
      </c>
      <c r="O869" t="s">
        <v>32</v>
      </c>
      <c r="P869" t="s">
        <v>33</v>
      </c>
      <c r="Q869">
        <v>5</v>
      </c>
      <c r="R869">
        <f>IFERROR(Table1_1[[#This Row],[Unit_Price]]*Table1_1[[#This Row],[Quantity]],"")</f>
        <v>249</v>
      </c>
      <c r="S869">
        <f>IFERROR(Table1_1[[#This Row],[Gross_Sales]]*Table1_1[[#This Row],[Discount_%]],"")</f>
        <v>24.900000000000002</v>
      </c>
      <c r="T869">
        <f>IFERROR(Table1_1[[#This Row],[Gross_Sales]]-Table1_1[[#This Row],[Discount_amount]]+Table1_1[[#This Row],[Shipping_Cost]],"")</f>
        <v>323.10000000000002</v>
      </c>
      <c r="U869">
        <f>IFERROR(Table1_1[[#This Row],[Net_Sale]]-(Table1_1[[#This Row],[Gross_Sales]]*70%),"")</f>
        <v>148.80000000000004</v>
      </c>
      <c r="V869" s="7">
        <f>IFERROR(Table1_1[[#This Row],[Profit]]/Table1_1[[#This Row],[Net_Sale]],"")</f>
        <v>0.46053853296193137</v>
      </c>
      <c r="W869" t="str">
        <f>TEXT(Table1_1[[#This Row],[Order_Date]],"mmm")</f>
        <v>Mar</v>
      </c>
    </row>
    <row r="870" spans="1:23" x14ac:dyDescent="0.25">
      <c r="A870" t="s">
        <v>1268</v>
      </c>
      <c r="B870" t="s">
        <v>95</v>
      </c>
      <c r="C870" s="6">
        <v>45706</v>
      </c>
      <c r="D870" t="s">
        <v>44</v>
      </c>
      <c r="E870" t="s">
        <v>45</v>
      </c>
      <c r="F870" t="s">
        <v>46</v>
      </c>
      <c r="G870" t="s">
        <v>47</v>
      </c>
      <c r="H870">
        <v>1</v>
      </c>
      <c r="I870">
        <v>1199</v>
      </c>
      <c r="J870">
        <v>0.1</v>
      </c>
      <c r="K870">
        <v>79</v>
      </c>
      <c r="L870" t="s">
        <v>119</v>
      </c>
      <c r="M870" t="s">
        <v>120</v>
      </c>
      <c r="N870" t="s">
        <v>102</v>
      </c>
      <c r="O870" t="s">
        <v>41</v>
      </c>
      <c r="P870" t="s">
        <v>52</v>
      </c>
      <c r="Q870">
        <v>1</v>
      </c>
      <c r="R870">
        <f>IFERROR(Table1_1[[#This Row],[Unit_Price]]*Table1_1[[#This Row],[Quantity]],"")</f>
        <v>1199</v>
      </c>
      <c r="S870">
        <f>IFERROR(Table1_1[[#This Row],[Gross_Sales]]*Table1_1[[#This Row],[Discount_%]],"")</f>
        <v>119.9</v>
      </c>
      <c r="T870">
        <f>IFERROR(Table1_1[[#This Row],[Gross_Sales]]-Table1_1[[#This Row],[Discount_amount]]+Table1_1[[#This Row],[Shipping_Cost]],"")</f>
        <v>1158.0999999999999</v>
      </c>
      <c r="U870">
        <f>IFERROR(Table1_1[[#This Row],[Net_Sale]]-(Table1_1[[#This Row],[Gross_Sales]]*70%),"")</f>
        <v>318.79999999999995</v>
      </c>
      <c r="V870" s="7">
        <f>IFERROR(Table1_1[[#This Row],[Profit]]/Table1_1[[#This Row],[Net_Sale]],"")</f>
        <v>0.27527847336154043</v>
      </c>
      <c r="W870" t="str">
        <f>TEXT(Table1_1[[#This Row],[Order_Date]],"mmm")</f>
        <v>Feb</v>
      </c>
    </row>
    <row r="871" spans="1:23" x14ac:dyDescent="0.25">
      <c r="A871" t="s">
        <v>1269</v>
      </c>
      <c r="B871" t="s">
        <v>309</v>
      </c>
      <c r="C871" s="6">
        <v>45933</v>
      </c>
      <c r="D871" t="s">
        <v>169</v>
      </c>
      <c r="E871" t="s">
        <v>170</v>
      </c>
      <c r="F871" t="s">
        <v>98</v>
      </c>
      <c r="G871" t="s">
        <v>171</v>
      </c>
      <c r="H871">
        <v>2</v>
      </c>
      <c r="I871">
        <v>799</v>
      </c>
      <c r="J871">
        <v>0</v>
      </c>
      <c r="K871">
        <v>79</v>
      </c>
      <c r="L871" t="s">
        <v>29</v>
      </c>
      <c r="M871" t="s">
        <v>30</v>
      </c>
      <c r="N871" t="s">
        <v>102</v>
      </c>
      <c r="O871" t="s">
        <v>32</v>
      </c>
      <c r="P871" t="s">
        <v>80</v>
      </c>
      <c r="Q871">
        <v>4</v>
      </c>
      <c r="R871">
        <f>IFERROR(Table1_1[[#This Row],[Unit_Price]]*Table1_1[[#This Row],[Quantity]],"")</f>
        <v>1598</v>
      </c>
      <c r="S871">
        <f>IFERROR(Table1_1[[#This Row],[Gross_Sales]]*Table1_1[[#This Row],[Discount_%]],"")</f>
        <v>0</v>
      </c>
      <c r="T871">
        <f>IFERROR(Table1_1[[#This Row],[Gross_Sales]]-Table1_1[[#This Row],[Discount_amount]]+Table1_1[[#This Row],[Shipping_Cost]],"")</f>
        <v>1677</v>
      </c>
      <c r="U871">
        <f>IFERROR(Table1_1[[#This Row],[Net_Sale]]-(Table1_1[[#This Row],[Gross_Sales]]*70%),"")</f>
        <v>558.40000000000009</v>
      </c>
      <c r="V871" s="7">
        <f>IFERROR(Table1_1[[#This Row],[Profit]]/Table1_1[[#This Row],[Net_Sale]],"")</f>
        <v>0.33297555158020281</v>
      </c>
      <c r="W871" t="str">
        <f>TEXT(Table1_1[[#This Row],[Order_Date]],"mmm")</f>
        <v>Oct</v>
      </c>
    </row>
    <row r="872" spans="1:23" x14ac:dyDescent="0.25">
      <c r="A872" t="s">
        <v>1270</v>
      </c>
      <c r="B872" t="s">
        <v>411</v>
      </c>
      <c r="C872" s="6">
        <v>45933</v>
      </c>
      <c r="D872" t="s">
        <v>55</v>
      </c>
      <c r="E872" t="s">
        <v>56</v>
      </c>
      <c r="F872" t="s">
        <v>37</v>
      </c>
      <c r="G872" t="s">
        <v>38</v>
      </c>
      <c r="H872">
        <v>3</v>
      </c>
      <c r="I872">
        <v>2499</v>
      </c>
      <c r="J872">
        <v>0</v>
      </c>
      <c r="K872">
        <v>49</v>
      </c>
      <c r="L872" t="s">
        <v>83</v>
      </c>
      <c r="M872" t="s">
        <v>84</v>
      </c>
      <c r="N872" t="s">
        <v>50</v>
      </c>
      <c r="O872" t="s">
        <v>32</v>
      </c>
      <c r="P872" t="s">
        <v>80</v>
      </c>
      <c r="Q872">
        <v>3</v>
      </c>
      <c r="R872">
        <f>IFERROR(Table1_1[[#This Row],[Unit_Price]]*Table1_1[[#This Row],[Quantity]],"")</f>
        <v>7497</v>
      </c>
      <c r="S872">
        <f>IFERROR(Table1_1[[#This Row],[Gross_Sales]]*Table1_1[[#This Row],[Discount_%]],"")</f>
        <v>0</v>
      </c>
      <c r="T872">
        <f>IFERROR(Table1_1[[#This Row],[Gross_Sales]]-Table1_1[[#This Row],[Discount_amount]]+Table1_1[[#This Row],[Shipping_Cost]],"")</f>
        <v>7546</v>
      </c>
      <c r="U872">
        <f>IFERROR(Table1_1[[#This Row],[Net_Sale]]-(Table1_1[[#This Row],[Gross_Sales]]*70%),"")</f>
        <v>2298.1000000000004</v>
      </c>
      <c r="V872" s="7">
        <f>IFERROR(Table1_1[[#This Row],[Profit]]/Table1_1[[#This Row],[Net_Sale]],"")</f>
        <v>0.30454545454545462</v>
      </c>
      <c r="W872" t="str">
        <f>TEXT(Table1_1[[#This Row],[Order_Date]],"mmm")</f>
        <v>Oct</v>
      </c>
    </row>
    <row r="873" spans="1:23" x14ac:dyDescent="0.25">
      <c r="A873" t="s">
        <v>1271</v>
      </c>
      <c r="B873" t="s">
        <v>354</v>
      </c>
      <c r="C873" s="6">
        <v>45818</v>
      </c>
      <c r="D873" t="s">
        <v>105</v>
      </c>
      <c r="E873" t="s">
        <v>106</v>
      </c>
      <c r="F873" t="s">
        <v>37</v>
      </c>
      <c r="G873" t="s">
        <v>107</v>
      </c>
      <c r="H873">
        <v>2</v>
      </c>
      <c r="I873">
        <v>1799</v>
      </c>
      <c r="J873">
        <v>0.15</v>
      </c>
      <c r="K873">
        <v>49</v>
      </c>
      <c r="L873" t="s">
        <v>39</v>
      </c>
      <c r="M873" t="s">
        <v>39</v>
      </c>
      <c r="N873" t="s">
        <v>31</v>
      </c>
      <c r="O873" t="s">
        <v>32</v>
      </c>
      <c r="P873" t="s">
        <v>33</v>
      </c>
      <c r="Q873">
        <v>3</v>
      </c>
      <c r="R873">
        <f>IFERROR(Table1_1[[#This Row],[Unit_Price]]*Table1_1[[#This Row],[Quantity]],"")</f>
        <v>3598</v>
      </c>
      <c r="S873">
        <f>IFERROR(Table1_1[[#This Row],[Gross_Sales]]*Table1_1[[#This Row],[Discount_%]],"")</f>
        <v>539.69999999999993</v>
      </c>
      <c r="T873">
        <f>IFERROR(Table1_1[[#This Row],[Gross_Sales]]-Table1_1[[#This Row],[Discount_amount]]+Table1_1[[#This Row],[Shipping_Cost]],"")</f>
        <v>3107.3</v>
      </c>
      <c r="U873">
        <f>IFERROR(Table1_1[[#This Row],[Net_Sale]]-(Table1_1[[#This Row],[Gross_Sales]]*70%),"")</f>
        <v>588.70000000000027</v>
      </c>
      <c r="V873" s="7">
        <f>IFERROR(Table1_1[[#This Row],[Profit]]/Table1_1[[#This Row],[Net_Sale]],"")</f>
        <v>0.18945708492903815</v>
      </c>
      <c r="W873" t="str">
        <f>TEXT(Table1_1[[#This Row],[Order_Date]],"mmm")</f>
        <v>Jun</v>
      </c>
    </row>
    <row r="874" spans="1:23" x14ac:dyDescent="0.25">
      <c r="A874" t="s">
        <v>1272</v>
      </c>
      <c r="B874" t="s">
        <v>1273</v>
      </c>
      <c r="C874" s="6">
        <v>45917</v>
      </c>
      <c r="D874" t="s">
        <v>35</v>
      </c>
      <c r="E874" t="s">
        <v>36</v>
      </c>
      <c r="F874" t="s">
        <v>37</v>
      </c>
      <c r="G874" t="s">
        <v>38</v>
      </c>
      <c r="H874">
        <v>5</v>
      </c>
      <c r="I874">
        <v>599</v>
      </c>
      <c r="J874">
        <v>0</v>
      </c>
      <c r="K874">
        <v>79</v>
      </c>
      <c r="L874" t="s">
        <v>29</v>
      </c>
      <c r="M874" t="s">
        <v>30</v>
      </c>
      <c r="N874" t="s">
        <v>50</v>
      </c>
      <c r="O874" t="s">
        <v>51</v>
      </c>
      <c r="P874" t="s">
        <v>85</v>
      </c>
      <c r="Q874">
        <v>1</v>
      </c>
      <c r="R874">
        <f>IFERROR(Table1_1[[#This Row],[Unit_Price]]*Table1_1[[#This Row],[Quantity]],"")</f>
        <v>2995</v>
      </c>
      <c r="S874">
        <f>IFERROR(Table1_1[[#This Row],[Gross_Sales]]*Table1_1[[#This Row],[Discount_%]],"")</f>
        <v>0</v>
      </c>
      <c r="T874">
        <f>IFERROR(Table1_1[[#This Row],[Gross_Sales]]-Table1_1[[#This Row],[Discount_amount]]+Table1_1[[#This Row],[Shipping_Cost]],"")</f>
        <v>3074</v>
      </c>
      <c r="U874">
        <f>IFERROR(Table1_1[[#This Row],[Net_Sale]]-(Table1_1[[#This Row],[Gross_Sales]]*70%),"")</f>
        <v>977.5</v>
      </c>
      <c r="V874" s="7">
        <f>IFERROR(Table1_1[[#This Row],[Profit]]/Table1_1[[#This Row],[Net_Sale]],"")</f>
        <v>0.31798959011060507</v>
      </c>
      <c r="W874" t="str">
        <f>TEXT(Table1_1[[#This Row],[Order_Date]],"mmm")</f>
        <v>Sep</v>
      </c>
    </row>
    <row r="875" spans="1:23" x14ac:dyDescent="0.25">
      <c r="A875" t="s">
        <v>1274</v>
      </c>
      <c r="B875" t="s">
        <v>623</v>
      </c>
      <c r="C875" s="6">
        <v>45885</v>
      </c>
      <c r="D875" t="s">
        <v>62</v>
      </c>
      <c r="E875" t="s">
        <v>63</v>
      </c>
      <c r="F875" t="s">
        <v>46</v>
      </c>
      <c r="G875" t="s">
        <v>64</v>
      </c>
      <c r="H875">
        <v>2</v>
      </c>
      <c r="I875">
        <v>699</v>
      </c>
      <c r="J875">
        <v>0.2</v>
      </c>
      <c r="K875">
        <v>59</v>
      </c>
      <c r="L875" t="s">
        <v>48</v>
      </c>
      <c r="M875" t="s">
        <v>49</v>
      </c>
      <c r="N875" t="s">
        <v>71</v>
      </c>
      <c r="O875" t="s">
        <v>32</v>
      </c>
      <c r="P875" t="s">
        <v>52</v>
      </c>
      <c r="Q875">
        <v>5</v>
      </c>
      <c r="R875">
        <f>IFERROR(Table1_1[[#This Row],[Unit_Price]]*Table1_1[[#This Row],[Quantity]],"")</f>
        <v>1398</v>
      </c>
      <c r="S875">
        <f>IFERROR(Table1_1[[#This Row],[Gross_Sales]]*Table1_1[[#This Row],[Discount_%]],"")</f>
        <v>279.60000000000002</v>
      </c>
      <c r="T875">
        <f>IFERROR(Table1_1[[#This Row],[Gross_Sales]]-Table1_1[[#This Row],[Discount_amount]]+Table1_1[[#This Row],[Shipping_Cost]],"")</f>
        <v>1177.4000000000001</v>
      </c>
      <c r="U875">
        <f>IFERROR(Table1_1[[#This Row],[Net_Sale]]-(Table1_1[[#This Row],[Gross_Sales]]*70%),"")</f>
        <v>198.80000000000018</v>
      </c>
      <c r="V875" s="7">
        <f>IFERROR(Table1_1[[#This Row],[Profit]]/Table1_1[[#This Row],[Net_Sale]],"")</f>
        <v>0.16884661117717017</v>
      </c>
      <c r="W875" t="str">
        <f>TEXT(Table1_1[[#This Row],[Order_Date]],"mmm")</f>
        <v>Aug</v>
      </c>
    </row>
    <row r="876" spans="1:23" x14ac:dyDescent="0.25">
      <c r="A876" t="s">
        <v>1275</v>
      </c>
      <c r="B876" t="s">
        <v>634</v>
      </c>
      <c r="C876" s="6">
        <v>45997</v>
      </c>
      <c r="D876" t="s">
        <v>62</v>
      </c>
      <c r="E876" t="s">
        <v>63</v>
      </c>
      <c r="F876" t="s">
        <v>46</v>
      </c>
      <c r="G876" t="s">
        <v>64</v>
      </c>
      <c r="H876">
        <v>2</v>
      </c>
      <c r="I876">
        <v>699</v>
      </c>
      <c r="J876">
        <v>0</v>
      </c>
      <c r="K876">
        <v>49</v>
      </c>
      <c r="L876" t="s">
        <v>113</v>
      </c>
      <c r="M876" t="s">
        <v>114</v>
      </c>
      <c r="N876" t="s">
        <v>50</v>
      </c>
      <c r="O876" t="s">
        <v>41</v>
      </c>
      <c r="P876" t="s">
        <v>33</v>
      </c>
      <c r="Q876">
        <v>5</v>
      </c>
      <c r="R876">
        <f>IFERROR(Table1_1[[#This Row],[Unit_Price]]*Table1_1[[#This Row],[Quantity]],"")</f>
        <v>1398</v>
      </c>
      <c r="S876">
        <f>IFERROR(Table1_1[[#This Row],[Gross_Sales]]*Table1_1[[#This Row],[Discount_%]],"")</f>
        <v>0</v>
      </c>
      <c r="T876">
        <f>IFERROR(Table1_1[[#This Row],[Gross_Sales]]-Table1_1[[#This Row],[Discount_amount]]+Table1_1[[#This Row],[Shipping_Cost]],"")</f>
        <v>1447</v>
      </c>
      <c r="U876">
        <f>IFERROR(Table1_1[[#This Row],[Net_Sale]]-(Table1_1[[#This Row],[Gross_Sales]]*70%),"")</f>
        <v>468.40000000000009</v>
      </c>
      <c r="V876" s="7">
        <f>IFERROR(Table1_1[[#This Row],[Profit]]/Table1_1[[#This Row],[Net_Sale]],"")</f>
        <v>0.32370421561852114</v>
      </c>
      <c r="W876" t="str">
        <f>TEXT(Table1_1[[#This Row],[Order_Date]],"mmm")</f>
        <v>Dec</v>
      </c>
    </row>
    <row r="877" spans="1:23" x14ac:dyDescent="0.25">
      <c r="A877" t="s">
        <v>1276</v>
      </c>
      <c r="B877" t="s">
        <v>247</v>
      </c>
      <c r="C877" s="6">
        <v>45800</v>
      </c>
      <c r="D877" t="s">
        <v>62</v>
      </c>
      <c r="E877" t="s">
        <v>63</v>
      </c>
      <c r="F877" t="s">
        <v>46</v>
      </c>
      <c r="G877" t="s">
        <v>64</v>
      </c>
      <c r="H877">
        <v>2</v>
      </c>
      <c r="I877">
        <v>699</v>
      </c>
      <c r="J877">
        <v>0.1</v>
      </c>
      <c r="K877">
        <v>0</v>
      </c>
      <c r="L877" t="s">
        <v>113</v>
      </c>
      <c r="M877" t="s">
        <v>114</v>
      </c>
      <c r="N877" t="s">
        <v>71</v>
      </c>
      <c r="O877" t="s">
        <v>51</v>
      </c>
      <c r="P877" t="s">
        <v>85</v>
      </c>
      <c r="Q877">
        <v>4</v>
      </c>
      <c r="R877">
        <f>IFERROR(Table1_1[[#This Row],[Unit_Price]]*Table1_1[[#This Row],[Quantity]],"")</f>
        <v>1398</v>
      </c>
      <c r="S877">
        <f>IFERROR(Table1_1[[#This Row],[Gross_Sales]]*Table1_1[[#This Row],[Discount_%]],"")</f>
        <v>139.80000000000001</v>
      </c>
      <c r="T877">
        <f>IFERROR(Table1_1[[#This Row],[Gross_Sales]]-Table1_1[[#This Row],[Discount_amount]]+Table1_1[[#This Row],[Shipping_Cost]],"")</f>
        <v>1258.2</v>
      </c>
      <c r="U877">
        <f>IFERROR(Table1_1[[#This Row],[Net_Sale]]-(Table1_1[[#This Row],[Gross_Sales]]*70%),"")</f>
        <v>279.60000000000014</v>
      </c>
      <c r="V877" s="7">
        <f>IFERROR(Table1_1[[#This Row],[Profit]]/Table1_1[[#This Row],[Net_Sale]],"")</f>
        <v>0.22222222222222232</v>
      </c>
      <c r="W877" t="str">
        <f>TEXT(Table1_1[[#This Row],[Order_Date]],"mmm")</f>
        <v>May</v>
      </c>
    </row>
    <row r="878" spans="1:23" x14ac:dyDescent="0.25">
      <c r="A878" t="s">
        <v>1277</v>
      </c>
      <c r="B878" t="s">
        <v>54</v>
      </c>
      <c r="C878" s="6">
        <v>45700</v>
      </c>
      <c r="D878" t="s">
        <v>25</v>
      </c>
      <c r="E878" t="s">
        <v>26</v>
      </c>
      <c r="F878" t="s">
        <v>27</v>
      </c>
      <c r="G878" t="s">
        <v>28</v>
      </c>
      <c r="H878">
        <v>1</v>
      </c>
      <c r="I878">
        <v>249</v>
      </c>
      <c r="J878">
        <v>0.2</v>
      </c>
      <c r="K878">
        <v>49</v>
      </c>
      <c r="L878" t="s">
        <v>100</v>
      </c>
      <c r="M878" t="s">
        <v>101</v>
      </c>
      <c r="N878" t="s">
        <v>50</v>
      </c>
      <c r="O878" t="s">
        <v>93</v>
      </c>
      <c r="P878" t="s">
        <v>52</v>
      </c>
      <c r="Q878">
        <v>3</v>
      </c>
      <c r="R878">
        <f>IFERROR(Table1_1[[#This Row],[Unit_Price]]*Table1_1[[#This Row],[Quantity]],"")</f>
        <v>249</v>
      </c>
      <c r="S878">
        <f>IFERROR(Table1_1[[#This Row],[Gross_Sales]]*Table1_1[[#This Row],[Discount_%]],"")</f>
        <v>49.800000000000004</v>
      </c>
      <c r="T878">
        <f>IFERROR(Table1_1[[#This Row],[Gross_Sales]]-Table1_1[[#This Row],[Discount_amount]]+Table1_1[[#This Row],[Shipping_Cost]],"")</f>
        <v>248.2</v>
      </c>
      <c r="U878">
        <f>IFERROR(Table1_1[[#This Row],[Net_Sale]]-(Table1_1[[#This Row],[Gross_Sales]]*70%),"")</f>
        <v>73.900000000000006</v>
      </c>
      <c r="V878" s="7">
        <f>IFERROR(Table1_1[[#This Row],[Profit]]/Table1_1[[#This Row],[Net_Sale]],"")</f>
        <v>0.2977437550362611</v>
      </c>
      <c r="W878" t="str">
        <f>TEXT(Table1_1[[#This Row],[Order_Date]],"mmm")</f>
        <v>Feb</v>
      </c>
    </row>
    <row r="879" spans="1:23" x14ac:dyDescent="0.25">
      <c r="A879" t="s">
        <v>1278</v>
      </c>
      <c r="B879" t="s">
        <v>164</v>
      </c>
      <c r="C879" s="6">
        <v>46014</v>
      </c>
      <c r="D879" t="s">
        <v>77</v>
      </c>
      <c r="E879" t="s">
        <v>78</v>
      </c>
      <c r="F879" t="s">
        <v>79</v>
      </c>
      <c r="G879" t="s">
        <v>28</v>
      </c>
      <c r="H879">
        <v>5</v>
      </c>
      <c r="I879">
        <v>6499</v>
      </c>
      <c r="J879">
        <v>0.05</v>
      </c>
      <c r="K879">
        <v>99</v>
      </c>
      <c r="L879" t="s">
        <v>48</v>
      </c>
      <c r="M879" t="s">
        <v>49</v>
      </c>
      <c r="N879" t="s">
        <v>102</v>
      </c>
      <c r="O879" t="s">
        <v>41</v>
      </c>
      <c r="P879" t="s">
        <v>80</v>
      </c>
      <c r="Q879">
        <v>4</v>
      </c>
      <c r="R879">
        <f>IFERROR(Table1_1[[#This Row],[Unit_Price]]*Table1_1[[#This Row],[Quantity]],"")</f>
        <v>32495</v>
      </c>
      <c r="S879">
        <f>IFERROR(Table1_1[[#This Row],[Gross_Sales]]*Table1_1[[#This Row],[Discount_%]],"")</f>
        <v>1624.75</v>
      </c>
      <c r="T879">
        <f>IFERROR(Table1_1[[#This Row],[Gross_Sales]]-Table1_1[[#This Row],[Discount_amount]]+Table1_1[[#This Row],[Shipping_Cost]],"")</f>
        <v>30969.25</v>
      </c>
      <c r="U879">
        <f>IFERROR(Table1_1[[#This Row],[Net_Sale]]-(Table1_1[[#This Row],[Gross_Sales]]*70%),"")</f>
        <v>8222.75</v>
      </c>
      <c r="V879" s="7">
        <f>IFERROR(Table1_1[[#This Row],[Profit]]/Table1_1[[#This Row],[Net_Sale]],"")</f>
        <v>0.26551337213526321</v>
      </c>
      <c r="W879" t="str">
        <f>TEXT(Table1_1[[#This Row],[Order_Date]],"mmm")</f>
        <v>Dec</v>
      </c>
    </row>
    <row r="880" spans="1:23" x14ac:dyDescent="0.25">
      <c r="A880" t="s">
        <v>1279</v>
      </c>
      <c r="B880" t="s">
        <v>1008</v>
      </c>
      <c r="C880" s="6">
        <v>45880</v>
      </c>
      <c r="D880" t="s">
        <v>105</v>
      </c>
      <c r="E880" t="s">
        <v>106</v>
      </c>
      <c r="F880" t="s">
        <v>37</v>
      </c>
      <c r="G880" t="s">
        <v>107</v>
      </c>
      <c r="H880">
        <v>5</v>
      </c>
      <c r="I880">
        <v>1799</v>
      </c>
      <c r="J880">
        <v>0</v>
      </c>
      <c r="K880">
        <v>0</v>
      </c>
      <c r="L880" t="s">
        <v>74</v>
      </c>
      <c r="M880" t="s">
        <v>49</v>
      </c>
      <c r="N880" t="s">
        <v>31</v>
      </c>
      <c r="O880" t="s">
        <v>32</v>
      </c>
      <c r="P880" t="s">
        <v>85</v>
      </c>
      <c r="Q880">
        <v>1</v>
      </c>
      <c r="R880">
        <f>IFERROR(Table1_1[[#This Row],[Unit_Price]]*Table1_1[[#This Row],[Quantity]],"")</f>
        <v>8995</v>
      </c>
      <c r="S880">
        <f>IFERROR(Table1_1[[#This Row],[Gross_Sales]]*Table1_1[[#This Row],[Discount_%]],"")</f>
        <v>0</v>
      </c>
      <c r="T880">
        <f>IFERROR(Table1_1[[#This Row],[Gross_Sales]]-Table1_1[[#This Row],[Discount_amount]]+Table1_1[[#This Row],[Shipping_Cost]],"")</f>
        <v>8995</v>
      </c>
      <c r="U880">
        <f>IFERROR(Table1_1[[#This Row],[Net_Sale]]-(Table1_1[[#This Row],[Gross_Sales]]*70%),"")</f>
        <v>2698.5</v>
      </c>
      <c r="V880" s="7">
        <f>IFERROR(Table1_1[[#This Row],[Profit]]/Table1_1[[#This Row],[Net_Sale]],"")</f>
        <v>0.3</v>
      </c>
      <c r="W880" t="str">
        <f>TEXT(Table1_1[[#This Row],[Order_Date]],"mmm")</f>
        <v>Aug</v>
      </c>
    </row>
    <row r="881" spans="1:23" x14ac:dyDescent="0.25">
      <c r="A881" t="s">
        <v>1280</v>
      </c>
      <c r="B881" t="s">
        <v>358</v>
      </c>
      <c r="C881" s="6">
        <v>45826</v>
      </c>
      <c r="D881" t="s">
        <v>25</v>
      </c>
      <c r="E881" t="s">
        <v>26</v>
      </c>
      <c r="F881" t="s">
        <v>27</v>
      </c>
      <c r="G881" t="s">
        <v>28</v>
      </c>
      <c r="H881">
        <v>1</v>
      </c>
      <c r="I881">
        <v>249</v>
      </c>
      <c r="J881">
        <v>0.05</v>
      </c>
      <c r="K881">
        <v>59</v>
      </c>
      <c r="L881" t="s">
        <v>83</v>
      </c>
      <c r="M881" t="s">
        <v>84</v>
      </c>
      <c r="N881" t="s">
        <v>50</v>
      </c>
      <c r="O881" t="s">
        <v>51</v>
      </c>
      <c r="P881" t="s">
        <v>33</v>
      </c>
      <c r="Q881">
        <v>1</v>
      </c>
      <c r="R881">
        <f>IFERROR(Table1_1[[#This Row],[Unit_Price]]*Table1_1[[#This Row],[Quantity]],"")</f>
        <v>249</v>
      </c>
      <c r="S881">
        <f>IFERROR(Table1_1[[#This Row],[Gross_Sales]]*Table1_1[[#This Row],[Discount_%]],"")</f>
        <v>12.450000000000001</v>
      </c>
      <c r="T881">
        <f>IFERROR(Table1_1[[#This Row],[Gross_Sales]]-Table1_1[[#This Row],[Discount_amount]]+Table1_1[[#This Row],[Shipping_Cost]],"")</f>
        <v>295.55</v>
      </c>
      <c r="U881">
        <f>IFERROR(Table1_1[[#This Row],[Net_Sale]]-(Table1_1[[#This Row],[Gross_Sales]]*70%),"")</f>
        <v>121.25000000000003</v>
      </c>
      <c r="V881" s="7">
        <f>IFERROR(Table1_1[[#This Row],[Profit]]/Table1_1[[#This Row],[Net_Sale]],"")</f>
        <v>0.41025207240737616</v>
      </c>
      <c r="W881" t="str">
        <f>TEXT(Table1_1[[#This Row],[Order_Date]],"mmm")</f>
        <v>Jun</v>
      </c>
    </row>
    <row r="882" spans="1:23" x14ac:dyDescent="0.25">
      <c r="A882" t="s">
        <v>1281</v>
      </c>
      <c r="B882" t="s">
        <v>220</v>
      </c>
      <c r="C882" s="6">
        <v>45771</v>
      </c>
      <c r="D882" t="s">
        <v>55</v>
      </c>
      <c r="E882" t="s">
        <v>56</v>
      </c>
      <c r="F882" t="s">
        <v>37</v>
      </c>
      <c r="G882" t="s">
        <v>38</v>
      </c>
      <c r="H882">
        <v>5</v>
      </c>
      <c r="I882">
        <v>2499</v>
      </c>
      <c r="J882">
        <v>0</v>
      </c>
      <c r="K882">
        <v>99</v>
      </c>
      <c r="L882" t="s">
        <v>57</v>
      </c>
      <c r="M882" t="s">
        <v>58</v>
      </c>
      <c r="N882" t="s">
        <v>102</v>
      </c>
      <c r="O882" t="s">
        <v>59</v>
      </c>
      <c r="P882" t="s">
        <v>33</v>
      </c>
      <c r="Q882">
        <v>1</v>
      </c>
      <c r="R882">
        <f>IFERROR(Table1_1[[#This Row],[Unit_Price]]*Table1_1[[#This Row],[Quantity]],"")</f>
        <v>12495</v>
      </c>
      <c r="S882">
        <f>IFERROR(Table1_1[[#This Row],[Gross_Sales]]*Table1_1[[#This Row],[Discount_%]],"")</f>
        <v>0</v>
      </c>
      <c r="T882">
        <f>IFERROR(Table1_1[[#This Row],[Gross_Sales]]-Table1_1[[#This Row],[Discount_amount]]+Table1_1[[#This Row],[Shipping_Cost]],"")</f>
        <v>12594</v>
      </c>
      <c r="U882">
        <f>IFERROR(Table1_1[[#This Row],[Net_Sale]]-(Table1_1[[#This Row],[Gross_Sales]]*70%),"")</f>
        <v>3847.5</v>
      </c>
      <c r="V882" s="7">
        <f>IFERROR(Table1_1[[#This Row],[Profit]]/Table1_1[[#This Row],[Net_Sale]],"")</f>
        <v>0.30550262029537878</v>
      </c>
      <c r="W882" t="str">
        <f>TEXT(Table1_1[[#This Row],[Order_Date]],"mmm")</f>
        <v>Apr</v>
      </c>
    </row>
    <row r="883" spans="1:23" x14ac:dyDescent="0.25">
      <c r="A883" t="s">
        <v>1282</v>
      </c>
      <c r="B883" t="s">
        <v>901</v>
      </c>
      <c r="C883" s="6">
        <v>45802</v>
      </c>
      <c r="D883" t="s">
        <v>62</v>
      </c>
      <c r="E883" t="s">
        <v>63</v>
      </c>
      <c r="F883" t="s">
        <v>46</v>
      </c>
      <c r="G883" t="s">
        <v>64</v>
      </c>
      <c r="H883">
        <v>2</v>
      </c>
      <c r="I883">
        <v>699</v>
      </c>
      <c r="J883">
        <v>0</v>
      </c>
      <c r="K883">
        <v>0</v>
      </c>
      <c r="L883" t="s">
        <v>74</v>
      </c>
      <c r="M883" t="s">
        <v>49</v>
      </c>
      <c r="N883" t="s">
        <v>71</v>
      </c>
      <c r="O883" t="s">
        <v>59</v>
      </c>
      <c r="P883" t="s">
        <v>85</v>
      </c>
      <c r="Q883">
        <v>2</v>
      </c>
      <c r="R883">
        <f>IFERROR(Table1_1[[#This Row],[Unit_Price]]*Table1_1[[#This Row],[Quantity]],"")</f>
        <v>1398</v>
      </c>
      <c r="S883">
        <f>IFERROR(Table1_1[[#This Row],[Gross_Sales]]*Table1_1[[#This Row],[Discount_%]],"")</f>
        <v>0</v>
      </c>
      <c r="T883">
        <f>IFERROR(Table1_1[[#This Row],[Gross_Sales]]-Table1_1[[#This Row],[Discount_amount]]+Table1_1[[#This Row],[Shipping_Cost]],"")</f>
        <v>1398</v>
      </c>
      <c r="U883">
        <f>IFERROR(Table1_1[[#This Row],[Net_Sale]]-(Table1_1[[#This Row],[Gross_Sales]]*70%),"")</f>
        <v>419.40000000000009</v>
      </c>
      <c r="V883" s="7">
        <f>IFERROR(Table1_1[[#This Row],[Profit]]/Table1_1[[#This Row],[Net_Sale]],"")</f>
        <v>0.30000000000000004</v>
      </c>
      <c r="W883" t="str">
        <f>TEXT(Table1_1[[#This Row],[Order_Date]],"mmm")</f>
        <v>May</v>
      </c>
    </row>
    <row r="884" spans="1:23" x14ac:dyDescent="0.25">
      <c r="A884" t="s">
        <v>1283</v>
      </c>
      <c r="B884" t="s">
        <v>695</v>
      </c>
      <c r="C884" s="6">
        <v>45864</v>
      </c>
      <c r="D884" t="s">
        <v>169</v>
      </c>
      <c r="E884" t="s">
        <v>170</v>
      </c>
      <c r="F884" t="s">
        <v>98</v>
      </c>
      <c r="G884" t="s">
        <v>171</v>
      </c>
      <c r="H884">
        <v>2</v>
      </c>
      <c r="I884">
        <v>799</v>
      </c>
      <c r="J884">
        <v>0.05</v>
      </c>
      <c r="K884">
        <v>0</v>
      </c>
      <c r="L884" t="s">
        <v>83</v>
      </c>
      <c r="M884" t="s">
        <v>84</v>
      </c>
      <c r="N884" t="s">
        <v>50</v>
      </c>
      <c r="O884" t="s">
        <v>41</v>
      </c>
      <c r="P884" t="s">
        <v>33</v>
      </c>
      <c r="Q884">
        <v>2</v>
      </c>
      <c r="R884">
        <f>IFERROR(Table1_1[[#This Row],[Unit_Price]]*Table1_1[[#This Row],[Quantity]],"")</f>
        <v>1598</v>
      </c>
      <c r="S884">
        <f>IFERROR(Table1_1[[#This Row],[Gross_Sales]]*Table1_1[[#This Row],[Discount_%]],"")</f>
        <v>79.900000000000006</v>
      </c>
      <c r="T884">
        <f>IFERROR(Table1_1[[#This Row],[Gross_Sales]]-Table1_1[[#This Row],[Discount_amount]]+Table1_1[[#This Row],[Shipping_Cost]],"")</f>
        <v>1518.1</v>
      </c>
      <c r="U884">
        <f>IFERROR(Table1_1[[#This Row],[Net_Sale]]-(Table1_1[[#This Row],[Gross_Sales]]*70%),"")</f>
        <v>399.5</v>
      </c>
      <c r="V884" s="7">
        <f>IFERROR(Table1_1[[#This Row],[Profit]]/Table1_1[[#This Row],[Net_Sale]],"")</f>
        <v>0.26315789473684215</v>
      </c>
      <c r="W884" t="str">
        <f>TEXT(Table1_1[[#This Row],[Order_Date]],"mmm")</f>
        <v>Jul</v>
      </c>
    </row>
    <row r="885" spans="1:23" x14ac:dyDescent="0.25">
      <c r="A885" t="s">
        <v>1284</v>
      </c>
      <c r="B885" t="s">
        <v>508</v>
      </c>
      <c r="C885" s="6">
        <v>45685</v>
      </c>
      <c r="D885" t="s">
        <v>96</v>
      </c>
      <c r="E885" t="s">
        <v>97</v>
      </c>
      <c r="F885" t="s">
        <v>98</v>
      </c>
      <c r="G885" t="s">
        <v>99</v>
      </c>
      <c r="H885">
        <v>2</v>
      </c>
      <c r="I885">
        <v>2017</v>
      </c>
      <c r="J885">
        <v>0.2</v>
      </c>
      <c r="K885">
        <v>49</v>
      </c>
      <c r="L885" t="s">
        <v>125</v>
      </c>
      <c r="M885" t="s">
        <v>126</v>
      </c>
      <c r="N885" t="s">
        <v>40</v>
      </c>
      <c r="O885" t="s">
        <v>41</v>
      </c>
      <c r="P885" t="s">
        <v>33</v>
      </c>
      <c r="Q885">
        <v>4</v>
      </c>
      <c r="R885">
        <f>IFERROR(Table1_1[[#This Row],[Unit_Price]]*Table1_1[[#This Row],[Quantity]],"")</f>
        <v>4034</v>
      </c>
      <c r="S885">
        <f>IFERROR(Table1_1[[#This Row],[Gross_Sales]]*Table1_1[[#This Row],[Discount_%]],"")</f>
        <v>806.80000000000007</v>
      </c>
      <c r="T885">
        <f>IFERROR(Table1_1[[#This Row],[Gross_Sales]]-Table1_1[[#This Row],[Discount_amount]]+Table1_1[[#This Row],[Shipping_Cost]],"")</f>
        <v>3276.2</v>
      </c>
      <c r="U885">
        <f>IFERROR(Table1_1[[#This Row],[Net_Sale]]-(Table1_1[[#This Row],[Gross_Sales]]*70%),"")</f>
        <v>452.40000000000009</v>
      </c>
      <c r="V885" s="7">
        <f>IFERROR(Table1_1[[#This Row],[Profit]]/Table1_1[[#This Row],[Net_Sale]],"")</f>
        <v>0.13808680788718641</v>
      </c>
      <c r="W885" t="str">
        <f>TEXT(Table1_1[[#This Row],[Order_Date]],"mmm")</f>
        <v>Jan</v>
      </c>
    </row>
    <row r="886" spans="1:23" x14ac:dyDescent="0.25">
      <c r="A886" t="s">
        <v>1285</v>
      </c>
      <c r="B886" t="s">
        <v>1249</v>
      </c>
      <c r="C886" s="6">
        <v>45799</v>
      </c>
      <c r="D886" t="s">
        <v>169</v>
      </c>
      <c r="E886" t="s">
        <v>170</v>
      </c>
      <c r="F886" t="s">
        <v>98</v>
      </c>
      <c r="G886" t="s">
        <v>171</v>
      </c>
      <c r="H886">
        <v>2</v>
      </c>
      <c r="I886">
        <v>799</v>
      </c>
      <c r="J886">
        <v>0</v>
      </c>
      <c r="K886">
        <v>59</v>
      </c>
      <c r="L886" t="s">
        <v>119</v>
      </c>
      <c r="M886" t="s">
        <v>120</v>
      </c>
      <c r="N886" t="s">
        <v>71</v>
      </c>
      <c r="O886" t="s">
        <v>59</v>
      </c>
      <c r="P886" t="s">
        <v>80</v>
      </c>
      <c r="Q886">
        <v>3</v>
      </c>
      <c r="R886">
        <f>IFERROR(Table1_1[[#This Row],[Unit_Price]]*Table1_1[[#This Row],[Quantity]],"")</f>
        <v>1598</v>
      </c>
      <c r="S886">
        <f>IFERROR(Table1_1[[#This Row],[Gross_Sales]]*Table1_1[[#This Row],[Discount_%]],"")</f>
        <v>0</v>
      </c>
      <c r="T886">
        <f>IFERROR(Table1_1[[#This Row],[Gross_Sales]]-Table1_1[[#This Row],[Discount_amount]]+Table1_1[[#This Row],[Shipping_Cost]],"")</f>
        <v>1657</v>
      </c>
      <c r="U886">
        <f>IFERROR(Table1_1[[#This Row],[Net_Sale]]-(Table1_1[[#This Row],[Gross_Sales]]*70%),"")</f>
        <v>538.40000000000009</v>
      </c>
      <c r="V886" s="7">
        <f>IFERROR(Table1_1[[#This Row],[Profit]]/Table1_1[[#This Row],[Net_Sale]],"")</f>
        <v>0.3249245624622813</v>
      </c>
      <c r="W886" t="str">
        <f>TEXT(Table1_1[[#This Row],[Order_Date]],"mmm")</f>
        <v>May</v>
      </c>
    </row>
    <row r="887" spans="1:23" x14ac:dyDescent="0.25">
      <c r="A887" t="s">
        <v>1286</v>
      </c>
      <c r="B887" t="s">
        <v>1117</v>
      </c>
      <c r="C887" s="6">
        <v>45697</v>
      </c>
      <c r="D887" t="s">
        <v>169</v>
      </c>
      <c r="E887" t="s">
        <v>170</v>
      </c>
      <c r="F887" t="s">
        <v>98</v>
      </c>
      <c r="G887" t="s">
        <v>171</v>
      </c>
      <c r="H887">
        <v>2</v>
      </c>
      <c r="I887">
        <v>799</v>
      </c>
      <c r="J887">
        <v>0</v>
      </c>
      <c r="K887">
        <v>99</v>
      </c>
      <c r="L887" t="s">
        <v>29</v>
      </c>
      <c r="M887" t="s">
        <v>30</v>
      </c>
      <c r="N887" t="s">
        <v>31</v>
      </c>
      <c r="O887" t="s">
        <v>51</v>
      </c>
      <c r="P887" t="s">
        <v>33</v>
      </c>
      <c r="Q887">
        <v>5</v>
      </c>
      <c r="R887">
        <f>IFERROR(Table1_1[[#This Row],[Unit_Price]]*Table1_1[[#This Row],[Quantity]],"")</f>
        <v>1598</v>
      </c>
      <c r="S887">
        <f>IFERROR(Table1_1[[#This Row],[Gross_Sales]]*Table1_1[[#This Row],[Discount_%]],"")</f>
        <v>0</v>
      </c>
      <c r="T887">
        <f>IFERROR(Table1_1[[#This Row],[Gross_Sales]]-Table1_1[[#This Row],[Discount_amount]]+Table1_1[[#This Row],[Shipping_Cost]],"")</f>
        <v>1697</v>
      </c>
      <c r="U887">
        <f>IFERROR(Table1_1[[#This Row],[Net_Sale]]-(Table1_1[[#This Row],[Gross_Sales]]*70%),"")</f>
        <v>578.40000000000009</v>
      </c>
      <c r="V887" s="7">
        <f>IFERROR(Table1_1[[#This Row],[Profit]]/Table1_1[[#This Row],[Net_Sale]],"")</f>
        <v>0.34083677077195057</v>
      </c>
      <c r="W887" t="str">
        <f>TEXT(Table1_1[[#This Row],[Order_Date]],"mmm")</f>
        <v>Feb</v>
      </c>
    </row>
    <row r="888" spans="1:23" x14ac:dyDescent="0.25">
      <c r="A888" t="s">
        <v>1287</v>
      </c>
      <c r="B888" t="s">
        <v>607</v>
      </c>
      <c r="C888" s="6">
        <v>45875</v>
      </c>
      <c r="D888" t="s">
        <v>90</v>
      </c>
      <c r="E888" t="s">
        <v>91</v>
      </c>
      <c r="F888" t="s">
        <v>37</v>
      </c>
      <c r="G888" t="s">
        <v>92</v>
      </c>
      <c r="H888">
        <v>4</v>
      </c>
      <c r="I888">
        <v>3499</v>
      </c>
      <c r="J888">
        <v>0</v>
      </c>
      <c r="K888">
        <v>79</v>
      </c>
      <c r="L888" t="s">
        <v>39</v>
      </c>
      <c r="M888" t="s">
        <v>39</v>
      </c>
      <c r="N888" t="s">
        <v>102</v>
      </c>
      <c r="O888" t="s">
        <v>32</v>
      </c>
      <c r="P888" t="s">
        <v>80</v>
      </c>
      <c r="Q888">
        <v>3</v>
      </c>
      <c r="R888">
        <f>IFERROR(Table1_1[[#This Row],[Unit_Price]]*Table1_1[[#This Row],[Quantity]],"")</f>
        <v>13996</v>
      </c>
      <c r="S888">
        <f>IFERROR(Table1_1[[#This Row],[Gross_Sales]]*Table1_1[[#This Row],[Discount_%]],"")</f>
        <v>0</v>
      </c>
      <c r="T888">
        <f>IFERROR(Table1_1[[#This Row],[Gross_Sales]]-Table1_1[[#This Row],[Discount_amount]]+Table1_1[[#This Row],[Shipping_Cost]],"")</f>
        <v>14075</v>
      </c>
      <c r="U888">
        <f>IFERROR(Table1_1[[#This Row],[Net_Sale]]-(Table1_1[[#This Row],[Gross_Sales]]*70%),"")</f>
        <v>4277.8000000000011</v>
      </c>
      <c r="V888" s="7">
        <f>IFERROR(Table1_1[[#This Row],[Profit]]/Table1_1[[#This Row],[Net_Sale]],"")</f>
        <v>0.30392895204262887</v>
      </c>
      <c r="W888" t="str">
        <f>TEXT(Table1_1[[#This Row],[Order_Date]],"mmm")</f>
        <v>Aug</v>
      </c>
    </row>
    <row r="889" spans="1:23" x14ac:dyDescent="0.25">
      <c r="A889" t="s">
        <v>1288</v>
      </c>
      <c r="B889" t="s">
        <v>759</v>
      </c>
      <c r="C889" s="6">
        <v>45755</v>
      </c>
      <c r="D889" t="s">
        <v>55</v>
      </c>
      <c r="E889" t="s">
        <v>56</v>
      </c>
      <c r="F889" t="s">
        <v>37</v>
      </c>
      <c r="G889" t="s">
        <v>38</v>
      </c>
      <c r="H889">
        <v>1</v>
      </c>
      <c r="I889">
        <v>2499</v>
      </c>
      <c r="J889">
        <v>0.1</v>
      </c>
      <c r="K889">
        <v>99</v>
      </c>
      <c r="L889" t="s">
        <v>57</v>
      </c>
      <c r="M889" t="s">
        <v>58</v>
      </c>
      <c r="N889" t="s">
        <v>50</v>
      </c>
      <c r="O889" t="s">
        <v>32</v>
      </c>
      <c r="P889" t="s">
        <v>80</v>
      </c>
      <c r="Q889">
        <v>3</v>
      </c>
      <c r="R889">
        <f>IFERROR(Table1_1[[#This Row],[Unit_Price]]*Table1_1[[#This Row],[Quantity]],"")</f>
        <v>2499</v>
      </c>
      <c r="S889">
        <f>IFERROR(Table1_1[[#This Row],[Gross_Sales]]*Table1_1[[#This Row],[Discount_%]],"")</f>
        <v>249.9</v>
      </c>
      <c r="T889">
        <f>IFERROR(Table1_1[[#This Row],[Gross_Sales]]-Table1_1[[#This Row],[Discount_amount]]+Table1_1[[#This Row],[Shipping_Cost]],"")</f>
        <v>2348.1</v>
      </c>
      <c r="U889">
        <f>IFERROR(Table1_1[[#This Row],[Net_Sale]]-(Table1_1[[#This Row],[Gross_Sales]]*70%),"")</f>
        <v>598.79999999999995</v>
      </c>
      <c r="V889" s="7">
        <f>IFERROR(Table1_1[[#This Row],[Profit]]/Table1_1[[#This Row],[Net_Sale]],"")</f>
        <v>0.25501469273029259</v>
      </c>
      <c r="W889" t="str">
        <f>TEXT(Table1_1[[#This Row],[Order_Date]],"mmm")</f>
        <v>Apr</v>
      </c>
    </row>
    <row r="890" spans="1:23" x14ac:dyDescent="0.25">
      <c r="A890" t="s">
        <v>1289</v>
      </c>
      <c r="B890" t="s">
        <v>130</v>
      </c>
      <c r="C890" s="6">
        <v>45744</v>
      </c>
      <c r="D890" t="s">
        <v>44</v>
      </c>
      <c r="E890" t="s">
        <v>45</v>
      </c>
      <c r="F890" t="s">
        <v>46</v>
      </c>
      <c r="G890" t="s">
        <v>47</v>
      </c>
      <c r="H890">
        <v>2</v>
      </c>
      <c r="I890">
        <v>1199</v>
      </c>
      <c r="J890">
        <v>0</v>
      </c>
      <c r="K890">
        <v>49</v>
      </c>
      <c r="L890" t="s">
        <v>39</v>
      </c>
      <c r="M890" t="s">
        <v>39</v>
      </c>
      <c r="N890" t="s">
        <v>71</v>
      </c>
      <c r="O890" t="s">
        <v>41</v>
      </c>
      <c r="P890" t="s">
        <v>85</v>
      </c>
      <c r="Q890">
        <v>5</v>
      </c>
      <c r="R890">
        <f>IFERROR(Table1_1[[#This Row],[Unit_Price]]*Table1_1[[#This Row],[Quantity]],"")</f>
        <v>2398</v>
      </c>
      <c r="S890">
        <f>IFERROR(Table1_1[[#This Row],[Gross_Sales]]*Table1_1[[#This Row],[Discount_%]],"")</f>
        <v>0</v>
      </c>
      <c r="T890">
        <f>IFERROR(Table1_1[[#This Row],[Gross_Sales]]-Table1_1[[#This Row],[Discount_amount]]+Table1_1[[#This Row],[Shipping_Cost]],"")</f>
        <v>2447</v>
      </c>
      <c r="U890">
        <f>IFERROR(Table1_1[[#This Row],[Net_Sale]]-(Table1_1[[#This Row],[Gross_Sales]]*70%),"")</f>
        <v>768.40000000000009</v>
      </c>
      <c r="V890" s="7">
        <f>IFERROR(Table1_1[[#This Row],[Profit]]/Table1_1[[#This Row],[Net_Sale]],"")</f>
        <v>0.31401716387413164</v>
      </c>
      <c r="W890" t="str">
        <f>TEXT(Table1_1[[#This Row],[Order_Date]],"mmm")</f>
        <v>Mar</v>
      </c>
    </row>
    <row r="891" spans="1:23" x14ac:dyDescent="0.25">
      <c r="A891" t="s">
        <v>1290</v>
      </c>
      <c r="B891" t="s">
        <v>919</v>
      </c>
      <c r="C891" s="6">
        <v>45852</v>
      </c>
      <c r="D891" t="s">
        <v>169</v>
      </c>
      <c r="E891" t="s">
        <v>170</v>
      </c>
      <c r="F891" t="s">
        <v>98</v>
      </c>
      <c r="G891" t="s">
        <v>171</v>
      </c>
      <c r="H891">
        <v>1</v>
      </c>
      <c r="I891">
        <v>799</v>
      </c>
      <c r="J891">
        <v>0.05</v>
      </c>
      <c r="K891">
        <v>49</v>
      </c>
      <c r="L891" t="s">
        <v>39</v>
      </c>
      <c r="M891" t="s">
        <v>39</v>
      </c>
      <c r="N891" t="s">
        <v>31</v>
      </c>
      <c r="O891" t="s">
        <v>51</v>
      </c>
      <c r="P891" t="s">
        <v>33</v>
      </c>
      <c r="Q891">
        <v>3</v>
      </c>
      <c r="R891">
        <f>IFERROR(Table1_1[[#This Row],[Unit_Price]]*Table1_1[[#This Row],[Quantity]],"")</f>
        <v>799</v>
      </c>
      <c r="S891">
        <f>IFERROR(Table1_1[[#This Row],[Gross_Sales]]*Table1_1[[#This Row],[Discount_%]],"")</f>
        <v>39.950000000000003</v>
      </c>
      <c r="T891">
        <f>IFERROR(Table1_1[[#This Row],[Gross_Sales]]-Table1_1[[#This Row],[Discount_amount]]+Table1_1[[#This Row],[Shipping_Cost]],"")</f>
        <v>808.05</v>
      </c>
      <c r="U891">
        <f>IFERROR(Table1_1[[#This Row],[Net_Sale]]-(Table1_1[[#This Row],[Gross_Sales]]*70%),"")</f>
        <v>248.75</v>
      </c>
      <c r="V891" s="7">
        <f>IFERROR(Table1_1[[#This Row],[Profit]]/Table1_1[[#This Row],[Net_Sale]],"")</f>
        <v>0.3078398613947157</v>
      </c>
      <c r="W891" t="str">
        <f>TEXT(Table1_1[[#This Row],[Order_Date]],"mmm")</f>
        <v>Jul</v>
      </c>
    </row>
    <row r="892" spans="1:23" x14ac:dyDescent="0.25">
      <c r="A892" t="s">
        <v>1291</v>
      </c>
      <c r="B892" t="s">
        <v>220</v>
      </c>
      <c r="C892" s="6">
        <v>45659</v>
      </c>
      <c r="D892" t="s">
        <v>90</v>
      </c>
      <c r="E892" t="s">
        <v>91</v>
      </c>
      <c r="F892" t="s">
        <v>37</v>
      </c>
      <c r="G892" t="s">
        <v>92</v>
      </c>
      <c r="H892">
        <v>1</v>
      </c>
      <c r="I892">
        <v>3499</v>
      </c>
      <c r="J892">
        <v>0.1</v>
      </c>
      <c r="K892">
        <v>49</v>
      </c>
      <c r="L892" t="s">
        <v>48</v>
      </c>
      <c r="M892" t="s">
        <v>49</v>
      </c>
      <c r="N892" t="s">
        <v>102</v>
      </c>
      <c r="O892" t="s">
        <v>93</v>
      </c>
      <c r="P892" t="s">
        <v>85</v>
      </c>
      <c r="Q892">
        <v>4</v>
      </c>
      <c r="R892">
        <f>IFERROR(Table1_1[[#This Row],[Unit_Price]]*Table1_1[[#This Row],[Quantity]],"")</f>
        <v>3499</v>
      </c>
      <c r="S892">
        <f>IFERROR(Table1_1[[#This Row],[Gross_Sales]]*Table1_1[[#This Row],[Discount_%]],"")</f>
        <v>349.90000000000003</v>
      </c>
      <c r="T892">
        <f>IFERROR(Table1_1[[#This Row],[Gross_Sales]]-Table1_1[[#This Row],[Discount_amount]]+Table1_1[[#This Row],[Shipping_Cost]],"")</f>
        <v>3198.1</v>
      </c>
      <c r="U892">
        <f>IFERROR(Table1_1[[#This Row],[Net_Sale]]-(Table1_1[[#This Row],[Gross_Sales]]*70%),"")</f>
        <v>748.80000000000018</v>
      </c>
      <c r="V892" s="7">
        <f>IFERROR(Table1_1[[#This Row],[Profit]]/Table1_1[[#This Row],[Net_Sale]],"")</f>
        <v>0.23413902004315068</v>
      </c>
      <c r="W892" t="str">
        <f>TEXT(Table1_1[[#This Row],[Order_Date]],"mmm")</f>
        <v>Jan</v>
      </c>
    </row>
    <row r="893" spans="1:23" x14ac:dyDescent="0.25">
      <c r="A893" t="s">
        <v>1292</v>
      </c>
      <c r="B893" t="s">
        <v>1110</v>
      </c>
      <c r="C893" s="6">
        <v>45661</v>
      </c>
      <c r="D893" t="s">
        <v>44</v>
      </c>
      <c r="E893" t="s">
        <v>45</v>
      </c>
      <c r="F893" t="s">
        <v>46</v>
      </c>
      <c r="G893" t="s">
        <v>47</v>
      </c>
      <c r="H893">
        <v>1</v>
      </c>
      <c r="I893">
        <v>1199</v>
      </c>
      <c r="J893">
        <v>0.05</v>
      </c>
      <c r="K893">
        <v>59</v>
      </c>
      <c r="L893" t="s">
        <v>119</v>
      </c>
      <c r="M893" t="s">
        <v>120</v>
      </c>
      <c r="N893" t="s">
        <v>863</v>
      </c>
      <c r="O893" t="s">
        <v>51</v>
      </c>
      <c r="P893" t="s">
        <v>33</v>
      </c>
      <c r="Q893">
        <v>3</v>
      </c>
      <c r="R893">
        <f>IFERROR(Table1_1[[#This Row],[Unit_Price]]*Table1_1[[#This Row],[Quantity]],"")</f>
        <v>1199</v>
      </c>
      <c r="S893">
        <f>IFERROR(Table1_1[[#This Row],[Gross_Sales]]*Table1_1[[#This Row],[Discount_%]],"")</f>
        <v>59.95</v>
      </c>
      <c r="T893">
        <f>IFERROR(Table1_1[[#This Row],[Gross_Sales]]-Table1_1[[#This Row],[Discount_amount]]+Table1_1[[#This Row],[Shipping_Cost]],"")</f>
        <v>1198.05</v>
      </c>
      <c r="U893">
        <f>IFERROR(Table1_1[[#This Row],[Net_Sale]]-(Table1_1[[#This Row],[Gross_Sales]]*70%),"")</f>
        <v>358.75</v>
      </c>
      <c r="V893" s="7">
        <f>IFERROR(Table1_1[[#This Row],[Profit]]/Table1_1[[#This Row],[Net_Sale]],"")</f>
        <v>0.29944493134677186</v>
      </c>
      <c r="W893" t="str">
        <f>TEXT(Table1_1[[#This Row],[Order_Date]],"mmm")</f>
        <v>Jan</v>
      </c>
    </row>
    <row r="894" spans="1:23" x14ac:dyDescent="0.25">
      <c r="A894" t="s">
        <v>1293</v>
      </c>
      <c r="B894" t="s">
        <v>372</v>
      </c>
      <c r="C894" s="6">
        <v>45709</v>
      </c>
      <c r="D894" t="s">
        <v>105</v>
      </c>
      <c r="E894" t="s">
        <v>106</v>
      </c>
      <c r="F894" t="s">
        <v>37</v>
      </c>
      <c r="G894" t="s">
        <v>107</v>
      </c>
      <c r="H894">
        <v>1</v>
      </c>
      <c r="I894">
        <v>1799</v>
      </c>
      <c r="J894">
        <v>0</v>
      </c>
      <c r="K894">
        <v>99</v>
      </c>
      <c r="L894" t="s">
        <v>57</v>
      </c>
      <c r="M894" t="s">
        <v>58</v>
      </c>
      <c r="N894" t="s">
        <v>50</v>
      </c>
      <c r="O894" t="s">
        <v>59</v>
      </c>
      <c r="P894" t="s">
        <v>33</v>
      </c>
      <c r="Q894">
        <v>1</v>
      </c>
      <c r="R894">
        <f>IFERROR(Table1_1[[#This Row],[Unit_Price]]*Table1_1[[#This Row],[Quantity]],"")</f>
        <v>1799</v>
      </c>
      <c r="S894">
        <f>IFERROR(Table1_1[[#This Row],[Gross_Sales]]*Table1_1[[#This Row],[Discount_%]],"")</f>
        <v>0</v>
      </c>
      <c r="T894">
        <f>IFERROR(Table1_1[[#This Row],[Gross_Sales]]-Table1_1[[#This Row],[Discount_amount]]+Table1_1[[#This Row],[Shipping_Cost]],"")</f>
        <v>1898</v>
      </c>
      <c r="U894">
        <f>IFERROR(Table1_1[[#This Row],[Net_Sale]]-(Table1_1[[#This Row],[Gross_Sales]]*70%),"")</f>
        <v>638.70000000000005</v>
      </c>
      <c r="V894" s="7">
        <f>IFERROR(Table1_1[[#This Row],[Profit]]/Table1_1[[#This Row],[Net_Sale]],"")</f>
        <v>0.33651211801896735</v>
      </c>
      <c r="W894" t="str">
        <f>TEXT(Table1_1[[#This Row],[Order_Date]],"mmm")</f>
        <v>Feb</v>
      </c>
    </row>
    <row r="895" spans="1:23" x14ac:dyDescent="0.25">
      <c r="A895" t="s">
        <v>1294</v>
      </c>
      <c r="B895" t="s">
        <v>634</v>
      </c>
      <c r="C895" s="6">
        <v>45994</v>
      </c>
      <c r="D895" t="s">
        <v>90</v>
      </c>
      <c r="E895" t="s">
        <v>91</v>
      </c>
      <c r="F895" t="s">
        <v>37</v>
      </c>
      <c r="G895" t="s">
        <v>92</v>
      </c>
      <c r="H895">
        <v>1</v>
      </c>
      <c r="I895">
        <v>3499</v>
      </c>
      <c r="J895">
        <v>0.1</v>
      </c>
      <c r="K895">
        <v>59</v>
      </c>
      <c r="L895" t="s">
        <v>285</v>
      </c>
      <c r="M895" t="s">
        <v>39</v>
      </c>
      <c r="N895" t="s">
        <v>71</v>
      </c>
      <c r="O895" t="s">
        <v>59</v>
      </c>
      <c r="P895" t="s">
        <v>52</v>
      </c>
      <c r="Q895">
        <v>2</v>
      </c>
      <c r="R895">
        <f>IFERROR(Table1_1[[#This Row],[Unit_Price]]*Table1_1[[#This Row],[Quantity]],"")</f>
        <v>3499</v>
      </c>
      <c r="S895">
        <f>IFERROR(Table1_1[[#This Row],[Gross_Sales]]*Table1_1[[#This Row],[Discount_%]],"")</f>
        <v>349.90000000000003</v>
      </c>
      <c r="T895">
        <f>IFERROR(Table1_1[[#This Row],[Gross_Sales]]-Table1_1[[#This Row],[Discount_amount]]+Table1_1[[#This Row],[Shipping_Cost]],"")</f>
        <v>3208.1</v>
      </c>
      <c r="U895">
        <f>IFERROR(Table1_1[[#This Row],[Net_Sale]]-(Table1_1[[#This Row],[Gross_Sales]]*70%),"")</f>
        <v>758.80000000000018</v>
      </c>
      <c r="V895" s="7">
        <f>IFERROR(Table1_1[[#This Row],[Profit]]/Table1_1[[#This Row],[Net_Sale]],"")</f>
        <v>0.23652629282129617</v>
      </c>
      <c r="W895" t="str">
        <f>TEXT(Table1_1[[#This Row],[Order_Date]],"mmm")</f>
        <v>Dec</v>
      </c>
    </row>
    <row r="896" spans="1:23" x14ac:dyDescent="0.25">
      <c r="A896" t="s">
        <v>1295</v>
      </c>
      <c r="B896" t="s">
        <v>66</v>
      </c>
      <c r="C896" s="6">
        <v>45882</v>
      </c>
      <c r="D896" t="s">
        <v>62</v>
      </c>
      <c r="E896" t="s">
        <v>63</v>
      </c>
      <c r="F896" t="s">
        <v>46</v>
      </c>
      <c r="G896" t="s">
        <v>64</v>
      </c>
      <c r="H896">
        <v>1</v>
      </c>
      <c r="I896">
        <v>699</v>
      </c>
      <c r="J896">
        <v>0</v>
      </c>
      <c r="K896">
        <v>49</v>
      </c>
      <c r="L896" t="s">
        <v>48</v>
      </c>
      <c r="M896" t="s">
        <v>49</v>
      </c>
      <c r="N896" t="s">
        <v>40</v>
      </c>
      <c r="O896" t="s">
        <v>93</v>
      </c>
      <c r="P896" t="s">
        <v>52</v>
      </c>
      <c r="Q896">
        <v>3</v>
      </c>
      <c r="R896">
        <f>IFERROR(Table1_1[[#This Row],[Unit_Price]]*Table1_1[[#This Row],[Quantity]],"")</f>
        <v>699</v>
      </c>
      <c r="S896">
        <f>IFERROR(Table1_1[[#This Row],[Gross_Sales]]*Table1_1[[#This Row],[Discount_%]],"")</f>
        <v>0</v>
      </c>
      <c r="T896">
        <f>IFERROR(Table1_1[[#This Row],[Gross_Sales]]-Table1_1[[#This Row],[Discount_amount]]+Table1_1[[#This Row],[Shipping_Cost]],"")</f>
        <v>748</v>
      </c>
      <c r="U896">
        <f>IFERROR(Table1_1[[#This Row],[Net_Sale]]-(Table1_1[[#This Row],[Gross_Sales]]*70%),"")</f>
        <v>258.70000000000005</v>
      </c>
      <c r="V896" s="7">
        <f>IFERROR(Table1_1[[#This Row],[Profit]]/Table1_1[[#This Row],[Net_Sale]],"")</f>
        <v>0.34585561497326212</v>
      </c>
      <c r="W896" t="str">
        <f>TEXT(Table1_1[[#This Row],[Order_Date]],"mmm")</f>
        <v>Aug</v>
      </c>
    </row>
    <row r="897" spans="1:23" x14ac:dyDescent="0.25">
      <c r="A897" t="s">
        <v>1296</v>
      </c>
      <c r="B897" t="s">
        <v>381</v>
      </c>
      <c r="C897" s="6">
        <v>45803</v>
      </c>
      <c r="D897" t="s">
        <v>77</v>
      </c>
      <c r="E897" t="s">
        <v>78</v>
      </c>
      <c r="F897" t="s">
        <v>79</v>
      </c>
      <c r="G897" t="s">
        <v>28</v>
      </c>
      <c r="H897">
        <v>1</v>
      </c>
      <c r="I897">
        <v>6499</v>
      </c>
      <c r="J897">
        <v>0.1</v>
      </c>
      <c r="K897">
        <v>59</v>
      </c>
      <c r="L897" t="s">
        <v>113</v>
      </c>
      <c r="M897" t="s">
        <v>114</v>
      </c>
      <c r="N897" t="s">
        <v>50</v>
      </c>
      <c r="O897" t="s">
        <v>41</v>
      </c>
      <c r="P897" t="s">
        <v>52</v>
      </c>
      <c r="Q897">
        <v>4</v>
      </c>
      <c r="R897">
        <f>IFERROR(Table1_1[[#This Row],[Unit_Price]]*Table1_1[[#This Row],[Quantity]],"")</f>
        <v>6499</v>
      </c>
      <c r="S897">
        <f>IFERROR(Table1_1[[#This Row],[Gross_Sales]]*Table1_1[[#This Row],[Discount_%]],"")</f>
        <v>649.90000000000009</v>
      </c>
      <c r="T897">
        <f>IFERROR(Table1_1[[#This Row],[Gross_Sales]]-Table1_1[[#This Row],[Discount_amount]]+Table1_1[[#This Row],[Shipping_Cost]],"")</f>
        <v>5908.1</v>
      </c>
      <c r="U897">
        <f>IFERROR(Table1_1[[#This Row],[Net_Sale]]-(Table1_1[[#This Row],[Gross_Sales]]*70%),"")</f>
        <v>1358.8000000000011</v>
      </c>
      <c r="V897" s="7">
        <f>IFERROR(Table1_1[[#This Row],[Profit]]/Table1_1[[#This Row],[Net_Sale]],"")</f>
        <v>0.22998933667338078</v>
      </c>
      <c r="W897" t="str">
        <f>TEXT(Table1_1[[#This Row],[Order_Date]],"mmm")</f>
        <v>May</v>
      </c>
    </row>
    <row r="898" spans="1:23" x14ac:dyDescent="0.25">
      <c r="A898" t="s">
        <v>1297</v>
      </c>
      <c r="B898" t="s">
        <v>1084</v>
      </c>
      <c r="C898" s="6">
        <v>45908</v>
      </c>
      <c r="D898" t="s">
        <v>25</v>
      </c>
      <c r="E898" t="s">
        <v>26</v>
      </c>
      <c r="F898" t="s">
        <v>27</v>
      </c>
      <c r="G898" t="s">
        <v>28</v>
      </c>
      <c r="H898">
        <v>1</v>
      </c>
      <c r="I898">
        <v>249</v>
      </c>
      <c r="J898">
        <v>0.2</v>
      </c>
      <c r="K898">
        <v>49</v>
      </c>
      <c r="L898" t="s">
        <v>48</v>
      </c>
      <c r="M898" t="s">
        <v>49</v>
      </c>
      <c r="N898" t="s">
        <v>40</v>
      </c>
      <c r="O898" t="s">
        <v>32</v>
      </c>
      <c r="P898" t="s">
        <v>80</v>
      </c>
      <c r="Q898">
        <v>3</v>
      </c>
      <c r="R898">
        <f>IFERROR(Table1_1[[#This Row],[Unit_Price]]*Table1_1[[#This Row],[Quantity]],"")</f>
        <v>249</v>
      </c>
      <c r="S898">
        <f>IFERROR(Table1_1[[#This Row],[Gross_Sales]]*Table1_1[[#This Row],[Discount_%]],"")</f>
        <v>49.800000000000004</v>
      </c>
      <c r="T898">
        <f>IFERROR(Table1_1[[#This Row],[Gross_Sales]]-Table1_1[[#This Row],[Discount_amount]]+Table1_1[[#This Row],[Shipping_Cost]],"")</f>
        <v>248.2</v>
      </c>
      <c r="U898">
        <f>IFERROR(Table1_1[[#This Row],[Net_Sale]]-(Table1_1[[#This Row],[Gross_Sales]]*70%),"")</f>
        <v>73.900000000000006</v>
      </c>
      <c r="V898" s="7">
        <f>IFERROR(Table1_1[[#This Row],[Profit]]/Table1_1[[#This Row],[Net_Sale]],"")</f>
        <v>0.2977437550362611</v>
      </c>
      <c r="W898" t="str">
        <f>TEXT(Table1_1[[#This Row],[Order_Date]],"mmm")</f>
        <v>Sep</v>
      </c>
    </row>
    <row r="899" spans="1:23" x14ac:dyDescent="0.25">
      <c r="A899" t="s">
        <v>1298</v>
      </c>
      <c r="B899" t="s">
        <v>779</v>
      </c>
      <c r="C899" s="6">
        <v>45713</v>
      </c>
      <c r="D899" t="s">
        <v>77</v>
      </c>
      <c r="E899" t="s">
        <v>78</v>
      </c>
      <c r="F899" t="s">
        <v>79</v>
      </c>
      <c r="G899" t="s">
        <v>28</v>
      </c>
      <c r="H899">
        <v>1</v>
      </c>
      <c r="I899">
        <v>6499</v>
      </c>
      <c r="J899">
        <v>0.05</v>
      </c>
      <c r="K899">
        <v>99</v>
      </c>
      <c r="L899" t="s">
        <v>57</v>
      </c>
      <c r="M899" t="s">
        <v>58</v>
      </c>
      <c r="N899" t="s">
        <v>50</v>
      </c>
      <c r="O899" t="s">
        <v>93</v>
      </c>
      <c r="P899" t="s">
        <v>33</v>
      </c>
      <c r="Q899">
        <v>3</v>
      </c>
      <c r="R899">
        <f>IFERROR(Table1_1[[#This Row],[Unit_Price]]*Table1_1[[#This Row],[Quantity]],"")</f>
        <v>6499</v>
      </c>
      <c r="S899">
        <f>IFERROR(Table1_1[[#This Row],[Gross_Sales]]*Table1_1[[#This Row],[Discount_%]],"")</f>
        <v>324.95000000000005</v>
      </c>
      <c r="T899">
        <f>IFERROR(Table1_1[[#This Row],[Gross_Sales]]-Table1_1[[#This Row],[Discount_amount]]+Table1_1[[#This Row],[Shipping_Cost]],"")</f>
        <v>6273.05</v>
      </c>
      <c r="U899">
        <f>IFERROR(Table1_1[[#This Row],[Net_Sale]]-(Table1_1[[#This Row],[Gross_Sales]]*70%),"")</f>
        <v>1723.7500000000009</v>
      </c>
      <c r="V899" s="7">
        <f>IFERROR(Table1_1[[#This Row],[Profit]]/Table1_1[[#This Row],[Net_Sale]],"")</f>
        <v>0.2747865870668974</v>
      </c>
      <c r="W899" t="str">
        <f>TEXT(Table1_1[[#This Row],[Order_Date]],"mmm")</f>
        <v>Feb</v>
      </c>
    </row>
    <row r="900" spans="1:23" x14ac:dyDescent="0.25">
      <c r="A900" t="s">
        <v>1299</v>
      </c>
      <c r="B900" t="s">
        <v>527</v>
      </c>
      <c r="C900" s="6">
        <v>45662</v>
      </c>
      <c r="D900" t="s">
        <v>169</v>
      </c>
      <c r="E900" t="s">
        <v>170</v>
      </c>
      <c r="F900" t="s">
        <v>98</v>
      </c>
      <c r="G900" t="s">
        <v>171</v>
      </c>
      <c r="H900">
        <v>5</v>
      </c>
      <c r="I900">
        <v>799</v>
      </c>
      <c r="J900">
        <v>0.05</v>
      </c>
      <c r="K900">
        <v>79</v>
      </c>
      <c r="L900" t="s">
        <v>57</v>
      </c>
      <c r="M900" t="s">
        <v>58</v>
      </c>
      <c r="N900" t="s">
        <v>40</v>
      </c>
      <c r="O900" t="s">
        <v>41</v>
      </c>
      <c r="P900" t="s">
        <v>33</v>
      </c>
      <c r="Q900">
        <v>5</v>
      </c>
      <c r="R900">
        <f>IFERROR(Table1_1[[#This Row],[Unit_Price]]*Table1_1[[#This Row],[Quantity]],"")</f>
        <v>3995</v>
      </c>
      <c r="S900">
        <f>IFERROR(Table1_1[[#This Row],[Gross_Sales]]*Table1_1[[#This Row],[Discount_%]],"")</f>
        <v>199.75</v>
      </c>
      <c r="T900">
        <f>IFERROR(Table1_1[[#This Row],[Gross_Sales]]-Table1_1[[#This Row],[Discount_amount]]+Table1_1[[#This Row],[Shipping_Cost]],"")</f>
        <v>3874.25</v>
      </c>
      <c r="U900">
        <f>IFERROR(Table1_1[[#This Row],[Net_Sale]]-(Table1_1[[#This Row],[Gross_Sales]]*70%),"")</f>
        <v>1077.75</v>
      </c>
      <c r="V900" s="7">
        <f>IFERROR(Table1_1[[#This Row],[Profit]]/Table1_1[[#This Row],[Net_Sale]],"")</f>
        <v>0.27818287410466541</v>
      </c>
      <c r="W900" t="str">
        <f>TEXT(Table1_1[[#This Row],[Order_Date]],"mmm")</f>
        <v>Jan</v>
      </c>
    </row>
    <row r="901" spans="1:23" x14ac:dyDescent="0.25">
      <c r="A901" t="s">
        <v>1300</v>
      </c>
      <c r="B901" t="s">
        <v>232</v>
      </c>
      <c r="C901" s="6">
        <v>45801</v>
      </c>
      <c r="D901" t="s">
        <v>105</v>
      </c>
      <c r="E901" t="s">
        <v>106</v>
      </c>
      <c r="F901" t="s">
        <v>37</v>
      </c>
      <c r="G901" t="s">
        <v>107</v>
      </c>
      <c r="H901">
        <v>1</v>
      </c>
      <c r="I901">
        <v>1799</v>
      </c>
      <c r="J901">
        <v>0.2</v>
      </c>
      <c r="K901">
        <v>49</v>
      </c>
      <c r="L901" t="s">
        <v>83</v>
      </c>
      <c r="M901" t="s">
        <v>84</v>
      </c>
      <c r="N901" t="s">
        <v>50</v>
      </c>
      <c r="O901" t="s">
        <v>59</v>
      </c>
      <c r="P901" t="s">
        <v>33</v>
      </c>
      <c r="Q901">
        <v>3</v>
      </c>
      <c r="R901">
        <f>IFERROR(Table1_1[[#This Row],[Unit_Price]]*Table1_1[[#This Row],[Quantity]],"")</f>
        <v>1799</v>
      </c>
      <c r="S901">
        <f>IFERROR(Table1_1[[#This Row],[Gross_Sales]]*Table1_1[[#This Row],[Discount_%]],"")</f>
        <v>359.8</v>
      </c>
      <c r="T901">
        <f>IFERROR(Table1_1[[#This Row],[Gross_Sales]]-Table1_1[[#This Row],[Discount_amount]]+Table1_1[[#This Row],[Shipping_Cost]],"")</f>
        <v>1488.2</v>
      </c>
      <c r="U901">
        <f>IFERROR(Table1_1[[#This Row],[Net_Sale]]-(Table1_1[[#This Row],[Gross_Sales]]*70%),"")</f>
        <v>228.90000000000009</v>
      </c>
      <c r="V901" s="7">
        <f>IFERROR(Table1_1[[#This Row],[Profit]]/Table1_1[[#This Row],[Net_Sale]],"")</f>
        <v>0.15380997177798689</v>
      </c>
      <c r="W901" t="str">
        <f>TEXT(Table1_1[[#This Row],[Order_Date]],"mmm")</f>
        <v>May</v>
      </c>
    </row>
    <row r="902" spans="1:23" x14ac:dyDescent="0.25">
      <c r="A902" t="s">
        <v>1301</v>
      </c>
      <c r="B902" t="s">
        <v>207</v>
      </c>
      <c r="C902" s="6">
        <v>45754</v>
      </c>
      <c r="D902" t="s">
        <v>55</v>
      </c>
      <c r="E902" t="s">
        <v>56</v>
      </c>
      <c r="F902" t="s">
        <v>37</v>
      </c>
      <c r="G902" t="s">
        <v>38</v>
      </c>
      <c r="H902">
        <v>2</v>
      </c>
      <c r="I902">
        <v>2499</v>
      </c>
      <c r="J902">
        <v>0</v>
      </c>
      <c r="K902">
        <v>49</v>
      </c>
      <c r="L902" t="s">
        <v>83</v>
      </c>
      <c r="M902" t="s">
        <v>84</v>
      </c>
      <c r="N902" t="s">
        <v>50</v>
      </c>
      <c r="O902" t="s">
        <v>59</v>
      </c>
      <c r="P902" t="s">
        <v>80</v>
      </c>
      <c r="Q902">
        <v>1</v>
      </c>
      <c r="R902">
        <f>IFERROR(Table1_1[[#This Row],[Unit_Price]]*Table1_1[[#This Row],[Quantity]],"")</f>
        <v>4998</v>
      </c>
      <c r="S902">
        <f>IFERROR(Table1_1[[#This Row],[Gross_Sales]]*Table1_1[[#This Row],[Discount_%]],"")</f>
        <v>0</v>
      </c>
      <c r="T902">
        <f>IFERROR(Table1_1[[#This Row],[Gross_Sales]]-Table1_1[[#This Row],[Discount_amount]]+Table1_1[[#This Row],[Shipping_Cost]],"")</f>
        <v>5047</v>
      </c>
      <c r="U902">
        <f>IFERROR(Table1_1[[#This Row],[Net_Sale]]-(Table1_1[[#This Row],[Gross_Sales]]*70%),"")</f>
        <v>1548.4</v>
      </c>
      <c r="V902" s="7">
        <f>IFERROR(Table1_1[[#This Row],[Profit]]/Table1_1[[#This Row],[Net_Sale]],"")</f>
        <v>0.30679611650485439</v>
      </c>
      <c r="W902" t="str">
        <f>TEXT(Table1_1[[#This Row],[Order_Date]],"mmm")</f>
        <v>Apr</v>
      </c>
    </row>
    <row r="903" spans="1:23" x14ac:dyDescent="0.25">
      <c r="A903" t="s">
        <v>1302</v>
      </c>
      <c r="B903" t="s">
        <v>70</v>
      </c>
      <c r="C903" s="6">
        <v>45876</v>
      </c>
      <c r="D903" t="s">
        <v>110</v>
      </c>
      <c r="E903" t="s">
        <v>111</v>
      </c>
      <c r="F903" t="s">
        <v>98</v>
      </c>
      <c r="G903" t="s">
        <v>112</v>
      </c>
      <c r="H903">
        <v>4</v>
      </c>
      <c r="I903">
        <v>2999</v>
      </c>
      <c r="J903">
        <v>0</v>
      </c>
      <c r="K903">
        <v>0</v>
      </c>
      <c r="L903" t="s">
        <v>113</v>
      </c>
      <c r="M903" t="s">
        <v>114</v>
      </c>
      <c r="N903" t="s">
        <v>40</v>
      </c>
      <c r="O903" t="s">
        <v>32</v>
      </c>
      <c r="P903" t="s">
        <v>33</v>
      </c>
      <c r="Q903">
        <v>3</v>
      </c>
      <c r="R903">
        <f>IFERROR(Table1_1[[#This Row],[Unit_Price]]*Table1_1[[#This Row],[Quantity]],"")</f>
        <v>11996</v>
      </c>
      <c r="S903">
        <f>IFERROR(Table1_1[[#This Row],[Gross_Sales]]*Table1_1[[#This Row],[Discount_%]],"")</f>
        <v>0</v>
      </c>
      <c r="T903">
        <f>IFERROR(Table1_1[[#This Row],[Gross_Sales]]-Table1_1[[#This Row],[Discount_amount]]+Table1_1[[#This Row],[Shipping_Cost]],"")</f>
        <v>11996</v>
      </c>
      <c r="U903">
        <f>IFERROR(Table1_1[[#This Row],[Net_Sale]]-(Table1_1[[#This Row],[Gross_Sales]]*70%),"")</f>
        <v>3598.8000000000011</v>
      </c>
      <c r="V903" s="7">
        <f>IFERROR(Table1_1[[#This Row],[Profit]]/Table1_1[[#This Row],[Net_Sale]],"")</f>
        <v>0.3000000000000001</v>
      </c>
      <c r="W903" t="str">
        <f>TEXT(Table1_1[[#This Row],[Order_Date]],"mmm")</f>
        <v>Aug</v>
      </c>
    </row>
    <row r="904" spans="1:23" x14ac:dyDescent="0.25">
      <c r="A904" t="s">
        <v>1303</v>
      </c>
      <c r="B904" t="s">
        <v>857</v>
      </c>
      <c r="C904" s="6">
        <v>45876</v>
      </c>
      <c r="D904" t="s">
        <v>77</v>
      </c>
      <c r="E904" t="s">
        <v>78</v>
      </c>
      <c r="F904" t="s">
        <v>79</v>
      </c>
      <c r="G904" t="s">
        <v>28</v>
      </c>
      <c r="H904">
        <v>1</v>
      </c>
      <c r="I904">
        <v>6499</v>
      </c>
      <c r="J904">
        <v>0.1</v>
      </c>
      <c r="K904">
        <v>0</v>
      </c>
      <c r="L904" t="s">
        <v>113</v>
      </c>
      <c r="M904" t="s">
        <v>114</v>
      </c>
      <c r="N904" t="s">
        <v>31</v>
      </c>
      <c r="O904" t="s">
        <v>51</v>
      </c>
      <c r="P904" t="s">
        <v>85</v>
      </c>
      <c r="Q904">
        <v>3</v>
      </c>
      <c r="R904">
        <f>IFERROR(Table1_1[[#This Row],[Unit_Price]]*Table1_1[[#This Row],[Quantity]],"")</f>
        <v>6499</v>
      </c>
      <c r="S904">
        <f>IFERROR(Table1_1[[#This Row],[Gross_Sales]]*Table1_1[[#This Row],[Discount_%]],"")</f>
        <v>649.90000000000009</v>
      </c>
      <c r="T904">
        <f>IFERROR(Table1_1[[#This Row],[Gross_Sales]]-Table1_1[[#This Row],[Discount_amount]]+Table1_1[[#This Row],[Shipping_Cost]],"")</f>
        <v>5849.1</v>
      </c>
      <c r="U904">
        <f>IFERROR(Table1_1[[#This Row],[Net_Sale]]-(Table1_1[[#This Row],[Gross_Sales]]*70%),"")</f>
        <v>1299.8000000000011</v>
      </c>
      <c r="V904" s="7">
        <f>IFERROR(Table1_1[[#This Row],[Profit]]/Table1_1[[#This Row],[Net_Sale]],"")</f>
        <v>0.2222222222222224</v>
      </c>
      <c r="W904" t="str">
        <f>TEXT(Table1_1[[#This Row],[Order_Date]],"mmm")</f>
        <v>Aug</v>
      </c>
    </row>
    <row r="905" spans="1:23" x14ac:dyDescent="0.25">
      <c r="A905" t="s">
        <v>1304</v>
      </c>
      <c r="B905" t="s">
        <v>1273</v>
      </c>
      <c r="C905" s="6">
        <v>45784</v>
      </c>
      <c r="D905" t="s">
        <v>110</v>
      </c>
      <c r="E905" t="s">
        <v>111</v>
      </c>
      <c r="F905" t="s">
        <v>98</v>
      </c>
      <c r="G905" t="s">
        <v>112</v>
      </c>
      <c r="H905">
        <v>2</v>
      </c>
      <c r="I905">
        <v>2999</v>
      </c>
      <c r="J905">
        <v>0</v>
      </c>
      <c r="K905">
        <v>0</v>
      </c>
      <c r="L905" t="s">
        <v>74</v>
      </c>
      <c r="M905" t="s">
        <v>49</v>
      </c>
      <c r="N905" t="s">
        <v>31</v>
      </c>
      <c r="O905" t="s">
        <v>51</v>
      </c>
      <c r="P905" t="s">
        <v>33</v>
      </c>
      <c r="Q905">
        <v>2</v>
      </c>
      <c r="R905">
        <f>IFERROR(Table1_1[[#This Row],[Unit_Price]]*Table1_1[[#This Row],[Quantity]],"")</f>
        <v>5998</v>
      </c>
      <c r="S905">
        <f>IFERROR(Table1_1[[#This Row],[Gross_Sales]]*Table1_1[[#This Row],[Discount_%]],"")</f>
        <v>0</v>
      </c>
      <c r="T905">
        <f>IFERROR(Table1_1[[#This Row],[Gross_Sales]]-Table1_1[[#This Row],[Discount_amount]]+Table1_1[[#This Row],[Shipping_Cost]],"")</f>
        <v>5998</v>
      </c>
      <c r="U905">
        <f>IFERROR(Table1_1[[#This Row],[Net_Sale]]-(Table1_1[[#This Row],[Gross_Sales]]*70%),"")</f>
        <v>1799.4000000000005</v>
      </c>
      <c r="V905" s="7">
        <f>IFERROR(Table1_1[[#This Row],[Profit]]/Table1_1[[#This Row],[Net_Sale]],"")</f>
        <v>0.3000000000000001</v>
      </c>
      <c r="W905" t="str">
        <f>TEXT(Table1_1[[#This Row],[Order_Date]],"mmm")</f>
        <v>May</v>
      </c>
    </row>
    <row r="906" spans="1:23" x14ac:dyDescent="0.25">
      <c r="A906" t="s">
        <v>1305</v>
      </c>
      <c r="B906" t="s">
        <v>166</v>
      </c>
      <c r="C906" s="6">
        <v>45968</v>
      </c>
      <c r="D906" t="s">
        <v>110</v>
      </c>
      <c r="E906" t="s">
        <v>111</v>
      </c>
      <c r="F906" t="s">
        <v>98</v>
      </c>
      <c r="G906" t="s">
        <v>112</v>
      </c>
      <c r="H906">
        <v>1</v>
      </c>
      <c r="I906">
        <v>2999</v>
      </c>
      <c r="J906">
        <v>0.05</v>
      </c>
      <c r="K906">
        <v>79</v>
      </c>
      <c r="L906" t="s">
        <v>119</v>
      </c>
      <c r="M906" t="s">
        <v>120</v>
      </c>
      <c r="N906" t="s">
        <v>71</v>
      </c>
      <c r="O906" t="s">
        <v>51</v>
      </c>
      <c r="P906" t="s">
        <v>33</v>
      </c>
      <c r="Q906">
        <v>1</v>
      </c>
      <c r="R906">
        <f>IFERROR(Table1_1[[#This Row],[Unit_Price]]*Table1_1[[#This Row],[Quantity]],"")</f>
        <v>2999</v>
      </c>
      <c r="S906">
        <f>IFERROR(Table1_1[[#This Row],[Gross_Sales]]*Table1_1[[#This Row],[Discount_%]],"")</f>
        <v>149.95000000000002</v>
      </c>
      <c r="T906">
        <f>IFERROR(Table1_1[[#This Row],[Gross_Sales]]-Table1_1[[#This Row],[Discount_amount]]+Table1_1[[#This Row],[Shipping_Cost]],"")</f>
        <v>2928.05</v>
      </c>
      <c r="U906">
        <f>IFERROR(Table1_1[[#This Row],[Net_Sale]]-(Table1_1[[#This Row],[Gross_Sales]]*70%),"")</f>
        <v>828.75000000000045</v>
      </c>
      <c r="V906" s="7">
        <f>IFERROR(Table1_1[[#This Row],[Profit]]/Table1_1[[#This Row],[Net_Sale]],"")</f>
        <v>0.28303819948429854</v>
      </c>
      <c r="W906" t="str">
        <f>TEXT(Table1_1[[#This Row],[Order_Date]],"mmm")</f>
        <v>Nov</v>
      </c>
    </row>
    <row r="907" spans="1:23" x14ac:dyDescent="0.25">
      <c r="A907" t="s">
        <v>1306</v>
      </c>
      <c r="B907" t="s">
        <v>521</v>
      </c>
      <c r="C907" s="6">
        <v>45724</v>
      </c>
      <c r="D907" t="s">
        <v>55</v>
      </c>
      <c r="E907" t="s">
        <v>56</v>
      </c>
      <c r="F907" t="s">
        <v>37</v>
      </c>
      <c r="G907" t="s">
        <v>38</v>
      </c>
      <c r="H907">
        <v>2</v>
      </c>
      <c r="I907">
        <v>2499</v>
      </c>
      <c r="J907">
        <v>0.05</v>
      </c>
      <c r="K907">
        <v>99</v>
      </c>
      <c r="L907" t="s">
        <v>39</v>
      </c>
      <c r="M907" t="s">
        <v>39</v>
      </c>
      <c r="N907" t="s">
        <v>102</v>
      </c>
      <c r="O907" t="s">
        <v>51</v>
      </c>
      <c r="P907" t="s">
        <v>80</v>
      </c>
      <c r="Q907">
        <v>2</v>
      </c>
      <c r="R907">
        <f>IFERROR(Table1_1[[#This Row],[Unit_Price]]*Table1_1[[#This Row],[Quantity]],"")</f>
        <v>4998</v>
      </c>
      <c r="S907">
        <f>IFERROR(Table1_1[[#This Row],[Gross_Sales]]*Table1_1[[#This Row],[Discount_%]],"")</f>
        <v>249.9</v>
      </c>
      <c r="T907">
        <f>IFERROR(Table1_1[[#This Row],[Gross_Sales]]-Table1_1[[#This Row],[Discount_amount]]+Table1_1[[#This Row],[Shipping_Cost]],"")</f>
        <v>4847.1000000000004</v>
      </c>
      <c r="U907">
        <f>IFERROR(Table1_1[[#This Row],[Net_Sale]]-(Table1_1[[#This Row],[Gross_Sales]]*70%),"")</f>
        <v>1348.5000000000005</v>
      </c>
      <c r="V907" s="7">
        <f>IFERROR(Table1_1[[#This Row],[Profit]]/Table1_1[[#This Row],[Net_Sale]],"")</f>
        <v>0.27820758804233464</v>
      </c>
      <c r="W907" t="str">
        <f>TEXT(Table1_1[[#This Row],[Order_Date]],"mmm")</f>
        <v>Mar</v>
      </c>
    </row>
    <row r="908" spans="1:23" x14ac:dyDescent="0.25">
      <c r="A908" t="s">
        <v>1307</v>
      </c>
      <c r="B908" t="s">
        <v>207</v>
      </c>
      <c r="C908" s="6">
        <v>45854</v>
      </c>
      <c r="D908" t="s">
        <v>25</v>
      </c>
      <c r="E908" t="s">
        <v>26</v>
      </c>
      <c r="F908" t="s">
        <v>27</v>
      </c>
      <c r="G908" t="s">
        <v>28</v>
      </c>
      <c r="H908">
        <v>1</v>
      </c>
      <c r="I908">
        <v>249</v>
      </c>
      <c r="J908">
        <v>0</v>
      </c>
      <c r="K908">
        <v>99</v>
      </c>
      <c r="L908" t="s">
        <v>48</v>
      </c>
      <c r="M908" t="s">
        <v>49</v>
      </c>
      <c r="N908" t="s">
        <v>31</v>
      </c>
      <c r="O908" t="s">
        <v>32</v>
      </c>
      <c r="P908" t="s">
        <v>33</v>
      </c>
      <c r="Q908">
        <v>3</v>
      </c>
      <c r="R908">
        <f>IFERROR(Table1_1[[#This Row],[Unit_Price]]*Table1_1[[#This Row],[Quantity]],"")</f>
        <v>249</v>
      </c>
      <c r="S908">
        <f>IFERROR(Table1_1[[#This Row],[Gross_Sales]]*Table1_1[[#This Row],[Discount_%]],"")</f>
        <v>0</v>
      </c>
      <c r="T908">
        <f>IFERROR(Table1_1[[#This Row],[Gross_Sales]]-Table1_1[[#This Row],[Discount_amount]]+Table1_1[[#This Row],[Shipping_Cost]],"")</f>
        <v>348</v>
      </c>
      <c r="U908">
        <f>IFERROR(Table1_1[[#This Row],[Net_Sale]]-(Table1_1[[#This Row],[Gross_Sales]]*70%),"")</f>
        <v>173.70000000000002</v>
      </c>
      <c r="V908" s="7">
        <f>IFERROR(Table1_1[[#This Row],[Profit]]/Table1_1[[#This Row],[Net_Sale]],"")</f>
        <v>0.49913793103448278</v>
      </c>
      <c r="W908" t="str">
        <f>TEXT(Table1_1[[#This Row],[Order_Date]],"mmm")</f>
        <v>Jul</v>
      </c>
    </row>
    <row r="909" spans="1:23" x14ac:dyDescent="0.25">
      <c r="A909" t="s">
        <v>1308</v>
      </c>
      <c r="B909" t="s">
        <v>417</v>
      </c>
      <c r="C909" s="6">
        <v>45708</v>
      </c>
      <c r="D909" t="s">
        <v>67</v>
      </c>
      <c r="E909" t="s">
        <v>68</v>
      </c>
      <c r="F909" t="s">
        <v>37</v>
      </c>
      <c r="G909" t="s">
        <v>38</v>
      </c>
      <c r="H909">
        <v>2</v>
      </c>
      <c r="I909">
        <v>1299</v>
      </c>
      <c r="J909">
        <v>0.05</v>
      </c>
      <c r="K909">
        <v>59</v>
      </c>
      <c r="L909" t="s">
        <v>113</v>
      </c>
      <c r="M909" t="s">
        <v>114</v>
      </c>
      <c r="N909" t="s">
        <v>50</v>
      </c>
      <c r="O909" t="s">
        <v>32</v>
      </c>
      <c r="P909" t="s">
        <v>85</v>
      </c>
      <c r="Q909">
        <v>3</v>
      </c>
      <c r="R909">
        <f>IFERROR(Table1_1[[#This Row],[Unit_Price]]*Table1_1[[#This Row],[Quantity]],"")</f>
        <v>2598</v>
      </c>
      <c r="S909">
        <f>IFERROR(Table1_1[[#This Row],[Gross_Sales]]*Table1_1[[#This Row],[Discount_%]],"")</f>
        <v>129.9</v>
      </c>
      <c r="T909">
        <f>IFERROR(Table1_1[[#This Row],[Gross_Sales]]-Table1_1[[#This Row],[Discount_amount]]+Table1_1[[#This Row],[Shipping_Cost]],"")</f>
        <v>2527.1</v>
      </c>
      <c r="U909">
        <f>IFERROR(Table1_1[[#This Row],[Net_Sale]]-(Table1_1[[#This Row],[Gross_Sales]]*70%),"")</f>
        <v>708.5</v>
      </c>
      <c r="V909" s="7">
        <f>IFERROR(Table1_1[[#This Row],[Profit]]/Table1_1[[#This Row],[Net_Sale]],"")</f>
        <v>0.28036088797435799</v>
      </c>
      <c r="W909" t="str">
        <f>TEXT(Table1_1[[#This Row],[Order_Date]],"mmm")</f>
        <v>Feb</v>
      </c>
    </row>
    <row r="910" spans="1:23" x14ac:dyDescent="0.25">
      <c r="A910" t="s">
        <v>1309</v>
      </c>
      <c r="B910" t="s">
        <v>842</v>
      </c>
      <c r="C910" s="6">
        <v>45872</v>
      </c>
      <c r="D910" t="s">
        <v>105</v>
      </c>
      <c r="E910" t="s">
        <v>106</v>
      </c>
      <c r="F910" t="s">
        <v>37</v>
      </c>
      <c r="G910" t="s">
        <v>107</v>
      </c>
      <c r="H910">
        <v>1</v>
      </c>
      <c r="I910">
        <v>1799</v>
      </c>
      <c r="J910">
        <v>0.15</v>
      </c>
      <c r="K910">
        <v>59</v>
      </c>
      <c r="L910" t="s">
        <v>39</v>
      </c>
      <c r="M910" t="s">
        <v>39</v>
      </c>
      <c r="N910" t="s">
        <v>40</v>
      </c>
      <c r="O910" t="s">
        <v>93</v>
      </c>
      <c r="P910" t="s">
        <v>33</v>
      </c>
      <c r="Q910">
        <v>4</v>
      </c>
      <c r="R910">
        <f>IFERROR(Table1_1[[#This Row],[Unit_Price]]*Table1_1[[#This Row],[Quantity]],"")</f>
        <v>1799</v>
      </c>
      <c r="S910">
        <f>IFERROR(Table1_1[[#This Row],[Gross_Sales]]*Table1_1[[#This Row],[Discount_%]],"")</f>
        <v>269.84999999999997</v>
      </c>
      <c r="T910">
        <f>IFERROR(Table1_1[[#This Row],[Gross_Sales]]-Table1_1[[#This Row],[Discount_amount]]+Table1_1[[#This Row],[Shipping_Cost]],"")</f>
        <v>1588.15</v>
      </c>
      <c r="U910">
        <f>IFERROR(Table1_1[[#This Row],[Net_Sale]]-(Table1_1[[#This Row],[Gross_Sales]]*70%),"")</f>
        <v>328.85000000000014</v>
      </c>
      <c r="V910" s="7">
        <f>IFERROR(Table1_1[[#This Row],[Profit]]/Table1_1[[#This Row],[Net_Sale]],"")</f>
        <v>0.20706482385165137</v>
      </c>
      <c r="W910" t="str">
        <f>TEXT(Table1_1[[#This Row],[Order_Date]],"mmm")</f>
        <v>Aug</v>
      </c>
    </row>
    <row r="911" spans="1:23" x14ac:dyDescent="0.25">
      <c r="A911" t="s">
        <v>1310</v>
      </c>
      <c r="B911" t="s">
        <v>403</v>
      </c>
      <c r="C911" s="6">
        <v>45915</v>
      </c>
      <c r="D911" t="s">
        <v>55</v>
      </c>
      <c r="E911" t="s">
        <v>56</v>
      </c>
      <c r="F911" t="s">
        <v>37</v>
      </c>
      <c r="G911" t="s">
        <v>38</v>
      </c>
      <c r="H911">
        <v>1</v>
      </c>
      <c r="I911">
        <v>2499</v>
      </c>
      <c r="J911">
        <v>0.05</v>
      </c>
      <c r="K911">
        <v>49</v>
      </c>
      <c r="L911" t="s">
        <v>119</v>
      </c>
      <c r="M911" t="s">
        <v>120</v>
      </c>
      <c r="N911" t="s">
        <v>31</v>
      </c>
      <c r="O911" t="s">
        <v>32</v>
      </c>
      <c r="P911" t="s">
        <v>85</v>
      </c>
      <c r="Q911">
        <v>1</v>
      </c>
      <c r="R911">
        <f>IFERROR(Table1_1[[#This Row],[Unit_Price]]*Table1_1[[#This Row],[Quantity]],"")</f>
        <v>2499</v>
      </c>
      <c r="S911">
        <f>IFERROR(Table1_1[[#This Row],[Gross_Sales]]*Table1_1[[#This Row],[Discount_%]],"")</f>
        <v>124.95</v>
      </c>
      <c r="T911">
        <f>IFERROR(Table1_1[[#This Row],[Gross_Sales]]-Table1_1[[#This Row],[Discount_amount]]+Table1_1[[#This Row],[Shipping_Cost]],"")</f>
        <v>2423.0500000000002</v>
      </c>
      <c r="U911">
        <f>IFERROR(Table1_1[[#This Row],[Net_Sale]]-(Table1_1[[#This Row],[Gross_Sales]]*70%),"")</f>
        <v>673.75000000000023</v>
      </c>
      <c r="V911" s="7">
        <f>IFERROR(Table1_1[[#This Row],[Profit]]/Table1_1[[#This Row],[Net_Sale]],"")</f>
        <v>0.27805864509605671</v>
      </c>
      <c r="W911" t="str">
        <f>TEXT(Table1_1[[#This Row],[Order_Date]],"mmm")</f>
        <v>Sep</v>
      </c>
    </row>
    <row r="912" spans="1:23" x14ac:dyDescent="0.25">
      <c r="A912" t="s">
        <v>1311</v>
      </c>
      <c r="B912" t="s">
        <v>660</v>
      </c>
      <c r="C912" s="6">
        <v>45861</v>
      </c>
      <c r="D912" t="s">
        <v>77</v>
      </c>
      <c r="E912" t="s">
        <v>78</v>
      </c>
      <c r="F912" t="s">
        <v>79</v>
      </c>
      <c r="G912" t="s">
        <v>28</v>
      </c>
      <c r="H912">
        <v>2</v>
      </c>
      <c r="I912">
        <v>6499</v>
      </c>
      <c r="J912">
        <v>0.15</v>
      </c>
      <c r="K912">
        <v>0</v>
      </c>
      <c r="L912" t="s">
        <v>113</v>
      </c>
      <c r="M912" t="s">
        <v>114</v>
      </c>
      <c r="N912" t="s">
        <v>40</v>
      </c>
      <c r="O912" t="s">
        <v>32</v>
      </c>
      <c r="P912" t="s">
        <v>85</v>
      </c>
      <c r="Q912">
        <v>4</v>
      </c>
      <c r="R912">
        <f>IFERROR(Table1_1[[#This Row],[Unit_Price]]*Table1_1[[#This Row],[Quantity]],"")</f>
        <v>12998</v>
      </c>
      <c r="S912">
        <f>IFERROR(Table1_1[[#This Row],[Gross_Sales]]*Table1_1[[#This Row],[Discount_%]],"")</f>
        <v>1949.6999999999998</v>
      </c>
      <c r="T912">
        <f>IFERROR(Table1_1[[#This Row],[Gross_Sales]]-Table1_1[[#This Row],[Discount_amount]]+Table1_1[[#This Row],[Shipping_Cost]],"")</f>
        <v>11048.3</v>
      </c>
      <c r="U912">
        <f>IFERROR(Table1_1[[#This Row],[Net_Sale]]-(Table1_1[[#This Row],[Gross_Sales]]*70%),"")</f>
        <v>1949.7000000000007</v>
      </c>
      <c r="V912" s="7">
        <f>IFERROR(Table1_1[[#This Row],[Profit]]/Table1_1[[#This Row],[Net_Sale]],"")</f>
        <v>0.17647058823529418</v>
      </c>
      <c r="W912" t="str">
        <f>TEXT(Table1_1[[#This Row],[Order_Date]],"mmm")</f>
        <v>Jul</v>
      </c>
    </row>
    <row r="913" spans="1:23" x14ac:dyDescent="0.25">
      <c r="A913" t="s">
        <v>1312</v>
      </c>
      <c r="B913" t="s">
        <v>940</v>
      </c>
      <c r="C913" s="6">
        <v>45797</v>
      </c>
      <c r="D913" t="s">
        <v>62</v>
      </c>
      <c r="E913" t="s">
        <v>63</v>
      </c>
      <c r="F913" t="s">
        <v>46</v>
      </c>
      <c r="G913" t="s">
        <v>64</v>
      </c>
      <c r="H913">
        <v>1</v>
      </c>
      <c r="I913">
        <v>699</v>
      </c>
      <c r="J913">
        <v>0</v>
      </c>
      <c r="K913">
        <v>99</v>
      </c>
      <c r="L913" t="s">
        <v>57</v>
      </c>
      <c r="M913" t="s">
        <v>58</v>
      </c>
      <c r="N913" t="s">
        <v>102</v>
      </c>
      <c r="O913" t="s">
        <v>93</v>
      </c>
      <c r="P913" t="s">
        <v>33</v>
      </c>
      <c r="Q913">
        <v>3</v>
      </c>
      <c r="R913">
        <f>IFERROR(Table1_1[[#This Row],[Unit_Price]]*Table1_1[[#This Row],[Quantity]],"")</f>
        <v>699</v>
      </c>
      <c r="S913">
        <f>IFERROR(Table1_1[[#This Row],[Gross_Sales]]*Table1_1[[#This Row],[Discount_%]],"")</f>
        <v>0</v>
      </c>
      <c r="T913">
        <f>IFERROR(Table1_1[[#This Row],[Gross_Sales]]-Table1_1[[#This Row],[Discount_amount]]+Table1_1[[#This Row],[Shipping_Cost]],"")</f>
        <v>798</v>
      </c>
      <c r="U913">
        <f>IFERROR(Table1_1[[#This Row],[Net_Sale]]-(Table1_1[[#This Row],[Gross_Sales]]*70%),"")</f>
        <v>308.70000000000005</v>
      </c>
      <c r="V913" s="7">
        <f>IFERROR(Table1_1[[#This Row],[Profit]]/Table1_1[[#This Row],[Net_Sale]],"")</f>
        <v>0.38684210526315793</v>
      </c>
      <c r="W913" t="str">
        <f>TEXT(Table1_1[[#This Row],[Order_Date]],"mmm")</f>
        <v>May</v>
      </c>
    </row>
    <row r="914" spans="1:23" x14ac:dyDescent="0.25">
      <c r="A914" t="s">
        <v>1313</v>
      </c>
      <c r="B914" t="s">
        <v>640</v>
      </c>
      <c r="C914" s="6">
        <v>45926</v>
      </c>
      <c r="D914" t="s">
        <v>62</v>
      </c>
      <c r="E914" t="s">
        <v>63</v>
      </c>
      <c r="F914" t="s">
        <v>46</v>
      </c>
      <c r="G914" t="s">
        <v>64</v>
      </c>
      <c r="H914">
        <v>2</v>
      </c>
      <c r="I914">
        <v>699</v>
      </c>
      <c r="J914">
        <v>0.05</v>
      </c>
      <c r="K914">
        <v>59</v>
      </c>
      <c r="L914" t="s">
        <v>119</v>
      </c>
      <c r="M914" t="s">
        <v>120</v>
      </c>
      <c r="N914" t="s">
        <v>31</v>
      </c>
      <c r="O914" t="s">
        <v>41</v>
      </c>
      <c r="P914" t="s">
        <v>33</v>
      </c>
      <c r="Q914">
        <v>2</v>
      </c>
      <c r="R914">
        <f>IFERROR(Table1_1[[#This Row],[Unit_Price]]*Table1_1[[#This Row],[Quantity]],"")</f>
        <v>1398</v>
      </c>
      <c r="S914">
        <f>IFERROR(Table1_1[[#This Row],[Gross_Sales]]*Table1_1[[#This Row],[Discount_%]],"")</f>
        <v>69.900000000000006</v>
      </c>
      <c r="T914">
        <f>IFERROR(Table1_1[[#This Row],[Gross_Sales]]-Table1_1[[#This Row],[Discount_amount]]+Table1_1[[#This Row],[Shipping_Cost]],"")</f>
        <v>1387.1</v>
      </c>
      <c r="U914">
        <f>IFERROR(Table1_1[[#This Row],[Net_Sale]]-(Table1_1[[#This Row],[Gross_Sales]]*70%),"")</f>
        <v>408.5</v>
      </c>
      <c r="V914" s="7">
        <f>IFERROR(Table1_1[[#This Row],[Profit]]/Table1_1[[#This Row],[Net_Sale]],"")</f>
        <v>0.29449931511787186</v>
      </c>
      <c r="W914" t="str">
        <f>TEXT(Table1_1[[#This Row],[Order_Date]],"mmm")</f>
        <v>Sep</v>
      </c>
    </row>
    <row r="915" spans="1:23" x14ac:dyDescent="0.25">
      <c r="A915" t="s">
        <v>1314</v>
      </c>
      <c r="B915" t="s">
        <v>1059</v>
      </c>
      <c r="C915" s="6">
        <v>45678</v>
      </c>
      <c r="D915" t="s">
        <v>35</v>
      </c>
      <c r="E915" t="s">
        <v>36</v>
      </c>
      <c r="F915" t="s">
        <v>37</v>
      </c>
      <c r="G915" t="s">
        <v>38</v>
      </c>
      <c r="H915">
        <v>1</v>
      </c>
      <c r="I915">
        <v>599</v>
      </c>
      <c r="J915">
        <v>0</v>
      </c>
      <c r="K915">
        <v>59</v>
      </c>
      <c r="L915" t="s">
        <v>83</v>
      </c>
      <c r="M915" t="s">
        <v>84</v>
      </c>
      <c r="N915" t="s">
        <v>50</v>
      </c>
      <c r="O915" t="s">
        <v>41</v>
      </c>
      <c r="P915" t="s">
        <v>33</v>
      </c>
      <c r="Q915">
        <v>5</v>
      </c>
      <c r="R915">
        <f>IFERROR(Table1_1[[#This Row],[Unit_Price]]*Table1_1[[#This Row],[Quantity]],"")</f>
        <v>599</v>
      </c>
      <c r="S915">
        <f>IFERROR(Table1_1[[#This Row],[Gross_Sales]]*Table1_1[[#This Row],[Discount_%]],"")</f>
        <v>0</v>
      </c>
      <c r="T915">
        <f>IFERROR(Table1_1[[#This Row],[Gross_Sales]]-Table1_1[[#This Row],[Discount_amount]]+Table1_1[[#This Row],[Shipping_Cost]],"")</f>
        <v>658</v>
      </c>
      <c r="U915">
        <f>IFERROR(Table1_1[[#This Row],[Net_Sale]]-(Table1_1[[#This Row],[Gross_Sales]]*70%),"")</f>
        <v>238.70000000000005</v>
      </c>
      <c r="V915" s="7">
        <f>IFERROR(Table1_1[[#This Row],[Profit]]/Table1_1[[#This Row],[Net_Sale]],"")</f>
        <v>0.36276595744680856</v>
      </c>
      <c r="W915" t="str">
        <f>TEXT(Table1_1[[#This Row],[Order_Date]],"mmm")</f>
        <v>Jan</v>
      </c>
    </row>
    <row r="916" spans="1:23" x14ac:dyDescent="0.25">
      <c r="A916" t="s">
        <v>1315</v>
      </c>
      <c r="B916" t="s">
        <v>76</v>
      </c>
      <c r="C916" s="6">
        <v>45981</v>
      </c>
      <c r="D916" t="s">
        <v>55</v>
      </c>
      <c r="E916" t="s">
        <v>56</v>
      </c>
      <c r="F916" t="s">
        <v>37</v>
      </c>
      <c r="G916" t="s">
        <v>38</v>
      </c>
      <c r="H916">
        <v>2</v>
      </c>
      <c r="I916">
        <v>2499</v>
      </c>
      <c r="J916">
        <v>0</v>
      </c>
      <c r="K916">
        <v>99</v>
      </c>
      <c r="L916" t="s">
        <v>39</v>
      </c>
      <c r="M916" t="s">
        <v>39</v>
      </c>
      <c r="N916" t="s">
        <v>50</v>
      </c>
      <c r="O916" t="s">
        <v>59</v>
      </c>
      <c r="P916" t="s">
        <v>33</v>
      </c>
      <c r="Q916">
        <v>5</v>
      </c>
      <c r="R916">
        <f>IFERROR(Table1_1[[#This Row],[Unit_Price]]*Table1_1[[#This Row],[Quantity]],"")</f>
        <v>4998</v>
      </c>
      <c r="S916">
        <f>IFERROR(Table1_1[[#This Row],[Gross_Sales]]*Table1_1[[#This Row],[Discount_%]],"")</f>
        <v>0</v>
      </c>
      <c r="T916">
        <f>IFERROR(Table1_1[[#This Row],[Gross_Sales]]-Table1_1[[#This Row],[Discount_amount]]+Table1_1[[#This Row],[Shipping_Cost]],"")</f>
        <v>5097</v>
      </c>
      <c r="U916">
        <f>IFERROR(Table1_1[[#This Row],[Net_Sale]]-(Table1_1[[#This Row],[Gross_Sales]]*70%),"")</f>
        <v>1598.4</v>
      </c>
      <c r="V916" s="7">
        <f>IFERROR(Table1_1[[#This Row],[Profit]]/Table1_1[[#This Row],[Net_Sale]],"")</f>
        <v>0.31359623307828138</v>
      </c>
      <c r="W916" t="str">
        <f>TEXT(Table1_1[[#This Row],[Order_Date]],"mmm")</f>
        <v>Nov</v>
      </c>
    </row>
    <row r="917" spans="1:23" x14ac:dyDescent="0.25">
      <c r="A917" t="s">
        <v>1316</v>
      </c>
      <c r="B917" t="s">
        <v>181</v>
      </c>
      <c r="C917" s="6">
        <v>45978</v>
      </c>
      <c r="D917" t="s">
        <v>110</v>
      </c>
      <c r="E917" t="s">
        <v>111</v>
      </c>
      <c r="F917" t="s">
        <v>98</v>
      </c>
      <c r="G917" t="s">
        <v>112</v>
      </c>
      <c r="H917">
        <v>5</v>
      </c>
      <c r="I917">
        <v>2999</v>
      </c>
      <c r="J917">
        <v>0</v>
      </c>
      <c r="K917">
        <v>59</v>
      </c>
      <c r="L917" t="s">
        <v>74</v>
      </c>
      <c r="M917" t="s">
        <v>49</v>
      </c>
      <c r="N917" t="s">
        <v>71</v>
      </c>
      <c r="O917" t="s">
        <v>93</v>
      </c>
      <c r="P917" t="s">
        <v>33</v>
      </c>
      <c r="Q917">
        <v>5</v>
      </c>
      <c r="R917">
        <f>IFERROR(Table1_1[[#This Row],[Unit_Price]]*Table1_1[[#This Row],[Quantity]],"")</f>
        <v>14995</v>
      </c>
      <c r="S917">
        <f>IFERROR(Table1_1[[#This Row],[Gross_Sales]]*Table1_1[[#This Row],[Discount_%]],"")</f>
        <v>0</v>
      </c>
      <c r="T917">
        <f>IFERROR(Table1_1[[#This Row],[Gross_Sales]]-Table1_1[[#This Row],[Discount_amount]]+Table1_1[[#This Row],[Shipping_Cost]],"")</f>
        <v>15054</v>
      </c>
      <c r="U917">
        <f>IFERROR(Table1_1[[#This Row],[Net_Sale]]-(Table1_1[[#This Row],[Gross_Sales]]*70%),"")</f>
        <v>4557.5</v>
      </c>
      <c r="V917" s="7">
        <f>IFERROR(Table1_1[[#This Row],[Profit]]/Table1_1[[#This Row],[Net_Sale]],"")</f>
        <v>0.3027434568885346</v>
      </c>
      <c r="W917" t="str">
        <f>TEXT(Table1_1[[#This Row],[Order_Date]],"mmm")</f>
        <v>Nov</v>
      </c>
    </row>
    <row r="918" spans="1:23" x14ac:dyDescent="0.25">
      <c r="A918" t="s">
        <v>1317</v>
      </c>
      <c r="B918" t="s">
        <v>640</v>
      </c>
      <c r="C918" s="6">
        <v>46010</v>
      </c>
      <c r="D918" t="s">
        <v>25</v>
      </c>
      <c r="E918" t="s">
        <v>26</v>
      </c>
      <c r="F918" t="s">
        <v>27</v>
      </c>
      <c r="G918" t="s">
        <v>28</v>
      </c>
      <c r="H918">
        <v>1</v>
      </c>
      <c r="I918">
        <v>249</v>
      </c>
      <c r="J918">
        <v>0.2</v>
      </c>
      <c r="K918">
        <v>99</v>
      </c>
      <c r="L918" t="s">
        <v>125</v>
      </c>
      <c r="M918" t="s">
        <v>126</v>
      </c>
      <c r="N918" t="s">
        <v>50</v>
      </c>
      <c r="O918" t="s">
        <v>59</v>
      </c>
      <c r="P918" t="s">
        <v>33</v>
      </c>
      <c r="Q918">
        <v>2</v>
      </c>
      <c r="R918">
        <f>IFERROR(Table1_1[[#This Row],[Unit_Price]]*Table1_1[[#This Row],[Quantity]],"")</f>
        <v>249</v>
      </c>
      <c r="S918">
        <f>IFERROR(Table1_1[[#This Row],[Gross_Sales]]*Table1_1[[#This Row],[Discount_%]],"")</f>
        <v>49.800000000000004</v>
      </c>
      <c r="T918">
        <f>IFERROR(Table1_1[[#This Row],[Gross_Sales]]-Table1_1[[#This Row],[Discount_amount]]+Table1_1[[#This Row],[Shipping_Cost]],"")</f>
        <v>298.2</v>
      </c>
      <c r="U918">
        <f>IFERROR(Table1_1[[#This Row],[Net_Sale]]-(Table1_1[[#This Row],[Gross_Sales]]*70%),"")</f>
        <v>123.9</v>
      </c>
      <c r="V918" s="7">
        <f>IFERROR(Table1_1[[#This Row],[Profit]]/Table1_1[[#This Row],[Net_Sale]],"")</f>
        <v>0.41549295774647893</v>
      </c>
      <c r="W918" t="str">
        <f>TEXT(Table1_1[[#This Row],[Order_Date]],"mmm")</f>
        <v>Dec</v>
      </c>
    </row>
    <row r="919" spans="1:23" x14ac:dyDescent="0.25">
      <c r="A919" t="s">
        <v>1318</v>
      </c>
      <c r="B919" t="s">
        <v>218</v>
      </c>
      <c r="C919" s="6">
        <v>45980</v>
      </c>
      <c r="D919" t="s">
        <v>169</v>
      </c>
      <c r="E919" t="s">
        <v>170</v>
      </c>
      <c r="F919" t="s">
        <v>98</v>
      </c>
      <c r="G919" t="s">
        <v>171</v>
      </c>
      <c r="H919">
        <v>1</v>
      </c>
      <c r="I919">
        <v>799</v>
      </c>
      <c r="J919">
        <v>0</v>
      </c>
      <c r="K919">
        <v>79</v>
      </c>
      <c r="L919" t="s">
        <v>48</v>
      </c>
      <c r="M919" t="s">
        <v>49</v>
      </c>
      <c r="N919" t="s">
        <v>50</v>
      </c>
      <c r="O919" t="s">
        <v>59</v>
      </c>
      <c r="P919" t="s">
        <v>52</v>
      </c>
      <c r="Q919">
        <v>1</v>
      </c>
      <c r="R919">
        <f>IFERROR(Table1_1[[#This Row],[Unit_Price]]*Table1_1[[#This Row],[Quantity]],"")</f>
        <v>799</v>
      </c>
      <c r="S919">
        <f>IFERROR(Table1_1[[#This Row],[Gross_Sales]]*Table1_1[[#This Row],[Discount_%]],"")</f>
        <v>0</v>
      </c>
      <c r="T919">
        <f>IFERROR(Table1_1[[#This Row],[Gross_Sales]]-Table1_1[[#This Row],[Discount_amount]]+Table1_1[[#This Row],[Shipping_Cost]],"")</f>
        <v>878</v>
      </c>
      <c r="U919">
        <f>IFERROR(Table1_1[[#This Row],[Net_Sale]]-(Table1_1[[#This Row],[Gross_Sales]]*70%),"")</f>
        <v>318.70000000000005</v>
      </c>
      <c r="V919" s="7">
        <f>IFERROR(Table1_1[[#This Row],[Profit]]/Table1_1[[#This Row],[Net_Sale]],"")</f>
        <v>0.3629840546697039</v>
      </c>
      <c r="W919" t="str">
        <f>TEXT(Table1_1[[#This Row],[Order_Date]],"mmm")</f>
        <v>Nov</v>
      </c>
    </row>
    <row r="920" spans="1:23" x14ac:dyDescent="0.25">
      <c r="A920" t="s">
        <v>1319</v>
      </c>
      <c r="B920" t="s">
        <v>338</v>
      </c>
      <c r="C920" s="6">
        <v>45748</v>
      </c>
      <c r="D920" t="s">
        <v>90</v>
      </c>
      <c r="E920" t="s">
        <v>91</v>
      </c>
      <c r="F920" t="s">
        <v>37</v>
      </c>
      <c r="G920" t="s">
        <v>92</v>
      </c>
      <c r="H920">
        <v>2</v>
      </c>
      <c r="I920">
        <v>3499</v>
      </c>
      <c r="J920">
        <v>0.2</v>
      </c>
      <c r="K920">
        <v>49</v>
      </c>
      <c r="L920" t="s">
        <v>100</v>
      </c>
      <c r="M920" t="s">
        <v>101</v>
      </c>
      <c r="N920" t="s">
        <v>31</v>
      </c>
      <c r="O920" t="s">
        <v>51</v>
      </c>
      <c r="P920" t="s">
        <v>52</v>
      </c>
      <c r="Q920">
        <v>2</v>
      </c>
      <c r="R920">
        <f>IFERROR(Table1_1[[#This Row],[Unit_Price]]*Table1_1[[#This Row],[Quantity]],"")</f>
        <v>6998</v>
      </c>
      <c r="S920">
        <f>IFERROR(Table1_1[[#This Row],[Gross_Sales]]*Table1_1[[#This Row],[Discount_%]],"")</f>
        <v>1399.6000000000001</v>
      </c>
      <c r="T920">
        <f>IFERROR(Table1_1[[#This Row],[Gross_Sales]]-Table1_1[[#This Row],[Discount_amount]]+Table1_1[[#This Row],[Shipping_Cost]],"")</f>
        <v>5647.4</v>
      </c>
      <c r="U920">
        <f>IFERROR(Table1_1[[#This Row],[Net_Sale]]-(Table1_1[[#This Row],[Gross_Sales]]*70%),"")</f>
        <v>748.80000000000018</v>
      </c>
      <c r="V920" s="7">
        <f>IFERROR(Table1_1[[#This Row],[Profit]]/Table1_1[[#This Row],[Net_Sale]],"")</f>
        <v>0.13259198923398383</v>
      </c>
      <c r="W920" t="str">
        <f>TEXT(Table1_1[[#This Row],[Order_Date]],"mmm")</f>
        <v>Apr</v>
      </c>
    </row>
    <row r="921" spans="1:23" x14ac:dyDescent="0.25">
      <c r="A921" t="s">
        <v>1320</v>
      </c>
      <c r="B921" t="s">
        <v>1321</v>
      </c>
      <c r="C921" s="6">
        <v>45754</v>
      </c>
      <c r="D921" t="s">
        <v>105</v>
      </c>
      <c r="E921" t="s">
        <v>106</v>
      </c>
      <c r="F921" t="s">
        <v>37</v>
      </c>
      <c r="G921" t="s">
        <v>107</v>
      </c>
      <c r="H921">
        <v>2</v>
      </c>
      <c r="I921">
        <v>1799</v>
      </c>
      <c r="J921">
        <v>0.1</v>
      </c>
      <c r="K921">
        <v>49</v>
      </c>
      <c r="L921" t="s">
        <v>57</v>
      </c>
      <c r="M921" t="s">
        <v>58</v>
      </c>
      <c r="N921" t="s">
        <v>40</v>
      </c>
      <c r="O921" t="s">
        <v>93</v>
      </c>
      <c r="P921" t="s">
        <v>33</v>
      </c>
      <c r="Q921">
        <v>3</v>
      </c>
      <c r="R921">
        <f>IFERROR(Table1_1[[#This Row],[Unit_Price]]*Table1_1[[#This Row],[Quantity]],"")</f>
        <v>3598</v>
      </c>
      <c r="S921">
        <f>IFERROR(Table1_1[[#This Row],[Gross_Sales]]*Table1_1[[#This Row],[Discount_%]],"")</f>
        <v>359.8</v>
      </c>
      <c r="T921">
        <f>IFERROR(Table1_1[[#This Row],[Gross_Sales]]-Table1_1[[#This Row],[Discount_amount]]+Table1_1[[#This Row],[Shipping_Cost]],"")</f>
        <v>3287.2</v>
      </c>
      <c r="U921">
        <f>IFERROR(Table1_1[[#This Row],[Net_Sale]]-(Table1_1[[#This Row],[Gross_Sales]]*70%),"")</f>
        <v>768.59999999999991</v>
      </c>
      <c r="V921" s="7">
        <f>IFERROR(Table1_1[[#This Row],[Profit]]/Table1_1[[#This Row],[Net_Sale]],"")</f>
        <v>0.23381601362862009</v>
      </c>
      <c r="W921" t="str">
        <f>TEXT(Table1_1[[#This Row],[Order_Date]],"mmm")</f>
        <v>Apr</v>
      </c>
    </row>
    <row r="922" spans="1:23" x14ac:dyDescent="0.25">
      <c r="A922" t="s">
        <v>1322</v>
      </c>
      <c r="B922" t="s">
        <v>1062</v>
      </c>
      <c r="C922" s="6">
        <v>45664</v>
      </c>
      <c r="D922" t="s">
        <v>62</v>
      </c>
      <c r="E922" t="s">
        <v>63</v>
      </c>
      <c r="F922" t="s">
        <v>46</v>
      </c>
      <c r="G922" t="s">
        <v>64</v>
      </c>
      <c r="H922">
        <v>2</v>
      </c>
      <c r="I922">
        <v>699</v>
      </c>
      <c r="J922">
        <v>0.1</v>
      </c>
      <c r="K922">
        <v>0</v>
      </c>
      <c r="L922" t="s">
        <v>100</v>
      </c>
      <c r="M922" t="s">
        <v>101</v>
      </c>
      <c r="N922" t="s">
        <v>31</v>
      </c>
      <c r="O922" t="s">
        <v>93</v>
      </c>
      <c r="P922" t="s">
        <v>52</v>
      </c>
      <c r="Q922">
        <v>2</v>
      </c>
      <c r="R922">
        <f>IFERROR(Table1_1[[#This Row],[Unit_Price]]*Table1_1[[#This Row],[Quantity]],"")</f>
        <v>1398</v>
      </c>
      <c r="S922">
        <f>IFERROR(Table1_1[[#This Row],[Gross_Sales]]*Table1_1[[#This Row],[Discount_%]],"")</f>
        <v>139.80000000000001</v>
      </c>
      <c r="T922">
        <f>IFERROR(Table1_1[[#This Row],[Gross_Sales]]-Table1_1[[#This Row],[Discount_amount]]+Table1_1[[#This Row],[Shipping_Cost]],"")</f>
        <v>1258.2</v>
      </c>
      <c r="U922">
        <f>IFERROR(Table1_1[[#This Row],[Net_Sale]]-(Table1_1[[#This Row],[Gross_Sales]]*70%),"")</f>
        <v>279.60000000000014</v>
      </c>
      <c r="V922" s="7">
        <f>IFERROR(Table1_1[[#This Row],[Profit]]/Table1_1[[#This Row],[Net_Sale]],"")</f>
        <v>0.22222222222222232</v>
      </c>
      <c r="W922" t="str">
        <f>TEXT(Table1_1[[#This Row],[Order_Date]],"mmm")</f>
        <v>Jan</v>
      </c>
    </row>
    <row r="923" spans="1:23" x14ac:dyDescent="0.25">
      <c r="A923" t="s">
        <v>1323</v>
      </c>
      <c r="B923" t="s">
        <v>1324</v>
      </c>
      <c r="C923" s="6">
        <v>45979</v>
      </c>
      <c r="D923" t="s">
        <v>67</v>
      </c>
      <c r="E923" t="s">
        <v>68</v>
      </c>
      <c r="F923" t="s">
        <v>37</v>
      </c>
      <c r="G923" t="s">
        <v>38</v>
      </c>
      <c r="H923">
        <v>1</v>
      </c>
      <c r="I923">
        <v>1299</v>
      </c>
      <c r="J923">
        <v>0</v>
      </c>
      <c r="K923">
        <v>99</v>
      </c>
      <c r="L923" t="s">
        <v>29</v>
      </c>
      <c r="M923" t="s">
        <v>30</v>
      </c>
      <c r="N923" t="s">
        <v>31</v>
      </c>
      <c r="O923" t="s">
        <v>41</v>
      </c>
      <c r="P923" t="s">
        <v>33</v>
      </c>
      <c r="Q923">
        <v>2</v>
      </c>
      <c r="R923">
        <f>IFERROR(Table1_1[[#This Row],[Unit_Price]]*Table1_1[[#This Row],[Quantity]],"")</f>
        <v>1299</v>
      </c>
      <c r="S923">
        <f>IFERROR(Table1_1[[#This Row],[Gross_Sales]]*Table1_1[[#This Row],[Discount_%]],"")</f>
        <v>0</v>
      </c>
      <c r="T923">
        <f>IFERROR(Table1_1[[#This Row],[Gross_Sales]]-Table1_1[[#This Row],[Discount_amount]]+Table1_1[[#This Row],[Shipping_Cost]],"")</f>
        <v>1398</v>
      </c>
      <c r="U923">
        <f>IFERROR(Table1_1[[#This Row],[Net_Sale]]-(Table1_1[[#This Row],[Gross_Sales]]*70%),"")</f>
        <v>488.70000000000005</v>
      </c>
      <c r="V923" s="7">
        <f>IFERROR(Table1_1[[#This Row],[Profit]]/Table1_1[[#This Row],[Net_Sale]],"")</f>
        <v>0.34957081545064383</v>
      </c>
      <c r="W923" t="str">
        <f>TEXT(Table1_1[[#This Row],[Order_Date]],"mmm")</f>
        <v>Nov</v>
      </c>
    </row>
    <row r="924" spans="1:23" x14ac:dyDescent="0.25">
      <c r="A924" t="s">
        <v>1325</v>
      </c>
      <c r="B924" t="s">
        <v>1326</v>
      </c>
      <c r="C924" s="6">
        <v>45741</v>
      </c>
      <c r="D924" t="s">
        <v>90</v>
      </c>
      <c r="E924" t="s">
        <v>91</v>
      </c>
      <c r="F924" t="s">
        <v>37</v>
      </c>
      <c r="G924" t="s">
        <v>92</v>
      </c>
      <c r="H924">
        <v>3</v>
      </c>
      <c r="I924">
        <v>3499</v>
      </c>
      <c r="J924">
        <v>0</v>
      </c>
      <c r="K924">
        <v>49</v>
      </c>
      <c r="L924" t="s">
        <v>125</v>
      </c>
      <c r="M924" t="s">
        <v>126</v>
      </c>
      <c r="N924" t="s">
        <v>102</v>
      </c>
      <c r="O924" t="s">
        <v>51</v>
      </c>
      <c r="P924" t="s">
        <v>52</v>
      </c>
      <c r="Q924">
        <v>3</v>
      </c>
      <c r="R924">
        <f>IFERROR(Table1_1[[#This Row],[Unit_Price]]*Table1_1[[#This Row],[Quantity]],"")</f>
        <v>10497</v>
      </c>
      <c r="S924">
        <f>IFERROR(Table1_1[[#This Row],[Gross_Sales]]*Table1_1[[#This Row],[Discount_%]],"")</f>
        <v>0</v>
      </c>
      <c r="T924">
        <f>IFERROR(Table1_1[[#This Row],[Gross_Sales]]-Table1_1[[#This Row],[Discount_amount]]+Table1_1[[#This Row],[Shipping_Cost]],"")</f>
        <v>10546</v>
      </c>
      <c r="U924">
        <f>IFERROR(Table1_1[[#This Row],[Net_Sale]]-(Table1_1[[#This Row],[Gross_Sales]]*70%),"")</f>
        <v>3198.1000000000004</v>
      </c>
      <c r="V924" s="7">
        <f>IFERROR(Table1_1[[#This Row],[Profit]]/Table1_1[[#This Row],[Net_Sale]],"")</f>
        <v>0.30325241797838048</v>
      </c>
      <c r="W924" t="str">
        <f>TEXT(Table1_1[[#This Row],[Order_Date]],"mmm")</f>
        <v>Mar</v>
      </c>
    </row>
    <row r="925" spans="1:23" x14ac:dyDescent="0.25">
      <c r="A925" t="s">
        <v>1327</v>
      </c>
      <c r="B925" t="s">
        <v>914</v>
      </c>
      <c r="C925" s="6">
        <v>45680</v>
      </c>
      <c r="D925" t="s">
        <v>62</v>
      </c>
      <c r="E925" t="s">
        <v>63</v>
      </c>
      <c r="F925" t="s">
        <v>46</v>
      </c>
      <c r="G925" t="s">
        <v>64</v>
      </c>
      <c r="H925">
        <v>1</v>
      </c>
      <c r="I925">
        <v>2017</v>
      </c>
      <c r="J925">
        <v>0</v>
      </c>
      <c r="K925">
        <v>99</v>
      </c>
      <c r="L925" t="s">
        <v>29</v>
      </c>
      <c r="M925" t="s">
        <v>30</v>
      </c>
      <c r="N925" t="s">
        <v>50</v>
      </c>
      <c r="O925" t="s">
        <v>93</v>
      </c>
      <c r="P925" t="s">
        <v>33</v>
      </c>
      <c r="Q925">
        <v>2</v>
      </c>
      <c r="R925">
        <f>IFERROR(Table1_1[[#This Row],[Unit_Price]]*Table1_1[[#This Row],[Quantity]],"")</f>
        <v>2017</v>
      </c>
      <c r="S925">
        <f>IFERROR(Table1_1[[#This Row],[Gross_Sales]]*Table1_1[[#This Row],[Discount_%]],"")</f>
        <v>0</v>
      </c>
      <c r="T925">
        <f>IFERROR(Table1_1[[#This Row],[Gross_Sales]]-Table1_1[[#This Row],[Discount_amount]]+Table1_1[[#This Row],[Shipping_Cost]],"")</f>
        <v>2116</v>
      </c>
      <c r="U925">
        <f>IFERROR(Table1_1[[#This Row],[Net_Sale]]-(Table1_1[[#This Row],[Gross_Sales]]*70%),"")</f>
        <v>704.10000000000014</v>
      </c>
      <c r="V925" s="7">
        <f>IFERROR(Table1_1[[#This Row],[Profit]]/Table1_1[[#This Row],[Net_Sale]],"")</f>
        <v>0.33275047258979212</v>
      </c>
      <c r="W925" t="str">
        <f>TEXT(Table1_1[[#This Row],[Order_Date]],"mmm")</f>
        <v>Jan</v>
      </c>
    </row>
    <row r="926" spans="1:23" x14ac:dyDescent="0.25">
      <c r="A926" t="s">
        <v>1328</v>
      </c>
      <c r="B926" t="s">
        <v>152</v>
      </c>
      <c r="C926" s="6">
        <v>45733</v>
      </c>
      <c r="D926" t="s">
        <v>35</v>
      </c>
      <c r="E926" t="s">
        <v>36</v>
      </c>
      <c r="F926" t="s">
        <v>37</v>
      </c>
      <c r="G926" t="s">
        <v>38</v>
      </c>
      <c r="H926">
        <v>1</v>
      </c>
      <c r="I926">
        <v>599</v>
      </c>
      <c r="J926">
        <v>0</v>
      </c>
      <c r="K926">
        <v>79</v>
      </c>
      <c r="L926" t="s">
        <v>113</v>
      </c>
      <c r="M926" t="s">
        <v>114</v>
      </c>
      <c r="N926" t="s">
        <v>40</v>
      </c>
      <c r="O926" t="s">
        <v>41</v>
      </c>
      <c r="P926" t="s">
        <v>33</v>
      </c>
      <c r="Q926">
        <v>1</v>
      </c>
      <c r="R926">
        <f>IFERROR(Table1_1[[#This Row],[Unit_Price]]*Table1_1[[#This Row],[Quantity]],"")</f>
        <v>599</v>
      </c>
      <c r="S926">
        <f>IFERROR(Table1_1[[#This Row],[Gross_Sales]]*Table1_1[[#This Row],[Discount_%]],"")</f>
        <v>0</v>
      </c>
      <c r="T926">
        <f>IFERROR(Table1_1[[#This Row],[Gross_Sales]]-Table1_1[[#This Row],[Discount_amount]]+Table1_1[[#This Row],[Shipping_Cost]],"")</f>
        <v>678</v>
      </c>
      <c r="U926">
        <f>IFERROR(Table1_1[[#This Row],[Net_Sale]]-(Table1_1[[#This Row],[Gross_Sales]]*70%),"")</f>
        <v>258.70000000000005</v>
      </c>
      <c r="V926" s="7">
        <f>IFERROR(Table1_1[[#This Row],[Profit]]/Table1_1[[#This Row],[Net_Sale]],"")</f>
        <v>0.38156342182890862</v>
      </c>
      <c r="W926" t="str">
        <f>TEXT(Table1_1[[#This Row],[Order_Date]],"mmm")</f>
        <v>Mar</v>
      </c>
    </row>
    <row r="927" spans="1:23" x14ac:dyDescent="0.25">
      <c r="A927" t="s">
        <v>1329</v>
      </c>
      <c r="B927" t="s">
        <v>737</v>
      </c>
      <c r="C927" s="6">
        <v>45802</v>
      </c>
      <c r="D927" t="s">
        <v>67</v>
      </c>
      <c r="E927" t="s">
        <v>68</v>
      </c>
      <c r="F927" t="s">
        <v>37</v>
      </c>
      <c r="G927" t="s">
        <v>38</v>
      </c>
      <c r="H927">
        <v>4</v>
      </c>
      <c r="I927">
        <v>1299</v>
      </c>
      <c r="J927">
        <v>0.05</v>
      </c>
      <c r="K927">
        <v>0</v>
      </c>
      <c r="L927" t="s">
        <v>29</v>
      </c>
      <c r="M927" t="s">
        <v>30</v>
      </c>
      <c r="N927" t="s">
        <v>31</v>
      </c>
      <c r="O927" t="s">
        <v>93</v>
      </c>
      <c r="P927" t="s">
        <v>85</v>
      </c>
      <c r="Q927">
        <v>5</v>
      </c>
      <c r="R927">
        <f>IFERROR(Table1_1[[#This Row],[Unit_Price]]*Table1_1[[#This Row],[Quantity]],"")</f>
        <v>5196</v>
      </c>
      <c r="S927">
        <f>IFERROR(Table1_1[[#This Row],[Gross_Sales]]*Table1_1[[#This Row],[Discount_%]],"")</f>
        <v>259.8</v>
      </c>
      <c r="T927">
        <f>IFERROR(Table1_1[[#This Row],[Gross_Sales]]-Table1_1[[#This Row],[Discount_amount]]+Table1_1[[#This Row],[Shipping_Cost]],"")</f>
        <v>4936.2</v>
      </c>
      <c r="U927">
        <f>IFERROR(Table1_1[[#This Row],[Net_Sale]]-(Table1_1[[#This Row],[Gross_Sales]]*70%),"")</f>
        <v>1299</v>
      </c>
      <c r="V927" s="7">
        <f>IFERROR(Table1_1[[#This Row],[Profit]]/Table1_1[[#This Row],[Net_Sale]],"")</f>
        <v>0.26315789473684209</v>
      </c>
      <c r="W927" t="str">
        <f>TEXT(Table1_1[[#This Row],[Order_Date]],"mmm")</f>
        <v>May</v>
      </c>
    </row>
    <row r="928" spans="1:23" x14ac:dyDescent="0.25">
      <c r="A928" t="s">
        <v>1330</v>
      </c>
      <c r="B928" t="s">
        <v>296</v>
      </c>
      <c r="C928" s="6">
        <v>45829</v>
      </c>
      <c r="D928" t="s">
        <v>105</v>
      </c>
      <c r="E928" t="s">
        <v>106</v>
      </c>
      <c r="F928" t="s">
        <v>37</v>
      </c>
      <c r="G928" t="s">
        <v>107</v>
      </c>
      <c r="H928">
        <v>1</v>
      </c>
      <c r="I928">
        <v>1799</v>
      </c>
      <c r="J928">
        <v>0.1</v>
      </c>
      <c r="K928">
        <v>49</v>
      </c>
      <c r="L928" t="s">
        <v>100</v>
      </c>
      <c r="M928" t="s">
        <v>101</v>
      </c>
      <c r="N928" t="s">
        <v>102</v>
      </c>
      <c r="O928" t="s">
        <v>51</v>
      </c>
      <c r="P928" t="s">
        <v>80</v>
      </c>
      <c r="Q928">
        <v>3</v>
      </c>
      <c r="R928">
        <f>IFERROR(Table1_1[[#This Row],[Unit_Price]]*Table1_1[[#This Row],[Quantity]],"")</f>
        <v>1799</v>
      </c>
      <c r="S928">
        <f>IFERROR(Table1_1[[#This Row],[Gross_Sales]]*Table1_1[[#This Row],[Discount_%]],"")</f>
        <v>179.9</v>
      </c>
      <c r="T928">
        <f>IFERROR(Table1_1[[#This Row],[Gross_Sales]]-Table1_1[[#This Row],[Discount_amount]]+Table1_1[[#This Row],[Shipping_Cost]],"")</f>
        <v>1668.1</v>
      </c>
      <c r="U928">
        <f>IFERROR(Table1_1[[#This Row],[Net_Sale]]-(Table1_1[[#This Row],[Gross_Sales]]*70%),"")</f>
        <v>408.79999999999995</v>
      </c>
      <c r="V928" s="7">
        <f>IFERROR(Table1_1[[#This Row],[Profit]]/Table1_1[[#This Row],[Net_Sale]],"")</f>
        <v>0.24506924045321021</v>
      </c>
      <c r="W928" t="str">
        <f>TEXT(Table1_1[[#This Row],[Order_Date]],"mmm")</f>
        <v>Jun</v>
      </c>
    </row>
    <row r="929" spans="1:23" x14ac:dyDescent="0.25">
      <c r="A929" t="s">
        <v>1331</v>
      </c>
      <c r="B929" t="s">
        <v>945</v>
      </c>
      <c r="C929" s="6">
        <v>45996</v>
      </c>
      <c r="D929" t="s">
        <v>55</v>
      </c>
      <c r="E929" t="s">
        <v>56</v>
      </c>
      <c r="F929" t="s">
        <v>37</v>
      </c>
      <c r="G929" t="s">
        <v>38</v>
      </c>
      <c r="H929">
        <v>4</v>
      </c>
      <c r="I929">
        <v>2499</v>
      </c>
      <c r="J929">
        <v>0.2</v>
      </c>
      <c r="K929">
        <v>0</v>
      </c>
      <c r="L929" t="s">
        <v>48</v>
      </c>
      <c r="M929" t="s">
        <v>49</v>
      </c>
      <c r="N929" t="s">
        <v>50</v>
      </c>
      <c r="O929" t="s">
        <v>41</v>
      </c>
      <c r="P929" t="s">
        <v>33</v>
      </c>
      <c r="Q929">
        <v>3</v>
      </c>
      <c r="R929">
        <f>IFERROR(Table1_1[[#This Row],[Unit_Price]]*Table1_1[[#This Row],[Quantity]],"")</f>
        <v>9996</v>
      </c>
      <c r="S929">
        <f>IFERROR(Table1_1[[#This Row],[Gross_Sales]]*Table1_1[[#This Row],[Discount_%]],"")</f>
        <v>1999.2</v>
      </c>
      <c r="T929">
        <f>IFERROR(Table1_1[[#This Row],[Gross_Sales]]-Table1_1[[#This Row],[Discount_amount]]+Table1_1[[#This Row],[Shipping_Cost]],"")</f>
        <v>7996.8</v>
      </c>
      <c r="U929">
        <f>IFERROR(Table1_1[[#This Row],[Net_Sale]]-(Table1_1[[#This Row],[Gross_Sales]]*70%),"")</f>
        <v>999.60000000000036</v>
      </c>
      <c r="V929" s="7">
        <f>IFERROR(Table1_1[[#This Row],[Profit]]/Table1_1[[#This Row],[Net_Sale]],"")</f>
        <v>0.12500000000000006</v>
      </c>
      <c r="W929" t="str">
        <f>TEXT(Table1_1[[#This Row],[Order_Date]],"mmm")</f>
        <v>Dec</v>
      </c>
    </row>
    <row r="930" spans="1:23" x14ac:dyDescent="0.25">
      <c r="A930" t="s">
        <v>1332</v>
      </c>
      <c r="B930" t="s">
        <v>358</v>
      </c>
      <c r="C930" s="6">
        <v>45902</v>
      </c>
      <c r="D930" t="s">
        <v>105</v>
      </c>
      <c r="E930" t="s">
        <v>106</v>
      </c>
      <c r="F930" t="s">
        <v>37</v>
      </c>
      <c r="G930" t="s">
        <v>107</v>
      </c>
      <c r="H930">
        <v>1</v>
      </c>
      <c r="I930">
        <v>1799</v>
      </c>
      <c r="J930">
        <v>0.1</v>
      </c>
      <c r="K930">
        <v>59</v>
      </c>
      <c r="L930" t="s">
        <v>57</v>
      </c>
      <c r="M930" t="s">
        <v>58</v>
      </c>
      <c r="N930" t="s">
        <v>31</v>
      </c>
      <c r="O930" t="s">
        <v>51</v>
      </c>
      <c r="P930" t="s">
        <v>85</v>
      </c>
      <c r="Q930">
        <v>2</v>
      </c>
      <c r="R930">
        <f>IFERROR(Table1_1[[#This Row],[Unit_Price]]*Table1_1[[#This Row],[Quantity]],"")</f>
        <v>1799</v>
      </c>
      <c r="S930">
        <f>IFERROR(Table1_1[[#This Row],[Gross_Sales]]*Table1_1[[#This Row],[Discount_%]],"")</f>
        <v>179.9</v>
      </c>
      <c r="T930">
        <f>IFERROR(Table1_1[[#This Row],[Gross_Sales]]-Table1_1[[#This Row],[Discount_amount]]+Table1_1[[#This Row],[Shipping_Cost]],"")</f>
        <v>1678.1</v>
      </c>
      <c r="U930">
        <f>IFERROR(Table1_1[[#This Row],[Net_Sale]]-(Table1_1[[#This Row],[Gross_Sales]]*70%),"")</f>
        <v>418.79999999999995</v>
      </c>
      <c r="V930" s="7">
        <f>IFERROR(Table1_1[[#This Row],[Profit]]/Table1_1[[#This Row],[Net_Sale]],"")</f>
        <v>0.24956796376854776</v>
      </c>
      <c r="W930" t="str">
        <f>TEXT(Table1_1[[#This Row],[Order_Date]],"mmm")</f>
        <v>Sep</v>
      </c>
    </row>
    <row r="931" spans="1:23" x14ac:dyDescent="0.25">
      <c r="A931" t="s">
        <v>1333</v>
      </c>
      <c r="B931" t="s">
        <v>1161</v>
      </c>
      <c r="C931" s="6">
        <v>45911</v>
      </c>
      <c r="D931" t="s">
        <v>105</v>
      </c>
      <c r="E931" t="s">
        <v>106</v>
      </c>
      <c r="F931" t="s">
        <v>37</v>
      </c>
      <c r="G931" t="s">
        <v>107</v>
      </c>
      <c r="H931">
        <v>1</v>
      </c>
      <c r="I931">
        <v>1799</v>
      </c>
      <c r="J931">
        <v>0.1</v>
      </c>
      <c r="K931">
        <v>99</v>
      </c>
      <c r="L931" t="s">
        <v>57</v>
      </c>
      <c r="M931" t="s">
        <v>58</v>
      </c>
      <c r="N931" t="s">
        <v>50</v>
      </c>
      <c r="O931" t="s">
        <v>41</v>
      </c>
      <c r="P931" t="s">
        <v>80</v>
      </c>
      <c r="Q931">
        <v>4</v>
      </c>
      <c r="R931">
        <f>IFERROR(Table1_1[[#This Row],[Unit_Price]]*Table1_1[[#This Row],[Quantity]],"")</f>
        <v>1799</v>
      </c>
      <c r="S931">
        <f>IFERROR(Table1_1[[#This Row],[Gross_Sales]]*Table1_1[[#This Row],[Discount_%]],"")</f>
        <v>179.9</v>
      </c>
      <c r="T931">
        <f>IFERROR(Table1_1[[#This Row],[Gross_Sales]]-Table1_1[[#This Row],[Discount_amount]]+Table1_1[[#This Row],[Shipping_Cost]],"")</f>
        <v>1718.1</v>
      </c>
      <c r="U931">
        <f>IFERROR(Table1_1[[#This Row],[Net_Sale]]-(Table1_1[[#This Row],[Gross_Sales]]*70%),"")</f>
        <v>458.79999999999995</v>
      </c>
      <c r="V931" s="7">
        <f>IFERROR(Table1_1[[#This Row],[Profit]]/Table1_1[[#This Row],[Net_Sale]],"")</f>
        <v>0.26703917117746345</v>
      </c>
      <c r="W931" t="str">
        <f>TEXT(Table1_1[[#This Row],[Order_Date]],"mmm")</f>
        <v>Sep</v>
      </c>
    </row>
    <row r="932" spans="1:23" x14ac:dyDescent="0.25">
      <c r="A932" t="s">
        <v>1334</v>
      </c>
      <c r="B932" t="s">
        <v>527</v>
      </c>
      <c r="C932" s="6">
        <v>45931</v>
      </c>
      <c r="D932" t="s">
        <v>96</v>
      </c>
      <c r="E932" t="s">
        <v>97</v>
      </c>
      <c r="F932" t="s">
        <v>98</v>
      </c>
      <c r="G932" t="s">
        <v>99</v>
      </c>
      <c r="H932">
        <v>2</v>
      </c>
      <c r="I932">
        <v>1499</v>
      </c>
      <c r="J932">
        <v>0</v>
      </c>
      <c r="K932">
        <v>79</v>
      </c>
      <c r="L932" t="s">
        <v>83</v>
      </c>
      <c r="M932" t="s">
        <v>84</v>
      </c>
      <c r="N932" t="s">
        <v>102</v>
      </c>
      <c r="O932" t="s">
        <v>59</v>
      </c>
      <c r="P932" t="s">
        <v>85</v>
      </c>
      <c r="Q932">
        <v>5</v>
      </c>
      <c r="R932">
        <f>IFERROR(Table1_1[[#This Row],[Unit_Price]]*Table1_1[[#This Row],[Quantity]],"")</f>
        <v>2998</v>
      </c>
      <c r="S932">
        <f>IFERROR(Table1_1[[#This Row],[Gross_Sales]]*Table1_1[[#This Row],[Discount_%]],"")</f>
        <v>0</v>
      </c>
      <c r="T932">
        <f>IFERROR(Table1_1[[#This Row],[Gross_Sales]]-Table1_1[[#This Row],[Discount_amount]]+Table1_1[[#This Row],[Shipping_Cost]],"")</f>
        <v>3077</v>
      </c>
      <c r="U932">
        <f>IFERROR(Table1_1[[#This Row],[Net_Sale]]-(Table1_1[[#This Row],[Gross_Sales]]*70%),"")</f>
        <v>978.40000000000009</v>
      </c>
      <c r="V932" s="7">
        <f>IFERROR(Table1_1[[#This Row],[Profit]]/Table1_1[[#This Row],[Net_Sale]],"")</f>
        <v>0.31797205069873258</v>
      </c>
      <c r="W932" t="str">
        <f>TEXT(Table1_1[[#This Row],[Order_Date]],"mmm")</f>
        <v>Oct</v>
      </c>
    </row>
    <row r="933" spans="1:23" x14ac:dyDescent="0.25">
      <c r="A933" t="s">
        <v>1335</v>
      </c>
      <c r="B933" t="s">
        <v>1618</v>
      </c>
      <c r="C933" s="6">
        <v>45778</v>
      </c>
      <c r="D933" t="s">
        <v>44</v>
      </c>
      <c r="E933" t="s">
        <v>45</v>
      </c>
      <c r="F933" t="s">
        <v>46</v>
      </c>
      <c r="G933" t="s">
        <v>47</v>
      </c>
      <c r="H933">
        <v>2</v>
      </c>
      <c r="I933">
        <v>1199</v>
      </c>
      <c r="J933">
        <v>0</v>
      </c>
      <c r="K933">
        <v>59</v>
      </c>
      <c r="L933" t="s">
        <v>113</v>
      </c>
      <c r="M933" t="s">
        <v>114</v>
      </c>
      <c r="N933" t="s">
        <v>40</v>
      </c>
      <c r="O933" t="s">
        <v>41</v>
      </c>
      <c r="P933" t="s">
        <v>33</v>
      </c>
      <c r="Q933">
        <v>1</v>
      </c>
      <c r="R933">
        <f>IFERROR(Table1_1[[#This Row],[Unit_Price]]*Table1_1[[#This Row],[Quantity]],"")</f>
        <v>2398</v>
      </c>
      <c r="S933">
        <f>IFERROR(Table1_1[[#This Row],[Gross_Sales]]*Table1_1[[#This Row],[Discount_%]],"")</f>
        <v>0</v>
      </c>
      <c r="T933">
        <f>IFERROR(Table1_1[[#This Row],[Gross_Sales]]-Table1_1[[#This Row],[Discount_amount]]+Table1_1[[#This Row],[Shipping_Cost]],"")</f>
        <v>2457</v>
      </c>
      <c r="U933">
        <f>IFERROR(Table1_1[[#This Row],[Net_Sale]]-(Table1_1[[#This Row],[Gross_Sales]]*70%),"")</f>
        <v>778.40000000000009</v>
      </c>
      <c r="V933" s="7">
        <f>IFERROR(Table1_1[[#This Row],[Profit]]/Table1_1[[#This Row],[Net_Sale]],"")</f>
        <v>0.31680911680911683</v>
      </c>
      <c r="W933" t="str">
        <f>TEXT(Table1_1[[#This Row],[Order_Date]],"mmm")</f>
        <v>May</v>
      </c>
    </row>
    <row r="934" spans="1:23" x14ac:dyDescent="0.25">
      <c r="A934" t="s">
        <v>1336</v>
      </c>
      <c r="B934" t="s">
        <v>571</v>
      </c>
      <c r="C934" s="6">
        <v>45729</v>
      </c>
      <c r="D934" t="s">
        <v>35</v>
      </c>
      <c r="E934" t="s">
        <v>36</v>
      </c>
      <c r="F934" t="s">
        <v>37</v>
      </c>
      <c r="G934" t="s">
        <v>38</v>
      </c>
      <c r="H934">
        <v>1</v>
      </c>
      <c r="I934">
        <v>599</v>
      </c>
      <c r="J934">
        <v>0.15</v>
      </c>
      <c r="K934">
        <v>79</v>
      </c>
      <c r="L934" t="s">
        <v>74</v>
      </c>
      <c r="M934" t="s">
        <v>49</v>
      </c>
      <c r="N934" t="s">
        <v>50</v>
      </c>
      <c r="O934" t="s">
        <v>41</v>
      </c>
      <c r="P934" t="s">
        <v>33</v>
      </c>
      <c r="Q934">
        <v>1</v>
      </c>
      <c r="R934">
        <f>IFERROR(Table1_1[[#This Row],[Unit_Price]]*Table1_1[[#This Row],[Quantity]],"")</f>
        <v>599</v>
      </c>
      <c r="S934">
        <f>IFERROR(Table1_1[[#This Row],[Gross_Sales]]*Table1_1[[#This Row],[Discount_%]],"")</f>
        <v>89.85</v>
      </c>
      <c r="T934">
        <f>IFERROR(Table1_1[[#This Row],[Gross_Sales]]-Table1_1[[#This Row],[Discount_amount]]+Table1_1[[#This Row],[Shipping_Cost]],"")</f>
        <v>588.15</v>
      </c>
      <c r="U934">
        <f>IFERROR(Table1_1[[#This Row],[Net_Sale]]-(Table1_1[[#This Row],[Gross_Sales]]*70%),"")</f>
        <v>168.85000000000002</v>
      </c>
      <c r="V934" s="7">
        <f>IFERROR(Table1_1[[#This Row],[Profit]]/Table1_1[[#This Row],[Net_Sale]],"")</f>
        <v>0.2870866275609964</v>
      </c>
      <c r="W934" t="str">
        <f>TEXT(Table1_1[[#This Row],[Order_Date]],"mmm")</f>
        <v>Mar</v>
      </c>
    </row>
    <row r="935" spans="1:23" x14ac:dyDescent="0.25">
      <c r="A935" t="s">
        <v>1337</v>
      </c>
      <c r="B935" t="s">
        <v>1338</v>
      </c>
      <c r="C935" s="6">
        <v>46014</v>
      </c>
      <c r="D935" t="s">
        <v>77</v>
      </c>
      <c r="E935" t="s">
        <v>78</v>
      </c>
      <c r="F935" t="s">
        <v>79</v>
      </c>
      <c r="G935" t="s">
        <v>28</v>
      </c>
      <c r="H935">
        <v>1</v>
      </c>
      <c r="I935">
        <v>6499</v>
      </c>
      <c r="J935">
        <v>0.2</v>
      </c>
      <c r="K935">
        <v>0</v>
      </c>
      <c r="L935" t="s">
        <v>100</v>
      </c>
      <c r="M935" t="s">
        <v>101</v>
      </c>
      <c r="N935" t="s">
        <v>71</v>
      </c>
      <c r="O935" t="s">
        <v>93</v>
      </c>
      <c r="P935" t="s">
        <v>52</v>
      </c>
      <c r="Q935">
        <v>3</v>
      </c>
      <c r="R935">
        <f>IFERROR(Table1_1[[#This Row],[Unit_Price]]*Table1_1[[#This Row],[Quantity]],"")</f>
        <v>6499</v>
      </c>
      <c r="S935">
        <f>IFERROR(Table1_1[[#This Row],[Gross_Sales]]*Table1_1[[#This Row],[Discount_%]],"")</f>
        <v>1299.8000000000002</v>
      </c>
      <c r="T935">
        <f>IFERROR(Table1_1[[#This Row],[Gross_Sales]]-Table1_1[[#This Row],[Discount_amount]]+Table1_1[[#This Row],[Shipping_Cost]],"")</f>
        <v>5199.2</v>
      </c>
      <c r="U935">
        <f>IFERROR(Table1_1[[#This Row],[Net_Sale]]-(Table1_1[[#This Row],[Gross_Sales]]*70%),"")</f>
        <v>649.90000000000055</v>
      </c>
      <c r="V935" s="7">
        <f>IFERROR(Table1_1[[#This Row],[Profit]]/Table1_1[[#This Row],[Net_Sale]],"")</f>
        <v>0.12500000000000011</v>
      </c>
      <c r="W935" t="str">
        <f>TEXT(Table1_1[[#This Row],[Order_Date]],"mmm")</f>
        <v>Dec</v>
      </c>
    </row>
    <row r="936" spans="1:23" x14ac:dyDescent="0.25">
      <c r="A936" t="s">
        <v>1339</v>
      </c>
      <c r="B936" t="s">
        <v>376</v>
      </c>
      <c r="C936" s="6">
        <v>45962</v>
      </c>
      <c r="D936" t="s">
        <v>55</v>
      </c>
      <c r="E936" t="s">
        <v>56</v>
      </c>
      <c r="F936" t="s">
        <v>37</v>
      </c>
      <c r="G936" t="s">
        <v>38</v>
      </c>
      <c r="H936">
        <v>1</v>
      </c>
      <c r="I936">
        <v>2499</v>
      </c>
      <c r="J936">
        <v>0.05</v>
      </c>
      <c r="K936">
        <v>49</v>
      </c>
      <c r="L936" t="s">
        <v>125</v>
      </c>
      <c r="M936" t="s">
        <v>126</v>
      </c>
      <c r="N936" t="s">
        <v>50</v>
      </c>
      <c r="O936" t="s">
        <v>93</v>
      </c>
      <c r="P936" t="s">
        <v>33</v>
      </c>
      <c r="Q936">
        <v>1</v>
      </c>
      <c r="R936">
        <f>IFERROR(Table1_1[[#This Row],[Unit_Price]]*Table1_1[[#This Row],[Quantity]],"")</f>
        <v>2499</v>
      </c>
      <c r="S936">
        <f>IFERROR(Table1_1[[#This Row],[Gross_Sales]]*Table1_1[[#This Row],[Discount_%]],"")</f>
        <v>124.95</v>
      </c>
      <c r="T936">
        <f>IFERROR(Table1_1[[#This Row],[Gross_Sales]]-Table1_1[[#This Row],[Discount_amount]]+Table1_1[[#This Row],[Shipping_Cost]],"")</f>
        <v>2423.0500000000002</v>
      </c>
      <c r="U936">
        <f>IFERROR(Table1_1[[#This Row],[Net_Sale]]-(Table1_1[[#This Row],[Gross_Sales]]*70%),"")</f>
        <v>673.75000000000023</v>
      </c>
      <c r="V936" s="7">
        <f>IFERROR(Table1_1[[#This Row],[Profit]]/Table1_1[[#This Row],[Net_Sale]],"")</f>
        <v>0.27805864509605671</v>
      </c>
      <c r="W936" t="str">
        <f>TEXT(Table1_1[[#This Row],[Order_Date]],"mmm")</f>
        <v>Nov</v>
      </c>
    </row>
    <row r="937" spans="1:23" x14ac:dyDescent="0.25">
      <c r="A937" t="s">
        <v>1340</v>
      </c>
      <c r="B937" t="s">
        <v>634</v>
      </c>
      <c r="C937" s="6">
        <v>45751</v>
      </c>
      <c r="D937" t="s">
        <v>44</v>
      </c>
      <c r="E937" t="s">
        <v>45</v>
      </c>
      <c r="F937" t="s">
        <v>46</v>
      </c>
      <c r="G937" t="s">
        <v>47</v>
      </c>
      <c r="H937">
        <v>1</v>
      </c>
      <c r="I937">
        <v>1199</v>
      </c>
      <c r="J937">
        <v>0.2</v>
      </c>
      <c r="K937">
        <v>99</v>
      </c>
      <c r="L937" t="s">
        <v>57</v>
      </c>
      <c r="M937" t="s">
        <v>58</v>
      </c>
      <c r="N937" t="s">
        <v>40</v>
      </c>
      <c r="O937" t="s">
        <v>59</v>
      </c>
      <c r="P937" t="s">
        <v>33</v>
      </c>
      <c r="Q937">
        <v>3</v>
      </c>
      <c r="R937">
        <f>IFERROR(Table1_1[[#This Row],[Unit_Price]]*Table1_1[[#This Row],[Quantity]],"")</f>
        <v>1199</v>
      </c>
      <c r="S937">
        <f>IFERROR(Table1_1[[#This Row],[Gross_Sales]]*Table1_1[[#This Row],[Discount_%]],"")</f>
        <v>239.8</v>
      </c>
      <c r="T937">
        <f>IFERROR(Table1_1[[#This Row],[Gross_Sales]]-Table1_1[[#This Row],[Discount_amount]]+Table1_1[[#This Row],[Shipping_Cost]],"")</f>
        <v>1058.2</v>
      </c>
      <c r="U937">
        <f>IFERROR(Table1_1[[#This Row],[Net_Sale]]-(Table1_1[[#This Row],[Gross_Sales]]*70%),"")</f>
        <v>218.90000000000009</v>
      </c>
      <c r="V937" s="7">
        <f>IFERROR(Table1_1[[#This Row],[Profit]]/Table1_1[[#This Row],[Net_Sale]],"")</f>
        <v>0.20686070686070693</v>
      </c>
      <c r="W937" t="str">
        <f>TEXT(Table1_1[[#This Row],[Order_Date]],"mmm")</f>
        <v>Apr</v>
      </c>
    </row>
    <row r="938" spans="1:23" x14ac:dyDescent="0.25">
      <c r="A938" t="s">
        <v>1341</v>
      </c>
      <c r="B938" t="s">
        <v>381</v>
      </c>
      <c r="C938" s="6">
        <v>46013</v>
      </c>
      <c r="D938" t="s">
        <v>169</v>
      </c>
      <c r="E938" t="s">
        <v>170</v>
      </c>
      <c r="F938" t="s">
        <v>98</v>
      </c>
      <c r="G938" t="s">
        <v>171</v>
      </c>
      <c r="H938">
        <v>3</v>
      </c>
      <c r="I938">
        <v>799</v>
      </c>
      <c r="J938">
        <v>0</v>
      </c>
      <c r="K938">
        <v>0</v>
      </c>
      <c r="L938" t="s">
        <v>119</v>
      </c>
      <c r="M938" t="s">
        <v>120</v>
      </c>
      <c r="N938" t="s">
        <v>102</v>
      </c>
      <c r="O938" t="s">
        <v>41</v>
      </c>
      <c r="P938" t="s">
        <v>33</v>
      </c>
      <c r="Q938">
        <v>5</v>
      </c>
      <c r="R938">
        <f>IFERROR(Table1_1[[#This Row],[Unit_Price]]*Table1_1[[#This Row],[Quantity]],"")</f>
        <v>2397</v>
      </c>
      <c r="S938">
        <f>IFERROR(Table1_1[[#This Row],[Gross_Sales]]*Table1_1[[#This Row],[Discount_%]],"")</f>
        <v>0</v>
      </c>
      <c r="T938">
        <f>IFERROR(Table1_1[[#This Row],[Gross_Sales]]-Table1_1[[#This Row],[Discount_amount]]+Table1_1[[#This Row],[Shipping_Cost]],"")</f>
        <v>2397</v>
      </c>
      <c r="U938">
        <f>IFERROR(Table1_1[[#This Row],[Net_Sale]]-(Table1_1[[#This Row],[Gross_Sales]]*70%),"")</f>
        <v>719.10000000000014</v>
      </c>
      <c r="V938" s="7">
        <f>IFERROR(Table1_1[[#This Row],[Profit]]/Table1_1[[#This Row],[Net_Sale]],"")</f>
        <v>0.30000000000000004</v>
      </c>
      <c r="W938" t="str">
        <f>TEXT(Table1_1[[#This Row],[Order_Date]],"mmm")</f>
        <v>Dec</v>
      </c>
    </row>
    <row r="939" spans="1:23" x14ac:dyDescent="0.25">
      <c r="A939" t="s">
        <v>1342</v>
      </c>
      <c r="B939" t="s">
        <v>334</v>
      </c>
      <c r="C939" s="6">
        <v>45874</v>
      </c>
      <c r="D939" t="s">
        <v>105</v>
      </c>
      <c r="E939" t="s">
        <v>106</v>
      </c>
      <c r="F939" t="s">
        <v>37</v>
      </c>
      <c r="G939" t="s">
        <v>107</v>
      </c>
      <c r="H939">
        <v>1</v>
      </c>
      <c r="I939">
        <v>1799</v>
      </c>
      <c r="J939">
        <v>0.15</v>
      </c>
      <c r="K939">
        <v>59</v>
      </c>
      <c r="L939" t="s">
        <v>39</v>
      </c>
      <c r="M939" t="s">
        <v>39</v>
      </c>
      <c r="N939" t="s">
        <v>102</v>
      </c>
      <c r="O939" t="s">
        <v>51</v>
      </c>
      <c r="P939" t="s">
        <v>52</v>
      </c>
      <c r="Q939">
        <v>3</v>
      </c>
      <c r="R939">
        <f>IFERROR(Table1_1[[#This Row],[Unit_Price]]*Table1_1[[#This Row],[Quantity]],"")</f>
        <v>1799</v>
      </c>
      <c r="S939">
        <f>IFERROR(Table1_1[[#This Row],[Gross_Sales]]*Table1_1[[#This Row],[Discount_%]],"")</f>
        <v>269.84999999999997</v>
      </c>
      <c r="T939">
        <f>IFERROR(Table1_1[[#This Row],[Gross_Sales]]-Table1_1[[#This Row],[Discount_amount]]+Table1_1[[#This Row],[Shipping_Cost]],"")</f>
        <v>1588.15</v>
      </c>
      <c r="U939">
        <f>IFERROR(Table1_1[[#This Row],[Net_Sale]]-(Table1_1[[#This Row],[Gross_Sales]]*70%),"")</f>
        <v>328.85000000000014</v>
      </c>
      <c r="V939" s="7">
        <f>IFERROR(Table1_1[[#This Row],[Profit]]/Table1_1[[#This Row],[Net_Sale]],"")</f>
        <v>0.20706482385165137</v>
      </c>
      <c r="W939" t="str">
        <f>TEXT(Table1_1[[#This Row],[Order_Date]],"mmm")</f>
        <v>Aug</v>
      </c>
    </row>
    <row r="940" spans="1:23" x14ac:dyDescent="0.25">
      <c r="A940" t="s">
        <v>1343</v>
      </c>
      <c r="B940" t="s">
        <v>228</v>
      </c>
      <c r="C940" s="6">
        <v>45797</v>
      </c>
      <c r="D940" t="s">
        <v>67</v>
      </c>
      <c r="E940" t="s">
        <v>68</v>
      </c>
      <c r="F940" t="s">
        <v>37</v>
      </c>
      <c r="G940" t="s">
        <v>38</v>
      </c>
      <c r="H940">
        <v>4</v>
      </c>
      <c r="I940">
        <v>1299</v>
      </c>
      <c r="J940">
        <v>0</v>
      </c>
      <c r="K940">
        <v>49</v>
      </c>
      <c r="L940" t="s">
        <v>57</v>
      </c>
      <c r="M940" t="s">
        <v>58</v>
      </c>
      <c r="N940" t="s">
        <v>102</v>
      </c>
      <c r="O940" t="s">
        <v>93</v>
      </c>
      <c r="P940" t="s">
        <v>52</v>
      </c>
      <c r="Q940">
        <v>2</v>
      </c>
      <c r="R940">
        <f>IFERROR(Table1_1[[#This Row],[Unit_Price]]*Table1_1[[#This Row],[Quantity]],"")</f>
        <v>5196</v>
      </c>
      <c r="S940">
        <f>IFERROR(Table1_1[[#This Row],[Gross_Sales]]*Table1_1[[#This Row],[Discount_%]],"")</f>
        <v>0</v>
      </c>
      <c r="T940">
        <f>IFERROR(Table1_1[[#This Row],[Gross_Sales]]-Table1_1[[#This Row],[Discount_amount]]+Table1_1[[#This Row],[Shipping_Cost]],"")</f>
        <v>5245</v>
      </c>
      <c r="U940">
        <f>IFERROR(Table1_1[[#This Row],[Net_Sale]]-(Table1_1[[#This Row],[Gross_Sales]]*70%),"")</f>
        <v>1607.8000000000002</v>
      </c>
      <c r="V940" s="7">
        <f>IFERROR(Table1_1[[#This Row],[Profit]]/Table1_1[[#This Row],[Net_Sale]],"")</f>
        <v>0.30653956148713063</v>
      </c>
      <c r="W940" t="str">
        <f>TEXT(Table1_1[[#This Row],[Order_Date]],"mmm")</f>
        <v>May</v>
      </c>
    </row>
    <row r="941" spans="1:23" x14ac:dyDescent="0.25">
      <c r="A941" t="s">
        <v>1344</v>
      </c>
      <c r="B941" t="s">
        <v>1345</v>
      </c>
      <c r="C941" s="6">
        <v>45944</v>
      </c>
      <c r="D941" t="s">
        <v>96</v>
      </c>
      <c r="E941" t="s">
        <v>97</v>
      </c>
      <c r="F941" t="s">
        <v>98</v>
      </c>
      <c r="G941" t="s">
        <v>99</v>
      </c>
      <c r="H941">
        <v>3</v>
      </c>
      <c r="I941">
        <v>1499</v>
      </c>
      <c r="J941">
        <v>0.2</v>
      </c>
      <c r="K941">
        <v>79</v>
      </c>
      <c r="L941" t="s">
        <v>100</v>
      </c>
      <c r="M941" t="s">
        <v>101</v>
      </c>
      <c r="N941" t="s">
        <v>71</v>
      </c>
      <c r="O941" t="s">
        <v>59</v>
      </c>
      <c r="P941" t="s">
        <v>33</v>
      </c>
      <c r="Q941">
        <v>3</v>
      </c>
      <c r="R941">
        <f>IFERROR(Table1_1[[#This Row],[Unit_Price]]*Table1_1[[#This Row],[Quantity]],"")</f>
        <v>4497</v>
      </c>
      <c r="S941">
        <f>IFERROR(Table1_1[[#This Row],[Gross_Sales]]*Table1_1[[#This Row],[Discount_%]],"")</f>
        <v>899.40000000000009</v>
      </c>
      <c r="T941">
        <f>IFERROR(Table1_1[[#This Row],[Gross_Sales]]-Table1_1[[#This Row],[Discount_amount]]+Table1_1[[#This Row],[Shipping_Cost]],"")</f>
        <v>3676.6</v>
      </c>
      <c r="U941">
        <f>IFERROR(Table1_1[[#This Row],[Net_Sale]]-(Table1_1[[#This Row],[Gross_Sales]]*70%),"")</f>
        <v>528.70000000000027</v>
      </c>
      <c r="V941" s="7">
        <f>IFERROR(Table1_1[[#This Row],[Profit]]/Table1_1[[#This Row],[Net_Sale]],"")</f>
        <v>0.1438013381928957</v>
      </c>
      <c r="W941" t="str">
        <f>TEXT(Table1_1[[#This Row],[Order_Date]],"mmm")</f>
        <v>Oct</v>
      </c>
    </row>
    <row r="942" spans="1:23" x14ac:dyDescent="0.25">
      <c r="A942" t="s">
        <v>1346</v>
      </c>
      <c r="B942" t="s">
        <v>574</v>
      </c>
      <c r="C942" s="6">
        <v>45848</v>
      </c>
      <c r="D942" t="s">
        <v>96</v>
      </c>
      <c r="E942" t="s">
        <v>97</v>
      </c>
      <c r="F942" t="s">
        <v>98</v>
      </c>
      <c r="G942" t="s">
        <v>99</v>
      </c>
      <c r="H942">
        <v>1</v>
      </c>
      <c r="I942">
        <v>1499</v>
      </c>
      <c r="J942">
        <v>0.05</v>
      </c>
      <c r="K942">
        <v>0</v>
      </c>
      <c r="L942" t="s">
        <v>100</v>
      </c>
      <c r="M942" t="s">
        <v>101</v>
      </c>
      <c r="N942" t="s">
        <v>31</v>
      </c>
      <c r="O942" t="s">
        <v>51</v>
      </c>
      <c r="P942" t="s">
        <v>33</v>
      </c>
      <c r="Q942">
        <v>5</v>
      </c>
      <c r="R942">
        <f>IFERROR(Table1_1[[#This Row],[Unit_Price]]*Table1_1[[#This Row],[Quantity]],"")</f>
        <v>1499</v>
      </c>
      <c r="S942">
        <f>IFERROR(Table1_1[[#This Row],[Gross_Sales]]*Table1_1[[#This Row],[Discount_%]],"")</f>
        <v>74.95</v>
      </c>
      <c r="T942">
        <f>IFERROR(Table1_1[[#This Row],[Gross_Sales]]-Table1_1[[#This Row],[Discount_amount]]+Table1_1[[#This Row],[Shipping_Cost]],"")</f>
        <v>1424.05</v>
      </c>
      <c r="U942">
        <f>IFERROR(Table1_1[[#This Row],[Net_Sale]]-(Table1_1[[#This Row],[Gross_Sales]]*70%),"")</f>
        <v>374.75</v>
      </c>
      <c r="V942" s="7">
        <f>IFERROR(Table1_1[[#This Row],[Profit]]/Table1_1[[#This Row],[Net_Sale]],"")</f>
        <v>0.26315789473684209</v>
      </c>
      <c r="W942" t="str">
        <f>TEXT(Table1_1[[#This Row],[Order_Date]],"mmm")</f>
        <v>Jul</v>
      </c>
    </row>
    <row r="943" spans="1:23" x14ac:dyDescent="0.25">
      <c r="A943" t="s">
        <v>1347</v>
      </c>
      <c r="B943" t="s">
        <v>1618</v>
      </c>
      <c r="C943" s="6">
        <v>45741</v>
      </c>
      <c r="D943" t="s">
        <v>169</v>
      </c>
      <c r="E943" t="s">
        <v>170</v>
      </c>
      <c r="F943" t="s">
        <v>98</v>
      </c>
      <c r="G943" t="s">
        <v>171</v>
      </c>
      <c r="H943">
        <v>1</v>
      </c>
      <c r="I943">
        <v>799</v>
      </c>
      <c r="J943">
        <v>0</v>
      </c>
      <c r="K943">
        <v>99</v>
      </c>
      <c r="L943" t="s">
        <v>39</v>
      </c>
      <c r="M943" t="s">
        <v>39</v>
      </c>
      <c r="N943" t="s">
        <v>71</v>
      </c>
      <c r="O943" t="s">
        <v>41</v>
      </c>
      <c r="P943" t="s">
        <v>33</v>
      </c>
      <c r="Q943">
        <v>5</v>
      </c>
      <c r="R943">
        <f>IFERROR(Table1_1[[#This Row],[Unit_Price]]*Table1_1[[#This Row],[Quantity]],"")</f>
        <v>799</v>
      </c>
      <c r="S943">
        <f>IFERROR(Table1_1[[#This Row],[Gross_Sales]]*Table1_1[[#This Row],[Discount_%]],"")</f>
        <v>0</v>
      </c>
      <c r="T943">
        <f>IFERROR(Table1_1[[#This Row],[Gross_Sales]]-Table1_1[[#This Row],[Discount_amount]]+Table1_1[[#This Row],[Shipping_Cost]],"")</f>
        <v>898</v>
      </c>
      <c r="U943">
        <f>IFERROR(Table1_1[[#This Row],[Net_Sale]]-(Table1_1[[#This Row],[Gross_Sales]]*70%),"")</f>
        <v>338.70000000000005</v>
      </c>
      <c r="V943" s="7">
        <f>IFERROR(Table1_1[[#This Row],[Profit]]/Table1_1[[#This Row],[Net_Sale]],"")</f>
        <v>0.37717149220489982</v>
      </c>
      <c r="W943" t="str">
        <f>TEXT(Table1_1[[#This Row],[Order_Date]],"mmm")</f>
        <v>Mar</v>
      </c>
    </row>
    <row r="944" spans="1:23" x14ac:dyDescent="0.25">
      <c r="A944" t="s">
        <v>1348</v>
      </c>
      <c r="B944" t="s">
        <v>61</v>
      </c>
      <c r="C944" s="6">
        <v>45701</v>
      </c>
      <c r="D944" t="s">
        <v>67</v>
      </c>
      <c r="E944" t="s">
        <v>68</v>
      </c>
      <c r="F944" t="s">
        <v>37</v>
      </c>
      <c r="G944" t="s">
        <v>38</v>
      </c>
      <c r="H944">
        <v>1</v>
      </c>
      <c r="I944">
        <v>1299</v>
      </c>
      <c r="J944">
        <v>0.15</v>
      </c>
      <c r="K944">
        <v>79</v>
      </c>
      <c r="L944" t="s">
        <v>39</v>
      </c>
      <c r="M944" t="s">
        <v>39</v>
      </c>
      <c r="N944" t="s">
        <v>31</v>
      </c>
      <c r="O944" t="s">
        <v>51</v>
      </c>
      <c r="P944" t="s">
        <v>33</v>
      </c>
      <c r="Q944">
        <v>1</v>
      </c>
      <c r="R944">
        <f>IFERROR(Table1_1[[#This Row],[Unit_Price]]*Table1_1[[#This Row],[Quantity]],"")</f>
        <v>1299</v>
      </c>
      <c r="S944">
        <f>IFERROR(Table1_1[[#This Row],[Gross_Sales]]*Table1_1[[#This Row],[Discount_%]],"")</f>
        <v>194.85</v>
      </c>
      <c r="T944">
        <f>IFERROR(Table1_1[[#This Row],[Gross_Sales]]-Table1_1[[#This Row],[Discount_amount]]+Table1_1[[#This Row],[Shipping_Cost]],"")</f>
        <v>1183.1500000000001</v>
      </c>
      <c r="U944">
        <f>IFERROR(Table1_1[[#This Row],[Net_Sale]]-(Table1_1[[#This Row],[Gross_Sales]]*70%),"")</f>
        <v>273.85000000000014</v>
      </c>
      <c r="V944" s="7">
        <f>IFERROR(Table1_1[[#This Row],[Profit]]/Table1_1[[#This Row],[Net_Sale]],"")</f>
        <v>0.23145839496259993</v>
      </c>
      <c r="W944" t="str">
        <f>TEXT(Table1_1[[#This Row],[Order_Date]],"mmm")</f>
        <v>Feb</v>
      </c>
    </row>
    <row r="945" spans="1:23" x14ac:dyDescent="0.25">
      <c r="A945" t="s">
        <v>1349</v>
      </c>
      <c r="B945" t="s">
        <v>814</v>
      </c>
      <c r="C945" s="6">
        <v>45802</v>
      </c>
      <c r="D945" t="s">
        <v>110</v>
      </c>
      <c r="E945" t="s">
        <v>111</v>
      </c>
      <c r="F945" t="s">
        <v>98</v>
      </c>
      <c r="G945" t="s">
        <v>112</v>
      </c>
      <c r="H945">
        <v>5</v>
      </c>
      <c r="I945">
        <v>2999</v>
      </c>
      <c r="J945">
        <v>0.05</v>
      </c>
      <c r="K945">
        <v>79</v>
      </c>
      <c r="L945" t="s">
        <v>39</v>
      </c>
      <c r="M945" t="s">
        <v>39</v>
      </c>
      <c r="N945" t="s">
        <v>50</v>
      </c>
      <c r="O945" t="s">
        <v>93</v>
      </c>
      <c r="P945" t="s">
        <v>33</v>
      </c>
      <c r="Q945">
        <v>3</v>
      </c>
      <c r="R945">
        <f>IFERROR(Table1_1[[#This Row],[Unit_Price]]*Table1_1[[#This Row],[Quantity]],"")</f>
        <v>14995</v>
      </c>
      <c r="S945">
        <f>IFERROR(Table1_1[[#This Row],[Gross_Sales]]*Table1_1[[#This Row],[Discount_%]],"")</f>
        <v>749.75</v>
      </c>
      <c r="T945">
        <f>IFERROR(Table1_1[[#This Row],[Gross_Sales]]-Table1_1[[#This Row],[Discount_amount]]+Table1_1[[#This Row],[Shipping_Cost]],"")</f>
        <v>14324.25</v>
      </c>
      <c r="U945">
        <f>IFERROR(Table1_1[[#This Row],[Net_Sale]]-(Table1_1[[#This Row],[Gross_Sales]]*70%),"")</f>
        <v>3827.75</v>
      </c>
      <c r="V945" s="7">
        <f>IFERROR(Table1_1[[#This Row],[Profit]]/Table1_1[[#This Row],[Net_Sale]],"")</f>
        <v>0.26722166954639859</v>
      </c>
      <c r="W945" t="str">
        <f>TEXT(Table1_1[[#This Row],[Order_Date]],"mmm")</f>
        <v>May</v>
      </c>
    </row>
    <row r="946" spans="1:23" x14ac:dyDescent="0.25">
      <c r="A946" t="s">
        <v>1350</v>
      </c>
      <c r="B946" t="s">
        <v>662</v>
      </c>
      <c r="C946" s="6">
        <v>45734</v>
      </c>
      <c r="D946" t="s">
        <v>96</v>
      </c>
      <c r="E946" t="s">
        <v>97</v>
      </c>
      <c r="F946" t="s">
        <v>98</v>
      </c>
      <c r="G946" t="s">
        <v>99</v>
      </c>
      <c r="H946">
        <v>1</v>
      </c>
      <c r="I946">
        <v>1499</v>
      </c>
      <c r="J946">
        <v>0.1</v>
      </c>
      <c r="K946">
        <v>99</v>
      </c>
      <c r="L946" t="s">
        <v>83</v>
      </c>
      <c r="M946" t="s">
        <v>84</v>
      </c>
      <c r="N946" t="s">
        <v>71</v>
      </c>
      <c r="O946" t="s">
        <v>41</v>
      </c>
      <c r="P946" t="s">
        <v>52</v>
      </c>
      <c r="Q946">
        <v>2</v>
      </c>
      <c r="R946">
        <f>IFERROR(Table1_1[[#This Row],[Unit_Price]]*Table1_1[[#This Row],[Quantity]],"")</f>
        <v>1499</v>
      </c>
      <c r="S946">
        <f>IFERROR(Table1_1[[#This Row],[Gross_Sales]]*Table1_1[[#This Row],[Discount_%]],"")</f>
        <v>149.9</v>
      </c>
      <c r="T946">
        <f>IFERROR(Table1_1[[#This Row],[Gross_Sales]]-Table1_1[[#This Row],[Discount_amount]]+Table1_1[[#This Row],[Shipping_Cost]],"")</f>
        <v>1448.1</v>
      </c>
      <c r="U946">
        <f>IFERROR(Table1_1[[#This Row],[Net_Sale]]-(Table1_1[[#This Row],[Gross_Sales]]*70%),"")</f>
        <v>398.79999999999995</v>
      </c>
      <c r="V946" s="7">
        <f>IFERROR(Table1_1[[#This Row],[Profit]]/Table1_1[[#This Row],[Net_Sale]],"")</f>
        <v>0.2753953456253021</v>
      </c>
      <c r="W946" t="str">
        <f>TEXT(Table1_1[[#This Row],[Order_Date]],"mmm")</f>
        <v>Mar</v>
      </c>
    </row>
    <row r="947" spans="1:23" x14ac:dyDescent="0.25">
      <c r="A947" t="s">
        <v>1351</v>
      </c>
      <c r="B947" t="s">
        <v>354</v>
      </c>
      <c r="C947" s="6">
        <v>45978</v>
      </c>
      <c r="D947" t="s">
        <v>25</v>
      </c>
      <c r="E947" t="s">
        <v>26</v>
      </c>
      <c r="F947" t="s">
        <v>27</v>
      </c>
      <c r="G947" t="s">
        <v>28</v>
      </c>
      <c r="H947">
        <v>1</v>
      </c>
      <c r="I947">
        <v>249</v>
      </c>
      <c r="J947">
        <v>0</v>
      </c>
      <c r="K947">
        <v>49</v>
      </c>
      <c r="L947" t="s">
        <v>119</v>
      </c>
      <c r="M947" t="s">
        <v>120</v>
      </c>
      <c r="N947" t="s">
        <v>102</v>
      </c>
      <c r="O947" t="s">
        <v>32</v>
      </c>
      <c r="P947" t="s">
        <v>33</v>
      </c>
      <c r="Q947">
        <v>3</v>
      </c>
      <c r="R947">
        <f>IFERROR(Table1_1[[#This Row],[Unit_Price]]*Table1_1[[#This Row],[Quantity]],"")</f>
        <v>249</v>
      </c>
      <c r="S947">
        <f>IFERROR(Table1_1[[#This Row],[Gross_Sales]]*Table1_1[[#This Row],[Discount_%]],"")</f>
        <v>0</v>
      </c>
      <c r="T947">
        <f>IFERROR(Table1_1[[#This Row],[Gross_Sales]]-Table1_1[[#This Row],[Discount_amount]]+Table1_1[[#This Row],[Shipping_Cost]],"")</f>
        <v>298</v>
      </c>
      <c r="U947">
        <f>IFERROR(Table1_1[[#This Row],[Net_Sale]]-(Table1_1[[#This Row],[Gross_Sales]]*70%),"")</f>
        <v>123.70000000000002</v>
      </c>
      <c r="V947" s="7">
        <f>IFERROR(Table1_1[[#This Row],[Profit]]/Table1_1[[#This Row],[Net_Sale]],"")</f>
        <v>0.41510067114093968</v>
      </c>
      <c r="W947" t="str">
        <f>TEXT(Table1_1[[#This Row],[Order_Date]],"mmm")</f>
        <v>Nov</v>
      </c>
    </row>
    <row r="948" spans="1:23" x14ac:dyDescent="0.25">
      <c r="A948" t="s">
        <v>1352</v>
      </c>
      <c r="B948" t="s">
        <v>737</v>
      </c>
      <c r="C948" s="6">
        <v>45832</v>
      </c>
      <c r="D948" t="s">
        <v>44</v>
      </c>
      <c r="E948" t="s">
        <v>45</v>
      </c>
      <c r="F948" t="s">
        <v>46</v>
      </c>
      <c r="G948" t="s">
        <v>47</v>
      </c>
      <c r="H948">
        <v>4</v>
      </c>
      <c r="I948">
        <v>1199</v>
      </c>
      <c r="J948">
        <v>0.05</v>
      </c>
      <c r="K948">
        <v>59</v>
      </c>
      <c r="L948" t="s">
        <v>83</v>
      </c>
      <c r="M948" t="s">
        <v>84</v>
      </c>
      <c r="N948" t="s">
        <v>102</v>
      </c>
      <c r="O948" t="s">
        <v>59</v>
      </c>
      <c r="P948" t="s">
        <v>33</v>
      </c>
      <c r="Q948">
        <v>1</v>
      </c>
      <c r="R948">
        <f>IFERROR(Table1_1[[#This Row],[Unit_Price]]*Table1_1[[#This Row],[Quantity]],"")</f>
        <v>4796</v>
      </c>
      <c r="S948">
        <f>IFERROR(Table1_1[[#This Row],[Gross_Sales]]*Table1_1[[#This Row],[Discount_%]],"")</f>
        <v>239.8</v>
      </c>
      <c r="T948">
        <f>IFERROR(Table1_1[[#This Row],[Gross_Sales]]-Table1_1[[#This Row],[Discount_amount]]+Table1_1[[#This Row],[Shipping_Cost]],"")</f>
        <v>4615.2</v>
      </c>
      <c r="U948">
        <f>IFERROR(Table1_1[[#This Row],[Net_Sale]]-(Table1_1[[#This Row],[Gross_Sales]]*70%),"")</f>
        <v>1258</v>
      </c>
      <c r="V948" s="7">
        <f>IFERROR(Table1_1[[#This Row],[Profit]]/Table1_1[[#This Row],[Net_Sale]],"")</f>
        <v>0.27257756976945746</v>
      </c>
      <c r="W948" t="str">
        <f>TEXT(Table1_1[[#This Row],[Order_Date]],"mmm")</f>
        <v>Jun</v>
      </c>
    </row>
    <row r="949" spans="1:23" x14ac:dyDescent="0.25">
      <c r="A949" t="s">
        <v>1353</v>
      </c>
      <c r="B949" t="s">
        <v>124</v>
      </c>
      <c r="C949" s="6">
        <v>45970</v>
      </c>
      <c r="D949" t="s">
        <v>77</v>
      </c>
      <c r="E949" t="s">
        <v>78</v>
      </c>
      <c r="F949" t="s">
        <v>79</v>
      </c>
      <c r="G949" t="s">
        <v>28</v>
      </c>
      <c r="H949">
        <v>1</v>
      </c>
      <c r="I949">
        <v>6499</v>
      </c>
      <c r="J949">
        <v>0.15</v>
      </c>
      <c r="K949">
        <v>79</v>
      </c>
      <c r="L949" t="s">
        <v>57</v>
      </c>
      <c r="M949" t="s">
        <v>58</v>
      </c>
      <c r="N949" t="s">
        <v>31</v>
      </c>
      <c r="O949" t="s">
        <v>41</v>
      </c>
      <c r="P949" t="s">
        <v>33</v>
      </c>
      <c r="Q949">
        <v>3</v>
      </c>
      <c r="R949">
        <f>IFERROR(Table1_1[[#This Row],[Unit_Price]]*Table1_1[[#This Row],[Quantity]],"")</f>
        <v>6499</v>
      </c>
      <c r="S949">
        <f>IFERROR(Table1_1[[#This Row],[Gross_Sales]]*Table1_1[[#This Row],[Discount_%]],"")</f>
        <v>974.84999999999991</v>
      </c>
      <c r="T949">
        <f>IFERROR(Table1_1[[#This Row],[Gross_Sales]]-Table1_1[[#This Row],[Discount_amount]]+Table1_1[[#This Row],[Shipping_Cost]],"")</f>
        <v>5603.15</v>
      </c>
      <c r="U949">
        <f>IFERROR(Table1_1[[#This Row],[Net_Sale]]-(Table1_1[[#This Row],[Gross_Sales]]*70%),"")</f>
        <v>1053.8500000000004</v>
      </c>
      <c r="V949" s="7">
        <f>IFERROR(Table1_1[[#This Row],[Profit]]/Table1_1[[#This Row],[Net_Sale]],"")</f>
        <v>0.18808170404147675</v>
      </c>
      <c r="W949" t="str">
        <f>TEXT(Table1_1[[#This Row],[Order_Date]],"mmm")</f>
        <v>Nov</v>
      </c>
    </row>
    <row r="950" spans="1:23" x14ac:dyDescent="0.25">
      <c r="A950" t="s">
        <v>1354</v>
      </c>
      <c r="B950" t="s">
        <v>591</v>
      </c>
      <c r="C950" s="6">
        <v>45702</v>
      </c>
      <c r="D950" t="s">
        <v>110</v>
      </c>
      <c r="E950" t="s">
        <v>111</v>
      </c>
      <c r="F950" t="s">
        <v>98</v>
      </c>
      <c r="G950" t="s">
        <v>112</v>
      </c>
      <c r="H950">
        <v>3</v>
      </c>
      <c r="I950">
        <v>2999</v>
      </c>
      <c r="J950">
        <v>0.05</v>
      </c>
      <c r="K950">
        <v>49</v>
      </c>
      <c r="L950" t="s">
        <v>83</v>
      </c>
      <c r="M950" t="s">
        <v>84</v>
      </c>
      <c r="N950" t="s">
        <v>50</v>
      </c>
      <c r="O950" t="s">
        <v>93</v>
      </c>
      <c r="P950" t="s">
        <v>52</v>
      </c>
      <c r="Q950">
        <v>3</v>
      </c>
      <c r="R950">
        <f>IFERROR(Table1_1[[#This Row],[Unit_Price]]*Table1_1[[#This Row],[Quantity]],"")</f>
        <v>8997</v>
      </c>
      <c r="S950">
        <f>IFERROR(Table1_1[[#This Row],[Gross_Sales]]*Table1_1[[#This Row],[Discount_%]],"")</f>
        <v>449.85</v>
      </c>
      <c r="T950">
        <f>IFERROR(Table1_1[[#This Row],[Gross_Sales]]-Table1_1[[#This Row],[Discount_amount]]+Table1_1[[#This Row],[Shipping_Cost]],"")</f>
        <v>8596.15</v>
      </c>
      <c r="U950">
        <f>IFERROR(Table1_1[[#This Row],[Net_Sale]]-(Table1_1[[#This Row],[Gross_Sales]]*70%),"")</f>
        <v>2298.25</v>
      </c>
      <c r="V950" s="7">
        <f>IFERROR(Table1_1[[#This Row],[Profit]]/Table1_1[[#This Row],[Net_Sale]],"")</f>
        <v>0.26735806145774565</v>
      </c>
      <c r="W950" t="str">
        <f>TEXT(Table1_1[[#This Row],[Order_Date]],"mmm")</f>
        <v>Feb</v>
      </c>
    </row>
    <row r="951" spans="1:23" x14ac:dyDescent="0.25">
      <c r="A951" t="s">
        <v>1355</v>
      </c>
      <c r="B951" t="s">
        <v>360</v>
      </c>
      <c r="C951" s="6">
        <v>45694</v>
      </c>
      <c r="D951" t="s">
        <v>44</v>
      </c>
      <c r="E951" t="s">
        <v>45</v>
      </c>
      <c r="F951" t="s">
        <v>46</v>
      </c>
      <c r="G951" t="s">
        <v>47</v>
      </c>
      <c r="H951">
        <v>1</v>
      </c>
      <c r="I951">
        <v>1199</v>
      </c>
      <c r="J951">
        <v>0.05</v>
      </c>
      <c r="K951">
        <v>79</v>
      </c>
      <c r="L951" t="s">
        <v>74</v>
      </c>
      <c r="M951" t="s">
        <v>49</v>
      </c>
      <c r="N951" t="s">
        <v>40</v>
      </c>
      <c r="O951" t="s">
        <v>41</v>
      </c>
      <c r="P951" t="s">
        <v>52</v>
      </c>
      <c r="Q951">
        <v>1</v>
      </c>
      <c r="R951">
        <f>IFERROR(Table1_1[[#This Row],[Unit_Price]]*Table1_1[[#This Row],[Quantity]],"")</f>
        <v>1199</v>
      </c>
      <c r="S951">
        <f>IFERROR(Table1_1[[#This Row],[Gross_Sales]]*Table1_1[[#This Row],[Discount_%]],"")</f>
        <v>59.95</v>
      </c>
      <c r="T951">
        <f>IFERROR(Table1_1[[#This Row],[Gross_Sales]]-Table1_1[[#This Row],[Discount_amount]]+Table1_1[[#This Row],[Shipping_Cost]],"")</f>
        <v>1218.05</v>
      </c>
      <c r="U951">
        <f>IFERROR(Table1_1[[#This Row],[Net_Sale]]-(Table1_1[[#This Row],[Gross_Sales]]*70%),"")</f>
        <v>378.75</v>
      </c>
      <c r="V951" s="7">
        <f>IFERROR(Table1_1[[#This Row],[Profit]]/Table1_1[[#This Row],[Net_Sale]],"")</f>
        <v>0.31094782644390623</v>
      </c>
      <c r="W951" t="str">
        <f>TEXT(Table1_1[[#This Row],[Order_Date]],"mmm")</f>
        <v>Feb</v>
      </c>
    </row>
    <row r="952" spans="1:23" x14ac:dyDescent="0.25">
      <c r="A952" t="s">
        <v>1356</v>
      </c>
      <c r="B952" t="s">
        <v>1357</v>
      </c>
      <c r="C952" s="6">
        <v>45804</v>
      </c>
      <c r="D952" t="s">
        <v>44</v>
      </c>
      <c r="E952" t="s">
        <v>45</v>
      </c>
      <c r="F952" t="s">
        <v>46</v>
      </c>
      <c r="G952" t="s">
        <v>47</v>
      </c>
      <c r="H952">
        <v>1</v>
      </c>
      <c r="I952">
        <v>1199</v>
      </c>
      <c r="J952">
        <v>0.2</v>
      </c>
      <c r="K952">
        <v>49</v>
      </c>
      <c r="L952" t="s">
        <v>119</v>
      </c>
      <c r="M952" t="s">
        <v>120</v>
      </c>
      <c r="N952" t="s">
        <v>71</v>
      </c>
      <c r="O952" t="s">
        <v>32</v>
      </c>
      <c r="P952" t="s">
        <v>85</v>
      </c>
      <c r="Q952">
        <v>3</v>
      </c>
      <c r="R952">
        <f>IFERROR(Table1_1[[#This Row],[Unit_Price]]*Table1_1[[#This Row],[Quantity]],"")</f>
        <v>1199</v>
      </c>
      <c r="S952">
        <f>IFERROR(Table1_1[[#This Row],[Gross_Sales]]*Table1_1[[#This Row],[Discount_%]],"")</f>
        <v>239.8</v>
      </c>
      <c r="T952">
        <f>IFERROR(Table1_1[[#This Row],[Gross_Sales]]-Table1_1[[#This Row],[Discount_amount]]+Table1_1[[#This Row],[Shipping_Cost]],"")</f>
        <v>1008.2</v>
      </c>
      <c r="U952">
        <f>IFERROR(Table1_1[[#This Row],[Net_Sale]]-(Table1_1[[#This Row],[Gross_Sales]]*70%),"")</f>
        <v>168.90000000000009</v>
      </c>
      <c r="V952" s="7">
        <f>IFERROR(Table1_1[[#This Row],[Profit]]/Table1_1[[#This Row],[Net_Sale]],"")</f>
        <v>0.16752628446736767</v>
      </c>
      <c r="W952" t="str">
        <f>TEXT(Table1_1[[#This Row],[Order_Date]],"mmm")</f>
        <v>May</v>
      </c>
    </row>
    <row r="953" spans="1:23" x14ac:dyDescent="0.25">
      <c r="A953" t="s">
        <v>1358</v>
      </c>
      <c r="B953" t="s">
        <v>1117</v>
      </c>
      <c r="C953" s="6">
        <v>46007</v>
      </c>
      <c r="D953" t="s">
        <v>44</v>
      </c>
      <c r="E953" t="s">
        <v>45</v>
      </c>
      <c r="F953" t="s">
        <v>46</v>
      </c>
      <c r="G953" t="s">
        <v>47</v>
      </c>
      <c r="H953">
        <v>1</v>
      </c>
      <c r="I953">
        <v>1199</v>
      </c>
      <c r="J953">
        <v>0.05</v>
      </c>
      <c r="K953">
        <v>0</v>
      </c>
      <c r="L953" t="s">
        <v>74</v>
      </c>
      <c r="M953" t="s">
        <v>49</v>
      </c>
      <c r="N953" t="s">
        <v>50</v>
      </c>
      <c r="O953" t="s">
        <v>32</v>
      </c>
      <c r="P953" t="s">
        <v>52</v>
      </c>
      <c r="Q953">
        <v>1</v>
      </c>
      <c r="R953">
        <f>IFERROR(Table1_1[[#This Row],[Unit_Price]]*Table1_1[[#This Row],[Quantity]],"")</f>
        <v>1199</v>
      </c>
      <c r="S953">
        <f>IFERROR(Table1_1[[#This Row],[Gross_Sales]]*Table1_1[[#This Row],[Discount_%]],"")</f>
        <v>59.95</v>
      </c>
      <c r="T953">
        <f>IFERROR(Table1_1[[#This Row],[Gross_Sales]]-Table1_1[[#This Row],[Discount_amount]]+Table1_1[[#This Row],[Shipping_Cost]],"")</f>
        <v>1139.05</v>
      </c>
      <c r="U953">
        <f>IFERROR(Table1_1[[#This Row],[Net_Sale]]-(Table1_1[[#This Row],[Gross_Sales]]*70%),"")</f>
        <v>299.75</v>
      </c>
      <c r="V953" s="7">
        <f>IFERROR(Table1_1[[#This Row],[Profit]]/Table1_1[[#This Row],[Net_Sale]],"")</f>
        <v>0.26315789473684209</v>
      </c>
      <c r="W953" t="str">
        <f>TEXT(Table1_1[[#This Row],[Order_Date]],"mmm")</f>
        <v>Dec</v>
      </c>
    </row>
    <row r="954" spans="1:23" x14ac:dyDescent="0.25">
      <c r="A954" t="s">
        <v>1359</v>
      </c>
      <c r="B954" t="s">
        <v>198</v>
      </c>
      <c r="C954" s="6">
        <v>45739</v>
      </c>
      <c r="D954" t="s">
        <v>105</v>
      </c>
      <c r="E954" t="s">
        <v>106</v>
      </c>
      <c r="F954" t="s">
        <v>37</v>
      </c>
      <c r="G954" t="s">
        <v>107</v>
      </c>
      <c r="H954">
        <v>1</v>
      </c>
      <c r="I954">
        <v>1799</v>
      </c>
      <c r="J954">
        <v>0</v>
      </c>
      <c r="K954">
        <v>79</v>
      </c>
      <c r="L954" t="s">
        <v>29</v>
      </c>
      <c r="M954" t="s">
        <v>30</v>
      </c>
      <c r="N954" t="s">
        <v>31</v>
      </c>
      <c r="O954" t="s">
        <v>51</v>
      </c>
      <c r="P954" t="s">
        <v>33</v>
      </c>
      <c r="Q954">
        <v>4</v>
      </c>
      <c r="R954">
        <f>IFERROR(Table1_1[[#This Row],[Unit_Price]]*Table1_1[[#This Row],[Quantity]],"")</f>
        <v>1799</v>
      </c>
      <c r="S954">
        <f>IFERROR(Table1_1[[#This Row],[Gross_Sales]]*Table1_1[[#This Row],[Discount_%]],"")</f>
        <v>0</v>
      </c>
      <c r="T954">
        <f>IFERROR(Table1_1[[#This Row],[Gross_Sales]]-Table1_1[[#This Row],[Discount_amount]]+Table1_1[[#This Row],[Shipping_Cost]],"")</f>
        <v>1878</v>
      </c>
      <c r="U954">
        <f>IFERROR(Table1_1[[#This Row],[Net_Sale]]-(Table1_1[[#This Row],[Gross_Sales]]*70%),"")</f>
        <v>618.70000000000005</v>
      </c>
      <c r="V954" s="7">
        <f>IFERROR(Table1_1[[#This Row],[Profit]]/Table1_1[[#This Row],[Net_Sale]],"")</f>
        <v>0.32944621938232166</v>
      </c>
      <c r="W954" t="str">
        <f>TEXT(Table1_1[[#This Row],[Order_Date]],"mmm")</f>
        <v>Mar</v>
      </c>
    </row>
    <row r="955" spans="1:23" x14ac:dyDescent="0.25">
      <c r="A955" t="s">
        <v>1360</v>
      </c>
      <c r="B955" t="s">
        <v>280</v>
      </c>
      <c r="C955" s="6">
        <v>45896</v>
      </c>
      <c r="D955" t="s">
        <v>90</v>
      </c>
      <c r="E955" t="s">
        <v>91</v>
      </c>
      <c r="F955" t="s">
        <v>37</v>
      </c>
      <c r="G955" t="s">
        <v>92</v>
      </c>
      <c r="H955">
        <v>4</v>
      </c>
      <c r="I955">
        <v>3499</v>
      </c>
      <c r="J955">
        <v>0.2</v>
      </c>
      <c r="K955">
        <v>0</v>
      </c>
      <c r="L955" t="s">
        <v>83</v>
      </c>
      <c r="M955" t="s">
        <v>84</v>
      </c>
      <c r="N955" t="s">
        <v>40</v>
      </c>
      <c r="O955" t="s">
        <v>41</v>
      </c>
      <c r="P955" t="s">
        <v>33</v>
      </c>
      <c r="Q955">
        <v>4</v>
      </c>
      <c r="R955">
        <f>IFERROR(Table1_1[[#This Row],[Unit_Price]]*Table1_1[[#This Row],[Quantity]],"")</f>
        <v>13996</v>
      </c>
      <c r="S955">
        <f>IFERROR(Table1_1[[#This Row],[Gross_Sales]]*Table1_1[[#This Row],[Discount_%]],"")</f>
        <v>2799.2000000000003</v>
      </c>
      <c r="T955">
        <f>IFERROR(Table1_1[[#This Row],[Gross_Sales]]-Table1_1[[#This Row],[Discount_amount]]+Table1_1[[#This Row],[Shipping_Cost]],"")</f>
        <v>11196.8</v>
      </c>
      <c r="U955">
        <f>IFERROR(Table1_1[[#This Row],[Net_Sale]]-(Table1_1[[#This Row],[Gross_Sales]]*70%),"")</f>
        <v>1399.6000000000004</v>
      </c>
      <c r="V955" s="7">
        <f>IFERROR(Table1_1[[#This Row],[Profit]]/Table1_1[[#This Row],[Net_Sale]],"")</f>
        <v>0.12500000000000003</v>
      </c>
      <c r="W955" t="str">
        <f>TEXT(Table1_1[[#This Row],[Order_Date]],"mmm")</f>
        <v>Aug</v>
      </c>
    </row>
    <row r="956" spans="1:23" x14ac:dyDescent="0.25">
      <c r="A956" t="s">
        <v>1361</v>
      </c>
      <c r="B956" t="s">
        <v>238</v>
      </c>
      <c r="C956" s="6">
        <v>45967</v>
      </c>
      <c r="D956" t="s">
        <v>169</v>
      </c>
      <c r="E956" t="s">
        <v>170</v>
      </c>
      <c r="F956" t="s">
        <v>98</v>
      </c>
      <c r="G956" t="s">
        <v>171</v>
      </c>
      <c r="H956">
        <v>1</v>
      </c>
      <c r="I956">
        <v>799</v>
      </c>
      <c r="J956">
        <v>0.2</v>
      </c>
      <c r="K956">
        <v>79</v>
      </c>
      <c r="L956" t="s">
        <v>29</v>
      </c>
      <c r="M956" t="s">
        <v>30</v>
      </c>
      <c r="N956" t="s">
        <v>71</v>
      </c>
      <c r="O956" t="s">
        <v>59</v>
      </c>
      <c r="P956" t="s">
        <v>80</v>
      </c>
      <c r="Q956">
        <v>1</v>
      </c>
      <c r="R956">
        <f>IFERROR(Table1_1[[#This Row],[Unit_Price]]*Table1_1[[#This Row],[Quantity]],"")</f>
        <v>799</v>
      </c>
      <c r="S956">
        <f>IFERROR(Table1_1[[#This Row],[Gross_Sales]]*Table1_1[[#This Row],[Discount_%]],"")</f>
        <v>159.80000000000001</v>
      </c>
      <c r="T956">
        <f>IFERROR(Table1_1[[#This Row],[Gross_Sales]]-Table1_1[[#This Row],[Discount_amount]]+Table1_1[[#This Row],[Shipping_Cost]],"")</f>
        <v>718.2</v>
      </c>
      <c r="U956">
        <f>IFERROR(Table1_1[[#This Row],[Net_Sale]]-(Table1_1[[#This Row],[Gross_Sales]]*70%),"")</f>
        <v>158.90000000000009</v>
      </c>
      <c r="V956" s="7">
        <f>IFERROR(Table1_1[[#This Row],[Profit]]/Table1_1[[#This Row],[Net_Sale]],"")</f>
        <v>0.22124756335282664</v>
      </c>
      <c r="W956" t="str">
        <f>TEXT(Table1_1[[#This Row],[Order_Date]],"mmm")</f>
        <v>Nov</v>
      </c>
    </row>
    <row r="957" spans="1:23" x14ac:dyDescent="0.25">
      <c r="A957" t="s">
        <v>1362</v>
      </c>
      <c r="B957" t="s">
        <v>70</v>
      </c>
      <c r="C957" s="6">
        <v>45732</v>
      </c>
      <c r="D957" t="s">
        <v>62</v>
      </c>
      <c r="E957" t="s">
        <v>63</v>
      </c>
      <c r="F957" t="s">
        <v>46</v>
      </c>
      <c r="G957" t="s">
        <v>64</v>
      </c>
      <c r="H957">
        <v>4</v>
      </c>
      <c r="I957">
        <v>699</v>
      </c>
      <c r="J957">
        <v>0.15</v>
      </c>
      <c r="K957">
        <v>0</v>
      </c>
      <c r="L957" t="s">
        <v>100</v>
      </c>
      <c r="M957" t="s">
        <v>101</v>
      </c>
      <c r="N957" t="s">
        <v>31</v>
      </c>
      <c r="O957" t="s">
        <v>51</v>
      </c>
      <c r="P957" t="s">
        <v>33</v>
      </c>
      <c r="Q957">
        <v>3</v>
      </c>
      <c r="R957">
        <f>IFERROR(Table1_1[[#This Row],[Unit_Price]]*Table1_1[[#This Row],[Quantity]],"")</f>
        <v>2796</v>
      </c>
      <c r="S957">
        <f>IFERROR(Table1_1[[#This Row],[Gross_Sales]]*Table1_1[[#This Row],[Discount_%]],"")</f>
        <v>419.4</v>
      </c>
      <c r="T957">
        <f>IFERROR(Table1_1[[#This Row],[Gross_Sales]]-Table1_1[[#This Row],[Discount_amount]]+Table1_1[[#This Row],[Shipping_Cost]],"")</f>
        <v>2376.6</v>
      </c>
      <c r="U957">
        <f>IFERROR(Table1_1[[#This Row],[Net_Sale]]-(Table1_1[[#This Row],[Gross_Sales]]*70%),"")</f>
        <v>419.40000000000009</v>
      </c>
      <c r="V957" s="7">
        <f>IFERROR(Table1_1[[#This Row],[Profit]]/Table1_1[[#This Row],[Net_Sale]],"")</f>
        <v>0.17647058823529416</v>
      </c>
      <c r="W957" t="str">
        <f>TEXT(Table1_1[[#This Row],[Order_Date]],"mmm")</f>
        <v>Mar</v>
      </c>
    </row>
    <row r="958" spans="1:23" x14ac:dyDescent="0.25">
      <c r="A958" t="s">
        <v>1363</v>
      </c>
      <c r="B958" t="s">
        <v>200</v>
      </c>
      <c r="C958" s="6">
        <v>45766</v>
      </c>
      <c r="D958" t="s">
        <v>96</v>
      </c>
      <c r="E958" t="s">
        <v>97</v>
      </c>
      <c r="F958" t="s">
        <v>98</v>
      </c>
      <c r="G958" t="s">
        <v>99</v>
      </c>
      <c r="H958">
        <v>1</v>
      </c>
      <c r="I958">
        <v>1499</v>
      </c>
      <c r="J958">
        <v>0.1</v>
      </c>
      <c r="K958">
        <v>59</v>
      </c>
      <c r="L958" t="s">
        <v>119</v>
      </c>
      <c r="M958" t="s">
        <v>120</v>
      </c>
      <c r="N958" t="s">
        <v>50</v>
      </c>
      <c r="O958" t="s">
        <v>93</v>
      </c>
      <c r="P958" t="s">
        <v>80</v>
      </c>
      <c r="Q958">
        <v>2</v>
      </c>
      <c r="R958">
        <f>IFERROR(Table1_1[[#This Row],[Unit_Price]]*Table1_1[[#This Row],[Quantity]],"")</f>
        <v>1499</v>
      </c>
      <c r="S958">
        <f>IFERROR(Table1_1[[#This Row],[Gross_Sales]]*Table1_1[[#This Row],[Discount_%]],"")</f>
        <v>149.9</v>
      </c>
      <c r="T958">
        <f>IFERROR(Table1_1[[#This Row],[Gross_Sales]]-Table1_1[[#This Row],[Discount_amount]]+Table1_1[[#This Row],[Shipping_Cost]],"")</f>
        <v>1408.1</v>
      </c>
      <c r="U958">
        <f>IFERROR(Table1_1[[#This Row],[Net_Sale]]-(Table1_1[[#This Row],[Gross_Sales]]*70%),"")</f>
        <v>358.79999999999995</v>
      </c>
      <c r="V958" s="7">
        <f>IFERROR(Table1_1[[#This Row],[Profit]]/Table1_1[[#This Row],[Net_Sale]],"")</f>
        <v>0.25481144805056455</v>
      </c>
      <c r="W958" t="str">
        <f>TEXT(Table1_1[[#This Row],[Order_Date]],"mmm")</f>
        <v>Apr</v>
      </c>
    </row>
    <row r="959" spans="1:23" x14ac:dyDescent="0.25">
      <c r="A959" t="s">
        <v>1364</v>
      </c>
      <c r="B959" t="s">
        <v>1365</v>
      </c>
      <c r="C959" s="6">
        <v>45810</v>
      </c>
      <c r="D959" t="s">
        <v>55</v>
      </c>
      <c r="E959" t="s">
        <v>56</v>
      </c>
      <c r="F959" t="s">
        <v>37</v>
      </c>
      <c r="G959" t="s">
        <v>38</v>
      </c>
      <c r="H959">
        <v>1</v>
      </c>
      <c r="I959">
        <v>2499</v>
      </c>
      <c r="J959">
        <v>0.15</v>
      </c>
      <c r="K959">
        <v>49</v>
      </c>
      <c r="L959" t="s">
        <v>48</v>
      </c>
      <c r="M959" t="s">
        <v>49</v>
      </c>
      <c r="N959" t="s">
        <v>50</v>
      </c>
      <c r="O959" t="s">
        <v>93</v>
      </c>
      <c r="P959" t="s">
        <v>52</v>
      </c>
      <c r="Q959">
        <v>1</v>
      </c>
      <c r="R959">
        <f>IFERROR(Table1_1[[#This Row],[Unit_Price]]*Table1_1[[#This Row],[Quantity]],"")</f>
        <v>2499</v>
      </c>
      <c r="S959">
        <f>IFERROR(Table1_1[[#This Row],[Gross_Sales]]*Table1_1[[#This Row],[Discount_%]],"")</f>
        <v>374.84999999999997</v>
      </c>
      <c r="T959">
        <f>IFERROR(Table1_1[[#This Row],[Gross_Sales]]-Table1_1[[#This Row],[Discount_amount]]+Table1_1[[#This Row],[Shipping_Cost]],"")</f>
        <v>2173.15</v>
      </c>
      <c r="U959">
        <f>IFERROR(Table1_1[[#This Row],[Net_Sale]]-(Table1_1[[#This Row],[Gross_Sales]]*70%),"")</f>
        <v>423.85000000000014</v>
      </c>
      <c r="V959" s="7">
        <f>IFERROR(Table1_1[[#This Row],[Profit]]/Table1_1[[#This Row],[Net_Sale]],"")</f>
        <v>0.19503945885005641</v>
      </c>
      <c r="W959" t="str">
        <f>TEXT(Table1_1[[#This Row],[Order_Date]],"mmm")</f>
        <v>Jun</v>
      </c>
    </row>
    <row r="960" spans="1:23" x14ac:dyDescent="0.25">
      <c r="A960" t="s">
        <v>1366</v>
      </c>
      <c r="B960" t="s">
        <v>186</v>
      </c>
      <c r="C960" s="6">
        <v>45810</v>
      </c>
      <c r="D960" t="s">
        <v>96</v>
      </c>
      <c r="E960" t="s">
        <v>97</v>
      </c>
      <c r="F960" t="s">
        <v>98</v>
      </c>
      <c r="G960" t="s">
        <v>99</v>
      </c>
      <c r="H960">
        <v>4</v>
      </c>
      <c r="I960">
        <v>1499</v>
      </c>
      <c r="J960">
        <v>0.1</v>
      </c>
      <c r="K960">
        <v>79</v>
      </c>
      <c r="L960" t="s">
        <v>74</v>
      </c>
      <c r="M960" t="s">
        <v>49</v>
      </c>
      <c r="N960" t="s">
        <v>102</v>
      </c>
      <c r="O960" t="s">
        <v>41</v>
      </c>
      <c r="P960" t="s">
        <v>33</v>
      </c>
      <c r="Q960">
        <v>3</v>
      </c>
      <c r="R960">
        <f>IFERROR(Table1_1[[#This Row],[Unit_Price]]*Table1_1[[#This Row],[Quantity]],"")</f>
        <v>5996</v>
      </c>
      <c r="S960">
        <f>IFERROR(Table1_1[[#This Row],[Gross_Sales]]*Table1_1[[#This Row],[Discount_%]],"")</f>
        <v>599.6</v>
      </c>
      <c r="T960">
        <f>IFERROR(Table1_1[[#This Row],[Gross_Sales]]-Table1_1[[#This Row],[Discount_amount]]+Table1_1[[#This Row],[Shipping_Cost]],"")</f>
        <v>5475.4</v>
      </c>
      <c r="U960">
        <f>IFERROR(Table1_1[[#This Row],[Net_Sale]]-(Table1_1[[#This Row],[Gross_Sales]]*70%),"")</f>
        <v>1278.1999999999998</v>
      </c>
      <c r="V960" s="7">
        <f>IFERROR(Table1_1[[#This Row],[Profit]]/Table1_1[[#This Row],[Net_Sale]],"")</f>
        <v>0.23344413193556635</v>
      </c>
      <c r="W960" t="str">
        <f>TEXT(Table1_1[[#This Row],[Order_Date]],"mmm")</f>
        <v>Jun</v>
      </c>
    </row>
    <row r="961" spans="1:23" x14ac:dyDescent="0.25">
      <c r="A961" t="s">
        <v>1367</v>
      </c>
      <c r="B961" t="s">
        <v>1120</v>
      </c>
      <c r="C961" s="6">
        <v>45950</v>
      </c>
      <c r="D961" t="s">
        <v>96</v>
      </c>
      <c r="E961" t="s">
        <v>97</v>
      </c>
      <c r="F961" t="s">
        <v>98</v>
      </c>
      <c r="G961" t="s">
        <v>99</v>
      </c>
      <c r="H961">
        <v>4</v>
      </c>
      <c r="I961">
        <v>1499</v>
      </c>
      <c r="J961">
        <v>0.15</v>
      </c>
      <c r="K961">
        <v>99</v>
      </c>
      <c r="L961" t="s">
        <v>74</v>
      </c>
      <c r="M961" t="s">
        <v>49</v>
      </c>
      <c r="N961" t="s">
        <v>31</v>
      </c>
      <c r="O961" t="s">
        <v>32</v>
      </c>
      <c r="P961" t="s">
        <v>33</v>
      </c>
      <c r="Q961">
        <v>5</v>
      </c>
      <c r="R961">
        <f>IFERROR(Table1_1[[#This Row],[Unit_Price]]*Table1_1[[#This Row],[Quantity]],"")</f>
        <v>5996</v>
      </c>
      <c r="S961">
        <f>IFERROR(Table1_1[[#This Row],[Gross_Sales]]*Table1_1[[#This Row],[Discount_%]],"")</f>
        <v>899.4</v>
      </c>
      <c r="T961">
        <f>IFERROR(Table1_1[[#This Row],[Gross_Sales]]-Table1_1[[#This Row],[Discount_amount]]+Table1_1[[#This Row],[Shipping_Cost]],"")</f>
        <v>5195.6000000000004</v>
      </c>
      <c r="U961">
        <f>IFERROR(Table1_1[[#This Row],[Net_Sale]]-(Table1_1[[#This Row],[Gross_Sales]]*70%),"")</f>
        <v>998.40000000000055</v>
      </c>
      <c r="V961" s="7">
        <f>IFERROR(Table1_1[[#This Row],[Profit]]/Table1_1[[#This Row],[Net_Sale]],"")</f>
        <v>0.19216259912233438</v>
      </c>
      <c r="W961" t="str">
        <f>TEXT(Table1_1[[#This Row],[Order_Date]],"mmm")</f>
        <v>Oct</v>
      </c>
    </row>
    <row r="962" spans="1:23" x14ac:dyDescent="0.25">
      <c r="A962" t="s">
        <v>1368</v>
      </c>
      <c r="B962" t="s">
        <v>425</v>
      </c>
      <c r="C962" s="6">
        <v>45820</v>
      </c>
      <c r="D962" t="s">
        <v>105</v>
      </c>
      <c r="E962" t="s">
        <v>106</v>
      </c>
      <c r="F962" t="s">
        <v>37</v>
      </c>
      <c r="G962" t="s">
        <v>107</v>
      </c>
      <c r="H962">
        <v>2</v>
      </c>
      <c r="I962">
        <v>1799</v>
      </c>
      <c r="J962">
        <v>0</v>
      </c>
      <c r="K962">
        <v>79</v>
      </c>
      <c r="L962" t="s">
        <v>74</v>
      </c>
      <c r="M962" t="s">
        <v>49</v>
      </c>
      <c r="N962" t="s">
        <v>31</v>
      </c>
      <c r="O962" t="s">
        <v>59</v>
      </c>
      <c r="P962" t="s">
        <v>52</v>
      </c>
      <c r="Q962">
        <v>3</v>
      </c>
      <c r="R962">
        <f>IFERROR(Table1_1[[#This Row],[Unit_Price]]*Table1_1[[#This Row],[Quantity]],"")</f>
        <v>3598</v>
      </c>
      <c r="S962">
        <f>IFERROR(Table1_1[[#This Row],[Gross_Sales]]*Table1_1[[#This Row],[Discount_%]],"")</f>
        <v>0</v>
      </c>
      <c r="T962">
        <f>IFERROR(Table1_1[[#This Row],[Gross_Sales]]-Table1_1[[#This Row],[Discount_amount]]+Table1_1[[#This Row],[Shipping_Cost]],"")</f>
        <v>3677</v>
      </c>
      <c r="U962">
        <f>IFERROR(Table1_1[[#This Row],[Net_Sale]]-(Table1_1[[#This Row],[Gross_Sales]]*70%),"")</f>
        <v>1158.4000000000001</v>
      </c>
      <c r="V962" s="7">
        <f>IFERROR(Table1_1[[#This Row],[Profit]]/Table1_1[[#This Row],[Net_Sale]],"")</f>
        <v>0.31503943432145776</v>
      </c>
      <c r="W962" t="str">
        <f>TEXT(Table1_1[[#This Row],[Order_Date]],"mmm")</f>
        <v>Jun</v>
      </c>
    </row>
    <row r="963" spans="1:23" x14ac:dyDescent="0.25">
      <c r="A963" t="s">
        <v>1369</v>
      </c>
      <c r="B963" t="s">
        <v>1370</v>
      </c>
      <c r="C963" s="6">
        <v>45722</v>
      </c>
      <c r="D963" t="s">
        <v>62</v>
      </c>
      <c r="E963" t="s">
        <v>63</v>
      </c>
      <c r="F963" t="s">
        <v>46</v>
      </c>
      <c r="G963" t="s">
        <v>64</v>
      </c>
      <c r="H963">
        <v>5</v>
      </c>
      <c r="I963">
        <v>699</v>
      </c>
      <c r="J963">
        <v>0.15</v>
      </c>
      <c r="K963">
        <v>0</v>
      </c>
      <c r="L963" t="s">
        <v>39</v>
      </c>
      <c r="M963" t="s">
        <v>39</v>
      </c>
      <c r="N963" t="s">
        <v>50</v>
      </c>
      <c r="O963" t="s">
        <v>41</v>
      </c>
      <c r="P963" t="s">
        <v>80</v>
      </c>
      <c r="Q963">
        <v>4</v>
      </c>
      <c r="R963">
        <f>IFERROR(Table1_1[[#This Row],[Unit_Price]]*Table1_1[[#This Row],[Quantity]],"")</f>
        <v>3495</v>
      </c>
      <c r="S963">
        <f>IFERROR(Table1_1[[#This Row],[Gross_Sales]]*Table1_1[[#This Row],[Discount_%]],"")</f>
        <v>524.25</v>
      </c>
      <c r="T963">
        <f>IFERROR(Table1_1[[#This Row],[Gross_Sales]]-Table1_1[[#This Row],[Discount_amount]]+Table1_1[[#This Row],[Shipping_Cost]],"")</f>
        <v>2970.75</v>
      </c>
      <c r="U963">
        <f>IFERROR(Table1_1[[#This Row],[Net_Sale]]-(Table1_1[[#This Row],[Gross_Sales]]*70%),"")</f>
        <v>524.25</v>
      </c>
      <c r="V963" s="7">
        <f>IFERROR(Table1_1[[#This Row],[Profit]]/Table1_1[[#This Row],[Net_Sale]],"")</f>
        <v>0.17647058823529413</v>
      </c>
      <c r="W963" t="str">
        <f>TEXT(Table1_1[[#This Row],[Order_Date]],"mmm")</f>
        <v>Mar</v>
      </c>
    </row>
    <row r="964" spans="1:23" x14ac:dyDescent="0.25">
      <c r="A964" t="s">
        <v>1371</v>
      </c>
      <c r="B964" t="s">
        <v>243</v>
      </c>
      <c r="C964" s="6">
        <v>45965</v>
      </c>
      <c r="D964" t="s">
        <v>77</v>
      </c>
      <c r="E964" t="s">
        <v>78</v>
      </c>
      <c r="F964" t="s">
        <v>79</v>
      </c>
      <c r="G964" t="s">
        <v>28</v>
      </c>
      <c r="H964">
        <v>3</v>
      </c>
      <c r="I964">
        <v>6499</v>
      </c>
      <c r="J964">
        <v>0</v>
      </c>
      <c r="K964">
        <v>49</v>
      </c>
      <c r="L964" t="s">
        <v>83</v>
      </c>
      <c r="M964" t="s">
        <v>84</v>
      </c>
      <c r="N964" t="s">
        <v>31</v>
      </c>
      <c r="O964" t="s">
        <v>51</v>
      </c>
      <c r="P964" t="s">
        <v>33</v>
      </c>
      <c r="Q964">
        <v>3</v>
      </c>
      <c r="R964">
        <f>IFERROR(Table1_1[[#This Row],[Unit_Price]]*Table1_1[[#This Row],[Quantity]],"")</f>
        <v>19497</v>
      </c>
      <c r="S964">
        <f>IFERROR(Table1_1[[#This Row],[Gross_Sales]]*Table1_1[[#This Row],[Discount_%]],"")</f>
        <v>0</v>
      </c>
      <c r="T964">
        <f>IFERROR(Table1_1[[#This Row],[Gross_Sales]]-Table1_1[[#This Row],[Discount_amount]]+Table1_1[[#This Row],[Shipping_Cost]],"")</f>
        <v>19546</v>
      </c>
      <c r="U964">
        <f>IFERROR(Table1_1[[#This Row],[Net_Sale]]-(Table1_1[[#This Row],[Gross_Sales]]*70%),"")</f>
        <v>5898.1</v>
      </c>
      <c r="V964" s="7">
        <f>IFERROR(Table1_1[[#This Row],[Profit]]/Table1_1[[#This Row],[Net_Sale]],"")</f>
        <v>0.30175483474879772</v>
      </c>
      <c r="W964" t="str">
        <f>TEXT(Table1_1[[#This Row],[Order_Date]],"mmm")</f>
        <v>Nov</v>
      </c>
    </row>
    <row r="965" spans="1:23" x14ac:dyDescent="0.25">
      <c r="A965" t="s">
        <v>1372</v>
      </c>
      <c r="B965" t="s">
        <v>685</v>
      </c>
      <c r="C965" s="6">
        <v>45815</v>
      </c>
      <c r="D965" t="s">
        <v>169</v>
      </c>
      <c r="E965" t="s">
        <v>170</v>
      </c>
      <c r="F965" t="s">
        <v>98</v>
      </c>
      <c r="G965" t="s">
        <v>171</v>
      </c>
      <c r="H965">
        <v>1</v>
      </c>
      <c r="I965">
        <v>799</v>
      </c>
      <c r="J965">
        <v>0.2</v>
      </c>
      <c r="K965">
        <v>79</v>
      </c>
      <c r="L965" t="s">
        <v>39</v>
      </c>
      <c r="M965" t="s">
        <v>39</v>
      </c>
      <c r="N965" t="s">
        <v>40</v>
      </c>
      <c r="O965" t="s">
        <v>59</v>
      </c>
      <c r="P965" t="s">
        <v>33</v>
      </c>
      <c r="Q965">
        <v>3</v>
      </c>
      <c r="R965">
        <f>IFERROR(Table1_1[[#This Row],[Unit_Price]]*Table1_1[[#This Row],[Quantity]],"")</f>
        <v>799</v>
      </c>
      <c r="S965">
        <f>IFERROR(Table1_1[[#This Row],[Gross_Sales]]*Table1_1[[#This Row],[Discount_%]],"")</f>
        <v>159.80000000000001</v>
      </c>
      <c r="T965">
        <f>IFERROR(Table1_1[[#This Row],[Gross_Sales]]-Table1_1[[#This Row],[Discount_amount]]+Table1_1[[#This Row],[Shipping_Cost]],"")</f>
        <v>718.2</v>
      </c>
      <c r="U965">
        <f>IFERROR(Table1_1[[#This Row],[Net_Sale]]-(Table1_1[[#This Row],[Gross_Sales]]*70%),"")</f>
        <v>158.90000000000009</v>
      </c>
      <c r="V965" s="7">
        <f>IFERROR(Table1_1[[#This Row],[Profit]]/Table1_1[[#This Row],[Net_Sale]],"")</f>
        <v>0.22124756335282664</v>
      </c>
      <c r="W965" t="str">
        <f>TEXT(Table1_1[[#This Row],[Order_Date]],"mmm")</f>
        <v>Jun</v>
      </c>
    </row>
    <row r="966" spans="1:23" x14ac:dyDescent="0.25">
      <c r="A966" t="s">
        <v>1373</v>
      </c>
      <c r="B966" t="s">
        <v>267</v>
      </c>
      <c r="C966" s="6">
        <v>45829</v>
      </c>
      <c r="D966" t="s">
        <v>169</v>
      </c>
      <c r="E966" t="s">
        <v>170</v>
      </c>
      <c r="F966" t="s">
        <v>98</v>
      </c>
      <c r="G966" t="s">
        <v>171</v>
      </c>
      <c r="H966">
        <v>1</v>
      </c>
      <c r="I966">
        <v>799</v>
      </c>
      <c r="J966">
        <v>0.1</v>
      </c>
      <c r="K966">
        <v>79</v>
      </c>
      <c r="L966" t="s">
        <v>83</v>
      </c>
      <c r="M966" t="s">
        <v>84</v>
      </c>
      <c r="N966" t="s">
        <v>50</v>
      </c>
      <c r="O966" t="s">
        <v>32</v>
      </c>
      <c r="P966" t="s">
        <v>33</v>
      </c>
      <c r="Q966">
        <v>5</v>
      </c>
      <c r="R966">
        <f>IFERROR(Table1_1[[#This Row],[Unit_Price]]*Table1_1[[#This Row],[Quantity]],"")</f>
        <v>799</v>
      </c>
      <c r="S966">
        <f>IFERROR(Table1_1[[#This Row],[Gross_Sales]]*Table1_1[[#This Row],[Discount_%]],"")</f>
        <v>79.900000000000006</v>
      </c>
      <c r="T966">
        <f>IFERROR(Table1_1[[#This Row],[Gross_Sales]]-Table1_1[[#This Row],[Discount_amount]]+Table1_1[[#This Row],[Shipping_Cost]],"")</f>
        <v>798.1</v>
      </c>
      <c r="U966">
        <f>IFERROR(Table1_1[[#This Row],[Net_Sale]]-(Table1_1[[#This Row],[Gross_Sales]]*70%),"")</f>
        <v>238.80000000000007</v>
      </c>
      <c r="V966" s="7">
        <f>IFERROR(Table1_1[[#This Row],[Profit]]/Table1_1[[#This Row],[Net_Sale]],"")</f>
        <v>0.29921062523493303</v>
      </c>
      <c r="W966" t="str">
        <f>TEXT(Table1_1[[#This Row],[Order_Date]],"mmm")</f>
        <v>Jun</v>
      </c>
    </row>
    <row r="967" spans="1:23" x14ac:dyDescent="0.25">
      <c r="A967" t="s">
        <v>1374</v>
      </c>
      <c r="B967" t="s">
        <v>754</v>
      </c>
      <c r="C967" s="6">
        <v>45803</v>
      </c>
      <c r="D967" t="s">
        <v>105</v>
      </c>
      <c r="E967" t="s">
        <v>106</v>
      </c>
      <c r="F967" t="s">
        <v>37</v>
      </c>
      <c r="G967" t="s">
        <v>107</v>
      </c>
      <c r="H967">
        <v>1</v>
      </c>
      <c r="I967">
        <v>1799</v>
      </c>
      <c r="J967">
        <v>0.1</v>
      </c>
      <c r="K967">
        <v>59</v>
      </c>
      <c r="L967" t="s">
        <v>83</v>
      </c>
      <c r="M967" t="s">
        <v>84</v>
      </c>
      <c r="N967" t="s">
        <v>31</v>
      </c>
      <c r="O967" t="s">
        <v>93</v>
      </c>
      <c r="P967" t="s">
        <v>80</v>
      </c>
      <c r="Q967">
        <v>1</v>
      </c>
      <c r="R967">
        <f>IFERROR(Table1_1[[#This Row],[Unit_Price]]*Table1_1[[#This Row],[Quantity]],"")</f>
        <v>1799</v>
      </c>
      <c r="S967">
        <f>IFERROR(Table1_1[[#This Row],[Gross_Sales]]*Table1_1[[#This Row],[Discount_%]],"")</f>
        <v>179.9</v>
      </c>
      <c r="T967">
        <f>IFERROR(Table1_1[[#This Row],[Gross_Sales]]-Table1_1[[#This Row],[Discount_amount]]+Table1_1[[#This Row],[Shipping_Cost]],"")</f>
        <v>1678.1</v>
      </c>
      <c r="U967">
        <f>IFERROR(Table1_1[[#This Row],[Net_Sale]]-(Table1_1[[#This Row],[Gross_Sales]]*70%),"")</f>
        <v>418.79999999999995</v>
      </c>
      <c r="V967" s="7">
        <f>IFERROR(Table1_1[[#This Row],[Profit]]/Table1_1[[#This Row],[Net_Sale]],"")</f>
        <v>0.24956796376854776</v>
      </c>
      <c r="W967" t="str">
        <f>TEXT(Table1_1[[#This Row],[Order_Date]],"mmm")</f>
        <v>May</v>
      </c>
    </row>
    <row r="968" spans="1:23" x14ac:dyDescent="0.25">
      <c r="A968" t="s">
        <v>1375</v>
      </c>
      <c r="B968" t="s">
        <v>602</v>
      </c>
      <c r="C968" s="6">
        <v>45868</v>
      </c>
      <c r="D968" t="s">
        <v>25</v>
      </c>
      <c r="E968" t="s">
        <v>26</v>
      </c>
      <c r="F968" t="s">
        <v>27</v>
      </c>
      <c r="G968" t="s">
        <v>28</v>
      </c>
      <c r="H968">
        <v>2</v>
      </c>
      <c r="I968">
        <v>249</v>
      </c>
      <c r="J968">
        <v>0.15</v>
      </c>
      <c r="K968">
        <v>99</v>
      </c>
      <c r="L968" t="s">
        <v>39</v>
      </c>
      <c r="M968" t="s">
        <v>39</v>
      </c>
      <c r="N968" t="s">
        <v>40</v>
      </c>
      <c r="O968" t="s">
        <v>32</v>
      </c>
      <c r="P968" t="s">
        <v>80</v>
      </c>
      <c r="Q968">
        <v>5</v>
      </c>
      <c r="R968">
        <f>IFERROR(Table1_1[[#This Row],[Unit_Price]]*Table1_1[[#This Row],[Quantity]],"")</f>
        <v>498</v>
      </c>
      <c r="S968">
        <f>IFERROR(Table1_1[[#This Row],[Gross_Sales]]*Table1_1[[#This Row],[Discount_%]],"")</f>
        <v>74.7</v>
      </c>
      <c r="T968">
        <f>IFERROR(Table1_1[[#This Row],[Gross_Sales]]-Table1_1[[#This Row],[Discount_amount]]+Table1_1[[#This Row],[Shipping_Cost]],"")</f>
        <v>522.29999999999995</v>
      </c>
      <c r="U968">
        <f>IFERROR(Table1_1[[#This Row],[Net_Sale]]-(Table1_1[[#This Row],[Gross_Sales]]*70%),"")</f>
        <v>173.7</v>
      </c>
      <c r="V968" s="7">
        <f>IFERROR(Table1_1[[#This Row],[Profit]]/Table1_1[[#This Row],[Net_Sale]],"")</f>
        <v>0.33256748994830559</v>
      </c>
      <c r="W968" t="str">
        <f>TEXT(Table1_1[[#This Row],[Order_Date]],"mmm")</f>
        <v>Jul</v>
      </c>
    </row>
    <row r="969" spans="1:23" x14ac:dyDescent="0.25">
      <c r="A969" t="s">
        <v>1376</v>
      </c>
      <c r="B969" t="s">
        <v>238</v>
      </c>
      <c r="C969" s="6">
        <v>45766</v>
      </c>
      <c r="D969" t="s">
        <v>35</v>
      </c>
      <c r="E969" t="s">
        <v>36</v>
      </c>
      <c r="F969" t="s">
        <v>37</v>
      </c>
      <c r="G969" t="s">
        <v>38</v>
      </c>
      <c r="H969">
        <v>3</v>
      </c>
      <c r="I969">
        <v>599</v>
      </c>
      <c r="J969">
        <v>0.15</v>
      </c>
      <c r="K969">
        <v>79</v>
      </c>
      <c r="L969" t="s">
        <v>48</v>
      </c>
      <c r="M969" t="s">
        <v>49</v>
      </c>
      <c r="N969" t="s">
        <v>50</v>
      </c>
      <c r="O969" t="s">
        <v>59</v>
      </c>
      <c r="P969" t="s">
        <v>52</v>
      </c>
      <c r="Q969">
        <v>1</v>
      </c>
      <c r="R969">
        <f>IFERROR(Table1_1[[#This Row],[Unit_Price]]*Table1_1[[#This Row],[Quantity]],"")</f>
        <v>1797</v>
      </c>
      <c r="S969">
        <f>IFERROR(Table1_1[[#This Row],[Gross_Sales]]*Table1_1[[#This Row],[Discount_%]],"")</f>
        <v>269.55</v>
      </c>
      <c r="T969">
        <f>IFERROR(Table1_1[[#This Row],[Gross_Sales]]-Table1_1[[#This Row],[Discount_amount]]+Table1_1[[#This Row],[Shipping_Cost]],"")</f>
        <v>1606.45</v>
      </c>
      <c r="U969">
        <f>IFERROR(Table1_1[[#This Row],[Net_Sale]]-(Table1_1[[#This Row],[Gross_Sales]]*70%),"")</f>
        <v>348.55000000000018</v>
      </c>
      <c r="V969" s="7">
        <f>IFERROR(Table1_1[[#This Row],[Profit]]/Table1_1[[#This Row],[Net_Sale]],"")</f>
        <v>0.21696909334246331</v>
      </c>
      <c r="W969" t="str">
        <f>TEXT(Table1_1[[#This Row],[Order_Date]],"mmm")</f>
        <v>Apr</v>
      </c>
    </row>
    <row r="970" spans="1:23" x14ac:dyDescent="0.25">
      <c r="A970" t="s">
        <v>1377</v>
      </c>
      <c r="B970" t="s">
        <v>267</v>
      </c>
      <c r="C970" s="6">
        <v>45988</v>
      </c>
      <c r="D970" t="s">
        <v>169</v>
      </c>
      <c r="E970" t="s">
        <v>170</v>
      </c>
      <c r="F970" t="s">
        <v>98</v>
      </c>
      <c r="G970" t="s">
        <v>171</v>
      </c>
      <c r="H970">
        <v>1</v>
      </c>
      <c r="I970">
        <v>799</v>
      </c>
      <c r="J970">
        <v>0.1</v>
      </c>
      <c r="K970">
        <v>0</v>
      </c>
      <c r="L970" t="s">
        <v>119</v>
      </c>
      <c r="M970" t="s">
        <v>120</v>
      </c>
      <c r="N970" t="s">
        <v>50</v>
      </c>
      <c r="O970" t="s">
        <v>32</v>
      </c>
      <c r="P970" t="s">
        <v>80</v>
      </c>
      <c r="Q970">
        <v>3</v>
      </c>
      <c r="R970">
        <f>IFERROR(Table1_1[[#This Row],[Unit_Price]]*Table1_1[[#This Row],[Quantity]],"")</f>
        <v>799</v>
      </c>
      <c r="S970">
        <f>IFERROR(Table1_1[[#This Row],[Gross_Sales]]*Table1_1[[#This Row],[Discount_%]],"")</f>
        <v>79.900000000000006</v>
      </c>
      <c r="T970">
        <f>IFERROR(Table1_1[[#This Row],[Gross_Sales]]-Table1_1[[#This Row],[Discount_amount]]+Table1_1[[#This Row],[Shipping_Cost]],"")</f>
        <v>719.1</v>
      </c>
      <c r="U970">
        <f>IFERROR(Table1_1[[#This Row],[Net_Sale]]-(Table1_1[[#This Row],[Gross_Sales]]*70%),"")</f>
        <v>159.80000000000007</v>
      </c>
      <c r="V970" s="7">
        <f>IFERROR(Table1_1[[#This Row],[Profit]]/Table1_1[[#This Row],[Net_Sale]],"")</f>
        <v>0.22222222222222232</v>
      </c>
      <c r="W970" t="str">
        <f>TEXT(Table1_1[[#This Row],[Order_Date]],"mmm")</f>
        <v>Nov</v>
      </c>
    </row>
    <row r="971" spans="1:23" x14ac:dyDescent="0.25">
      <c r="A971" t="s">
        <v>1378</v>
      </c>
      <c r="B971" t="s">
        <v>805</v>
      </c>
      <c r="C971" s="6">
        <v>45870</v>
      </c>
      <c r="D971" t="s">
        <v>110</v>
      </c>
      <c r="E971" t="s">
        <v>111</v>
      </c>
      <c r="F971" t="s">
        <v>98</v>
      </c>
      <c r="G971" t="s">
        <v>112</v>
      </c>
      <c r="H971">
        <v>1</v>
      </c>
      <c r="I971">
        <v>2999</v>
      </c>
      <c r="J971">
        <v>0.1</v>
      </c>
      <c r="K971">
        <v>0</v>
      </c>
      <c r="L971" t="s">
        <v>48</v>
      </c>
      <c r="M971" t="s">
        <v>49</v>
      </c>
      <c r="N971" t="s">
        <v>863</v>
      </c>
      <c r="O971" t="s">
        <v>41</v>
      </c>
      <c r="P971" t="s">
        <v>33</v>
      </c>
      <c r="Q971">
        <v>3</v>
      </c>
      <c r="R971">
        <f>IFERROR(Table1_1[[#This Row],[Unit_Price]]*Table1_1[[#This Row],[Quantity]],"")</f>
        <v>2999</v>
      </c>
      <c r="S971">
        <f>IFERROR(Table1_1[[#This Row],[Gross_Sales]]*Table1_1[[#This Row],[Discount_%]],"")</f>
        <v>299.90000000000003</v>
      </c>
      <c r="T971">
        <f>IFERROR(Table1_1[[#This Row],[Gross_Sales]]-Table1_1[[#This Row],[Discount_amount]]+Table1_1[[#This Row],[Shipping_Cost]],"")</f>
        <v>2699.1</v>
      </c>
      <c r="U971">
        <f>IFERROR(Table1_1[[#This Row],[Net_Sale]]-(Table1_1[[#This Row],[Gross_Sales]]*70%),"")</f>
        <v>599.80000000000018</v>
      </c>
      <c r="V971" s="7">
        <f>IFERROR(Table1_1[[#This Row],[Profit]]/Table1_1[[#This Row],[Net_Sale]],"")</f>
        <v>0.22222222222222229</v>
      </c>
      <c r="W971" t="str">
        <f>TEXT(Table1_1[[#This Row],[Order_Date]],"mmm")</f>
        <v>Aug</v>
      </c>
    </row>
    <row r="972" spans="1:23" x14ac:dyDescent="0.25">
      <c r="A972" t="s">
        <v>1379</v>
      </c>
      <c r="B972" t="s">
        <v>216</v>
      </c>
      <c r="C972" s="6">
        <v>45965</v>
      </c>
      <c r="D972" t="s">
        <v>169</v>
      </c>
      <c r="E972" t="s">
        <v>170</v>
      </c>
      <c r="F972" t="s">
        <v>98</v>
      </c>
      <c r="G972" t="s">
        <v>171</v>
      </c>
      <c r="H972">
        <v>3</v>
      </c>
      <c r="I972">
        <v>799</v>
      </c>
      <c r="J972">
        <v>0.15</v>
      </c>
      <c r="K972">
        <v>79</v>
      </c>
      <c r="L972" t="s">
        <v>83</v>
      </c>
      <c r="M972" t="s">
        <v>84</v>
      </c>
      <c r="N972" t="s">
        <v>102</v>
      </c>
      <c r="O972" t="s">
        <v>59</v>
      </c>
      <c r="P972" t="s">
        <v>33</v>
      </c>
      <c r="Q972">
        <v>2</v>
      </c>
      <c r="R972">
        <f>IFERROR(Table1_1[[#This Row],[Unit_Price]]*Table1_1[[#This Row],[Quantity]],"")</f>
        <v>2397</v>
      </c>
      <c r="S972">
        <f>IFERROR(Table1_1[[#This Row],[Gross_Sales]]*Table1_1[[#This Row],[Discount_%]],"")</f>
        <v>359.55</v>
      </c>
      <c r="T972">
        <f>IFERROR(Table1_1[[#This Row],[Gross_Sales]]-Table1_1[[#This Row],[Discount_amount]]+Table1_1[[#This Row],[Shipping_Cost]],"")</f>
        <v>2116.4499999999998</v>
      </c>
      <c r="U972">
        <f>IFERROR(Table1_1[[#This Row],[Net_Sale]]-(Table1_1[[#This Row],[Gross_Sales]]*70%),"")</f>
        <v>438.54999999999995</v>
      </c>
      <c r="V972" s="7">
        <f>IFERROR(Table1_1[[#This Row],[Profit]]/Table1_1[[#This Row],[Net_Sale]],"")</f>
        <v>0.20721018686952208</v>
      </c>
      <c r="W972" t="str">
        <f>TEXT(Table1_1[[#This Row],[Order_Date]],"mmm")</f>
        <v>Nov</v>
      </c>
    </row>
    <row r="973" spans="1:23" x14ac:dyDescent="0.25">
      <c r="A973" t="s">
        <v>1380</v>
      </c>
      <c r="B973" t="s">
        <v>128</v>
      </c>
      <c r="C973" s="6">
        <v>45953</v>
      </c>
      <c r="D973" t="s">
        <v>44</v>
      </c>
      <c r="E973" t="s">
        <v>45</v>
      </c>
      <c r="F973" t="s">
        <v>46</v>
      </c>
      <c r="G973" t="s">
        <v>47</v>
      </c>
      <c r="H973">
        <v>3</v>
      </c>
      <c r="I973">
        <v>1199</v>
      </c>
      <c r="J973">
        <v>0.1</v>
      </c>
      <c r="K973">
        <v>49</v>
      </c>
      <c r="L973" t="s">
        <v>57</v>
      </c>
      <c r="M973" t="s">
        <v>58</v>
      </c>
      <c r="N973" t="s">
        <v>71</v>
      </c>
      <c r="O973" t="s">
        <v>32</v>
      </c>
      <c r="P973" t="s">
        <v>80</v>
      </c>
      <c r="Q973">
        <v>2</v>
      </c>
      <c r="R973">
        <f>IFERROR(Table1_1[[#This Row],[Unit_Price]]*Table1_1[[#This Row],[Quantity]],"")</f>
        <v>3597</v>
      </c>
      <c r="S973">
        <f>IFERROR(Table1_1[[#This Row],[Gross_Sales]]*Table1_1[[#This Row],[Discount_%]],"")</f>
        <v>359.70000000000005</v>
      </c>
      <c r="T973">
        <f>IFERROR(Table1_1[[#This Row],[Gross_Sales]]-Table1_1[[#This Row],[Discount_amount]]+Table1_1[[#This Row],[Shipping_Cost]],"")</f>
        <v>3286.3</v>
      </c>
      <c r="U973">
        <f>IFERROR(Table1_1[[#This Row],[Net_Sale]]-(Table1_1[[#This Row],[Gross_Sales]]*70%),"")</f>
        <v>768.40000000000055</v>
      </c>
      <c r="V973" s="7">
        <f>IFERROR(Table1_1[[#This Row],[Profit]]/Table1_1[[#This Row],[Net_Sale]],"")</f>
        <v>0.23381918875330934</v>
      </c>
      <c r="W973" t="str">
        <f>TEXT(Table1_1[[#This Row],[Order_Date]],"mmm")</f>
        <v>Oct</v>
      </c>
    </row>
    <row r="974" spans="1:23" x14ac:dyDescent="0.25">
      <c r="A974" t="s">
        <v>1381</v>
      </c>
      <c r="B974" t="s">
        <v>922</v>
      </c>
      <c r="C974" s="6">
        <v>45722</v>
      </c>
      <c r="D974" t="s">
        <v>96</v>
      </c>
      <c r="E974" t="s">
        <v>97</v>
      </c>
      <c r="F974" t="s">
        <v>98</v>
      </c>
      <c r="G974" t="s">
        <v>99</v>
      </c>
      <c r="H974">
        <v>1</v>
      </c>
      <c r="I974">
        <v>1499</v>
      </c>
      <c r="J974">
        <v>0.15</v>
      </c>
      <c r="K974">
        <v>79</v>
      </c>
      <c r="L974" t="s">
        <v>113</v>
      </c>
      <c r="M974" t="s">
        <v>114</v>
      </c>
      <c r="N974" t="s">
        <v>102</v>
      </c>
      <c r="O974" t="s">
        <v>41</v>
      </c>
      <c r="P974" t="s">
        <v>80</v>
      </c>
      <c r="Q974">
        <v>3</v>
      </c>
      <c r="R974">
        <f>IFERROR(Table1_1[[#This Row],[Unit_Price]]*Table1_1[[#This Row],[Quantity]],"")</f>
        <v>1499</v>
      </c>
      <c r="S974">
        <f>IFERROR(Table1_1[[#This Row],[Gross_Sales]]*Table1_1[[#This Row],[Discount_%]],"")</f>
        <v>224.85</v>
      </c>
      <c r="T974">
        <f>IFERROR(Table1_1[[#This Row],[Gross_Sales]]-Table1_1[[#This Row],[Discount_amount]]+Table1_1[[#This Row],[Shipping_Cost]],"")</f>
        <v>1353.15</v>
      </c>
      <c r="U974">
        <f>IFERROR(Table1_1[[#This Row],[Net_Sale]]-(Table1_1[[#This Row],[Gross_Sales]]*70%),"")</f>
        <v>303.85000000000014</v>
      </c>
      <c r="V974" s="7">
        <f>IFERROR(Table1_1[[#This Row],[Profit]]/Table1_1[[#This Row],[Net_Sale]],"")</f>
        <v>0.22455012378524192</v>
      </c>
      <c r="W974" t="str">
        <f>TEXT(Table1_1[[#This Row],[Order_Date]],"mmm")</f>
        <v>Mar</v>
      </c>
    </row>
    <row r="975" spans="1:23" x14ac:dyDescent="0.25">
      <c r="A975" t="s">
        <v>1382</v>
      </c>
      <c r="B975" t="s">
        <v>1618</v>
      </c>
      <c r="C975" s="6">
        <v>45881</v>
      </c>
      <c r="D975" t="s">
        <v>67</v>
      </c>
      <c r="E975" t="s">
        <v>68</v>
      </c>
      <c r="F975" t="s">
        <v>37</v>
      </c>
      <c r="G975" t="s">
        <v>38</v>
      </c>
      <c r="H975">
        <v>1</v>
      </c>
      <c r="I975">
        <v>1299</v>
      </c>
      <c r="J975">
        <v>0</v>
      </c>
      <c r="K975">
        <v>0</v>
      </c>
      <c r="L975" t="s">
        <v>29</v>
      </c>
      <c r="M975" t="s">
        <v>30</v>
      </c>
      <c r="N975" t="s">
        <v>31</v>
      </c>
      <c r="O975" t="s">
        <v>32</v>
      </c>
      <c r="P975" t="s">
        <v>85</v>
      </c>
      <c r="Q975">
        <v>4</v>
      </c>
      <c r="R975">
        <f>IFERROR(Table1_1[[#This Row],[Unit_Price]]*Table1_1[[#This Row],[Quantity]],"")</f>
        <v>1299</v>
      </c>
      <c r="S975">
        <f>IFERROR(Table1_1[[#This Row],[Gross_Sales]]*Table1_1[[#This Row],[Discount_%]],"")</f>
        <v>0</v>
      </c>
      <c r="T975">
        <f>IFERROR(Table1_1[[#This Row],[Gross_Sales]]-Table1_1[[#This Row],[Discount_amount]]+Table1_1[[#This Row],[Shipping_Cost]],"")</f>
        <v>1299</v>
      </c>
      <c r="U975">
        <f>IFERROR(Table1_1[[#This Row],[Net_Sale]]-(Table1_1[[#This Row],[Gross_Sales]]*70%),"")</f>
        <v>389.70000000000005</v>
      </c>
      <c r="V975" s="7">
        <f>IFERROR(Table1_1[[#This Row],[Profit]]/Table1_1[[#This Row],[Net_Sale]],"")</f>
        <v>0.30000000000000004</v>
      </c>
      <c r="W975" t="str">
        <f>TEXT(Table1_1[[#This Row],[Order_Date]],"mmm")</f>
        <v>Aug</v>
      </c>
    </row>
    <row r="976" spans="1:23" x14ac:dyDescent="0.25">
      <c r="A976" t="s">
        <v>1383</v>
      </c>
      <c r="B976" t="s">
        <v>325</v>
      </c>
      <c r="C976" s="6">
        <v>45982</v>
      </c>
      <c r="D976" t="s">
        <v>35</v>
      </c>
      <c r="E976" t="s">
        <v>36</v>
      </c>
      <c r="F976" t="s">
        <v>37</v>
      </c>
      <c r="G976" t="s">
        <v>38</v>
      </c>
      <c r="H976">
        <v>5</v>
      </c>
      <c r="I976">
        <v>599</v>
      </c>
      <c r="J976">
        <v>0</v>
      </c>
      <c r="K976">
        <v>49</v>
      </c>
      <c r="L976" t="s">
        <v>780</v>
      </c>
      <c r="M976" t="s">
        <v>101</v>
      </c>
      <c r="N976" t="s">
        <v>71</v>
      </c>
      <c r="O976" t="s">
        <v>41</v>
      </c>
      <c r="P976" t="s">
        <v>33</v>
      </c>
      <c r="Q976">
        <v>5</v>
      </c>
      <c r="R976">
        <f>IFERROR(Table1_1[[#This Row],[Unit_Price]]*Table1_1[[#This Row],[Quantity]],"")</f>
        <v>2995</v>
      </c>
      <c r="S976">
        <f>IFERROR(Table1_1[[#This Row],[Gross_Sales]]*Table1_1[[#This Row],[Discount_%]],"")</f>
        <v>0</v>
      </c>
      <c r="T976">
        <f>IFERROR(Table1_1[[#This Row],[Gross_Sales]]-Table1_1[[#This Row],[Discount_amount]]+Table1_1[[#This Row],[Shipping_Cost]],"")</f>
        <v>3044</v>
      </c>
      <c r="U976">
        <f>IFERROR(Table1_1[[#This Row],[Net_Sale]]-(Table1_1[[#This Row],[Gross_Sales]]*70%),"")</f>
        <v>947.5</v>
      </c>
      <c r="V976" s="7">
        <f>IFERROR(Table1_1[[#This Row],[Profit]]/Table1_1[[#This Row],[Net_Sale]],"")</f>
        <v>0.31126806833114323</v>
      </c>
      <c r="W976" t="str">
        <f>TEXT(Table1_1[[#This Row],[Order_Date]],"mmm")</f>
        <v>Nov</v>
      </c>
    </row>
    <row r="977" spans="1:23" x14ac:dyDescent="0.25">
      <c r="A977" t="s">
        <v>1384</v>
      </c>
      <c r="B977" t="s">
        <v>257</v>
      </c>
      <c r="C977" s="6">
        <v>45995</v>
      </c>
      <c r="D977" t="s">
        <v>67</v>
      </c>
      <c r="E977" t="s">
        <v>68</v>
      </c>
      <c r="F977" t="s">
        <v>37</v>
      </c>
      <c r="G977" t="s">
        <v>38</v>
      </c>
      <c r="H977">
        <v>3</v>
      </c>
      <c r="I977">
        <v>1299</v>
      </c>
      <c r="J977">
        <v>0</v>
      </c>
      <c r="K977">
        <v>0</v>
      </c>
      <c r="L977" t="s">
        <v>57</v>
      </c>
      <c r="M977" t="s">
        <v>58</v>
      </c>
      <c r="N977" t="s">
        <v>31</v>
      </c>
      <c r="O977" t="s">
        <v>93</v>
      </c>
      <c r="P977" t="s">
        <v>33</v>
      </c>
      <c r="Q977">
        <v>4</v>
      </c>
      <c r="R977">
        <f>IFERROR(Table1_1[[#This Row],[Unit_Price]]*Table1_1[[#This Row],[Quantity]],"")</f>
        <v>3897</v>
      </c>
      <c r="S977">
        <f>IFERROR(Table1_1[[#This Row],[Gross_Sales]]*Table1_1[[#This Row],[Discount_%]],"")</f>
        <v>0</v>
      </c>
      <c r="T977">
        <f>IFERROR(Table1_1[[#This Row],[Gross_Sales]]-Table1_1[[#This Row],[Discount_amount]]+Table1_1[[#This Row],[Shipping_Cost]],"")</f>
        <v>3897</v>
      </c>
      <c r="U977">
        <f>IFERROR(Table1_1[[#This Row],[Net_Sale]]-(Table1_1[[#This Row],[Gross_Sales]]*70%),"")</f>
        <v>1169.1000000000004</v>
      </c>
      <c r="V977" s="7">
        <f>IFERROR(Table1_1[[#This Row],[Profit]]/Table1_1[[#This Row],[Net_Sale]],"")</f>
        <v>0.3000000000000001</v>
      </c>
      <c r="W977" t="str">
        <f>TEXT(Table1_1[[#This Row],[Order_Date]],"mmm")</f>
        <v>Dec</v>
      </c>
    </row>
    <row r="978" spans="1:23" x14ac:dyDescent="0.25">
      <c r="A978" t="s">
        <v>1385</v>
      </c>
      <c r="B978" t="s">
        <v>261</v>
      </c>
      <c r="C978" s="6">
        <v>45802</v>
      </c>
      <c r="D978" t="s">
        <v>44</v>
      </c>
      <c r="E978" t="s">
        <v>45</v>
      </c>
      <c r="F978" t="s">
        <v>46</v>
      </c>
      <c r="G978" t="s">
        <v>47</v>
      </c>
      <c r="H978">
        <v>1</v>
      </c>
      <c r="I978">
        <v>1199</v>
      </c>
      <c r="J978">
        <v>0</v>
      </c>
      <c r="K978">
        <v>0</v>
      </c>
      <c r="L978" t="s">
        <v>29</v>
      </c>
      <c r="M978" t="s">
        <v>30</v>
      </c>
      <c r="N978" t="s">
        <v>71</v>
      </c>
      <c r="O978" t="s">
        <v>41</v>
      </c>
      <c r="P978" t="s">
        <v>33</v>
      </c>
      <c r="Q978">
        <v>4</v>
      </c>
      <c r="R978">
        <f>IFERROR(Table1_1[[#This Row],[Unit_Price]]*Table1_1[[#This Row],[Quantity]],"")</f>
        <v>1199</v>
      </c>
      <c r="S978">
        <f>IFERROR(Table1_1[[#This Row],[Gross_Sales]]*Table1_1[[#This Row],[Discount_%]],"")</f>
        <v>0</v>
      </c>
      <c r="T978">
        <f>IFERROR(Table1_1[[#This Row],[Gross_Sales]]-Table1_1[[#This Row],[Discount_amount]]+Table1_1[[#This Row],[Shipping_Cost]],"")</f>
        <v>1199</v>
      </c>
      <c r="U978">
        <f>IFERROR(Table1_1[[#This Row],[Net_Sale]]-(Table1_1[[#This Row],[Gross_Sales]]*70%),"")</f>
        <v>359.70000000000005</v>
      </c>
      <c r="V978" s="7">
        <f>IFERROR(Table1_1[[#This Row],[Profit]]/Table1_1[[#This Row],[Net_Sale]],"")</f>
        <v>0.30000000000000004</v>
      </c>
      <c r="W978" t="str">
        <f>TEXT(Table1_1[[#This Row],[Order_Date]],"mmm")</f>
        <v>May</v>
      </c>
    </row>
    <row r="979" spans="1:23" x14ac:dyDescent="0.25">
      <c r="A979" t="s">
        <v>1386</v>
      </c>
      <c r="B979" t="s">
        <v>508</v>
      </c>
      <c r="C979" s="6">
        <v>45869</v>
      </c>
      <c r="D979" t="s">
        <v>55</v>
      </c>
      <c r="E979" t="s">
        <v>56</v>
      </c>
      <c r="F979" t="s">
        <v>37</v>
      </c>
      <c r="G979" t="s">
        <v>38</v>
      </c>
      <c r="H979">
        <v>3</v>
      </c>
      <c r="I979">
        <v>2499</v>
      </c>
      <c r="J979">
        <v>0</v>
      </c>
      <c r="K979">
        <v>49</v>
      </c>
      <c r="L979" t="s">
        <v>119</v>
      </c>
      <c r="M979" t="s">
        <v>120</v>
      </c>
      <c r="N979" t="s">
        <v>40</v>
      </c>
      <c r="O979" t="s">
        <v>51</v>
      </c>
      <c r="P979" t="s">
        <v>80</v>
      </c>
      <c r="Q979">
        <v>3</v>
      </c>
      <c r="R979">
        <f>IFERROR(Table1_1[[#This Row],[Unit_Price]]*Table1_1[[#This Row],[Quantity]],"")</f>
        <v>7497</v>
      </c>
      <c r="S979">
        <f>IFERROR(Table1_1[[#This Row],[Gross_Sales]]*Table1_1[[#This Row],[Discount_%]],"")</f>
        <v>0</v>
      </c>
      <c r="T979">
        <f>IFERROR(Table1_1[[#This Row],[Gross_Sales]]-Table1_1[[#This Row],[Discount_amount]]+Table1_1[[#This Row],[Shipping_Cost]],"")</f>
        <v>7546</v>
      </c>
      <c r="U979">
        <f>IFERROR(Table1_1[[#This Row],[Net_Sale]]-(Table1_1[[#This Row],[Gross_Sales]]*70%),"")</f>
        <v>2298.1000000000004</v>
      </c>
      <c r="V979" s="7">
        <f>IFERROR(Table1_1[[#This Row],[Profit]]/Table1_1[[#This Row],[Net_Sale]],"")</f>
        <v>0.30454545454545462</v>
      </c>
      <c r="W979" t="str">
        <f>TEXT(Table1_1[[#This Row],[Order_Date]],"mmm")</f>
        <v>Jul</v>
      </c>
    </row>
    <row r="980" spans="1:23" x14ac:dyDescent="0.25">
      <c r="A980" t="s">
        <v>1387</v>
      </c>
      <c r="B980" t="s">
        <v>381</v>
      </c>
      <c r="C980" s="6">
        <v>45663</v>
      </c>
      <c r="D980" t="s">
        <v>90</v>
      </c>
      <c r="E980" t="s">
        <v>91</v>
      </c>
      <c r="F980" t="s">
        <v>37</v>
      </c>
      <c r="G980" t="s">
        <v>92</v>
      </c>
      <c r="H980">
        <v>1</v>
      </c>
      <c r="I980">
        <v>3499</v>
      </c>
      <c r="J980">
        <v>0.2</v>
      </c>
      <c r="K980">
        <v>99</v>
      </c>
      <c r="L980" t="s">
        <v>100</v>
      </c>
      <c r="M980" t="s">
        <v>101</v>
      </c>
      <c r="N980" t="s">
        <v>31</v>
      </c>
      <c r="O980" t="s">
        <v>51</v>
      </c>
      <c r="P980" t="s">
        <v>85</v>
      </c>
      <c r="Q980">
        <v>3</v>
      </c>
      <c r="R980">
        <f>IFERROR(Table1_1[[#This Row],[Unit_Price]]*Table1_1[[#This Row],[Quantity]],"")</f>
        <v>3499</v>
      </c>
      <c r="S980">
        <f>IFERROR(Table1_1[[#This Row],[Gross_Sales]]*Table1_1[[#This Row],[Discount_%]],"")</f>
        <v>699.80000000000007</v>
      </c>
      <c r="T980">
        <f>IFERROR(Table1_1[[#This Row],[Gross_Sales]]-Table1_1[[#This Row],[Discount_amount]]+Table1_1[[#This Row],[Shipping_Cost]],"")</f>
        <v>2898.2</v>
      </c>
      <c r="U980">
        <f>IFERROR(Table1_1[[#This Row],[Net_Sale]]-(Table1_1[[#This Row],[Gross_Sales]]*70%),"")</f>
        <v>448.90000000000009</v>
      </c>
      <c r="V980" s="7">
        <f>IFERROR(Table1_1[[#This Row],[Profit]]/Table1_1[[#This Row],[Net_Sale]],"")</f>
        <v>0.15488924159823342</v>
      </c>
      <c r="W980" t="str">
        <f>TEXT(Table1_1[[#This Row],[Order_Date]],"mmm")</f>
        <v>Jan</v>
      </c>
    </row>
    <row r="981" spans="1:23" x14ac:dyDescent="0.25">
      <c r="A981" t="s">
        <v>1388</v>
      </c>
      <c r="B981" t="s">
        <v>160</v>
      </c>
      <c r="C981" s="6">
        <v>45660</v>
      </c>
      <c r="D981" t="s">
        <v>90</v>
      </c>
      <c r="E981" t="s">
        <v>91</v>
      </c>
      <c r="F981" t="s">
        <v>37</v>
      </c>
      <c r="G981" t="s">
        <v>92</v>
      </c>
      <c r="H981">
        <v>2</v>
      </c>
      <c r="I981">
        <v>3499</v>
      </c>
      <c r="J981">
        <v>0.05</v>
      </c>
      <c r="K981">
        <v>0</v>
      </c>
      <c r="L981" t="s">
        <v>125</v>
      </c>
      <c r="M981" t="s">
        <v>126</v>
      </c>
      <c r="N981" t="s">
        <v>102</v>
      </c>
      <c r="O981" t="s">
        <v>93</v>
      </c>
      <c r="P981" t="s">
        <v>80</v>
      </c>
      <c r="Q981">
        <v>5</v>
      </c>
      <c r="R981">
        <f>IFERROR(Table1_1[[#This Row],[Unit_Price]]*Table1_1[[#This Row],[Quantity]],"")</f>
        <v>6998</v>
      </c>
      <c r="S981">
        <f>IFERROR(Table1_1[[#This Row],[Gross_Sales]]*Table1_1[[#This Row],[Discount_%]],"")</f>
        <v>349.90000000000003</v>
      </c>
      <c r="T981">
        <f>IFERROR(Table1_1[[#This Row],[Gross_Sales]]-Table1_1[[#This Row],[Discount_amount]]+Table1_1[[#This Row],[Shipping_Cost]],"")</f>
        <v>6648.1</v>
      </c>
      <c r="U981">
        <f>IFERROR(Table1_1[[#This Row],[Net_Sale]]-(Table1_1[[#This Row],[Gross_Sales]]*70%),"")</f>
        <v>1749.5000000000009</v>
      </c>
      <c r="V981" s="7">
        <f>IFERROR(Table1_1[[#This Row],[Profit]]/Table1_1[[#This Row],[Net_Sale]],"")</f>
        <v>0.2631578947368422</v>
      </c>
      <c r="W981" t="str">
        <f>TEXT(Table1_1[[#This Row],[Order_Date]],"mmm")</f>
        <v>Jan</v>
      </c>
    </row>
    <row r="982" spans="1:23" x14ac:dyDescent="0.25">
      <c r="A982" t="s">
        <v>1389</v>
      </c>
      <c r="B982" t="s">
        <v>202</v>
      </c>
      <c r="C982" s="6">
        <v>45736</v>
      </c>
      <c r="D982" t="s">
        <v>35</v>
      </c>
      <c r="E982" t="s">
        <v>36</v>
      </c>
      <c r="F982" t="s">
        <v>37</v>
      </c>
      <c r="G982" t="s">
        <v>38</v>
      </c>
      <c r="H982">
        <v>2</v>
      </c>
      <c r="I982">
        <v>599</v>
      </c>
      <c r="J982">
        <v>0</v>
      </c>
      <c r="K982">
        <v>49</v>
      </c>
      <c r="L982" t="s">
        <v>83</v>
      </c>
      <c r="M982" t="s">
        <v>84</v>
      </c>
      <c r="N982" t="s">
        <v>71</v>
      </c>
      <c r="O982" t="s">
        <v>41</v>
      </c>
      <c r="P982" t="s">
        <v>33</v>
      </c>
      <c r="Q982">
        <v>2</v>
      </c>
      <c r="R982">
        <f>IFERROR(Table1_1[[#This Row],[Unit_Price]]*Table1_1[[#This Row],[Quantity]],"")</f>
        <v>1198</v>
      </c>
      <c r="S982">
        <f>IFERROR(Table1_1[[#This Row],[Gross_Sales]]*Table1_1[[#This Row],[Discount_%]],"")</f>
        <v>0</v>
      </c>
      <c r="T982">
        <f>IFERROR(Table1_1[[#This Row],[Gross_Sales]]-Table1_1[[#This Row],[Discount_amount]]+Table1_1[[#This Row],[Shipping_Cost]],"")</f>
        <v>1247</v>
      </c>
      <c r="U982">
        <f>IFERROR(Table1_1[[#This Row],[Net_Sale]]-(Table1_1[[#This Row],[Gross_Sales]]*70%),"")</f>
        <v>408.40000000000009</v>
      </c>
      <c r="V982" s="7">
        <f>IFERROR(Table1_1[[#This Row],[Profit]]/Table1_1[[#This Row],[Net_Sale]],"")</f>
        <v>0.32750601443464322</v>
      </c>
      <c r="W982" t="str">
        <f>TEXT(Table1_1[[#This Row],[Order_Date]],"mmm")</f>
        <v>Mar</v>
      </c>
    </row>
    <row r="983" spans="1:23" x14ac:dyDescent="0.25">
      <c r="A983" t="s">
        <v>1390</v>
      </c>
      <c r="B983" t="s">
        <v>1391</v>
      </c>
      <c r="C983" s="6">
        <v>45904</v>
      </c>
      <c r="D983" t="s">
        <v>55</v>
      </c>
      <c r="E983" t="s">
        <v>56</v>
      </c>
      <c r="F983" t="s">
        <v>37</v>
      </c>
      <c r="G983" t="s">
        <v>38</v>
      </c>
      <c r="H983">
        <v>1</v>
      </c>
      <c r="I983">
        <v>2499</v>
      </c>
      <c r="J983">
        <v>0.2</v>
      </c>
      <c r="K983">
        <v>99</v>
      </c>
      <c r="L983" t="s">
        <v>100</v>
      </c>
      <c r="M983" t="s">
        <v>101</v>
      </c>
      <c r="N983" t="s">
        <v>40</v>
      </c>
      <c r="O983" t="s">
        <v>59</v>
      </c>
      <c r="P983" t="s">
        <v>33</v>
      </c>
      <c r="Q983">
        <v>4</v>
      </c>
      <c r="R983">
        <f>IFERROR(Table1_1[[#This Row],[Unit_Price]]*Table1_1[[#This Row],[Quantity]],"")</f>
        <v>2499</v>
      </c>
      <c r="S983">
        <f>IFERROR(Table1_1[[#This Row],[Gross_Sales]]*Table1_1[[#This Row],[Discount_%]],"")</f>
        <v>499.8</v>
      </c>
      <c r="T983">
        <f>IFERROR(Table1_1[[#This Row],[Gross_Sales]]-Table1_1[[#This Row],[Discount_amount]]+Table1_1[[#This Row],[Shipping_Cost]],"")</f>
        <v>2098.1999999999998</v>
      </c>
      <c r="U983">
        <f>IFERROR(Table1_1[[#This Row],[Net_Sale]]-(Table1_1[[#This Row],[Gross_Sales]]*70%),"")</f>
        <v>348.89999999999986</v>
      </c>
      <c r="V983" s="7">
        <f>IFERROR(Table1_1[[#This Row],[Profit]]/Table1_1[[#This Row],[Net_Sale]],"")</f>
        <v>0.16628538747497851</v>
      </c>
      <c r="W983" t="str">
        <f>TEXT(Table1_1[[#This Row],[Order_Date]],"mmm")</f>
        <v>Sep</v>
      </c>
    </row>
    <row r="984" spans="1:23" x14ac:dyDescent="0.25">
      <c r="A984" t="s">
        <v>1392</v>
      </c>
      <c r="B984" t="s">
        <v>852</v>
      </c>
      <c r="C984" s="6">
        <v>45786</v>
      </c>
      <c r="D984" t="s">
        <v>62</v>
      </c>
      <c r="E984" t="s">
        <v>63</v>
      </c>
      <c r="F984" t="s">
        <v>46</v>
      </c>
      <c r="G984" t="s">
        <v>64</v>
      </c>
      <c r="H984">
        <v>4</v>
      </c>
      <c r="I984">
        <v>699</v>
      </c>
      <c r="J984">
        <v>0.2</v>
      </c>
      <c r="K984">
        <v>59</v>
      </c>
      <c r="L984" t="s">
        <v>57</v>
      </c>
      <c r="M984" t="s">
        <v>58</v>
      </c>
      <c r="N984" t="s">
        <v>31</v>
      </c>
      <c r="O984" t="s">
        <v>32</v>
      </c>
      <c r="P984" t="s">
        <v>80</v>
      </c>
      <c r="Q984">
        <v>3</v>
      </c>
      <c r="R984">
        <f>IFERROR(Table1_1[[#This Row],[Unit_Price]]*Table1_1[[#This Row],[Quantity]],"")</f>
        <v>2796</v>
      </c>
      <c r="S984">
        <f>IFERROR(Table1_1[[#This Row],[Gross_Sales]]*Table1_1[[#This Row],[Discount_%]],"")</f>
        <v>559.20000000000005</v>
      </c>
      <c r="T984">
        <f>IFERROR(Table1_1[[#This Row],[Gross_Sales]]-Table1_1[[#This Row],[Discount_amount]]+Table1_1[[#This Row],[Shipping_Cost]],"")</f>
        <v>2295.8000000000002</v>
      </c>
      <c r="U984">
        <f>IFERROR(Table1_1[[#This Row],[Net_Sale]]-(Table1_1[[#This Row],[Gross_Sales]]*70%),"")</f>
        <v>338.60000000000036</v>
      </c>
      <c r="V984" s="7">
        <f>IFERROR(Table1_1[[#This Row],[Profit]]/Table1_1[[#This Row],[Net_Sale]],"")</f>
        <v>0.14748671487063347</v>
      </c>
      <c r="W984" t="str">
        <f>TEXT(Table1_1[[#This Row],[Order_Date]],"mmm")</f>
        <v>May</v>
      </c>
    </row>
    <row r="985" spans="1:23" x14ac:dyDescent="0.25">
      <c r="A985" t="s">
        <v>1393</v>
      </c>
      <c r="B985" t="s">
        <v>315</v>
      </c>
      <c r="C985" s="6">
        <v>45763</v>
      </c>
      <c r="D985" t="s">
        <v>44</v>
      </c>
      <c r="E985" t="s">
        <v>45</v>
      </c>
      <c r="F985" t="s">
        <v>46</v>
      </c>
      <c r="G985" t="s">
        <v>47</v>
      </c>
      <c r="H985">
        <v>1</v>
      </c>
      <c r="I985">
        <v>1199</v>
      </c>
      <c r="J985">
        <v>0.1</v>
      </c>
      <c r="K985">
        <v>79</v>
      </c>
      <c r="L985" t="s">
        <v>48</v>
      </c>
      <c r="M985" t="s">
        <v>49</v>
      </c>
      <c r="N985" t="s">
        <v>71</v>
      </c>
      <c r="O985" t="s">
        <v>32</v>
      </c>
      <c r="P985" t="s">
        <v>52</v>
      </c>
      <c r="Q985">
        <v>1</v>
      </c>
      <c r="R985">
        <f>IFERROR(Table1_1[[#This Row],[Unit_Price]]*Table1_1[[#This Row],[Quantity]],"")</f>
        <v>1199</v>
      </c>
      <c r="S985">
        <f>IFERROR(Table1_1[[#This Row],[Gross_Sales]]*Table1_1[[#This Row],[Discount_%]],"")</f>
        <v>119.9</v>
      </c>
      <c r="T985">
        <f>IFERROR(Table1_1[[#This Row],[Gross_Sales]]-Table1_1[[#This Row],[Discount_amount]]+Table1_1[[#This Row],[Shipping_Cost]],"")</f>
        <v>1158.0999999999999</v>
      </c>
      <c r="U985">
        <f>IFERROR(Table1_1[[#This Row],[Net_Sale]]-(Table1_1[[#This Row],[Gross_Sales]]*70%),"")</f>
        <v>318.79999999999995</v>
      </c>
      <c r="V985" s="7">
        <f>IFERROR(Table1_1[[#This Row],[Profit]]/Table1_1[[#This Row],[Net_Sale]],"")</f>
        <v>0.27527847336154043</v>
      </c>
      <c r="W985" t="str">
        <f>TEXT(Table1_1[[#This Row],[Order_Date]],"mmm")</f>
        <v>Apr</v>
      </c>
    </row>
    <row r="986" spans="1:23" x14ac:dyDescent="0.25">
      <c r="A986" t="s">
        <v>1394</v>
      </c>
      <c r="B986" t="s">
        <v>510</v>
      </c>
      <c r="C986" s="6">
        <v>45948</v>
      </c>
      <c r="D986" t="s">
        <v>44</v>
      </c>
      <c r="E986" t="s">
        <v>45</v>
      </c>
      <c r="F986" t="s">
        <v>46</v>
      </c>
      <c r="G986" t="s">
        <v>47</v>
      </c>
      <c r="H986">
        <v>1</v>
      </c>
      <c r="I986">
        <v>1199</v>
      </c>
      <c r="J986">
        <v>0</v>
      </c>
      <c r="K986">
        <v>79</v>
      </c>
      <c r="L986" t="s">
        <v>57</v>
      </c>
      <c r="M986" t="s">
        <v>58</v>
      </c>
      <c r="N986" t="s">
        <v>31</v>
      </c>
      <c r="O986" t="s">
        <v>32</v>
      </c>
      <c r="P986" t="s">
        <v>80</v>
      </c>
      <c r="Q986">
        <v>3</v>
      </c>
      <c r="R986">
        <f>IFERROR(Table1_1[[#This Row],[Unit_Price]]*Table1_1[[#This Row],[Quantity]],"")</f>
        <v>1199</v>
      </c>
      <c r="S986">
        <f>IFERROR(Table1_1[[#This Row],[Gross_Sales]]*Table1_1[[#This Row],[Discount_%]],"")</f>
        <v>0</v>
      </c>
      <c r="T986">
        <f>IFERROR(Table1_1[[#This Row],[Gross_Sales]]-Table1_1[[#This Row],[Discount_amount]]+Table1_1[[#This Row],[Shipping_Cost]],"")</f>
        <v>1278</v>
      </c>
      <c r="U986">
        <f>IFERROR(Table1_1[[#This Row],[Net_Sale]]-(Table1_1[[#This Row],[Gross_Sales]]*70%),"")</f>
        <v>438.70000000000005</v>
      </c>
      <c r="V986" s="7">
        <f>IFERROR(Table1_1[[#This Row],[Profit]]/Table1_1[[#This Row],[Net_Sale]],"")</f>
        <v>0.34327073552425669</v>
      </c>
      <c r="W986" t="str">
        <f>TEXT(Table1_1[[#This Row],[Order_Date]],"mmm")</f>
        <v>Oct</v>
      </c>
    </row>
    <row r="987" spans="1:23" x14ac:dyDescent="0.25">
      <c r="A987" t="s">
        <v>1395</v>
      </c>
      <c r="B987" t="s">
        <v>1396</v>
      </c>
      <c r="C987" s="6">
        <v>45988</v>
      </c>
      <c r="D987" t="s">
        <v>44</v>
      </c>
      <c r="E987" t="s">
        <v>45</v>
      </c>
      <c r="F987" t="s">
        <v>46</v>
      </c>
      <c r="G987" t="s">
        <v>47</v>
      </c>
      <c r="H987">
        <v>1</v>
      </c>
      <c r="I987">
        <v>1199</v>
      </c>
      <c r="J987">
        <v>0</v>
      </c>
      <c r="K987">
        <v>0</v>
      </c>
      <c r="L987" t="s">
        <v>57</v>
      </c>
      <c r="M987" t="s">
        <v>58</v>
      </c>
      <c r="N987" t="s">
        <v>71</v>
      </c>
      <c r="O987" t="s">
        <v>59</v>
      </c>
      <c r="P987" t="s">
        <v>52</v>
      </c>
      <c r="Q987">
        <v>3</v>
      </c>
      <c r="R987">
        <f>IFERROR(Table1_1[[#This Row],[Unit_Price]]*Table1_1[[#This Row],[Quantity]],"")</f>
        <v>1199</v>
      </c>
      <c r="S987">
        <f>IFERROR(Table1_1[[#This Row],[Gross_Sales]]*Table1_1[[#This Row],[Discount_%]],"")</f>
        <v>0</v>
      </c>
      <c r="T987">
        <f>IFERROR(Table1_1[[#This Row],[Gross_Sales]]-Table1_1[[#This Row],[Discount_amount]]+Table1_1[[#This Row],[Shipping_Cost]],"")</f>
        <v>1199</v>
      </c>
      <c r="U987">
        <f>IFERROR(Table1_1[[#This Row],[Net_Sale]]-(Table1_1[[#This Row],[Gross_Sales]]*70%),"")</f>
        <v>359.70000000000005</v>
      </c>
      <c r="V987" s="7">
        <f>IFERROR(Table1_1[[#This Row],[Profit]]/Table1_1[[#This Row],[Net_Sale]],"")</f>
        <v>0.30000000000000004</v>
      </c>
      <c r="W987" t="str">
        <f>TEXT(Table1_1[[#This Row],[Order_Date]],"mmm")</f>
        <v>Nov</v>
      </c>
    </row>
    <row r="988" spans="1:23" x14ac:dyDescent="0.25">
      <c r="A988" t="s">
        <v>1397</v>
      </c>
      <c r="B988" t="s">
        <v>587</v>
      </c>
      <c r="C988" s="6">
        <v>45768</v>
      </c>
      <c r="D988" t="s">
        <v>105</v>
      </c>
      <c r="E988" t="s">
        <v>106</v>
      </c>
      <c r="F988" t="s">
        <v>37</v>
      </c>
      <c r="G988" t="s">
        <v>107</v>
      </c>
      <c r="H988">
        <v>1</v>
      </c>
      <c r="I988">
        <v>1799</v>
      </c>
      <c r="J988">
        <v>0</v>
      </c>
      <c r="K988">
        <v>59</v>
      </c>
      <c r="L988" t="s">
        <v>74</v>
      </c>
      <c r="M988" t="s">
        <v>49</v>
      </c>
      <c r="N988" t="s">
        <v>31</v>
      </c>
      <c r="O988" t="s">
        <v>51</v>
      </c>
      <c r="P988" t="s">
        <v>33</v>
      </c>
      <c r="Q988">
        <v>3</v>
      </c>
      <c r="R988">
        <f>IFERROR(Table1_1[[#This Row],[Unit_Price]]*Table1_1[[#This Row],[Quantity]],"")</f>
        <v>1799</v>
      </c>
      <c r="S988">
        <f>IFERROR(Table1_1[[#This Row],[Gross_Sales]]*Table1_1[[#This Row],[Discount_%]],"")</f>
        <v>0</v>
      </c>
      <c r="T988">
        <f>IFERROR(Table1_1[[#This Row],[Gross_Sales]]-Table1_1[[#This Row],[Discount_amount]]+Table1_1[[#This Row],[Shipping_Cost]],"")</f>
        <v>1858</v>
      </c>
      <c r="U988">
        <f>IFERROR(Table1_1[[#This Row],[Net_Sale]]-(Table1_1[[#This Row],[Gross_Sales]]*70%),"")</f>
        <v>598.70000000000005</v>
      </c>
      <c r="V988" s="7">
        <f>IFERROR(Table1_1[[#This Row],[Profit]]/Table1_1[[#This Row],[Net_Sale]],"")</f>
        <v>0.32222820236813782</v>
      </c>
      <c r="W988" t="str">
        <f>TEXT(Table1_1[[#This Row],[Order_Date]],"mmm")</f>
        <v>Apr</v>
      </c>
    </row>
    <row r="989" spans="1:23" x14ac:dyDescent="0.25">
      <c r="A989" t="s">
        <v>1398</v>
      </c>
      <c r="B989" t="s">
        <v>495</v>
      </c>
      <c r="C989" s="6">
        <v>45948</v>
      </c>
      <c r="D989" t="s">
        <v>35</v>
      </c>
      <c r="E989" t="s">
        <v>36</v>
      </c>
      <c r="F989" t="s">
        <v>37</v>
      </c>
      <c r="G989" t="s">
        <v>38</v>
      </c>
      <c r="H989">
        <v>1</v>
      </c>
      <c r="I989">
        <v>599</v>
      </c>
      <c r="J989">
        <v>0.15</v>
      </c>
      <c r="K989">
        <v>0</v>
      </c>
      <c r="L989" t="s">
        <v>74</v>
      </c>
      <c r="M989" t="s">
        <v>49</v>
      </c>
      <c r="N989" t="s">
        <v>71</v>
      </c>
      <c r="O989" t="s">
        <v>32</v>
      </c>
      <c r="P989" t="s">
        <v>33</v>
      </c>
      <c r="Q989">
        <v>2</v>
      </c>
      <c r="R989">
        <f>IFERROR(Table1_1[[#This Row],[Unit_Price]]*Table1_1[[#This Row],[Quantity]],"")</f>
        <v>599</v>
      </c>
      <c r="S989">
        <f>IFERROR(Table1_1[[#This Row],[Gross_Sales]]*Table1_1[[#This Row],[Discount_%]],"")</f>
        <v>89.85</v>
      </c>
      <c r="T989">
        <f>IFERROR(Table1_1[[#This Row],[Gross_Sales]]-Table1_1[[#This Row],[Discount_amount]]+Table1_1[[#This Row],[Shipping_Cost]],"")</f>
        <v>509.15</v>
      </c>
      <c r="U989">
        <f>IFERROR(Table1_1[[#This Row],[Net_Sale]]-(Table1_1[[#This Row],[Gross_Sales]]*70%),"")</f>
        <v>89.850000000000023</v>
      </c>
      <c r="V989" s="7">
        <f>IFERROR(Table1_1[[#This Row],[Profit]]/Table1_1[[#This Row],[Net_Sale]],"")</f>
        <v>0.17647058823529416</v>
      </c>
      <c r="W989" t="str">
        <f>TEXT(Table1_1[[#This Row],[Order_Date]],"mmm")</f>
        <v>Oct</v>
      </c>
    </row>
    <row r="990" spans="1:23" x14ac:dyDescent="0.25">
      <c r="A990" t="s">
        <v>1399</v>
      </c>
      <c r="B990" t="s">
        <v>673</v>
      </c>
      <c r="C990" s="6">
        <v>45800</v>
      </c>
      <c r="D990" t="s">
        <v>62</v>
      </c>
      <c r="E990" t="s">
        <v>63</v>
      </c>
      <c r="F990" t="s">
        <v>46</v>
      </c>
      <c r="G990" t="s">
        <v>64</v>
      </c>
      <c r="H990">
        <v>1</v>
      </c>
      <c r="I990">
        <v>699</v>
      </c>
      <c r="J990">
        <v>0</v>
      </c>
      <c r="K990">
        <v>99</v>
      </c>
      <c r="L990" t="s">
        <v>113</v>
      </c>
      <c r="M990" t="s">
        <v>114</v>
      </c>
      <c r="N990" t="s">
        <v>40</v>
      </c>
      <c r="O990" t="s">
        <v>51</v>
      </c>
      <c r="P990" t="s">
        <v>80</v>
      </c>
      <c r="Q990">
        <v>3</v>
      </c>
      <c r="R990">
        <f>IFERROR(Table1_1[[#This Row],[Unit_Price]]*Table1_1[[#This Row],[Quantity]],"")</f>
        <v>699</v>
      </c>
      <c r="S990">
        <f>IFERROR(Table1_1[[#This Row],[Gross_Sales]]*Table1_1[[#This Row],[Discount_%]],"")</f>
        <v>0</v>
      </c>
      <c r="T990">
        <f>IFERROR(Table1_1[[#This Row],[Gross_Sales]]-Table1_1[[#This Row],[Discount_amount]]+Table1_1[[#This Row],[Shipping_Cost]],"")</f>
        <v>798</v>
      </c>
      <c r="U990">
        <f>IFERROR(Table1_1[[#This Row],[Net_Sale]]-(Table1_1[[#This Row],[Gross_Sales]]*70%),"")</f>
        <v>308.70000000000005</v>
      </c>
      <c r="V990" s="7">
        <f>IFERROR(Table1_1[[#This Row],[Profit]]/Table1_1[[#This Row],[Net_Sale]],"")</f>
        <v>0.38684210526315793</v>
      </c>
      <c r="W990" t="str">
        <f>TEXT(Table1_1[[#This Row],[Order_Date]],"mmm")</f>
        <v>May</v>
      </c>
    </row>
    <row r="991" spans="1:23" x14ac:dyDescent="0.25">
      <c r="A991" t="s">
        <v>1400</v>
      </c>
      <c r="B991" t="s">
        <v>690</v>
      </c>
      <c r="C991" s="6">
        <v>45910</v>
      </c>
      <c r="D991" t="s">
        <v>169</v>
      </c>
      <c r="E991" t="s">
        <v>170</v>
      </c>
      <c r="F991" t="s">
        <v>98</v>
      </c>
      <c r="G991" t="s">
        <v>171</v>
      </c>
      <c r="H991">
        <v>1</v>
      </c>
      <c r="I991">
        <v>799</v>
      </c>
      <c r="J991">
        <v>0.1</v>
      </c>
      <c r="K991">
        <v>0</v>
      </c>
      <c r="L991" t="s">
        <v>113</v>
      </c>
      <c r="M991" t="s">
        <v>114</v>
      </c>
      <c r="N991" t="s">
        <v>40</v>
      </c>
      <c r="O991" t="s">
        <v>41</v>
      </c>
      <c r="P991" t="s">
        <v>33</v>
      </c>
      <c r="Q991">
        <v>5</v>
      </c>
      <c r="R991">
        <f>IFERROR(Table1_1[[#This Row],[Unit_Price]]*Table1_1[[#This Row],[Quantity]],"")</f>
        <v>799</v>
      </c>
      <c r="S991">
        <f>IFERROR(Table1_1[[#This Row],[Gross_Sales]]*Table1_1[[#This Row],[Discount_%]],"")</f>
        <v>79.900000000000006</v>
      </c>
      <c r="T991">
        <f>IFERROR(Table1_1[[#This Row],[Gross_Sales]]-Table1_1[[#This Row],[Discount_amount]]+Table1_1[[#This Row],[Shipping_Cost]],"")</f>
        <v>719.1</v>
      </c>
      <c r="U991">
        <f>IFERROR(Table1_1[[#This Row],[Net_Sale]]-(Table1_1[[#This Row],[Gross_Sales]]*70%),"")</f>
        <v>159.80000000000007</v>
      </c>
      <c r="V991" s="7">
        <f>IFERROR(Table1_1[[#This Row],[Profit]]/Table1_1[[#This Row],[Net_Sale]],"")</f>
        <v>0.22222222222222232</v>
      </c>
      <c r="W991" t="str">
        <f>TEXT(Table1_1[[#This Row],[Order_Date]],"mmm")</f>
        <v>Sep</v>
      </c>
    </row>
    <row r="992" spans="1:23" x14ac:dyDescent="0.25">
      <c r="A992" t="s">
        <v>1401</v>
      </c>
      <c r="B992" t="s">
        <v>656</v>
      </c>
      <c r="C992" s="6">
        <v>45953</v>
      </c>
      <c r="D992" t="s">
        <v>169</v>
      </c>
      <c r="E992" t="s">
        <v>170</v>
      </c>
      <c r="F992" t="s">
        <v>98</v>
      </c>
      <c r="G992" t="s">
        <v>171</v>
      </c>
      <c r="H992">
        <v>1</v>
      </c>
      <c r="I992">
        <v>799</v>
      </c>
      <c r="J992">
        <v>0.2</v>
      </c>
      <c r="K992">
        <v>99</v>
      </c>
      <c r="L992" t="s">
        <v>125</v>
      </c>
      <c r="M992" t="s">
        <v>126</v>
      </c>
      <c r="N992" t="s">
        <v>40</v>
      </c>
      <c r="O992" t="s">
        <v>51</v>
      </c>
      <c r="P992" t="s">
        <v>33</v>
      </c>
      <c r="Q992">
        <v>2</v>
      </c>
      <c r="R992">
        <f>IFERROR(Table1_1[[#This Row],[Unit_Price]]*Table1_1[[#This Row],[Quantity]],"")</f>
        <v>799</v>
      </c>
      <c r="S992">
        <f>IFERROR(Table1_1[[#This Row],[Gross_Sales]]*Table1_1[[#This Row],[Discount_%]],"")</f>
        <v>159.80000000000001</v>
      </c>
      <c r="T992">
        <f>IFERROR(Table1_1[[#This Row],[Gross_Sales]]-Table1_1[[#This Row],[Discount_amount]]+Table1_1[[#This Row],[Shipping_Cost]],"")</f>
        <v>738.2</v>
      </c>
      <c r="U992">
        <f>IFERROR(Table1_1[[#This Row],[Net_Sale]]-(Table1_1[[#This Row],[Gross_Sales]]*70%),"")</f>
        <v>178.90000000000009</v>
      </c>
      <c r="V992" s="7">
        <f>IFERROR(Table1_1[[#This Row],[Profit]]/Table1_1[[#This Row],[Net_Sale]],"")</f>
        <v>0.24234624762936885</v>
      </c>
      <c r="W992" t="str">
        <f>TEXT(Table1_1[[#This Row],[Order_Date]],"mmm")</f>
        <v>Oct</v>
      </c>
    </row>
    <row r="993" spans="1:23" x14ac:dyDescent="0.25">
      <c r="A993" t="s">
        <v>1402</v>
      </c>
      <c r="B993" t="s">
        <v>245</v>
      </c>
      <c r="C993" s="6">
        <v>45928</v>
      </c>
      <c r="D993" t="s">
        <v>96</v>
      </c>
      <c r="E993" t="s">
        <v>97</v>
      </c>
      <c r="F993" t="s">
        <v>98</v>
      </c>
      <c r="G993" t="s">
        <v>99</v>
      </c>
      <c r="H993">
        <v>3</v>
      </c>
      <c r="I993">
        <v>1499</v>
      </c>
      <c r="J993">
        <v>0</v>
      </c>
      <c r="K993">
        <v>0</v>
      </c>
      <c r="L993" t="s">
        <v>39</v>
      </c>
      <c r="M993" t="s">
        <v>39</v>
      </c>
      <c r="N993" t="s">
        <v>31</v>
      </c>
      <c r="O993" t="s">
        <v>59</v>
      </c>
      <c r="P993" t="s">
        <v>80</v>
      </c>
      <c r="Q993">
        <v>3</v>
      </c>
      <c r="R993">
        <f>IFERROR(Table1_1[[#This Row],[Unit_Price]]*Table1_1[[#This Row],[Quantity]],"")</f>
        <v>4497</v>
      </c>
      <c r="S993">
        <f>IFERROR(Table1_1[[#This Row],[Gross_Sales]]*Table1_1[[#This Row],[Discount_%]],"")</f>
        <v>0</v>
      </c>
      <c r="T993">
        <f>IFERROR(Table1_1[[#This Row],[Gross_Sales]]-Table1_1[[#This Row],[Discount_amount]]+Table1_1[[#This Row],[Shipping_Cost]],"")</f>
        <v>4497</v>
      </c>
      <c r="U993">
        <f>IFERROR(Table1_1[[#This Row],[Net_Sale]]-(Table1_1[[#This Row],[Gross_Sales]]*70%),"")</f>
        <v>1349.1000000000004</v>
      </c>
      <c r="V993" s="7">
        <f>IFERROR(Table1_1[[#This Row],[Profit]]/Table1_1[[#This Row],[Net_Sale]],"")</f>
        <v>0.3000000000000001</v>
      </c>
      <c r="W993" t="str">
        <f>TEXT(Table1_1[[#This Row],[Order_Date]],"mmm")</f>
        <v>Sep</v>
      </c>
    </row>
    <row r="994" spans="1:23" x14ac:dyDescent="0.25">
      <c r="A994" t="s">
        <v>1403</v>
      </c>
      <c r="B994" t="s">
        <v>702</v>
      </c>
      <c r="C994" s="6">
        <v>45835</v>
      </c>
      <c r="D994" t="s">
        <v>110</v>
      </c>
      <c r="E994" t="s">
        <v>111</v>
      </c>
      <c r="F994" t="s">
        <v>98</v>
      </c>
      <c r="G994" t="s">
        <v>112</v>
      </c>
      <c r="H994">
        <v>1</v>
      </c>
      <c r="I994">
        <v>2999</v>
      </c>
      <c r="J994">
        <v>0.05</v>
      </c>
      <c r="K994">
        <v>79</v>
      </c>
      <c r="L994" t="s">
        <v>48</v>
      </c>
      <c r="M994" t="s">
        <v>49</v>
      </c>
      <c r="N994" t="s">
        <v>40</v>
      </c>
      <c r="O994" t="s">
        <v>51</v>
      </c>
      <c r="P994" t="s">
        <v>85</v>
      </c>
      <c r="Q994">
        <v>3</v>
      </c>
      <c r="R994">
        <f>IFERROR(Table1_1[[#This Row],[Unit_Price]]*Table1_1[[#This Row],[Quantity]],"")</f>
        <v>2999</v>
      </c>
      <c r="S994">
        <f>IFERROR(Table1_1[[#This Row],[Gross_Sales]]*Table1_1[[#This Row],[Discount_%]],"")</f>
        <v>149.95000000000002</v>
      </c>
      <c r="T994">
        <f>IFERROR(Table1_1[[#This Row],[Gross_Sales]]-Table1_1[[#This Row],[Discount_amount]]+Table1_1[[#This Row],[Shipping_Cost]],"")</f>
        <v>2928.05</v>
      </c>
      <c r="U994">
        <f>IFERROR(Table1_1[[#This Row],[Net_Sale]]-(Table1_1[[#This Row],[Gross_Sales]]*70%),"")</f>
        <v>828.75000000000045</v>
      </c>
      <c r="V994" s="7">
        <f>IFERROR(Table1_1[[#This Row],[Profit]]/Table1_1[[#This Row],[Net_Sale]],"")</f>
        <v>0.28303819948429854</v>
      </c>
      <c r="W994" t="str">
        <f>TEXT(Table1_1[[#This Row],[Order_Date]],"mmm")</f>
        <v>Jun</v>
      </c>
    </row>
    <row r="995" spans="1:23" x14ac:dyDescent="0.25">
      <c r="A995" t="s">
        <v>1404</v>
      </c>
      <c r="B995" t="s">
        <v>702</v>
      </c>
      <c r="C995" s="6">
        <v>45720</v>
      </c>
      <c r="D995" t="s">
        <v>90</v>
      </c>
      <c r="E995" t="s">
        <v>91</v>
      </c>
      <c r="F995" t="s">
        <v>37</v>
      </c>
      <c r="G995" t="s">
        <v>92</v>
      </c>
      <c r="H995">
        <v>3</v>
      </c>
      <c r="I995">
        <v>3499</v>
      </c>
      <c r="J995">
        <v>0</v>
      </c>
      <c r="K995">
        <v>49</v>
      </c>
      <c r="L995" t="s">
        <v>119</v>
      </c>
      <c r="M995" t="s">
        <v>120</v>
      </c>
      <c r="N995" t="s">
        <v>31</v>
      </c>
      <c r="O995" t="s">
        <v>41</v>
      </c>
      <c r="P995" t="s">
        <v>33</v>
      </c>
      <c r="Q995">
        <v>1</v>
      </c>
      <c r="R995">
        <f>IFERROR(Table1_1[[#This Row],[Unit_Price]]*Table1_1[[#This Row],[Quantity]],"")</f>
        <v>10497</v>
      </c>
      <c r="S995">
        <f>IFERROR(Table1_1[[#This Row],[Gross_Sales]]*Table1_1[[#This Row],[Discount_%]],"")</f>
        <v>0</v>
      </c>
      <c r="T995">
        <f>IFERROR(Table1_1[[#This Row],[Gross_Sales]]-Table1_1[[#This Row],[Discount_amount]]+Table1_1[[#This Row],[Shipping_Cost]],"")</f>
        <v>10546</v>
      </c>
      <c r="U995">
        <f>IFERROR(Table1_1[[#This Row],[Net_Sale]]-(Table1_1[[#This Row],[Gross_Sales]]*70%),"")</f>
        <v>3198.1000000000004</v>
      </c>
      <c r="V995" s="7">
        <f>IFERROR(Table1_1[[#This Row],[Profit]]/Table1_1[[#This Row],[Net_Sale]],"")</f>
        <v>0.30325241797838048</v>
      </c>
      <c r="W995" t="str">
        <f>TEXT(Table1_1[[#This Row],[Order_Date]],"mmm")</f>
        <v>Mar</v>
      </c>
    </row>
    <row r="996" spans="1:23" x14ac:dyDescent="0.25">
      <c r="A996" t="s">
        <v>1405</v>
      </c>
      <c r="B996" t="s">
        <v>1059</v>
      </c>
      <c r="C996" s="6">
        <v>45703</v>
      </c>
      <c r="D996" t="s">
        <v>169</v>
      </c>
      <c r="E996" t="s">
        <v>170</v>
      </c>
      <c r="F996" t="s">
        <v>98</v>
      </c>
      <c r="G996" t="s">
        <v>171</v>
      </c>
      <c r="H996">
        <v>1</v>
      </c>
      <c r="I996">
        <v>799</v>
      </c>
      <c r="J996">
        <v>0.15</v>
      </c>
      <c r="K996">
        <v>0</v>
      </c>
      <c r="L996" t="s">
        <v>57</v>
      </c>
      <c r="M996" t="s">
        <v>58</v>
      </c>
      <c r="N996" t="s">
        <v>71</v>
      </c>
      <c r="O996" t="s">
        <v>93</v>
      </c>
      <c r="P996" t="s">
        <v>33</v>
      </c>
      <c r="Q996">
        <v>1</v>
      </c>
      <c r="R996">
        <f>IFERROR(Table1_1[[#This Row],[Unit_Price]]*Table1_1[[#This Row],[Quantity]],"")</f>
        <v>799</v>
      </c>
      <c r="S996">
        <f>IFERROR(Table1_1[[#This Row],[Gross_Sales]]*Table1_1[[#This Row],[Discount_%]],"")</f>
        <v>119.85</v>
      </c>
      <c r="T996">
        <f>IFERROR(Table1_1[[#This Row],[Gross_Sales]]-Table1_1[[#This Row],[Discount_amount]]+Table1_1[[#This Row],[Shipping_Cost]],"")</f>
        <v>679.15</v>
      </c>
      <c r="U996">
        <f>IFERROR(Table1_1[[#This Row],[Net_Sale]]-(Table1_1[[#This Row],[Gross_Sales]]*70%),"")</f>
        <v>119.85000000000002</v>
      </c>
      <c r="V996" s="7">
        <f>IFERROR(Table1_1[[#This Row],[Profit]]/Table1_1[[#This Row],[Net_Sale]],"")</f>
        <v>0.17647058823529416</v>
      </c>
      <c r="W996" t="str">
        <f>TEXT(Table1_1[[#This Row],[Order_Date]],"mmm")</f>
        <v>Feb</v>
      </c>
    </row>
    <row r="997" spans="1:23" x14ac:dyDescent="0.25">
      <c r="A997" t="s">
        <v>1406</v>
      </c>
      <c r="B997" t="s">
        <v>345</v>
      </c>
      <c r="C997" s="6">
        <v>45826</v>
      </c>
      <c r="D997" t="s">
        <v>35</v>
      </c>
      <c r="E997" t="s">
        <v>36</v>
      </c>
      <c r="F997" t="s">
        <v>37</v>
      </c>
      <c r="G997" t="s">
        <v>38</v>
      </c>
      <c r="H997">
        <v>1</v>
      </c>
      <c r="I997">
        <v>599</v>
      </c>
      <c r="J997">
        <v>0.05</v>
      </c>
      <c r="K997">
        <v>49</v>
      </c>
      <c r="L997" t="s">
        <v>48</v>
      </c>
      <c r="M997" t="s">
        <v>49</v>
      </c>
      <c r="N997" t="s">
        <v>102</v>
      </c>
      <c r="O997" t="s">
        <v>59</v>
      </c>
      <c r="P997" t="s">
        <v>52</v>
      </c>
      <c r="Q997">
        <v>1</v>
      </c>
      <c r="R997">
        <f>IFERROR(Table1_1[[#This Row],[Unit_Price]]*Table1_1[[#This Row],[Quantity]],"")</f>
        <v>599</v>
      </c>
      <c r="S997">
        <f>IFERROR(Table1_1[[#This Row],[Gross_Sales]]*Table1_1[[#This Row],[Discount_%]],"")</f>
        <v>29.950000000000003</v>
      </c>
      <c r="T997">
        <f>IFERROR(Table1_1[[#This Row],[Gross_Sales]]-Table1_1[[#This Row],[Discount_amount]]+Table1_1[[#This Row],[Shipping_Cost]],"")</f>
        <v>618.04999999999995</v>
      </c>
      <c r="U997">
        <f>IFERROR(Table1_1[[#This Row],[Net_Sale]]-(Table1_1[[#This Row],[Gross_Sales]]*70%),"")</f>
        <v>198.75</v>
      </c>
      <c r="V997" s="7">
        <f>IFERROR(Table1_1[[#This Row],[Profit]]/Table1_1[[#This Row],[Net_Sale]],"")</f>
        <v>0.32157592427797105</v>
      </c>
      <c r="W997" t="str">
        <f>TEXT(Table1_1[[#This Row],[Order_Date]],"mmm")</f>
        <v>Jun</v>
      </c>
    </row>
    <row r="998" spans="1:23" x14ac:dyDescent="0.25">
      <c r="A998" t="s">
        <v>1407</v>
      </c>
      <c r="B998" t="s">
        <v>623</v>
      </c>
      <c r="C998" s="6">
        <v>45957</v>
      </c>
      <c r="D998" t="s">
        <v>105</v>
      </c>
      <c r="E998" t="s">
        <v>106</v>
      </c>
      <c r="F998" t="s">
        <v>37</v>
      </c>
      <c r="G998" t="s">
        <v>107</v>
      </c>
      <c r="H998">
        <v>3</v>
      </c>
      <c r="I998">
        <v>1799</v>
      </c>
      <c r="J998">
        <v>0.2</v>
      </c>
      <c r="K998">
        <v>0</v>
      </c>
      <c r="L998" t="s">
        <v>74</v>
      </c>
      <c r="M998" t="s">
        <v>49</v>
      </c>
      <c r="N998" t="s">
        <v>102</v>
      </c>
      <c r="O998" t="s">
        <v>41</v>
      </c>
      <c r="P998" t="s">
        <v>52</v>
      </c>
      <c r="Q998">
        <v>5</v>
      </c>
      <c r="R998">
        <f>IFERROR(Table1_1[[#This Row],[Unit_Price]]*Table1_1[[#This Row],[Quantity]],"")</f>
        <v>5397</v>
      </c>
      <c r="S998">
        <f>IFERROR(Table1_1[[#This Row],[Gross_Sales]]*Table1_1[[#This Row],[Discount_%]],"")</f>
        <v>1079.4000000000001</v>
      </c>
      <c r="T998">
        <f>IFERROR(Table1_1[[#This Row],[Gross_Sales]]-Table1_1[[#This Row],[Discount_amount]]+Table1_1[[#This Row],[Shipping_Cost]],"")</f>
        <v>4317.6000000000004</v>
      </c>
      <c r="U998">
        <f>IFERROR(Table1_1[[#This Row],[Net_Sale]]-(Table1_1[[#This Row],[Gross_Sales]]*70%),"")</f>
        <v>539.70000000000073</v>
      </c>
      <c r="V998" s="7">
        <f>IFERROR(Table1_1[[#This Row],[Profit]]/Table1_1[[#This Row],[Net_Sale]],"")</f>
        <v>0.12500000000000017</v>
      </c>
      <c r="W998" t="str">
        <f>TEXT(Table1_1[[#This Row],[Order_Date]],"mmm")</f>
        <v>Oct</v>
      </c>
    </row>
    <row r="999" spans="1:23" x14ac:dyDescent="0.25">
      <c r="A999" t="s">
        <v>1408</v>
      </c>
      <c r="B999" t="s">
        <v>591</v>
      </c>
      <c r="C999" s="6">
        <v>45822</v>
      </c>
      <c r="D999" t="s">
        <v>90</v>
      </c>
      <c r="E999" t="s">
        <v>91</v>
      </c>
      <c r="F999" t="s">
        <v>37</v>
      </c>
      <c r="G999" t="s">
        <v>92</v>
      </c>
      <c r="H999">
        <v>5</v>
      </c>
      <c r="I999">
        <v>2017</v>
      </c>
      <c r="J999">
        <v>0</v>
      </c>
      <c r="K999">
        <v>59</v>
      </c>
      <c r="L999" t="s">
        <v>119</v>
      </c>
      <c r="M999" t="s">
        <v>120</v>
      </c>
      <c r="N999" t="s">
        <v>31</v>
      </c>
      <c r="O999" t="s">
        <v>51</v>
      </c>
      <c r="P999" t="s">
        <v>33</v>
      </c>
      <c r="Q999">
        <v>5</v>
      </c>
      <c r="R999">
        <f>IFERROR(Table1_1[[#This Row],[Unit_Price]]*Table1_1[[#This Row],[Quantity]],"")</f>
        <v>10085</v>
      </c>
      <c r="S999">
        <f>IFERROR(Table1_1[[#This Row],[Gross_Sales]]*Table1_1[[#This Row],[Discount_%]],"")</f>
        <v>0</v>
      </c>
      <c r="T999">
        <f>IFERROR(Table1_1[[#This Row],[Gross_Sales]]-Table1_1[[#This Row],[Discount_amount]]+Table1_1[[#This Row],[Shipping_Cost]],"")</f>
        <v>10144</v>
      </c>
      <c r="U999">
        <f>IFERROR(Table1_1[[#This Row],[Net_Sale]]-(Table1_1[[#This Row],[Gross_Sales]]*70%),"")</f>
        <v>3084.5</v>
      </c>
      <c r="V999" s="7">
        <f>IFERROR(Table1_1[[#This Row],[Profit]]/Table1_1[[#This Row],[Net_Sale]],"")</f>
        <v>0.30407137223974762</v>
      </c>
      <c r="W999" t="str">
        <f>TEXT(Table1_1[[#This Row],[Order_Date]],"mmm")</f>
        <v>Jun</v>
      </c>
    </row>
    <row r="1000" spans="1:23" x14ac:dyDescent="0.25">
      <c r="A1000" t="s">
        <v>1409</v>
      </c>
      <c r="B1000" t="s">
        <v>196</v>
      </c>
      <c r="C1000" s="6">
        <v>45696</v>
      </c>
      <c r="D1000" t="s">
        <v>67</v>
      </c>
      <c r="E1000" t="s">
        <v>68</v>
      </c>
      <c r="F1000" t="s">
        <v>37</v>
      </c>
      <c r="G1000" t="s">
        <v>38</v>
      </c>
      <c r="H1000">
        <v>2</v>
      </c>
      <c r="I1000">
        <v>1299</v>
      </c>
      <c r="J1000">
        <v>0</v>
      </c>
      <c r="K1000">
        <v>49</v>
      </c>
      <c r="L1000" t="s">
        <v>113</v>
      </c>
      <c r="M1000" t="s">
        <v>114</v>
      </c>
      <c r="N1000" t="s">
        <v>272</v>
      </c>
      <c r="O1000" t="s">
        <v>41</v>
      </c>
      <c r="P1000" t="s">
        <v>33</v>
      </c>
      <c r="Q1000">
        <v>4</v>
      </c>
      <c r="R1000">
        <f>IFERROR(Table1_1[[#This Row],[Unit_Price]]*Table1_1[[#This Row],[Quantity]],"")</f>
        <v>2598</v>
      </c>
      <c r="S1000">
        <f>IFERROR(Table1_1[[#This Row],[Gross_Sales]]*Table1_1[[#This Row],[Discount_%]],"")</f>
        <v>0</v>
      </c>
      <c r="T1000">
        <f>IFERROR(Table1_1[[#This Row],[Gross_Sales]]-Table1_1[[#This Row],[Discount_amount]]+Table1_1[[#This Row],[Shipping_Cost]],"")</f>
        <v>2647</v>
      </c>
      <c r="U1000">
        <f>IFERROR(Table1_1[[#This Row],[Net_Sale]]-(Table1_1[[#This Row],[Gross_Sales]]*70%),"")</f>
        <v>828.40000000000009</v>
      </c>
      <c r="V1000" s="7">
        <f>IFERROR(Table1_1[[#This Row],[Profit]]/Table1_1[[#This Row],[Net_Sale]],"")</f>
        <v>0.31295806573479412</v>
      </c>
      <c r="W1000" t="str">
        <f>TEXT(Table1_1[[#This Row],[Order_Date]],"mmm")</f>
        <v>Feb</v>
      </c>
    </row>
    <row r="1001" spans="1:23" x14ac:dyDescent="0.25">
      <c r="A1001" t="s">
        <v>1410</v>
      </c>
      <c r="B1001" t="s">
        <v>837</v>
      </c>
      <c r="C1001" s="6">
        <v>45960</v>
      </c>
      <c r="D1001" t="s">
        <v>55</v>
      </c>
      <c r="E1001" t="s">
        <v>56</v>
      </c>
      <c r="F1001" t="s">
        <v>37</v>
      </c>
      <c r="G1001" t="s">
        <v>38</v>
      </c>
      <c r="H1001">
        <v>1</v>
      </c>
      <c r="I1001">
        <v>2499</v>
      </c>
      <c r="J1001">
        <v>0.05</v>
      </c>
      <c r="K1001">
        <v>79</v>
      </c>
      <c r="L1001" t="s">
        <v>74</v>
      </c>
      <c r="M1001" t="s">
        <v>49</v>
      </c>
      <c r="N1001" t="s">
        <v>102</v>
      </c>
      <c r="O1001" t="s">
        <v>93</v>
      </c>
      <c r="P1001" t="s">
        <v>33</v>
      </c>
      <c r="Q1001">
        <v>2</v>
      </c>
      <c r="R1001">
        <f>IFERROR(Table1_1[[#This Row],[Unit_Price]]*Table1_1[[#This Row],[Quantity]],"")</f>
        <v>2499</v>
      </c>
      <c r="S1001">
        <f>IFERROR(Table1_1[[#This Row],[Gross_Sales]]*Table1_1[[#This Row],[Discount_%]],"")</f>
        <v>124.95</v>
      </c>
      <c r="T1001">
        <f>IFERROR(Table1_1[[#This Row],[Gross_Sales]]-Table1_1[[#This Row],[Discount_amount]]+Table1_1[[#This Row],[Shipping_Cost]],"")</f>
        <v>2453.0500000000002</v>
      </c>
      <c r="U1001">
        <f>IFERROR(Table1_1[[#This Row],[Net_Sale]]-(Table1_1[[#This Row],[Gross_Sales]]*70%),"")</f>
        <v>703.75000000000023</v>
      </c>
      <c r="V1001" s="7">
        <f>IFERROR(Table1_1[[#This Row],[Profit]]/Table1_1[[#This Row],[Net_Sale]],"")</f>
        <v>0.28688775198222627</v>
      </c>
      <c r="W1001" t="str">
        <f>TEXT(Table1_1[[#This Row],[Order_Date]],"mmm")</f>
        <v>Oct</v>
      </c>
    </row>
    <row r="1002" spans="1:23" x14ac:dyDescent="0.25">
      <c r="A1002" t="s">
        <v>1411</v>
      </c>
      <c r="B1002" t="s">
        <v>818</v>
      </c>
      <c r="C1002" s="6">
        <v>45889</v>
      </c>
      <c r="D1002" t="s">
        <v>67</v>
      </c>
      <c r="E1002" t="s">
        <v>68</v>
      </c>
      <c r="F1002" t="s">
        <v>37</v>
      </c>
      <c r="G1002" t="s">
        <v>38</v>
      </c>
      <c r="H1002">
        <v>1</v>
      </c>
      <c r="I1002">
        <v>1299</v>
      </c>
      <c r="J1002">
        <v>0.1</v>
      </c>
      <c r="K1002">
        <v>49</v>
      </c>
      <c r="L1002" t="s">
        <v>74</v>
      </c>
      <c r="M1002" t="s">
        <v>49</v>
      </c>
      <c r="N1002" t="s">
        <v>71</v>
      </c>
      <c r="O1002" t="s">
        <v>59</v>
      </c>
      <c r="P1002" t="s">
        <v>33</v>
      </c>
      <c r="Q1002">
        <v>2</v>
      </c>
      <c r="R1002">
        <f>IFERROR(Table1_1[[#This Row],[Unit_Price]]*Table1_1[[#This Row],[Quantity]],"")</f>
        <v>1299</v>
      </c>
      <c r="S1002">
        <f>IFERROR(Table1_1[[#This Row],[Gross_Sales]]*Table1_1[[#This Row],[Discount_%]],"")</f>
        <v>129.9</v>
      </c>
      <c r="T1002">
        <f>IFERROR(Table1_1[[#This Row],[Gross_Sales]]-Table1_1[[#This Row],[Discount_amount]]+Table1_1[[#This Row],[Shipping_Cost]],"")</f>
        <v>1218.0999999999999</v>
      </c>
      <c r="U1002">
        <f>IFERROR(Table1_1[[#This Row],[Net_Sale]]-(Table1_1[[#This Row],[Gross_Sales]]*70%),"")</f>
        <v>308.79999999999995</v>
      </c>
      <c r="V1002" s="7">
        <f>IFERROR(Table1_1[[#This Row],[Profit]]/Table1_1[[#This Row],[Net_Sale]],"")</f>
        <v>0.25350956407519909</v>
      </c>
      <c r="W1002" t="str">
        <f>TEXT(Table1_1[[#This Row],[Order_Date]],"mmm")</f>
        <v>Aug</v>
      </c>
    </row>
    <row r="1003" spans="1:23" x14ac:dyDescent="0.25">
      <c r="A1003" t="s">
        <v>1412</v>
      </c>
      <c r="B1003" t="s">
        <v>1062</v>
      </c>
      <c r="C1003" s="6">
        <v>45953</v>
      </c>
      <c r="D1003" t="s">
        <v>25</v>
      </c>
      <c r="E1003" t="s">
        <v>26</v>
      </c>
      <c r="F1003" t="s">
        <v>27</v>
      </c>
      <c r="G1003" t="s">
        <v>28</v>
      </c>
      <c r="H1003">
        <v>4</v>
      </c>
      <c r="I1003">
        <v>249</v>
      </c>
      <c r="J1003">
        <v>0.1</v>
      </c>
      <c r="K1003">
        <v>0</v>
      </c>
      <c r="L1003" t="s">
        <v>48</v>
      </c>
      <c r="M1003" t="s">
        <v>49</v>
      </c>
      <c r="N1003" t="s">
        <v>50</v>
      </c>
      <c r="O1003" t="s">
        <v>93</v>
      </c>
      <c r="P1003" t="s">
        <v>33</v>
      </c>
      <c r="Q1003">
        <v>4</v>
      </c>
      <c r="R1003">
        <f>IFERROR(Table1_1[[#This Row],[Unit_Price]]*Table1_1[[#This Row],[Quantity]],"")</f>
        <v>996</v>
      </c>
      <c r="S1003">
        <f>IFERROR(Table1_1[[#This Row],[Gross_Sales]]*Table1_1[[#This Row],[Discount_%]],"")</f>
        <v>99.600000000000009</v>
      </c>
      <c r="T1003">
        <f>IFERROR(Table1_1[[#This Row],[Gross_Sales]]-Table1_1[[#This Row],[Discount_amount]]+Table1_1[[#This Row],[Shipping_Cost]],"")</f>
        <v>896.4</v>
      </c>
      <c r="U1003">
        <f>IFERROR(Table1_1[[#This Row],[Net_Sale]]-(Table1_1[[#This Row],[Gross_Sales]]*70%),"")</f>
        <v>199.20000000000005</v>
      </c>
      <c r="V1003" s="7">
        <f>IFERROR(Table1_1[[#This Row],[Profit]]/Table1_1[[#This Row],[Net_Sale]],"")</f>
        <v>0.22222222222222227</v>
      </c>
      <c r="W1003" t="str">
        <f>TEXT(Table1_1[[#This Row],[Order_Date]],"mmm")</f>
        <v>Oct</v>
      </c>
    </row>
    <row r="1004" spans="1:23" x14ac:dyDescent="0.25">
      <c r="A1004" t="s">
        <v>1413</v>
      </c>
      <c r="B1004" t="s">
        <v>247</v>
      </c>
      <c r="C1004" s="6">
        <v>45996</v>
      </c>
      <c r="D1004" t="s">
        <v>105</v>
      </c>
      <c r="E1004" t="s">
        <v>106</v>
      </c>
      <c r="F1004" t="s">
        <v>37</v>
      </c>
      <c r="G1004" t="s">
        <v>107</v>
      </c>
      <c r="H1004">
        <v>1</v>
      </c>
      <c r="I1004">
        <v>1799</v>
      </c>
      <c r="J1004">
        <v>0.05</v>
      </c>
      <c r="K1004">
        <v>0</v>
      </c>
      <c r="L1004" t="s">
        <v>48</v>
      </c>
      <c r="M1004" t="s">
        <v>49</v>
      </c>
      <c r="N1004" t="s">
        <v>31</v>
      </c>
      <c r="O1004" t="s">
        <v>51</v>
      </c>
      <c r="P1004" t="s">
        <v>33</v>
      </c>
      <c r="Q1004">
        <v>4</v>
      </c>
      <c r="R1004">
        <f>IFERROR(Table1_1[[#This Row],[Unit_Price]]*Table1_1[[#This Row],[Quantity]],"")</f>
        <v>1799</v>
      </c>
      <c r="S1004">
        <f>IFERROR(Table1_1[[#This Row],[Gross_Sales]]*Table1_1[[#This Row],[Discount_%]],"")</f>
        <v>89.95</v>
      </c>
      <c r="T1004">
        <f>IFERROR(Table1_1[[#This Row],[Gross_Sales]]-Table1_1[[#This Row],[Discount_amount]]+Table1_1[[#This Row],[Shipping_Cost]],"")</f>
        <v>1709.05</v>
      </c>
      <c r="U1004">
        <f>IFERROR(Table1_1[[#This Row],[Net_Sale]]-(Table1_1[[#This Row],[Gross_Sales]]*70%),"")</f>
        <v>449.75</v>
      </c>
      <c r="V1004" s="7">
        <f>IFERROR(Table1_1[[#This Row],[Profit]]/Table1_1[[#This Row],[Net_Sale]],"")</f>
        <v>0.26315789473684209</v>
      </c>
      <c r="W1004" t="str">
        <f>TEXT(Table1_1[[#This Row],[Order_Date]],"mmm")</f>
        <v>Dec</v>
      </c>
    </row>
    <row r="1005" spans="1:23" x14ac:dyDescent="0.25">
      <c r="A1005" t="s">
        <v>1414</v>
      </c>
      <c r="B1005" t="s">
        <v>400</v>
      </c>
      <c r="C1005" s="6">
        <v>45878</v>
      </c>
      <c r="D1005" t="s">
        <v>67</v>
      </c>
      <c r="E1005" t="s">
        <v>68</v>
      </c>
      <c r="F1005" t="s">
        <v>37</v>
      </c>
      <c r="G1005" t="s">
        <v>38</v>
      </c>
      <c r="H1005">
        <v>1</v>
      </c>
      <c r="I1005">
        <v>1299</v>
      </c>
      <c r="J1005">
        <v>0.1</v>
      </c>
      <c r="K1005">
        <v>59</v>
      </c>
      <c r="L1005" t="s">
        <v>100</v>
      </c>
      <c r="M1005" t="s">
        <v>101</v>
      </c>
      <c r="N1005" t="s">
        <v>31</v>
      </c>
      <c r="O1005" t="s">
        <v>93</v>
      </c>
      <c r="P1005" t="s">
        <v>33</v>
      </c>
      <c r="Q1005">
        <v>3</v>
      </c>
      <c r="R1005">
        <f>IFERROR(Table1_1[[#This Row],[Unit_Price]]*Table1_1[[#This Row],[Quantity]],"")</f>
        <v>1299</v>
      </c>
      <c r="S1005">
        <f>IFERROR(Table1_1[[#This Row],[Gross_Sales]]*Table1_1[[#This Row],[Discount_%]],"")</f>
        <v>129.9</v>
      </c>
      <c r="T1005">
        <f>IFERROR(Table1_1[[#This Row],[Gross_Sales]]-Table1_1[[#This Row],[Discount_amount]]+Table1_1[[#This Row],[Shipping_Cost]],"")</f>
        <v>1228.0999999999999</v>
      </c>
      <c r="U1005">
        <f>IFERROR(Table1_1[[#This Row],[Net_Sale]]-(Table1_1[[#This Row],[Gross_Sales]]*70%),"")</f>
        <v>318.79999999999995</v>
      </c>
      <c r="V1005" s="7">
        <f>IFERROR(Table1_1[[#This Row],[Profit]]/Table1_1[[#This Row],[Net_Sale]],"")</f>
        <v>0.25958798143473655</v>
      </c>
      <c r="W1005" t="str">
        <f>TEXT(Table1_1[[#This Row],[Order_Date]],"mmm")</f>
        <v>Aug</v>
      </c>
    </row>
    <row r="1006" spans="1:23" x14ac:dyDescent="0.25">
      <c r="A1006" t="s">
        <v>1415</v>
      </c>
      <c r="B1006" t="s">
        <v>1416</v>
      </c>
      <c r="C1006" s="6">
        <v>45754</v>
      </c>
      <c r="D1006" t="s">
        <v>96</v>
      </c>
      <c r="E1006" t="s">
        <v>97</v>
      </c>
      <c r="F1006" t="s">
        <v>98</v>
      </c>
      <c r="G1006" t="s">
        <v>99</v>
      </c>
      <c r="H1006">
        <v>1</v>
      </c>
      <c r="I1006">
        <v>1499</v>
      </c>
      <c r="J1006">
        <v>0.05</v>
      </c>
      <c r="K1006">
        <v>99</v>
      </c>
      <c r="L1006" t="s">
        <v>57</v>
      </c>
      <c r="M1006" t="s">
        <v>58</v>
      </c>
      <c r="N1006" t="s">
        <v>102</v>
      </c>
      <c r="O1006" t="s">
        <v>59</v>
      </c>
      <c r="P1006" t="s">
        <v>85</v>
      </c>
      <c r="Q1006">
        <v>1</v>
      </c>
      <c r="R1006">
        <f>IFERROR(Table1_1[[#This Row],[Unit_Price]]*Table1_1[[#This Row],[Quantity]],"")</f>
        <v>1499</v>
      </c>
      <c r="S1006">
        <f>IFERROR(Table1_1[[#This Row],[Gross_Sales]]*Table1_1[[#This Row],[Discount_%]],"")</f>
        <v>74.95</v>
      </c>
      <c r="T1006">
        <f>IFERROR(Table1_1[[#This Row],[Gross_Sales]]-Table1_1[[#This Row],[Discount_amount]]+Table1_1[[#This Row],[Shipping_Cost]],"")</f>
        <v>1523.05</v>
      </c>
      <c r="U1006">
        <f>IFERROR(Table1_1[[#This Row],[Net_Sale]]-(Table1_1[[#This Row],[Gross_Sales]]*70%),"")</f>
        <v>473.75</v>
      </c>
      <c r="V1006" s="7">
        <f>IFERROR(Table1_1[[#This Row],[Profit]]/Table1_1[[#This Row],[Net_Sale]],"")</f>
        <v>0.3110534782180493</v>
      </c>
      <c r="W1006" t="str">
        <f>TEXT(Table1_1[[#This Row],[Order_Date]],"mmm")</f>
        <v>Apr</v>
      </c>
    </row>
    <row r="1007" spans="1:23" x14ac:dyDescent="0.25">
      <c r="A1007" t="s">
        <v>1417</v>
      </c>
      <c r="B1007" t="s">
        <v>89</v>
      </c>
      <c r="C1007" s="6">
        <v>45714</v>
      </c>
      <c r="D1007" t="s">
        <v>25</v>
      </c>
      <c r="E1007" t="s">
        <v>26</v>
      </c>
      <c r="F1007" t="s">
        <v>27</v>
      </c>
      <c r="G1007" t="s">
        <v>28</v>
      </c>
      <c r="H1007">
        <v>2</v>
      </c>
      <c r="I1007">
        <v>249</v>
      </c>
      <c r="J1007">
        <v>0</v>
      </c>
      <c r="K1007">
        <v>99</v>
      </c>
      <c r="L1007" t="s">
        <v>39</v>
      </c>
      <c r="M1007" t="s">
        <v>39</v>
      </c>
      <c r="N1007" t="s">
        <v>50</v>
      </c>
      <c r="O1007" t="s">
        <v>93</v>
      </c>
      <c r="P1007" t="s">
        <v>33</v>
      </c>
      <c r="Q1007">
        <v>5</v>
      </c>
      <c r="R1007">
        <f>IFERROR(Table1_1[[#This Row],[Unit_Price]]*Table1_1[[#This Row],[Quantity]],"")</f>
        <v>498</v>
      </c>
      <c r="S1007">
        <f>IFERROR(Table1_1[[#This Row],[Gross_Sales]]*Table1_1[[#This Row],[Discount_%]],"")</f>
        <v>0</v>
      </c>
      <c r="T1007">
        <f>IFERROR(Table1_1[[#This Row],[Gross_Sales]]-Table1_1[[#This Row],[Discount_amount]]+Table1_1[[#This Row],[Shipping_Cost]],"")</f>
        <v>597</v>
      </c>
      <c r="U1007">
        <f>IFERROR(Table1_1[[#This Row],[Net_Sale]]-(Table1_1[[#This Row],[Gross_Sales]]*70%),"")</f>
        <v>248.40000000000003</v>
      </c>
      <c r="V1007" s="7">
        <f>IFERROR(Table1_1[[#This Row],[Profit]]/Table1_1[[#This Row],[Net_Sale]],"")</f>
        <v>0.41608040201005031</v>
      </c>
      <c r="W1007" t="str">
        <f>TEXT(Table1_1[[#This Row],[Order_Date]],"mmm")</f>
        <v>Feb</v>
      </c>
    </row>
    <row r="1008" spans="1:23" x14ac:dyDescent="0.25">
      <c r="A1008" t="s">
        <v>1418</v>
      </c>
      <c r="B1008" t="s">
        <v>602</v>
      </c>
      <c r="C1008" s="6">
        <v>45975</v>
      </c>
      <c r="D1008" t="s">
        <v>55</v>
      </c>
      <c r="E1008" t="s">
        <v>56</v>
      </c>
      <c r="F1008" t="s">
        <v>37</v>
      </c>
      <c r="G1008" t="s">
        <v>38</v>
      </c>
      <c r="H1008">
        <v>1</v>
      </c>
      <c r="I1008">
        <v>2499</v>
      </c>
      <c r="J1008">
        <v>0.1</v>
      </c>
      <c r="K1008">
        <v>79</v>
      </c>
      <c r="L1008" t="s">
        <v>48</v>
      </c>
      <c r="M1008" t="s">
        <v>49</v>
      </c>
      <c r="N1008" t="s">
        <v>50</v>
      </c>
      <c r="O1008" t="s">
        <v>51</v>
      </c>
      <c r="P1008" t="s">
        <v>52</v>
      </c>
      <c r="Q1008">
        <v>4</v>
      </c>
      <c r="R1008">
        <f>IFERROR(Table1_1[[#This Row],[Unit_Price]]*Table1_1[[#This Row],[Quantity]],"")</f>
        <v>2499</v>
      </c>
      <c r="S1008">
        <f>IFERROR(Table1_1[[#This Row],[Gross_Sales]]*Table1_1[[#This Row],[Discount_%]],"")</f>
        <v>249.9</v>
      </c>
      <c r="T1008">
        <f>IFERROR(Table1_1[[#This Row],[Gross_Sales]]-Table1_1[[#This Row],[Discount_amount]]+Table1_1[[#This Row],[Shipping_Cost]],"")</f>
        <v>2328.1</v>
      </c>
      <c r="U1008">
        <f>IFERROR(Table1_1[[#This Row],[Net_Sale]]-(Table1_1[[#This Row],[Gross_Sales]]*70%),"")</f>
        <v>578.79999999999995</v>
      </c>
      <c r="V1008" s="7">
        <f>IFERROR(Table1_1[[#This Row],[Profit]]/Table1_1[[#This Row],[Net_Sale]],"")</f>
        <v>0.24861475022550578</v>
      </c>
      <c r="W1008" t="str">
        <f>TEXT(Table1_1[[#This Row],[Order_Date]],"mmm")</f>
        <v>Nov</v>
      </c>
    </row>
    <row r="1009" spans="1:23" x14ac:dyDescent="0.25">
      <c r="A1009" t="s">
        <v>1419</v>
      </c>
      <c r="B1009" t="s">
        <v>945</v>
      </c>
      <c r="C1009" s="6">
        <v>45835</v>
      </c>
      <c r="D1009" t="s">
        <v>67</v>
      </c>
      <c r="E1009" t="s">
        <v>68</v>
      </c>
      <c r="F1009" t="s">
        <v>37</v>
      </c>
      <c r="G1009" t="s">
        <v>38</v>
      </c>
      <c r="H1009">
        <v>3</v>
      </c>
      <c r="I1009">
        <v>1299</v>
      </c>
      <c r="J1009">
        <v>0</v>
      </c>
      <c r="K1009">
        <v>59</v>
      </c>
      <c r="L1009" t="s">
        <v>100</v>
      </c>
      <c r="M1009" t="s">
        <v>101</v>
      </c>
      <c r="N1009" t="s">
        <v>31</v>
      </c>
      <c r="O1009" t="s">
        <v>41</v>
      </c>
      <c r="P1009" t="s">
        <v>80</v>
      </c>
      <c r="Q1009">
        <v>5</v>
      </c>
      <c r="R1009">
        <f>IFERROR(Table1_1[[#This Row],[Unit_Price]]*Table1_1[[#This Row],[Quantity]],"")</f>
        <v>3897</v>
      </c>
      <c r="S1009">
        <f>IFERROR(Table1_1[[#This Row],[Gross_Sales]]*Table1_1[[#This Row],[Discount_%]],"")</f>
        <v>0</v>
      </c>
      <c r="T1009">
        <f>IFERROR(Table1_1[[#This Row],[Gross_Sales]]-Table1_1[[#This Row],[Discount_amount]]+Table1_1[[#This Row],[Shipping_Cost]],"")</f>
        <v>3956</v>
      </c>
      <c r="U1009">
        <f>IFERROR(Table1_1[[#This Row],[Net_Sale]]-(Table1_1[[#This Row],[Gross_Sales]]*70%),"")</f>
        <v>1228.1000000000004</v>
      </c>
      <c r="V1009" s="7">
        <f>IFERROR(Table1_1[[#This Row],[Profit]]/Table1_1[[#This Row],[Net_Sale]],"")</f>
        <v>0.31043983822042476</v>
      </c>
      <c r="W1009" t="str">
        <f>TEXT(Table1_1[[#This Row],[Order_Date]],"mmm")</f>
        <v>Jun</v>
      </c>
    </row>
    <row r="1010" spans="1:23" x14ac:dyDescent="0.25">
      <c r="A1010" t="s">
        <v>1420</v>
      </c>
      <c r="B1010" t="s">
        <v>510</v>
      </c>
      <c r="C1010" s="6">
        <v>45814</v>
      </c>
      <c r="D1010" t="s">
        <v>77</v>
      </c>
      <c r="E1010" t="s">
        <v>78</v>
      </c>
      <c r="F1010" t="s">
        <v>79</v>
      </c>
      <c r="G1010" t="s">
        <v>28</v>
      </c>
      <c r="H1010">
        <v>2</v>
      </c>
      <c r="I1010">
        <v>6499</v>
      </c>
      <c r="J1010">
        <v>0.05</v>
      </c>
      <c r="K1010">
        <v>0</v>
      </c>
      <c r="L1010" t="s">
        <v>125</v>
      </c>
      <c r="M1010" t="s">
        <v>126</v>
      </c>
      <c r="N1010" t="s">
        <v>50</v>
      </c>
      <c r="O1010" t="s">
        <v>51</v>
      </c>
      <c r="P1010" t="s">
        <v>33</v>
      </c>
      <c r="Q1010">
        <v>4</v>
      </c>
      <c r="R1010">
        <f>IFERROR(Table1_1[[#This Row],[Unit_Price]]*Table1_1[[#This Row],[Quantity]],"")</f>
        <v>12998</v>
      </c>
      <c r="S1010">
        <f>IFERROR(Table1_1[[#This Row],[Gross_Sales]]*Table1_1[[#This Row],[Discount_%]],"")</f>
        <v>649.90000000000009</v>
      </c>
      <c r="T1010">
        <f>IFERROR(Table1_1[[#This Row],[Gross_Sales]]-Table1_1[[#This Row],[Discount_amount]]+Table1_1[[#This Row],[Shipping_Cost]],"")</f>
        <v>12348.1</v>
      </c>
      <c r="U1010">
        <f>IFERROR(Table1_1[[#This Row],[Net_Sale]]-(Table1_1[[#This Row],[Gross_Sales]]*70%),"")</f>
        <v>3249.5000000000018</v>
      </c>
      <c r="V1010" s="7">
        <f>IFERROR(Table1_1[[#This Row],[Profit]]/Table1_1[[#This Row],[Net_Sale]],"")</f>
        <v>0.26315789473684226</v>
      </c>
      <c r="W1010" t="str">
        <f>TEXT(Table1_1[[#This Row],[Order_Date]],"mmm")</f>
        <v>Jun</v>
      </c>
    </row>
    <row r="1011" spans="1:23" x14ac:dyDescent="0.25">
      <c r="A1011" t="s">
        <v>1421</v>
      </c>
      <c r="B1011" t="s">
        <v>901</v>
      </c>
      <c r="C1011" s="6">
        <v>45877</v>
      </c>
      <c r="D1011" t="s">
        <v>105</v>
      </c>
      <c r="E1011" t="s">
        <v>106</v>
      </c>
      <c r="F1011" t="s">
        <v>37</v>
      </c>
      <c r="G1011" t="s">
        <v>107</v>
      </c>
      <c r="H1011">
        <v>2</v>
      </c>
      <c r="I1011">
        <v>1799</v>
      </c>
      <c r="J1011">
        <v>0.05</v>
      </c>
      <c r="K1011">
        <v>0</v>
      </c>
      <c r="L1011" t="s">
        <v>39</v>
      </c>
      <c r="M1011" t="s">
        <v>39</v>
      </c>
      <c r="N1011" t="s">
        <v>31</v>
      </c>
      <c r="O1011" t="s">
        <v>32</v>
      </c>
      <c r="P1011" t="s">
        <v>33</v>
      </c>
      <c r="Q1011">
        <v>3</v>
      </c>
      <c r="R1011">
        <f>IFERROR(Table1_1[[#This Row],[Unit_Price]]*Table1_1[[#This Row],[Quantity]],"")</f>
        <v>3598</v>
      </c>
      <c r="S1011">
        <f>IFERROR(Table1_1[[#This Row],[Gross_Sales]]*Table1_1[[#This Row],[Discount_%]],"")</f>
        <v>179.9</v>
      </c>
      <c r="T1011">
        <f>IFERROR(Table1_1[[#This Row],[Gross_Sales]]-Table1_1[[#This Row],[Discount_amount]]+Table1_1[[#This Row],[Shipping_Cost]],"")</f>
        <v>3418.1</v>
      </c>
      <c r="U1011">
        <f>IFERROR(Table1_1[[#This Row],[Net_Sale]]-(Table1_1[[#This Row],[Gross_Sales]]*70%),"")</f>
        <v>899.5</v>
      </c>
      <c r="V1011" s="7">
        <f>IFERROR(Table1_1[[#This Row],[Profit]]/Table1_1[[#This Row],[Net_Sale]],"")</f>
        <v>0.26315789473684209</v>
      </c>
      <c r="W1011" t="str">
        <f>TEXT(Table1_1[[#This Row],[Order_Date]],"mmm")</f>
        <v>Aug</v>
      </c>
    </row>
    <row r="1012" spans="1:23" x14ac:dyDescent="0.25">
      <c r="A1012" t="s">
        <v>1422</v>
      </c>
      <c r="B1012" t="s">
        <v>403</v>
      </c>
      <c r="C1012" s="6">
        <v>45784</v>
      </c>
      <c r="D1012" t="s">
        <v>90</v>
      </c>
      <c r="E1012" t="s">
        <v>91</v>
      </c>
      <c r="F1012" t="s">
        <v>37</v>
      </c>
      <c r="G1012" t="s">
        <v>92</v>
      </c>
      <c r="H1012">
        <v>1</v>
      </c>
      <c r="I1012">
        <v>3499</v>
      </c>
      <c r="J1012">
        <v>0</v>
      </c>
      <c r="K1012">
        <v>99</v>
      </c>
      <c r="L1012" t="s">
        <v>125</v>
      </c>
      <c r="M1012" t="s">
        <v>126</v>
      </c>
      <c r="N1012" t="s">
        <v>50</v>
      </c>
      <c r="O1012" t="s">
        <v>32</v>
      </c>
      <c r="P1012" t="s">
        <v>33</v>
      </c>
      <c r="Q1012">
        <v>5</v>
      </c>
      <c r="R1012">
        <f>IFERROR(Table1_1[[#This Row],[Unit_Price]]*Table1_1[[#This Row],[Quantity]],"")</f>
        <v>3499</v>
      </c>
      <c r="S1012">
        <f>IFERROR(Table1_1[[#This Row],[Gross_Sales]]*Table1_1[[#This Row],[Discount_%]],"")</f>
        <v>0</v>
      </c>
      <c r="T1012">
        <f>IFERROR(Table1_1[[#This Row],[Gross_Sales]]-Table1_1[[#This Row],[Discount_amount]]+Table1_1[[#This Row],[Shipping_Cost]],"")</f>
        <v>3598</v>
      </c>
      <c r="U1012">
        <f>IFERROR(Table1_1[[#This Row],[Net_Sale]]-(Table1_1[[#This Row],[Gross_Sales]]*70%),"")</f>
        <v>1148.7000000000003</v>
      </c>
      <c r="V1012" s="7">
        <f>IFERROR(Table1_1[[#This Row],[Profit]]/Table1_1[[#This Row],[Net_Sale]],"")</f>
        <v>0.31926070038910515</v>
      </c>
      <c r="W1012" t="str">
        <f>TEXT(Table1_1[[#This Row],[Order_Date]],"mmm")</f>
        <v>May</v>
      </c>
    </row>
    <row r="1013" spans="1:23" x14ac:dyDescent="0.25">
      <c r="A1013" t="s">
        <v>1423</v>
      </c>
      <c r="B1013" t="s">
        <v>707</v>
      </c>
      <c r="C1013" s="6">
        <v>45709</v>
      </c>
      <c r="D1013" t="s">
        <v>105</v>
      </c>
      <c r="E1013" t="s">
        <v>106</v>
      </c>
      <c r="F1013" t="s">
        <v>37</v>
      </c>
      <c r="G1013" t="s">
        <v>107</v>
      </c>
      <c r="H1013">
        <v>3</v>
      </c>
      <c r="I1013">
        <v>1799</v>
      </c>
      <c r="J1013">
        <v>0.05</v>
      </c>
      <c r="K1013">
        <v>79</v>
      </c>
      <c r="L1013" t="s">
        <v>100</v>
      </c>
      <c r="M1013" t="s">
        <v>101</v>
      </c>
      <c r="N1013" t="s">
        <v>71</v>
      </c>
      <c r="O1013" t="s">
        <v>32</v>
      </c>
      <c r="P1013" t="s">
        <v>80</v>
      </c>
      <c r="Q1013">
        <v>3</v>
      </c>
      <c r="R1013">
        <f>IFERROR(Table1_1[[#This Row],[Unit_Price]]*Table1_1[[#This Row],[Quantity]],"")</f>
        <v>5397</v>
      </c>
      <c r="S1013">
        <f>IFERROR(Table1_1[[#This Row],[Gross_Sales]]*Table1_1[[#This Row],[Discount_%]],"")</f>
        <v>269.85000000000002</v>
      </c>
      <c r="T1013">
        <f>IFERROR(Table1_1[[#This Row],[Gross_Sales]]-Table1_1[[#This Row],[Discount_amount]]+Table1_1[[#This Row],[Shipping_Cost]],"")</f>
        <v>5206.1499999999996</v>
      </c>
      <c r="U1013">
        <f>IFERROR(Table1_1[[#This Row],[Net_Sale]]-(Table1_1[[#This Row],[Gross_Sales]]*70%),"")</f>
        <v>1428.25</v>
      </c>
      <c r="V1013" s="7">
        <f>IFERROR(Table1_1[[#This Row],[Profit]]/Table1_1[[#This Row],[Net_Sale]],"")</f>
        <v>0.27433900291001989</v>
      </c>
      <c r="W1013" t="str">
        <f>TEXT(Table1_1[[#This Row],[Order_Date]],"mmm")</f>
        <v>Feb</v>
      </c>
    </row>
    <row r="1014" spans="1:23" x14ac:dyDescent="0.25">
      <c r="A1014" t="s">
        <v>1424</v>
      </c>
      <c r="B1014" t="s">
        <v>550</v>
      </c>
      <c r="C1014" s="6">
        <v>45892</v>
      </c>
      <c r="D1014" t="s">
        <v>25</v>
      </c>
      <c r="E1014" t="s">
        <v>26</v>
      </c>
      <c r="F1014" t="s">
        <v>27</v>
      </c>
      <c r="G1014" t="s">
        <v>28</v>
      </c>
      <c r="H1014">
        <v>1</v>
      </c>
      <c r="I1014">
        <v>249</v>
      </c>
      <c r="J1014">
        <v>0.05</v>
      </c>
      <c r="K1014">
        <v>59</v>
      </c>
      <c r="L1014" t="s">
        <v>119</v>
      </c>
      <c r="M1014" t="s">
        <v>120</v>
      </c>
      <c r="N1014" t="s">
        <v>102</v>
      </c>
      <c r="O1014" t="s">
        <v>59</v>
      </c>
      <c r="P1014" t="s">
        <v>33</v>
      </c>
      <c r="Q1014">
        <v>1</v>
      </c>
      <c r="R1014">
        <f>IFERROR(Table1_1[[#This Row],[Unit_Price]]*Table1_1[[#This Row],[Quantity]],"")</f>
        <v>249</v>
      </c>
      <c r="S1014">
        <f>IFERROR(Table1_1[[#This Row],[Gross_Sales]]*Table1_1[[#This Row],[Discount_%]],"")</f>
        <v>12.450000000000001</v>
      </c>
      <c r="T1014">
        <f>IFERROR(Table1_1[[#This Row],[Gross_Sales]]-Table1_1[[#This Row],[Discount_amount]]+Table1_1[[#This Row],[Shipping_Cost]],"")</f>
        <v>295.55</v>
      </c>
      <c r="U1014">
        <f>IFERROR(Table1_1[[#This Row],[Net_Sale]]-(Table1_1[[#This Row],[Gross_Sales]]*70%),"")</f>
        <v>121.25000000000003</v>
      </c>
      <c r="V1014" s="7">
        <f>IFERROR(Table1_1[[#This Row],[Profit]]/Table1_1[[#This Row],[Net_Sale]],"")</f>
        <v>0.41025207240737616</v>
      </c>
      <c r="W1014" t="str">
        <f>TEXT(Table1_1[[#This Row],[Order_Date]],"mmm")</f>
        <v>Aug</v>
      </c>
    </row>
    <row r="1015" spans="1:23" x14ac:dyDescent="0.25">
      <c r="A1015" t="s">
        <v>1425</v>
      </c>
      <c r="B1015" t="s">
        <v>814</v>
      </c>
      <c r="C1015" s="6">
        <v>45668</v>
      </c>
      <c r="D1015" t="s">
        <v>110</v>
      </c>
      <c r="E1015" t="s">
        <v>111</v>
      </c>
      <c r="F1015" t="s">
        <v>98</v>
      </c>
      <c r="G1015" t="s">
        <v>112</v>
      </c>
      <c r="H1015">
        <v>2</v>
      </c>
      <c r="I1015">
        <v>2999</v>
      </c>
      <c r="J1015">
        <v>0.2</v>
      </c>
      <c r="K1015">
        <v>49</v>
      </c>
      <c r="L1015" t="s">
        <v>83</v>
      </c>
      <c r="M1015" t="s">
        <v>84</v>
      </c>
      <c r="N1015" t="s">
        <v>40</v>
      </c>
      <c r="O1015" t="s">
        <v>93</v>
      </c>
      <c r="P1015" t="s">
        <v>33</v>
      </c>
      <c r="Q1015">
        <v>2</v>
      </c>
      <c r="R1015">
        <f>IFERROR(Table1_1[[#This Row],[Unit_Price]]*Table1_1[[#This Row],[Quantity]],"")</f>
        <v>5998</v>
      </c>
      <c r="S1015">
        <f>IFERROR(Table1_1[[#This Row],[Gross_Sales]]*Table1_1[[#This Row],[Discount_%]],"")</f>
        <v>1199.6000000000001</v>
      </c>
      <c r="T1015">
        <f>IFERROR(Table1_1[[#This Row],[Gross_Sales]]-Table1_1[[#This Row],[Discount_amount]]+Table1_1[[#This Row],[Shipping_Cost]],"")</f>
        <v>4847.3999999999996</v>
      </c>
      <c r="U1015">
        <f>IFERROR(Table1_1[[#This Row],[Net_Sale]]-(Table1_1[[#This Row],[Gross_Sales]]*70%),"")</f>
        <v>648.80000000000018</v>
      </c>
      <c r="V1015" s="7">
        <f>IFERROR(Table1_1[[#This Row],[Profit]]/Table1_1[[#This Row],[Net_Sale]],"")</f>
        <v>0.13384494780707187</v>
      </c>
      <c r="W1015" t="str">
        <f>TEXT(Table1_1[[#This Row],[Order_Date]],"mmm")</f>
        <v>Jan</v>
      </c>
    </row>
    <row r="1016" spans="1:23" x14ac:dyDescent="0.25">
      <c r="A1016" t="s">
        <v>1426</v>
      </c>
      <c r="B1016" t="s">
        <v>274</v>
      </c>
      <c r="C1016" s="6">
        <v>45703</v>
      </c>
      <c r="D1016" t="s">
        <v>44</v>
      </c>
      <c r="E1016" t="s">
        <v>45</v>
      </c>
      <c r="F1016" t="s">
        <v>46</v>
      </c>
      <c r="G1016" t="s">
        <v>47</v>
      </c>
      <c r="H1016">
        <v>1</v>
      </c>
      <c r="I1016">
        <v>1199</v>
      </c>
      <c r="J1016">
        <v>0</v>
      </c>
      <c r="K1016">
        <v>0</v>
      </c>
      <c r="L1016" t="s">
        <v>57</v>
      </c>
      <c r="M1016" t="s">
        <v>58</v>
      </c>
      <c r="N1016" t="s">
        <v>102</v>
      </c>
      <c r="O1016" t="s">
        <v>59</v>
      </c>
      <c r="P1016" t="s">
        <v>52</v>
      </c>
      <c r="Q1016">
        <v>5</v>
      </c>
      <c r="R1016">
        <f>IFERROR(Table1_1[[#This Row],[Unit_Price]]*Table1_1[[#This Row],[Quantity]],"")</f>
        <v>1199</v>
      </c>
      <c r="S1016">
        <f>IFERROR(Table1_1[[#This Row],[Gross_Sales]]*Table1_1[[#This Row],[Discount_%]],"")</f>
        <v>0</v>
      </c>
      <c r="T1016">
        <f>IFERROR(Table1_1[[#This Row],[Gross_Sales]]-Table1_1[[#This Row],[Discount_amount]]+Table1_1[[#This Row],[Shipping_Cost]],"")</f>
        <v>1199</v>
      </c>
      <c r="U1016">
        <f>IFERROR(Table1_1[[#This Row],[Net_Sale]]-(Table1_1[[#This Row],[Gross_Sales]]*70%),"")</f>
        <v>359.70000000000005</v>
      </c>
      <c r="V1016" s="7">
        <f>IFERROR(Table1_1[[#This Row],[Profit]]/Table1_1[[#This Row],[Net_Sale]],"")</f>
        <v>0.30000000000000004</v>
      </c>
      <c r="W1016" t="str">
        <f>TEXT(Table1_1[[#This Row],[Order_Date]],"mmm")</f>
        <v>Feb</v>
      </c>
    </row>
    <row r="1017" spans="1:23" x14ac:dyDescent="0.25">
      <c r="A1017" t="s">
        <v>1427</v>
      </c>
      <c r="B1017" t="s">
        <v>342</v>
      </c>
      <c r="C1017" s="6">
        <v>45836</v>
      </c>
      <c r="D1017" t="s">
        <v>105</v>
      </c>
      <c r="E1017" t="s">
        <v>106</v>
      </c>
      <c r="F1017" t="s">
        <v>37</v>
      </c>
      <c r="G1017" t="s">
        <v>107</v>
      </c>
      <c r="H1017">
        <v>4</v>
      </c>
      <c r="I1017">
        <v>1799</v>
      </c>
      <c r="J1017">
        <v>0.1</v>
      </c>
      <c r="K1017">
        <v>59</v>
      </c>
      <c r="L1017" t="s">
        <v>48</v>
      </c>
      <c r="M1017" t="s">
        <v>49</v>
      </c>
      <c r="N1017" t="s">
        <v>50</v>
      </c>
      <c r="O1017" t="s">
        <v>93</v>
      </c>
      <c r="P1017" t="s">
        <v>85</v>
      </c>
      <c r="Q1017">
        <v>5</v>
      </c>
      <c r="R1017">
        <f>IFERROR(Table1_1[[#This Row],[Unit_Price]]*Table1_1[[#This Row],[Quantity]],"")</f>
        <v>7196</v>
      </c>
      <c r="S1017">
        <f>IFERROR(Table1_1[[#This Row],[Gross_Sales]]*Table1_1[[#This Row],[Discount_%]],"")</f>
        <v>719.6</v>
      </c>
      <c r="T1017">
        <f>IFERROR(Table1_1[[#This Row],[Gross_Sales]]-Table1_1[[#This Row],[Discount_amount]]+Table1_1[[#This Row],[Shipping_Cost]],"")</f>
        <v>6535.4</v>
      </c>
      <c r="U1017">
        <f>IFERROR(Table1_1[[#This Row],[Net_Sale]]-(Table1_1[[#This Row],[Gross_Sales]]*70%),"")</f>
        <v>1498.1999999999998</v>
      </c>
      <c r="V1017" s="7">
        <f>IFERROR(Table1_1[[#This Row],[Profit]]/Table1_1[[#This Row],[Net_Sale]],"")</f>
        <v>0.2292438106313309</v>
      </c>
      <c r="W1017" t="str">
        <f>TEXT(Table1_1[[#This Row],[Order_Date]],"mmm")</f>
        <v>Jun</v>
      </c>
    </row>
    <row r="1018" spans="1:23" x14ac:dyDescent="0.25">
      <c r="A1018" t="s">
        <v>1428</v>
      </c>
      <c r="B1018" t="s">
        <v>240</v>
      </c>
      <c r="C1018" s="6">
        <v>45720</v>
      </c>
      <c r="D1018" t="s">
        <v>62</v>
      </c>
      <c r="E1018" t="s">
        <v>63</v>
      </c>
      <c r="F1018" t="s">
        <v>46</v>
      </c>
      <c r="G1018" t="s">
        <v>64</v>
      </c>
      <c r="H1018">
        <v>3</v>
      </c>
      <c r="I1018">
        <v>699</v>
      </c>
      <c r="J1018">
        <v>0.15</v>
      </c>
      <c r="K1018">
        <v>59</v>
      </c>
      <c r="L1018" t="s">
        <v>74</v>
      </c>
      <c r="M1018" t="s">
        <v>49</v>
      </c>
      <c r="N1018" t="s">
        <v>863</v>
      </c>
      <c r="O1018" t="s">
        <v>93</v>
      </c>
      <c r="P1018" t="s">
        <v>52</v>
      </c>
      <c r="Q1018">
        <v>4</v>
      </c>
      <c r="R1018">
        <f>IFERROR(Table1_1[[#This Row],[Unit_Price]]*Table1_1[[#This Row],[Quantity]],"")</f>
        <v>2097</v>
      </c>
      <c r="S1018">
        <f>IFERROR(Table1_1[[#This Row],[Gross_Sales]]*Table1_1[[#This Row],[Discount_%]],"")</f>
        <v>314.55</v>
      </c>
      <c r="T1018">
        <f>IFERROR(Table1_1[[#This Row],[Gross_Sales]]-Table1_1[[#This Row],[Discount_amount]]+Table1_1[[#This Row],[Shipping_Cost]],"")</f>
        <v>1841.45</v>
      </c>
      <c r="U1018">
        <f>IFERROR(Table1_1[[#This Row],[Net_Sale]]-(Table1_1[[#This Row],[Gross_Sales]]*70%),"")</f>
        <v>373.55000000000018</v>
      </c>
      <c r="V1018" s="7">
        <f>IFERROR(Table1_1[[#This Row],[Profit]]/Table1_1[[#This Row],[Net_Sale]],"")</f>
        <v>0.20285644464959687</v>
      </c>
      <c r="W1018" t="str">
        <f>TEXT(Table1_1[[#This Row],[Order_Date]],"mmm")</f>
        <v>Mar</v>
      </c>
    </row>
    <row r="1019" spans="1:23" x14ac:dyDescent="0.25">
      <c r="A1019" t="s">
        <v>1429</v>
      </c>
      <c r="B1019" t="s">
        <v>857</v>
      </c>
      <c r="C1019" s="6">
        <v>45734</v>
      </c>
      <c r="D1019" t="s">
        <v>25</v>
      </c>
      <c r="E1019" t="s">
        <v>26</v>
      </c>
      <c r="F1019" t="s">
        <v>27</v>
      </c>
      <c r="G1019" t="s">
        <v>28</v>
      </c>
      <c r="H1019">
        <v>2</v>
      </c>
      <c r="I1019">
        <v>249</v>
      </c>
      <c r="J1019">
        <v>0.15</v>
      </c>
      <c r="K1019">
        <v>49</v>
      </c>
      <c r="L1019" t="s">
        <v>100</v>
      </c>
      <c r="M1019" t="s">
        <v>101</v>
      </c>
      <c r="N1019" t="s">
        <v>40</v>
      </c>
      <c r="O1019" t="s">
        <v>51</v>
      </c>
      <c r="P1019" t="s">
        <v>85</v>
      </c>
      <c r="Q1019">
        <v>1</v>
      </c>
      <c r="R1019">
        <f>IFERROR(Table1_1[[#This Row],[Unit_Price]]*Table1_1[[#This Row],[Quantity]],"")</f>
        <v>498</v>
      </c>
      <c r="S1019">
        <f>IFERROR(Table1_1[[#This Row],[Gross_Sales]]*Table1_1[[#This Row],[Discount_%]],"")</f>
        <v>74.7</v>
      </c>
      <c r="T1019">
        <f>IFERROR(Table1_1[[#This Row],[Gross_Sales]]-Table1_1[[#This Row],[Discount_amount]]+Table1_1[[#This Row],[Shipping_Cost]],"")</f>
        <v>472.3</v>
      </c>
      <c r="U1019">
        <f>IFERROR(Table1_1[[#This Row],[Net_Sale]]-(Table1_1[[#This Row],[Gross_Sales]]*70%),"")</f>
        <v>123.70000000000005</v>
      </c>
      <c r="V1019" s="7">
        <f>IFERROR(Table1_1[[#This Row],[Profit]]/Table1_1[[#This Row],[Net_Sale]],"")</f>
        <v>0.26190980309125567</v>
      </c>
      <c r="W1019" t="str">
        <f>TEXT(Table1_1[[#This Row],[Order_Date]],"mmm")</f>
        <v>Mar</v>
      </c>
    </row>
    <row r="1020" spans="1:23" x14ac:dyDescent="0.25">
      <c r="A1020" t="s">
        <v>1430</v>
      </c>
      <c r="B1020" t="s">
        <v>104</v>
      </c>
      <c r="C1020" s="6">
        <v>45769</v>
      </c>
      <c r="D1020" t="s">
        <v>110</v>
      </c>
      <c r="E1020" t="s">
        <v>111</v>
      </c>
      <c r="F1020" t="s">
        <v>98</v>
      </c>
      <c r="G1020" t="s">
        <v>112</v>
      </c>
      <c r="H1020">
        <v>2</v>
      </c>
      <c r="I1020">
        <v>2999</v>
      </c>
      <c r="J1020">
        <v>0</v>
      </c>
      <c r="K1020">
        <v>0</v>
      </c>
      <c r="L1020" t="s">
        <v>39</v>
      </c>
      <c r="M1020" t="s">
        <v>39</v>
      </c>
      <c r="N1020" t="s">
        <v>71</v>
      </c>
      <c r="O1020" t="s">
        <v>93</v>
      </c>
      <c r="P1020" t="s">
        <v>85</v>
      </c>
      <c r="Q1020">
        <v>4</v>
      </c>
      <c r="R1020">
        <f>IFERROR(Table1_1[[#This Row],[Unit_Price]]*Table1_1[[#This Row],[Quantity]],"")</f>
        <v>5998</v>
      </c>
      <c r="S1020">
        <f>IFERROR(Table1_1[[#This Row],[Gross_Sales]]*Table1_1[[#This Row],[Discount_%]],"")</f>
        <v>0</v>
      </c>
      <c r="T1020">
        <f>IFERROR(Table1_1[[#This Row],[Gross_Sales]]-Table1_1[[#This Row],[Discount_amount]]+Table1_1[[#This Row],[Shipping_Cost]],"")</f>
        <v>5998</v>
      </c>
      <c r="U1020">
        <f>IFERROR(Table1_1[[#This Row],[Net_Sale]]-(Table1_1[[#This Row],[Gross_Sales]]*70%),"")</f>
        <v>1799.4000000000005</v>
      </c>
      <c r="V1020" s="7">
        <f>IFERROR(Table1_1[[#This Row],[Profit]]/Table1_1[[#This Row],[Net_Sale]],"")</f>
        <v>0.3000000000000001</v>
      </c>
      <c r="W1020" t="str">
        <f>TEXT(Table1_1[[#This Row],[Order_Date]],"mmm")</f>
        <v>Apr</v>
      </c>
    </row>
    <row r="1021" spans="1:23" x14ac:dyDescent="0.25">
      <c r="A1021" t="s">
        <v>1431</v>
      </c>
      <c r="B1021" t="s">
        <v>43</v>
      </c>
      <c r="C1021" s="6">
        <v>45728</v>
      </c>
      <c r="D1021" t="s">
        <v>169</v>
      </c>
      <c r="E1021" t="s">
        <v>170</v>
      </c>
      <c r="F1021" t="s">
        <v>98</v>
      </c>
      <c r="G1021" t="s">
        <v>171</v>
      </c>
      <c r="H1021">
        <v>1</v>
      </c>
      <c r="I1021">
        <v>799</v>
      </c>
      <c r="J1021">
        <v>0</v>
      </c>
      <c r="K1021">
        <v>99</v>
      </c>
      <c r="L1021" t="s">
        <v>39</v>
      </c>
      <c r="M1021" t="s">
        <v>39</v>
      </c>
      <c r="N1021" t="s">
        <v>31</v>
      </c>
      <c r="O1021" t="s">
        <v>51</v>
      </c>
      <c r="P1021" t="s">
        <v>33</v>
      </c>
      <c r="Q1021">
        <v>2</v>
      </c>
      <c r="R1021">
        <f>IFERROR(Table1_1[[#This Row],[Unit_Price]]*Table1_1[[#This Row],[Quantity]],"")</f>
        <v>799</v>
      </c>
      <c r="S1021">
        <f>IFERROR(Table1_1[[#This Row],[Gross_Sales]]*Table1_1[[#This Row],[Discount_%]],"")</f>
        <v>0</v>
      </c>
      <c r="T1021">
        <f>IFERROR(Table1_1[[#This Row],[Gross_Sales]]-Table1_1[[#This Row],[Discount_amount]]+Table1_1[[#This Row],[Shipping_Cost]],"")</f>
        <v>898</v>
      </c>
      <c r="U1021">
        <f>IFERROR(Table1_1[[#This Row],[Net_Sale]]-(Table1_1[[#This Row],[Gross_Sales]]*70%),"")</f>
        <v>338.70000000000005</v>
      </c>
      <c r="V1021" s="7">
        <f>IFERROR(Table1_1[[#This Row],[Profit]]/Table1_1[[#This Row],[Net_Sale]],"")</f>
        <v>0.37717149220489982</v>
      </c>
      <c r="W1021" t="str">
        <f>TEXT(Table1_1[[#This Row],[Order_Date]],"mmm")</f>
        <v>Mar</v>
      </c>
    </row>
    <row r="1022" spans="1:23" x14ac:dyDescent="0.25">
      <c r="A1022" t="s">
        <v>1432</v>
      </c>
      <c r="B1022" t="s">
        <v>534</v>
      </c>
      <c r="C1022" s="6">
        <v>45699</v>
      </c>
      <c r="D1022" t="s">
        <v>77</v>
      </c>
      <c r="E1022" t="s">
        <v>78</v>
      </c>
      <c r="F1022" t="s">
        <v>79</v>
      </c>
      <c r="G1022" t="s">
        <v>28</v>
      </c>
      <c r="H1022">
        <v>1</v>
      </c>
      <c r="I1022">
        <v>6499</v>
      </c>
      <c r="J1022">
        <v>0.1</v>
      </c>
      <c r="K1022">
        <v>59</v>
      </c>
      <c r="L1022" t="s">
        <v>113</v>
      </c>
      <c r="M1022" t="s">
        <v>114</v>
      </c>
      <c r="N1022" t="s">
        <v>40</v>
      </c>
      <c r="O1022" t="s">
        <v>59</v>
      </c>
      <c r="P1022" t="s">
        <v>33</v>
      </c>
      <c r="Q1022">
        <v>4</v>
      </c>
      <c r="R1022">
        <f>IFERROR(Table1_1[[#This Row],[Unit_Price]]*Table1_1[[#This Row],[Quantity]],"")</f>
        <v>6499</v>
      </c>
      <c r="S1022">
        <f>IFERROR(Table1_1[[#This Row],[Gross_Sales]]*Table1_1[[#This Row],[Discount_%]],"")</f>
        <v>649.90000000000009</v>
      </c>
      <c r="T1022">
        <f>IFERROR(Table1_1[[#This Row],[Gross_Sales]]-Table1_1[[#This Row],[Discount_amount]]+Table1_1[[#This Row],[Shipping_Cost]],"")</f>
        <v>5908.1</v>
      </c>
      <c r="U1022">
        <f>IFERROR(Table1_1[[#This Row],[Net_Sale]]-(Table1_1[[#This Row],[Gross_Sales]]*70%),"")</f>
        <v>1358.8000000000011</v>
      </c>
      <c r="V1022" s="7">
        <f>IFERROR(Table1_1[[#This Row],[Profit]]/Table1_1[[#This Row],[Net_Sale]],"")</f>
        <v>0.22998933667338078</v>
      </c>
      <c r="W1022" t="str">
        <f>TEXT(Table1_1[[#This Row],[Order_Date]],"mmm")</f>
        <v>Feb</v>
      </c>
    </row>
    <row r="1023" spans="1:23" x14ac:dyDescent="0.25">
      <c r="A1023" t="s">
        <v>1433</v>
      </c>
      <c r="B1023" t="s">
        <v>257</v>
      </c>
      <c r="C1023" s="6">
        <v>45963</v>
      </c>
      <c r="D1023" t="s">
        <v>55</v>
      </c>
      <c r="E1023" t="s">
        <v>56</v>
      </c>
      <c r="F1023" t="s">
        <v>37</v>
      </c>
      <c r="G1023" t="s">
        <v>38</v>
      </c>
      <c r="H1023">
        <v>4</v>
      </c>
      <c r="I1023">
        <v>2499</v>
      </c>
      <c r="J1023">
        <v>0.1</v>
      </c>
      <c r="K1023">
        <v>59</v>
      </c>
      <c r="L1023" t="s">
        <v>48</v>
      </c>
      <c r="M1023" t="s">
        <v>49</v>
      </c>
      <c r="N1023" t="s">
        <v>50</v>
      </c>
      <c r="O1023" t="s">
        <v>41</v>
      </c>
      <c r="P1023" t="s">
        <v>85</v>
      </c>
      <c r="Q1023">
        <v>3</v>
      </c>
      <c r="R1023">
        <f>IFERROR(Table1_1[[#This Row],[Unit_Price]]*Table1_1[[#This Row],[Quantity]],"")</f>
        <v>9996</v>
      </c>
      <c r="S1023">
        <f>IFERROR(Table1_1[[#This Row],[Gross_Sales]]*Table1_1[[#This Row],[Discount_%]],"")</f>
        <v>999.6</v>
      </c>
      <c r="T1023">
        <f>IFERROR(Table1_1[[#This Row],[Gross_Sales]]-Table1_1[[#This Row],[Discount_amount]]+Table1_1[[#This Row],[Shipping_Cost]],"")</f>
        <v>9055.4</v>
      </c>
      <c r="U1023">
        <f>IFERROR(Table1_1[[#This Row],[Net_Sale]]-(Table1_1[[#This Row],[Gross_Sales]]*70%),"")</f>
        <v>2058.1999999999998</v>
      </c>
      <c r="V1023" s="7">
        <f>IFERROR(Table1_1[[#This Row],[Profit]]/Table1_1[[#This Row],[Net_Sale]],"")</f>
        <v>0.22728979393511053</v>
      </c>
      <c r="W1023" t="str">
        <f>TEXT(Table1_1[[#This Row],[Order_Date]],"mmm")</f>
        <v>Nov</v>
      </c>
    </row>
    <row r="1024" spans="1:23" x14ac:dyDescent="0.25">
      <c r="A1024" t="s">
        <v>1434</v>
      </c>
      <c r="B1024" t="s">
        <v>24</v>
      </c>
      <c r="C1024" s="6">
        <v>45812</v>
      </c>
      <c r="D1024" t="s">
        <v>105</v>
      </c>
      <c r="E1024" t="s">
        <v>106</v>
      </c>
      <c r="F1024" t="s">
        <v>37</v>
      </c>
      <c r="G1024" t="s">
        <v>107</v>
      </c>
      <c r="H1024">
        <v>2</v>
      </c>
      <c r="I1024">
        <v>1799</v>
      </c>
      <c r="J1024">
        <v>0.15</v>
      </c>
      <c r="K1024">
        <v>79</v>
      </c>
      <c r="L1024" t="s">
        <v>57</v>
      </c>
      <c r="M1024" t="s">
        <v>58</v>
      </c>
      <c r="N1024" t="s">
        <v>50</v>
      </c>
      <c r="O1024" t="s">
        <v>59</v>
      </c>
      <c r="P1024" t="s">
        <v>33</v>
      </c>
      <c r="Q1024">
        <v>3</v>
      </c>
      <c r="R1024">
        <f>IFERROR(Table1_1[[#This Row],[Unit_Price]]*Table1_1[[#This Row],[Quantity]],"")</f>
        <v>3598</v>
      </c>
      <c r="S1024">
        <f>IFERROR(Table1_1[[#This Row],[Gross_Sales]]*Table1_1[[#This Row],[Discount_%]],"")</f>
        <v>539.69999999999993</v>
      </c>
      <c r="T1024">
        <f>IFERROR(Table1_1[[#This Row],[Gross_Sales]]-Table1_1[[#This Row],[Discount_amount]]+Table1_1[[#This Row],[Shipping_Cost]],"")</f>
        <v>3137.3</v>
      </c>
      <c r="U1024">
        <f>IFERROR(Table1_1[[#This Row],[Net_Sale]]-(Table1_1[[#This Row],[Gross_Sales]]*70%),"")</f>
        <v>618.70000000000027</v>
      </c>
      <c r="V1024" s="7">
        <f>IFERROR(Table1_1[[#This Row],[Profit]]/Table1_1[[#This Row],[Net_Sale]],"")</f>
        <v>0.19720779013801684</v>
      </c>
      <c r="W1024" t="str">
        <f>TEXT(Table1_1[[#This Row],[Order_Date]],"mmm")</f>
        <v>Jun</v>
      </c>
    </row>
    <row r="1025" spans="1:23" x14ac:dyDescent="0.25">
      <c r="A1025" t="s">
        <v>1435</v>
      </c>
      <c r="B1025" t="s">
        <v>196</v>
      </c>
      <c r="C1025" s="6">
        <v>45884</v>
      </c>
      <c r="D1025" t="s">
        <v>96</v>
      </c>
      <c r="E1025" t="s">
        <v>97</v>
      </c>
      <c r="F1025" t="s">
        <v>98</v>
      </c>
      <c r="G1025" t="s">
        <v>99</v>
      </c>
      <c r="H1025">
        <v>1</v>
      </c>
      <c r="I1025">
        <v>1499</v>
      </c>
      <c r="J1025">
        <v>0</v>
      </c>
      <c r="K1025">
        <v>59</v>
      </c>
      <c r="L1025" t="s">
        <v>29</v>
      </c>
      <c r="M1025" t="s">
        <v>30</v>
      </c>
      <c r="N1025" t="s">
        <v>71</v>
      </c>
      <c r="O1025" t="s">
        <v>59</v>
      </c>
      <c r="P1025" t="s">
        <v>85</v>
      </c>
      <c r="Q1025">
        <v>4</v>
      </c>
      <c r="R1025">
        <f>IFERROR(Table1_1[[#This Row],[Unit_Price]]*Table1_1[[#This Row],[Quantity]],"")</f>
        <v>1499</v>
      </c>
      <c r="S1025">
        <f>IFERROR(Table1_1[[#This Row],[Gross_Sales]]*Table1_1[[#This Row],[Discount_%]],"")</f>
        <v>0</v>
      </c>
      <c r="T1025">
        <f>IFERROR(Table1_1[[#This Row],[Gross_Sales]]-Table1_1[[#This Row],[Discount_amount]]+Table1_1[[#This Row],[Shipping_Cost]],"")</f>
        <v>1558</v>
      </c>
      <c r="U1025">
        <f>IFERROR(Table1_1[[#This Row],[Net_Sale]]-(Table1_1[[#This Row],[Gross_Sales]]*70%),"")</f>
        <v>508.70000000000005</v>
      </c>
      <c r="V1025" s="7">
        <f>IFERROR(Table1_1[[#This Row],[Profit]]/Table1_1[[#This Row],[Net_Sale]],"")</f>
        <v>0.32650834403080875</v>
      </c>
      <c r="W1025" t="str">
        <f>TEXT(Table1_1[[#This Row],[Order_Date]],"mmm")</f>
        <v>Aug</v>
      </c>
    </row>
    <row r="1026" spans="1:23" x14ac:dyDescent="0.25">
      <c r="A1026" t="s">
        <v>1436</v>
      </c>
      <c r="B1026" t="s">
        <v>296</v>
      </c>
      <c r="C1026" s="6">
        <v>45944</v>
      </c>
      <c r="D1026" t="s">
        <v>96</v>
      </c>
      <c r="E1026" t="s">
        <v>97</v>
      </c>
      <c r="F1026" t="s">
        <v>98</v>
      </c>
      <c r="G1026" t="s">
        <v>99</v>
      </c>
      <c r="H1026">
        <v>2</v>
      </c>
      <c r="I1026">
        <v>1499</v>
      </c>
      <c r="J1026">
        <v>0</v>
      </c>
      <c r="K1026">
        <v>49</v>
      </c>
      <c r="L1026" t="s">
        <v>57</v>
      </c>
      <c r="M1026" t="s">
        <v>58</v>
      </c>
      <c r="N1026" t="s">
        <v>50</v>
      </c>
      <c r="O1026" t="s">
        <v>32</v>
      </c>
      <c r="P1026" t="s">
        <v>52</v>
      </c>
      <c r="Q1026">
        <v>5</v>
      </c>
      <c r="R1026">
        <f>IFERROR(Table1_1[[#This Row],[Unit_Price]]*Table1_1[[#This Row],[Quantity]],"")</f>
        <v>2998</v>
      </c>
      <c r="S1026">
        <f>IFERROR(Table1_1[[#This Row],[Gross_Sales]]*Table1_1[[#This Row],[Discount_%]],"")</f>
        <v>0</v>
      </c>
      <c r="T1026">
        <f>IFERROR(Table1_1[[#This Row],[Gross_Sales]]-Table1_1[[#This Row],[Discount_amount]]+Table1_1[[#This Row],[Shipping_Cost]],"")</f>
        <v>3047</v>
      </c>
      <c r="U1026">
        <f>IFERROR(Table1_1[[#This Row],[Net_Sale]]-(Table1_1[[#This Row],[Gross_Sales]]*70%),"")</f>
        <v>948.40000000000009</v>
      </c>
      <c r="V1026" s="7">
        <f>IFERROR(Table1_1[[#This Row],[Profit]]/Table1_1[[#This Row],[Net_Sale]],"")</f>
        <v>0.31125697407285857</v>
      </c>
      <c r="W1026" t="str">
        <f>TEXT(Table1_1[[#This Row],[Order_Date]],"mmm")</f>
        <v>Oct</v>
      </c>
    </row>
    <row r="1027" spans="1:23" x14ac:dyDescent="0.25">
      <c r="A1027" t="s">
        <v>1437</v>
      </c>
      <c r="B1027" t="s">
        <v>1173</v>
      </c>
      <c r="C1027" s="6">
        <v>45947</v>
      </c>
      <c r="D1027" t="s">
        <v>169</v>
      </c>
      <c r="E1027" t="s">
        <v>170</v>
      </c>
      <c r="F1027" t="s">
        <v>98</v>
      </c>
      <c r="G1027" t="s">
        <v>171</v>
      </c>
      <c r="H1027">
        <v>2</v>
      </c>
      <c r="I1027">
        <v>799</v>
      </c>
      <c r="J1027">
        <v>0</v>
      </c>
      <c r="K1027">
        <v>79</v>
      </c>
      <c r="L1027" t="s">
        <v>100</v>
      </c>
      <c r="M1027" t="s">
        <v>101</v>
      </c>
      <c r="N1027" t="s">
        <v>40</v>
      </c>
      <c r="O1027" t="s">
        <v>32</v>
      </c>
      <c r="P1027" t="s">
        <v>52</v>
      </c>
      <c r="Q1027">
        <v>4</v>
      </c>
      <c r="R1027">
        <f>IFERROR(Table1_1[[#This Row],[Unit_Price]]*Table1_1[[#This Row],[Quantity]],"")</f>
        <v>1598</v>
      </c>
      <c r="S1027">
        <f>IFERROR(Table1_1[[#This Row],[Gross_Sales]]*Table1_1[[#This Row],[Discount_%]],"")</f>
        <v>0</v>
      </c>
      <c r="T1027">
        <f>IFERROR(Table1_1[[#This Row],[Gross_Sales]]-Table1_1[[#This Row],[Discount_amount]]+Table1_1[[#This Row],[Shipping_Cost]],"")</f>
        <v>1677</v>
      </c>
      <c r="U1027">
        <f>IFERROR(Table1_1[[#This Row],[Net_Sale]]-(Table1_1[[#This Row],[Gross_Sales]]*70%),"")</f>
        <v>558.40000000000009</v>
      </c>
      <c r="V1027" s="7">
        <f>IFERROR(Table1_1[[#This Row],[Profit]]/Table1_1[[#This Row],[Net_Sale]],"")</f>
        <v>0.33297555158020281</v>
      </c>
      <c r="W1027" t="str">
        <f>TEXT(Table1_1[[#This Row],[Order_Date]],"mmm")</f>
        <v>Oct</v>
      </c>
    </row>
    <row r="1028" spans="1:23" x14ac:dyDescent="0.25">
      <c r="A1028" t="s">
        <v>1438</v>
      </c>
      <c r="B1028" t="s">
        <v>140</v>
      </c>
      <c r="C1028" s="6">
        <v>45990</v>
      </c>
      <c r="D1028" t="s">
        <v>35</v>
      </c>
      <c r="E1028" t="s">
        <v>36</v>
      </c>
      <c r="F1028" t="s">
        <v>37</v>
      </c>
      <c r="G1028" t="s">
        <v>38</v>
      </c>
      <c r="H1028">
        <v>1</v>
      </c>
      <c r="I1028">
        <v>599</v>
      </c>
      <c r="J1028">
        <v>0</v>
      </c>
      <c r="K1028">
        <v>59</v>
      </c>
      <c r="L1028" t="s">
        <v>29</v>
      </c>
      <c r="M1028" t="s">
        <v>30</v>
      </c>
      <c r="N1028" t="s">
        <v>40</v>
      </c>
      <c r="O1028" t="s">
        <v>51</v>
      </c>
      <c r="P1028" t="s">
        <v>85</v>
      </c>
      <c r="Q1028">
        <v>3</v>
      </c>
      <c r="R1028">
        <f>IFERROR(Table1_1[[#This Row],[Unit_Price]]*Table1_1[[#This Row],[Quantity]],"")</f>
        <v>599</v>
      </c>
      <c r="S1028">
        <f>IFERROR(Table1_1[[#This Row],[Gross_Sales]]*Table1_1[[#This Row],[Discount_%]],"")</f>
        <v>0</v>
      </c>
      <c r="T1028">
        <f>IFERROR(Table1_1[[#This Row],[Gross_Sales]]-Table1_1[[#This Row],[Discount_amount]]+Table1_1[[#This Row],[Shipping_Cost]],"")</f>
        <v>658</v>
      </c>
      <c r="U1028">
        <f>IFERROR(Table1_1[[#This Row],[Net_Sale]]-(Table1_1[[#This Row],[Gross_Sales]]*70%),"")</f>
        <v>238.70000000000005</v>
      </c>
      <c r="V1028" s="7">
        <f>IFERROR(Table1_1[[#This Row],[Profit]]/Table1_1[[#This Row],[Net_Sale]],"")</f>
        <v>0.36276595744680856</v>
      </c>
      <c r="W1028" t="str">
        <f>TEXT(Table1_1[[#This Row],[Order_Date]],"mmm")</f>
        <v>Nov</v>
      </c>
    </row>
    <row r="1029" spans="1:23" x14ac:dyDescent="0.25">
      <c r="A1029" t="s">
        <v>1439</v>
      </c>
      <c r="B1029" t="s">
        <v>516</v>
      </c>
      <c r="C1029" s="6">
        <v>46003</v>
      </c>
      <c r="D1029" t="s">
        <v>35</v>
      </c>
      <c r="E1029" t="s">
        <v>36</v>
      </c>
      <c r="F1029" t="s">
        <v>37</v>
      </c>
      <c r="G1029" t="s">
        <v>38</v>
      </c>
      <c r="H1029">
        <v>2</v>
      </c>
      <c r="I1029">
        <v>599</v>
      </c>
      <c r="J1029">
        <v>0</v>
      </c>
      <c r="K1029">
        <v>49</v>
      </c>
      <c r="L1029" t="s">
        <v>29</v>
      </c>
      <c r="M1029" t="s">
        <v>30</v>
      </c>
      <c r="N1029" t="s">
        <v>50</v>
      </c>
      <c r="O1029" t="s">
        <v>32</v>
      </c>
      <c r="P1029" t="s">
        <v>80</v>
      </c>
      <c r="Q1029">
        <v>3</v>
      </c>
      <c r="R1029">
        <f>IFERROR(Table1_1[[#This Row],[Unit_Price]]*Table1_1[[#This Row],[Quantity]],"")</f>
        <v>1198</v>
      </c>
      <c r="S1029">
        <f>IFERROR(Table1_1[[#This Row],[Gross_Sales]]*Table1_1[[#This Row],[Discount_%]],"")</f>
        <v>0</v>
      </c>
      <c r="T1029">
        <f>IFERROR(Table1_1[[#This Row],[Gross_Sales]]-Table1_1[[#This Row],[Discount_amount]]+Table1_1[[#This Row],[Shipping_Cost]],"")</f>
        <v>1247</v>
      </c>
      <c r="U1029">
        <f>IFERROR(Table1_1[[#This Row],[Net_Sale]]-(Table1_1[[#This Row],[Gross_Sales]]*70%),"")</f>
        <v>408.40000000000009</v>
      </c>
      <c r="V1029" s="7">
        <f>IFERROR(Table1_1[[#This Row],[Profit]]/Table1_1[[#This Row],[Net_Sale]],"")</f>
        <v>0.32750601443464322</v>
      </c>
      <c r="W1029" t="str">
        <f>TEXT(Table1_1[[#This Row],[Order_Date]],"mmm")</f>
        <v>Dec</v>
      </c>
    </row>
    <row r="1030" spans="1:23" x14ac:dyDescent="0.25">
      <c r="A1030" t="s">
        <v>1440</v>
      </c>
      <c r="B1030" t="s">
        <v>1173</v>
      </c>
      <c r="C1030" s="6">
        <v>46003</v>
      </c>
      <c r="D1030" t="s">
        <v>90</v>
      </c>
      <c r="E1030" t="s">
        <v>91</v>
      </c>
      <c r="F1030" t="s">
        <v>37</v>
      </c>
      <c r="G1030" t="s">
        <v>92</v>
      </c>
      <c r="H1030">
        <v>1</v>
      </c>
      <c r="I1030">
        <v>3499</v>
      </c>
      <c r="J1030">
        <v>0.05</v>
      </c>
      <c r="K1030">
        <v>59</v>
      </c>
      <c r="L1030" t="s">
        <v>100</v>
      </c>
      <c r="M1030" t="s">
        <v>101</v>
      </c>
      <c r="N1030" t="s">
        <v>40</v>
      </c>
      <c r="O1030" t="s">
        <v>32</v>
      </c>
      <c r="P1030" t="s">
        <v>33</v>
      </c>
      <c r="Q1030">
        <v>3</v>
      </c>
      <c r="R1030">
        <f>IFERROR(Table1_1[[#This Row],[Unit_Price]]*Table1_1[[#This Row],[Quantity]],"")</f>
        <v>3499</v>
      </c>
      <c r="S1030">
        <f>IFERROR(Table1_1[[#This Row],[Gross_Sales]]*Table1_1[[#This Row],[Discount_%]],"")</f>
        <v>174.95000000000002</v>
      </c>
      <c r="T1030">
        <f>IFERROR(Table1_1[[#This Row],[Gross_Sales]]-Table1_1[[#This Row],[Discount_amount]]+Table1_1[[#This Row],[Shipping_Cost]],"")</f>
        <v>3383.05</v>
      </c>
      <c r="U1030">
        <f>IFERROR(Table1_1[[#This Row],[Net_Sale]]-(Table1_1[[#This Row],[Gross_Sales]]*70%),"")</f>
        <v>933.75000000000045</v>
      </c>
      <c r="V1030" s="7">
        <f>IFERROR(Table1_1[[#This Row],[Profit]]/Table1_1[[#This Row],[Net_Sale]],"")</f>
        <v>0.27600833567343092</v>
      </c>
      <c r="W1030" t="str">
        <f>TEXT(Table1_1[[#This Row],[Order_Date]],"mmm")</f>
        <v>Dec</v>
      </c>
    </row>
    <row r="1031" spans="1:23" x14ac:dyDescent="0.25">
      <c r="A1031" t="s">
        <v>1441</v>
      </c>
      <c r="B1031" t="s">
        <v>1232</v>
      </c>
      <c r="C1031" s="6">
        <v>45736</v>
      </c>
      <c r="D1031" t="s">
        <v>67</v>
      </c>
      <c r="E1031" t="s">
        <v>68</v>
      </c>
      <c r="F1031" t="s">
        <v>37</v>
      </c>
      <c r="G1031" t="s">
        <v>38</v>
      </c>
      <c r="H1031">
        <v>1</v>
      </c>
      <c r="I1031">
        <v>1299</v>
      </c>
      <c r="J1031">
        <v>0.15</v>
      </c>
      <c r="K1031">
        <v>0</v>
      </c>
      <c r="L1031" t="s">
        <v>29</v>
      </c>
      <c r="M1031" t="s">
        <v>30</v>
      </c>
      <c r="N1031" t="s">
        <v>50</v>
      </c>
      <c r="O1031" t="s">
        <v>93</v>
      </c>
      <c r="P1031" t="s">
        <v>33</v>
      </c>
      <c r="Q1031">
        <v>4</v>
      </c>
      <c r="R1031">
        <f>IFERROR(Table1_1[[#This Row],[Unit_Price]]*Table1_1[[#This Row],[Quantity]],"")</f>
        <v>1299</v>
      </c>
      <c r="S1031">
        <f>IFERROR(Table1_1[[#This Row],[Gross_Sales]]*Table1_1[[#This Row],[Discount_%]],"")</f>
        <v>194.85</v>
      </c>
      <c r="T1031">
        <f>IFERROR(Table1_1[[#This Row],[Gross_Sales]]-Table1_1[[#This Row],[Discount_amount]]+Table1_1[[#This Row],[Shipping_Cost]],"")</f>
        <v>1104.1500000000001</v>
      </c>
      <c r="U1031">
        <f>IFERROR(Table1_1[[#This Row],[Net_Sale]]-(Table1_1[[#This Row],[Gross_Sales]]*70%),"")</f>
        <v>194.85000000000014</v>
      </c>
      <c r="V1031" s="7">
        <f>IFERROR(Table1_1[[#This Row],[Profit]]/Table1_1[[#This Row],[Net_Sale]],"")</f>
        <v>0.17647058823529424</v>
      </c>
      <c r="W1031" t="str">
        <f>TEXT(Table1_1[[#This Row],[Order_Date]],"mmm")</f>
        <v>Mar</v>
      </c>
    </row>
    <row r="1032" spans="1:23" x14ac:dyDescent="0.25">
      <c r="A1032" t="s">
        <v>1442</v>
      </c>
      <c r="B1032" t="s">
        <v>327</v>
      </c>
      <c r="C1032" s="6">
        <v>45686</v>
      </c>
      <c r="D1032" t="s">
        <v>35</v>
      </c>
      <c r="E1032" t="s">
        <v>36</v>
      </c>
      <c r="F1032" t="s">
        <v>37</v>
      </c>
      <c r="G1032" t="s">
        <v>38</v>
      </c>
      <c r="H1032">
        <v>1</v>
      </c>
      <c r="I1032">
        <v>599</v>
      </c>
      <c r="J1032">
        <v>0.1</v>
      </c>
      <c r="K1032">
        <v>49</v>
      </c>
      <c r="L1032" t="s">
        <v>83</v>
      </c>
      <c r="M1032" t="s">
        <v>84</v>
      </c>
      <c r="N1032" t="s">
        <v>102</v>
      </c>
      <c r="O1032" t="s">
        <v>51</v>
      </c>
      <c r="P1032" t="s">
        <v>52</v>
      </c>
      <c r="Q1032">
        <v>3</v>
      </c>
      <c r="R1032">
        <f>IFERROR(Table1_1[[#This Row],[Unit_Price]]*Table1_1[[#This Row],[Quantity]],"")</f>
        <v>599</v>
      </c>
      <c r="S1032">
        <f>IFERROR(Table1_1[[#This Row],[Gross_Sales]]*Table1_1[[#This Row],[Discount_%]],"")</f>
        <v>59.900000000000006</v>
      </c>
      <c r="T1032">
        <f>IFERROR(Table1_1[[#This Row],[Gross_Sales]]-Table1_1[[#This Row],[Discount_amount]]+Table1_1[[#This Row],[Shipping_Cost]],"")</f>
        <v>588.1</v>
      </c>
      <c r="U1032">
        <f>IFERROR(Table1_1[[#This Row],[Net_Sale]]-(Table1_1[[#This Row],[Gross_Sales]]*70%),"")</f>
        <v>168.80000000000007</v>
      </c>
      <c r="V1032" s="7">
        <f>IFERROR(Table1_1[[#This Row],[Profit]]/Table1_1[[#This Row],[Net_Sale]],"")</f>
        <v>0.28702601598367633</v>
      </c>
      <c r="W1032" t="str">
        <f>TEXT(Table1_1[[#This Row],[Order_Date]],"mmm")</f>
        <v>Jan</v>
      </c>
    </row>
    <row r="1033" spans="1:23" x14ac:dyDescent="0.25">
      <c r="A1033" t="s">
        <v>1443</v>
      </c>
      <c r="B1033" t="s">
        <v>620</v>
      </c>
      <c r="C1033" s="6">
        <v>45973</v>
      </c>
      <c r="D1033" t="s">
        <v>44</v>
      </c>
      <c r="E1033" t="s">
        <v>45</v>
      </c>
      <c r="F1033" t="s">
        <v>46</v>
      </c>
      <c r="G1033" t="s">
        <v>47</v>
      </c>
      <c r="H1033">
        <v>3</v>
      </c>
      <c r="I1033">
        <v>1199</v>
      </c>
      <c r="J1033">
        <v>0.2</v>
      </c>
      <c r="K1033">
        <v>0</v>
      </c>
      <c r="L1033" t="s">
        <v>119</v>
      </c>
      <c r="M1033" t="s">
        <v>120</v>
      </c>
      <c r="N1033" t="s">
        <v>50</v>
      </c>
      <c r="O1033" t="s">
        <v>41</v>
      </c>
      <c r="P1033" t="s">
        <v>33</v>
      </c>
      <c r="Q1033">
        <v>2</v>
      </c>
      <c r="R1033">
        <f>IFERROR(Table1_1[[#This Row],[Unit_Price]]*Table1_1[[#This Row],[Quantity]],"")</f>
        <v>3597</v>
      </c>
      <c r="S1033">
        <f>IFERROR(Table1_1[[#This Row],[Gross_Sales]]*Table1_1[[#This Row],[Discount_%]],"")</f>
        <v>719.40000000000009</v>
      </c>
      <c r="T1033">
        <f>IFERROR(Table1_1[[#This Row],[Gross_Sales]]-Table1_1[[#This Row],[Discount_amount]]+Table1_1[[#This Row],[Shipping_Cost]],"")</f>
        <v>2877.6</v>
      </c>
      <c r="U1033">
        <f>IFERROR(Table1_1[[#This Row],[Net_Sale]]-(Table1_1[[#This Row],[Gross_Sales]]*70%),"")</f>
        <v>359.70000000000027</v>
      </c>
      <c r="V1033" s="7">
        <f>IFERROR(Table1_1[[#This Row],[Profit]]/Table1_1[[#This Row],[Net_Sale]],"")</f>
        <v>0.12500000000000011</v>
      </c>
      <c r="W1033" t="str">
        <f>TEXT(Table1_1[[#This Row],[Order_Date]],"mmm")</f>
        <v>Nov</v>
      </c>
    </row>
    <row r="1034" spans="1:23" x14ac:dyDescent="0.25">
      <c r="A1034" t="s">
        <v>1444</v>
      </c>
      <c r="B1034" t="s">
        <v>1416</v>
      </c>
      <c r="C1034" s="6">
        <v>45903</v>
      </c>
      <c r="D1034" t="s">
        <v>62</v>
      </c>
      <c r="E1034" t="s">
        <v>63</v>
      </c>
      <c r="F1034" t="s">
        <v>46</v>
      </c>
      <c r="G1034" t="s">
        <v>64</v>
      </c>
      <c r="H1034">
        <v>1</v>
      </c>
      <c r="I1034">
        <v>699</v>
      </c>
      <c r="J1034">
        <v>0</v>
      </c>
      <c r="K1034">
        <v>99</v>
      </c>
      <c r="L1034" t="s">
        <v>83</v>
      </c>
      <c r="M1034" t="s">
        <v>84</v>
      </c>
      <c r="N1034" t="s">
        <v>71</v>
      </c>
      <c r="O1034" t="s">
        <v>51</v>
      </c>
      <c r="P1034" t="s">
        <v>80</v>
      </c>
      <c r="Q1034">
        <v>4</v>
      </c>
      <c r="R1034">
        <f>IFERROR(Table1_1[[#This Row],[Unit_Price]]*Table1_1[[#This Row],[Quantity]],"")</f>
        <v>699</v>
      </c>
      <c r="S1034">
        <f>IFERROR(Table1_1[[#This Row],[Gross_Sales]]*Table1_1[[#This Row],[Discount_%]],"")</f>
        <v>0</v>
      </c>
      <c r="T1034">
        <f>IFERROR(Table1_1[[#This Row],[Gross_Sales]]-Table1_1[[#This Row],[Discount_amount]]+Table1_1[[#This Row],[Shipping_Cost]],"")</f>
        <v>798</v>
      </c>
      <c r="U1034">
        <f>IFERROR(Table1_1[[#This Row],[Net_Sale]]-(Table1_1[[#This Row],[Gross_Sales]]*70%),"")</f>
        <v>308.70000000000005</v>
      </c>
      <c r="V1034" s="7">
        <f>IFERROR(Table1_1[[#This Row],[Profit]]/Table1_1[[#This Row],[Net_Sale]],"")</f>
        <v>0.38684210526315793</v>
      </c>
      <c r="W1034" t="str">
        <f>TEXT(Table1_1[[#This Row],[Order_Date]],"mmm")</f>
        <v>Sep</v>
      </c>
    </row>
    <row r="1035" spans="1:23" x14ac:dyDescent="0.25">
      <c r="A1035" t="s">
        <v>1445</v>
      </c>
      <c r="B1035" t="s">
        <v>329</v>
      </c>
      <c r="C1035" s="6">
        <v>45875</v>
      </c>
      <c r="D1035" t="s">
        <v>96</v>
      </c>
      <c r="E1035" t="s">
        <v>97</v>
      </c>
      <c r="F1035" t="s">
        <v>98</v>
      </c>
      <c r="G1035" t="s">
        <v>99</v>
      </c>
      <c r="H1035">
        <v>2</v>
      </c>
      <c r="I1035">
        <v>1499</v>
      </c>
      <c r="J1035">
        <v>0.1</v>
      </c>
      <c r="K1035">
        <v>0</v>
      </c>
      <c r="L1035" t="s">
        <v>29</v>
      </c>
      <c r="M1035" t="s">
        <v>30</v>
      </c>
      <c r="N1035" t="s">
        <v>40</v>
      </c>
      <c r="O1035" t="s">
        <v>93</v>
      </c>
      <c r="P1035" t="s">
        <v>33</v>
      </c>
      <c r="Q1035">
        <v>5</v>
      </c>
      <c r="R1035">
        <f>IFERROR(Table1_1[[#This Row],[Unit_Price]]*Table1_1[[#This Row],[Quantity]],"")</f>
        <v>2998</v>
      </c>
      <c r="S1035">
        <f>IFERROR(Table1_1[[#This Row],[Gross_Sales]]*Table1_1[[#This Row],[Discount_%]],"")</f>
        <v>299.8</v>
      </c>
      <c r="T1035">
        <f>IFERROR(Table1_1[[#This Row],[Gross_Sales]]-Table1_1[[#This Row],[Discount_amount]]+Table1_1[[#This Row],[Shipping_Cost]],"")</f>
        <v>2698.2</v>
      </c>
      <c r="U1035">
        <f>IFERROR(Table1_1[[#This Row],[Net_Sale]]-(Table1_1[[#This Row],[Gross_Sales]]*70%),"")</f>
        <v>599.59999999999991</v>
      </c>
      <c r="V1035" s="7">
        <f>IFERROR(Table1_1[[#This Row],[Profit]]/Table1_1[[#This Row],[Net_Sale]],"")</f>
        <v>0.22222222222222221</v>
      </c>
      <c r="W1035" t="str">
        <f>TEXT(Table1_1[[#This Row],[Order_Date]],"mmm")</f>
        <v>Aug</v>
      </c>
    </row>
    <row r="1036" spans="1:23" x14ac:dyDescent="0.25">
      <c r="A1036" t="s">
        <v>1446</v>
      </c>
      <c r="B1036" t="s">
        <v>196</v>
      </c>
      <c r="C1036" s="6">
        <v>45994</v>
      </c>
      <c r="D1036" t="s">
        <v>110</v>
      </c>
      <c r="E1036" t="s">
        <v>111</v>
      </c>
      <c r="F1036" t="s">
        <v>98</v>
      </c>
      <c r="G1036" t="s">
        <v>112</v>
      </c>
      <c r="H1036">
        <v>2</v>
      </c>
      <c r="I1036">
        <v>2999</v>
      </c>
      <c r="J1036">
        <v>0.05</v>
      </c>
      <c r="K1036">
        <v>49</v>
      </c>
      <c r="L1036" t="s">
        <v>39</v>
      </c>
      <c r="M1036" t="s">
        <v>39</v>
      </c>
      <c r="N1036" t="s">
        <v>40</v>
      </c>
      <c r="O1036" t="s">
        <v>51</v>
      </c>
      <c r="P1036" t="s">
        <v>33</v>
      </c>
      <c r="Q1036">
        <v>1</v>
      </c>
      <c r="R1036">
        <f>IFERROR(Table1_1[[#This Row],[Unit_Price]]*Table1_1[[#This Row],[Quantity]],"")</f>
        <v>5998</v>
      </c>
      <c r="S1036">
        <f>IFERROR(Table1_1[[#This Row],[Gross_Sales]]*Table1_1[[#This Row],[Discount_%]],"")</f>
        <v>299.90000000000003</v>
      </c>
      <c r="T1036">
        <f>IFERROR(Table1_1[[#This Row],[Gross_Sales]]-Table1_1[[#This Row],[Discount_amount]]+Table1_1[[#This Row],[Shipping_Cost]],"")</f>
        <v>5747.1</v>
      </c>
      <c r="U1036">
        <f>IFERROR(Table1_1[[#This Row],[Net_Sale]]-(Table1_1[[#This Row],[Gross_Sales]]*70%),"")</f>
        <v>1548.5000000000009</v>
      </c>
      <c r="V1036" s="7">
        <f>IFERROR(Table1_1[[#This Row],[Profit]]/Table1_1[[#This Row],[Net_Sale]],"")</f>
        <v>0.26944023942510148</v>
      </c>
      <c r="W1036" t="str">
        <f>TEXT(Table1_1[[#This Row],[Order_Date]],"mmm")</f>
        <v>Dec</v>
      </c>
    </row>
    <row r="1037" spans="1:23" x14ac:dyDescent="0.25">
      <c r="A1037" t="s">
        <v>1447</v>
      </c>
      <c r="B1037" t="s">
        <v>695</v>
      </c>
      <c r="C1037" s="6">
        <v>45915</v>
      </c>
      <c r="D1037" t="s">
        <v>105</v>
      </c>
      <c r="E1037" t="s">
        <v>106</v>
      </c>
      <c r="F1037" t="s">
        <v>37</v>
      </c>
      <c r="G1037" t="s">
        <v>107</v>
      </c>
      <c r="H1037">
        <v>2</v>
      </c>
      <c r="I1037">
        <v>1799</v>
      </c>
      <c r="J1037">
        <v>0.15</v>
      </c>
      <c r="K1037">
        <v>79</v>
      </c>
      <c r="L1037" t="s">
        <v>74</v>
      </c>
      <c r="M1037" t="s">
        <v>49</v>
      </c>
      <c r="N1037" t="s">
        <v>31</v>
      </c>
      <c r="O1037" t="s">
        <v>41</v>
      </c>
      <c r="P1037" t="s">
        <v>80</v>
      </c>
      <c r="Q1037">
        <v>3</v>
      </c>
      <c r="R1037">
        <f>IFERROR(Table1_1[[#This Row],[Unit_Price]]*Table1_1[[#This Row],[Quantity]],"")</f>
        <v>3598</v>
      </c>
      <c r="S1037">
        <f>IFERROR(Table1_1[[#This Row],[Gross_Sales]]*Table1_1[[#This Row],[Discount_%]],"")</f>
        <v>539.69999999999993</v>
      </c>
      <c r="T1037">
        <f>IFERROR(Table1_1[[#This Row],[Gross_Sales]]-Table1_1[[#This Row],[Discount_amount]]+Table1_1[[#This Row],[Shipping_Cost]],"")</f>
        <v>3137.3</v>
      </c>
      <c r="U1037">
        <f>IFERROR(Table1_1[[#This Row],[Net_Sale]]-(Table1_1[[#This Row],[Gross_Sales]]*70%),"")</f>
        <v>618.70000000000027</v>
      </c>
      <c r="V1037" s="7">
        <f>IFERROR(Table1_1[[#This Row],[Profit]]/Table1_1[[#This Row],[Net_Sale]],"")</f>
        <v>0.19720779013801684</v>
      </c>
      <c r="W1037" t="str">
        <f>TEXT(Table1_1[[#This Row],[Order_Date]],"mmm")</f>
        <v>Sep</v>
      </c>
    </row>
    <row r="1038" spans="1:23" x14ac:dyDescent="0.25">
      <c r="A1038" t="s">
        <v>1448</v>
      </c>
      <c r="B1038" t="s">
        <v>857</v>
      </c>
      <c r="C1038" s="6">
        <v>45946</v>
      </c>
      <c r="D1038" t="s">
        <v>105</v>
      </c>
      <c r="E1038" t="s">
        <v>106</v>
      </c>
      <c r="F1038" t="s">
        <v>37</v>
      </c>
      <c r="G1038" t="s">
        <v>107</v>
      </c>
      <c r="H1038">
        <v>2</v>
      </c>
      <c r="I1038">
        <v>1799</v>
      </c>
      <c r="J1038">
        <v>0</v>
      </c>
      <c r="K1038">
        <v>59</v>
      </c>
      <c r="L1038" t="s">
        <v>74</v>
      </c>
      <c r="M1038" t="s">
        <v>49</v>
      </c>
      <c r="N1038" t="s">
        <v>40</v>
      </c>
      <c r="O1038" t="s">
        <v>93</v>
      </c>
      <c r="P1038" t="s">
        <v>80</v>
      </c>
      <c r="Q1038">
        <v>3</v>
      </c>
      <c r="R1038">
        <f>IFERROR(Table1_1[[#This Row],[Unit_Price]]*Table1_1[[#This Row],[Quantity]],"")</f>
        <v>3598</v>
      </c>
      <c r="S1038">
        <f>IFERROR(Table1_1[[#This Row],[Gross_Sales]]*Table1_1[[#This Row],[Discount_%]],"")</f>
        <v>0</v>
      </c>
      <c r="T1038">
        <f>IFERROR(Table1_1[[#This Row],[Gross_Sales]]-Table1_1[[#This Row],[Discount_amount]]+Table1_1[[#This Row],[Shipping_Cost]],"")</f>
        <v>3657</v>
      </c>
      <c r="U1038">
        <f>IFERROR(Table1_1[[#This Row],[Net_Sale]]-(Table1_1[[#This Row],[Gross_Sales]]*70%),"")</f>
        <v>1138.4000000000001</v>
      </c>
      <c r="V1038" s="7">
        <f>IFERROR(Table1_1[[#This Row],[Profit]]/Table1_1[[#This Row],[Net_Sale]],"")</f>
        <v>0.3112934098988242</v>
      </c>
      <c r="W1038" t="str">
        <f>TEXT(Table1_1[[#This Row],[Order_Date]],"mmm")</f>
        <v>Oct</v>
      </c>
    </row>
    <row r="1039" spans="1:23" x14ac:dyDescent="0.25">
      <c r="A1039" t="s">
        <v>1449</v>
      </c>
      <c r="B1039" t="s">
        <v>422</v>
      </c>
      <c r="C1039" s="6">
        <v>45899</v>
      </c>
      <c r="D1039" t="s">
        <v>25</v>
      </c>
      <c r="E1039" t="s">
        <v>26</v>
      </c>
      <c r="F1039" t="s">
        <v>27</v>
      </c>
      <c r="G1039" t="s">
        <v>28</v>
      </c>
      <c r="H1039">
        <v>1</v>
      </c>
      <c r="I1039">
        <v>249</v>
      </c>
      <c r="J1039">
        <v>0.15</v>
      </c>
      <c r="K1039">
        <v>99</v>
      </c>
      <c r="L1039" t="s">
        <v>119</v>
      </c>
      <c r="M1039" t="s">
        <v>120</v>
      </c>
      <c r="N1039" t="s">
        <v>71</v>
      </c>
      <c r="O1039" t="s">
        <v>41</v>
      </c>
      <c r="P1039" t="s">
        <v>33</v>
      </c>
      <c r="Q1039">
        <v>3</v>
      </c>
      <c r="R1039">
        <f>IFERROR(Table1_1[[#This Row],[Unit_Price]]*Table1_1[[#This Row],[Quantity]],"")</f>
        <v>249</v>
      </c>
      <c r="S1039">
        <f>IFERROR(Table1_1[[#This Row],[Gross_Sales]]*Table1_1[[#This Row],[Discount_%]],"")</f>
        <v>37.35</v>
      </c>
      <c r="T1039">
        <f>IFERROR(Table1_1[[#This Row],[Gross_Sales]]-Table1_1[[#This Row],[Discount_amount]]+Table1_1[[#This Row],[Shipping_Cost]],"")</f>
        <v>310.64999999999998</v>
      </c>
      <c r="U1039">
        <f>IFERROR(Table1_1[[#This Row],[Net_Sale]]-(Table1_1[[#This Row],[Gross_Sales]]*70%),"")</f>
        <v>136.35</v>
      </c>
      <c r="V1039" s="7">
        <f>IFERROR(Table1_1[[#This Row],[Profit]]/Table1_1[[#This Row],[Net_Sale]],"")</f>
        <v>0.43891839690970547</v>
      </c>
      <c r="W1039" t="str">
        <f>TEXT(Table1_1[[#This Row],[Order_Date]],"mmm")</f>
        <v>Aug</v>
      </c>
    </row>
    <row r="1040" spans="1:23" x14ac:dyDescent="0.25">
      <c r="A1040" t="s">
        <v>1450</v>
      </c>
      <c r="B1040" t="s">
        <v>202</v>
      </c>
      <c r="C1040" s="6">
        <v>45836</v>
      </c>
      <c r="D1040" t="s">
        <v>169</v>
      </c>
      <c r="E1040" t="s">
        <v>170</v>
      </c>
      <c r="F1040" t="s">
        <v>98</v>
      </c>
      <c r="G1040" t="s">
        <v>171</v>
      </c>
      <c r="H1040">
        <v>4</v>
      </c>
      <c r="I1040">
        <v>799</v>
      </c>
      <c r="J1040">
        <v>0</v>
      </c>
      <c r="K1040">
        <v>0</v>
      </c>
      <c r="L1040" t="s">
        <v>125</v>
      </c>
      <c r="M1040" t="s">
        <v>126</v>
      </c>
      <c r="N1040" t="s">
        <v>430</v>
      </c>
      <c r="O1040" t="s">
        <v>41</v>
      </c>
      <c r="P1040" t="s">
        <v>52</v>
      </c>
      <c r="Q1040">
        <v>1</v>
      </c>
      <c r="R1040">
        <f>IFERROR(Table1_1[[#This Row],[Unit_Price]]*Table1_1[[#This Row],[Quantity]],"")</f>
        <v>3196</v>
      </c>
      <c r="S1040">
        <f>IFERROR(Table1_1[[#This Row],[Gross_Sales]]*Table1_1[[#This Row],[Discount_%]],"")</f>
        <v>0</v>
      </c>
      <c r="T1040">
        <f>IFERROR(Table1_1[[#This Row],[Gross_Sales]]-Table1_1[[#This Row],[Discount_amount]]+Table1_1[[#This Row],[Shipping_Cost]],"")</f>
        <v>3196</v>
      </c>
      <c r="U1040">
        <f>IFERROR(Table1_1[[#This Row],[Net_Sale]]-(Table1_1[[#This Row],[Gross_Sales]]*70%),"")</f>
        <v>958.80000000000018</v>
      </c>
      <c r="V1040" s="7">
        <f>IFERROR(Table1_1[[#This Row],[Profit]]/Table1_1[[#This Row],[Net_Sale]],"")</f>
        <v>0.30000000000000004</v>
      </c>
      <c r="W1040" t="str">
        <f>TEXT(Table1_1[[#This Row],[Order_Date]],"mmm")</f>
        <v>Jun</v>
      </c>
    </row>
    <row r="1041" spans="1:23" x14ac:dyDescent="0.25">
      <c r="A1041" t="s">
        <v>1451</v>
      </c>
      <c r="B1041" t="s">
        <v>574</v>
      </c>
      <c r="C1041" s="6">
        <v>46005</v>
      </c>
      <c r="D1041" t="s">
        <v>25</v>
      </c>
      <c r="E1041" t="s">
        <v>26</v>
      </c>
      <c r="F1041" t="s">
        <v>27</v>
      </c>
      <c r="G1041" t="s">
        <v>28</v>
      </c>
      <c r="H1041">
        <v>2</v>
      </c>
      <c r="I1041">
        <v>249</v>
      </c>
      <c r="J1041">
        <v>0.2</v>
      </c>
      <c r="K1041">
        <v>49</v>
      </c>
      <c r="L1041" t="s">
        <v>29</v>
      </c>
      <c r="M1041" t="s">
        <v>30</v>
      </c>
      <c r="N1041" t="s">
        <v>50</v>
      </c>
      <c r="O1041" t="s">
        <v>59</v>
      </c>
      <c r="P1041" t="s">
        <v>33</v>
      </c>
      <c r="Q1041">
        <v>3</v>
      </c>
      <c r="R1041">
        <f>IFERROR(Table1_1[[#This Row],[Unit_Price]]*Table1_1[[#This Row],[Quantity]],"")</f>
        <v>498</v>
      </c>
      <c r="S1041">
        <f>IFERROR(Table1_1[[#This Row],[Gross_Sales]]*Table1_1[[#This Row],[Discount_%]],"")</f>
        <v>99.600000000000009</v>
      </c>
      <c r="T1041">
        <f>IFERROR(Table1_1[[#This Row],[Gross_Sales]]-Table1_1[[#This Row],[Discount_amount]]+Table1_1[[#This Row],[Shipping_Cost]],"")</f>
        <v>447.4</v>
      </c>
      <c r="U1041">
        <f>IFERROR(Table1_1[[#This Row],[Net_Sale]]-(Table1_1[[#This Row],[Gross_Sales]]*70%),"")</f>
        <v>98.800000000000011</v>
      </c>
      <c r="V1041" s="7">
        <f>IFERROR(Table1_1[[#This Row],[Profit]]/Table1_1[[#This Row],[Net_Sale]],"")</f>
        <v>0.22083147071971393</v>
      </c>
      <c r="W1041" t="str">
        <f>TEXT(Table1_1[[#This Row],[Order_Date]],"mmm")</f>
        <v>Dec</v>
      </c>
    </row>
    <row r="1042" spans="1:23" x14ac:dyDescent="0.25">
      <c r="A1042" t="s">
        <v>1452</v>
      </c>
      <c r="B1042" t="s">
        <v>267</v>
      </c>
      <c r="C1042" s="6">
        <v>45786</v>
      </c>
      <c r="D1042" t="s">
        <v>96</v>
      </c>
      <c r="E1042" t="s">
        <v>97</v>
      </c>
      <c r="F1042" t="s">
        <v>98</v>
      </c>
      <c r="G1042" t="s">
        <v>99</v>
      </c>
      <c r="H1042">
        <v>1</v>
      </c>
      <c r="I1042">
        <v>1499</v>
      </c>
      <c r="J1042">
        <v>0</v>
      </c>
      <c r="K1042">
        <v>79</v>
      </c>
      <c r="L1042" t="s">
        <v>29</v>
      </c>
      <c r="M1042" t="s">
        <v>30</v>
      </c>
      <c r="N1042" t="s">
        <v>102</v>
      </c>
      <c r="O1042" t="s">
        <v>93</v>
      </c>
      <c r="P1042" t="s">
        <v>80</v>
      </c>
      <c r="Q1042">
        <v>2</v>
      </c>
      <c r="R1042">
        <f>IFERROR(Table1_1[[#This Row],[Unit_Price]]*Table1_1[[#This Row],[Quantity]],"")</f>
        <v>1499</v>
      </c>
      <c r="S1042">
        <f>IFERROR(Table1_1[[#This Row],[Gross_Sales]]*Table1_1[[#This Row],[Discount_%]],"")</f>
        <v>0</v>
      </c>
      <c r="T1042">
        <f>IFERROR(Table1_1[[#This Row],[Gross_Sales]]-Table1_1[[#This Row],[Discount_amount]]+Table1_1[[#This Row],[Shipping_Cost]],"")</f>
        <v>1578</v>
      </c>
      <c r="U1042">
        <f>IFERROR(Table1_1[[#This Row],[Net_Sale]]-(Table1_1[[#This Row],[Gross_Sales]]*70%),"")</f>
        <v>528.70000000000005</v>
      </c>
      <c r="V1042" s="7">
        <f>IFERROR(Table1_1[[#This Row],[Profit]]/Table1_1[[#This Row],[Net_Sale]],"")</f>
        <v>0.33504435994930293</v>
      </c>
      <c r="W1042" t="str">
        <f>TEXT(Table1_1[[#This Row],[Order_Date]],"mmm")</f>
        <v>May</v>
      </c>
    </row>
    <row r="1043" spans="1:23" x14ac:dyDescent="0.25">
      <c r="A1043" t="s">
        <v>1453</v>
      </c>
      <c r="B1043" t="s">
        <v>1228</v>
      </c>
      <c r="C1043" s="6">
        <v>45851</v>
      </c>
      <c r="D1043" t="s">
        <v>169</v>
      </c>
      <c r="E1043" t="s">
        <v>170</v>
      </c>
      <c r="F1043" t="s">
        <v>98</v>
      </c>
      <c r="G1043" t="s">
        <v>171</v>
      </c>
      <c r="H1043">
        <v>2</v>
      </c>
      <c r="I1043">
        <v>799</v>
      </c>
      <c r="J1043">
        <v>0.15</v>
      </c>
      <c r="K1043">
        <v>49</v>
      </c>
      <c r="L1043" t="s">
        <v>29</v>
      </c>
      <c r="M1043" t="s">
        <v>30</v>
      </c>
      <c r="N1043" t="s">
        <v>71</v>
      </c>
      <c r="O1043" t="s">
        <v>59</v>
      </c>
      <c r="P1043" t="s">
        <v>85</v>
      </c>
      <c r="Q1043">
        <v>4</v>
      </c>
      <c r="R1043">
        <f>IFERROR(Table1_1[[#This Row],[Unit_Price]]*Table1_1[[#This Row],[Quantity]],"")</f>
        <v>1598</v>
      </c>
      <c r="S1043">
        <f>IFERROR(Table1_1[[#This Row],[Gross_Sales]]*Table1_1[[#This Row],[Discount_%]],"")</f>
        <v>239.7</v>
      </c>
      <c r="T1043">
        <f>IFERROR(Table1_1[[#This Row],[Gross_Sales]]-Table1_1[[#This Row],[Discount_amount]]+Table1_1[[#This Row],[Shipping_Cost]],"")</f>
        <v>1407.3</v>
      </c>
      <c r="U1043">
        <f>IFERROR(Table1_1[[#This Row],[Net_Sale]]-(Table1_1[[#This Row],[Gross_Sales]]*70%),"")</f>
        <v>288.70000000000005</v>
      </c>
      <c r="V1043" s="7">
        <f>IFERROR(Table1_1[[#This Row],[Profit]]/Table1_1[[#This Row],[Net_Sale]],"")</f>
        <v>0.20514460314076605</v>
      </c>
      <c r="W1043" t="str">
        <f>TEXT(Table1_1[[#This Row],[Order_Date]],"mmm")</f>
        <v>Jul</v>
      </c>
    </row>
    <row r="1044" spans="1:23" x14ac:dyDescent="0.25">
      <c r="A1044" t="s">
        <v>1454</v>
      </c>
      <c r="B1044" t="s">
        <v>445</v>
      </c>
      <c r="C1044" s="6">
        <v>45740</v>
      </c>
      <c r="D1044" t="s">
        <v>25</v>
      </c>
      <c r="E1044" t="s">
        <v>26</v>
      </c>
      <c r="F1044" t="s">
        <v>27</v>
      </c>
      <c r="G1044" t="s">
        <v>28</v>
      </c>
      <c r="H1044">
        <v>1</v>
      </c>
      <c r="I1044">
        <v>249</v>
      </c>
      <c r="J1044">
        <v>0</v>
      </c>
      <c r="K1044">
        <v>0</v>
      </c>
      <c r="L1044" t="s">
        <v>48</v>
      </c>
      <c r="M1044" t="s">
        <v>49</v>
      </c>
      <c r="N1044" t="s">
        <v>31</v>
      </c>
      <c r="O1044" t="s">
        <v>93</v>
      </c>
      <c r="P1044" t="s">
        <v>85</v>
      </c>
      <c r="Q1044">
        <v>2</v>
      </c>
      <c r="R1044">
        <f>IFERROR(Table1_1[[#This Row],[Unit_Price]]*Table1_1[[#This Row],[Quantity]],"")</f>
        <v>249</v>
      </c>
      <c r="S1044">
        <f>IFERROR(Table1_1[[#This Row],[Gross_Sales]]*Table1_1[[#This Row],[Discount_%]],"")</f>
        <v>0</v>
      </c>
      <c r="T1044">
        <f>IFERROR(Table1_1[[#This Row],[Gross_Sales]]-Table1_1[[#This Row],[Discount_amount]]+Table1_1[[#This Row],[Shipping_Cost]],"")</f>
        <v>249</v>
      </c>
      <c r="U1044">
        <f>IFERROR(Table1_1[[#This Row],[Net_Sale]]-(Table1_1[[#This Row],[Gross_Sales]]*70%),"")</f>
        <v>74.700000000000017</v>
      </c>
      <c r="V1044" s="7">
        <f>IFERROR(Table1_1[[#This Row],[Profit]]/Table1_1[[#This Row],[Net_Sale]],"")</f>
        <v>0.30000000000000004</v>
      </c>
      <c r="W1044" t="str">
        <f>TEXT(Table1_1[[#This Row],[Order_Date]],"mmm")</f>
        <v>Mar</v>
      </c>
    </row>
    <row r="1045" spans="1:23" x14ac:dyDescent="0.25">
      <c r="A1045" t="s">
        <v>1455</v>
      </c>
      <c r="B1045" t="s">
        <v>620</v>
      </c>
      <c r="C1045" s="6">
        <v>45842</v>
      </c>
      <c r="D1045" t="s">
        <v>35</v>
      </c>
      <c r="E1045" t="s">
        <v>36</v>
      </c>
      <c r="F1045" t="s">
        <v>37</v>
      </c>
      <c r="G1045" t="s">
        <v>38</v>
      </c>
      <c r="H1045">
        <v>3</v>
      </c>
      <c r="I1045">
        <v>599</v>
      </c>
      <c r="J1045">
        <v>0</v>
      </c>
      <c r="K1045">
        <v>59</v>
      </c>
      <c r="L1045" t="s">
        <v>100</v>
      </c>
      <c r="M1045" t="s">
        <v>101</v>
      </c>
      <c r="N1045" t="s">
        <v>102</v>
      </c>
      <c r="O1045" t="s">
        <v>59</v>
      </c>
      <c r="P1045" t="s">
        <v>85</v>
      </c>
      <c r="Q1045">
        <v>2</v>
      </c>
      <c r="R1045">
        <f>IFERROR(Table1_1[[#This Row],[Unit_Price]]*Table1_1[[#This Row],[Quantity]],"")</f>
        <v>1797</v>
      </c>
      <c r="S1045">
        <f>IFERROR(Table1_1[[#This Row],[Gross_Sales]]*Table1_1[[#This Row],[Discount_%]],"")</f>
        <v>0</v>
      </c>
      <c r="T1045">
        <f>IFERROR(Table1_1[[#This Row],[Gross_Sales]]-Table1_1[[#This Row],[Discount_amount]]+Table1_1[[#This Row],[Shipping_Cost]],"")</f>
        <v>1856</v>
      </c>
      <c r="U1045">
        <f>IFERROR(Table1_1[[#This Row],[Net_Sale]]-(Table1_1[[#This Row],[Gross_Sales]]*70%),"")</f>
        <v>598.10000000000014</v>
      </c>
      <c r="V1045" s="7">
        <f>IFERROR(Table1_1[[#This Row],[Profit]]/Table1_1[[#This Row],[Net_Sale]],"")</f>
        <v>0.32225215517241385</v>
      </c>
      <c r="W1045" t="str">
        <f>TEXT(Table1_1[[#This Row],[Order_Date]],"mmm")</f>
        <v>Jul</v>
      </c>
    </row>
    <row r="1046" spans="1:23" x14ac:dyDescent="0.25">
      <c r="A1046" t="s">
        <v>1456</v>
      </c>
      <c r="B1046" t="s">
        <v>1618</v>
      </c>
      <c r="C1046" s="6">
        <v>45914</v>
      </c>
      <c r="D1046" t="s">
        <v>67</v>
      </c>
      <c r="E1046" t="s">
        <v>68</v>
      </c>
      <c r="F1046" t="s">
        <v>37</v>
      </c>
      <c r="G1046" t="s">
        <v>38</v>
      </c>
      <c r="H1046">
        <v>3</v>
      </c>
      <c r="I1046">
        <v>1299</v>
      </c>
      <c r="J1046">
        <v>0.15</v>
      </c>
      <c r="K1046">
        <v>49</v>
      </c>
      <c r="L1046" t="s">
        <v>125</v>
      </c>
      <c r="M1046" t="s">
        <v>126</v>
      </c>
      <c r="N1046" t="s">
        <v>40</v>
      </c>
      <c r="O1046" t="s">
        <v>59</v>
      </c>
      <c r="P1046" t="s">
        <v>85</v>
      </c>
      <c r="Q1046">
        <v>3</v>
      </c>
      <c r="R1046">
        <f>IFERROR(Table1_1[[#This Row],[Unit_Price]]*Table1_1[[#This Row],[Quantity]],"")</f>
        <v>3897</v>
      </c>
      <c r="S1046">
        <f>IFERROR(Table1_1[[#This Row],[Gross_Sales]]*Table1_1[[#This Row],[Discount_%]],"")</f>
        <v>584.54999999999995</v>
      </c>
      <c r="T1046">
        <f>IFERROR(Table1_1[[#This Row],[Gross_Sales]]-Table1_1[[#This Row],[Discount_amount]]+Table1_1[[#This Row],[Shipping_Cost]],"")</f>
        <v>3361.45</v>
      </c>
      <c r="U1046">
        <f>IFERROR(Table1_1[[#This Row],[Net_Sale]]-(Table1_1[[#This Row],[Gross_Sales]]*70%),"")</f>
        <v>633.55000000000018</v>
      </c>
      <c r="V1046" s="7">
        <f>IFERROR(Table1_1[[#This Row],[Profit]]/Table1_1[[#This Row],[Net_Sale]],"")</f>
        <v>0.18847521159023642</v>
      </c>
      <c r="W1046" t="str">
        <f>TEXT(Table1_1[[#This Row],[Order_Date]],"mmm")</f>
        <v>Sep</v>
      </c>
    </row>
    <row r="1047" spans="1:23" x14ac:dyDescent="0.25">
      <c r="A1047" t="s">
        <v>1457</v>
      </c>
      <c r="B1047" t="s">
        <v>236</v>
      </c>
      <c r="C1047" s="6">
        <v>45723</v>
      </c>
      <c r="D1047" t="s">
        <v>96</v>
      </c>
      <c r="E1047" t="s">
        <v>97</v>
      </c>
      <c r="F1047" t="s">
        <v>98</v>
      </c>
      <c r="G1047" t="s">
        <v>99</v>
      </c>
      <c r="H1047">
        <v>2</v>
      </c>
      <c r="I1047">
        <v>1499</v>
      </c>
      <c r="J1047">
        <v>0</v>
      </c>
      <c r="K1047">
        <v>79</v>
      </c>
      <c r="L1047" t="s">
        <v>29</v>
      </c>
      <c r="M1047" t="s">
        <v>30</v>
      </c>
      <c r="N1047" t="s">
        <v>31</v>
      </c>
      <c r="O1047" t="s">
        <v>32</v>
      </c>
      <c r="P1047" t="s">
        <v>33</v>
      </c>
      <c r="Q1047">
        <v>5</v>
      </c>
      <c r="R1047">
        <f>IFERROR(Table1_1[[#This Row],[Unit_Price]]*Table1_1[[#This Row],[Quantity]],"")</f>
        <v>2998</v>
      </c>
      <c r="S1047">
        <f>IFERROR(Table1_1[[#This Row],[Gross_Sales]]*Table1_1[[#This Row],[Discount_%]],"")</f>
        <v>0</v>
      </c>
      <c r="T1047">
        <f>IFERROR(Table1_1[[#This Row],[Gross_Sales]]-Table1_1[[#This Row],[Discount_amount]]+Table1_1[[#This Row],[Shipping_Cost]],"")</f>
        <v>3077</v>
      </c>
      <c r="U1047">
        <f>IFERROR(Table1_1[[#This Row],[Net_Sale]]-(Table1_1[[#This Row],[Gross_Sales]]*70%),"")</f>
        <v>978.40000000000009</v>
      </c>
      <c r="V1047" s="7">
        <f>IFERROR(Table1_1[[#This Row],[Profit]]/Table1_1[[#This Row],[Net_Sale]],"")</f>
        <v>0.31797205069873258</v>
      </c>
      <c r="W1047" t="str">
        <f>TEXT(Table1_1[[#This Row],[Order_Date]],"mmm")</f>
        <v>Mar</v>
      </c>
    </row>
    <row r="1048" spans="1:23" x14ac:dyDescent="0.25">
      <c r="A1048" t="s">
        <v>1458</v>
      </c>
      <c r="B1048" t="s">
        <v>234</v>
      </c>
      <c r="C1048" s="6">
        <v>45806</v>
      </c>
      <c r="D1048" t="s">
        <v>169</v>
      </c>
      <c r="E1048" t="s">
        <v>170</v>
      </c>
      <c r="F1048" t="s">
        <v>98</v>
      </c>
      <c r="G1048" t="s">
        <v>171</v>
      </c>
      <c r="H1048">
        <v>1</v>
      </c>
      <c r="I1048">
        <v>799</v>
      </c>
      <c r="J1048">
        <v>0.05</v>
      </c>
      <c r="K1048">
        <v>0</v>
      </c>
      <c r="L1048" t="s">
        <v>39</v>
      </c>
      <c r="M1048" t="s">
        <v>39</v>
      </c>
      <c r="N1048" t="s">
        <v>71</v>
      </c>
      <c r="O1048" t="s">
        <v>93</v>
      </c>
      <c r="P1048" t="s">
        <v>80</v>
      </c>
      <c r="Q1048">
        <v>5</v>
      </c>
      <c r="R1048">
        <f>IFERROR(Table1_1[[#This Row],[Unit_Price]]*Table1_1[[#This Row],[Quantity]],"")</f>
        <v>799</v>
      </c>
      <c r="S1048">
        <f>IFERROR(Table1_1[[#This Row],[Gross_Sales]]*Table1_1[[#This Row],[Discount_%]],"")</f>
        <v>39.950000000000003</v>
      </c>
      <c r="T1048">
        <f>IFERROR(Table1_1[[#This Row],[Gross_Sales]]-Table1_1[[#This Row],[Discount_amount]]+Table1_1[[#This Row],[Shipping_Cost]],"")</f>
        <v>759.05</v>
      </c>
      <c r="U1048">
        <f>IFERROR(Table1_1[[#This Row],[Net_Sale]]-(Table1_1[[#This Row],[Gross_Sales]]*70%),"")</f>
        <v>199.75</v>
      </c>
      <c r="V1048" s="7">
        <f>IFERROR(Table1_1[[#This Row],[Profit]]/Table1_1[[#This Row],[Net_Sale]],"")</f>
        <v>0.26315789473684215</v>
      </c>
      <c r="W1048" t="str">
        <f>TEXT(Table1_1[[#This Row],[Order_Date]],"mmm")</f>
        <v>May</v>
      </c>
    </row>
    <row r="1049" spans="1:23" x14ac:dyDescent="0.25">
      <c r="A1049" t="s">
        <v>1459</v>
      </c>
      <c r="B1049" t="s">
        <v>24</v>
      </c>
      <c r="C1049" s="6">
        <v>45970</v>
      </c>
      <c r="D1049" t="s">
        <v>44</v>
      </c>
      <c r="E1049" t="s">
        <v>45</v>
      </c>
      <c r="F1049" t="s">
        <v>46</v>
      </c>
      <c r="G1049" t="s">
        <v>47</v>
      </c>
      <c r="H1049">
        <v>3</v>
      </c>
      <c r="I1049">
        <v>1199</v>
      </c>
      <c r="J1049">
        <v>0.15</v>
      </c>
      <c r="K1049">
        <v>0</v>
      </c>
      <c r="L1049" t="s">
        <v>113</v>
      </c>
      <c r="M1049" t="s">
        <v>114</v>
      </c>
      <c r="N1049" t="s">
        <v>31</v>
      </c>
      <c r="O1049" t="s">
        <v>32</v>
      </c>
      <c r="P1049" t="s">
        <v>52</v>
      </c>
      <c r="Q1049">
        <v>4</v>
      </c>
      <c r="R1049">
        <f>IFERROR(Table1_1[[#This Row],[Unit_Price]]*Table1_1[[#This Row],[Quantity]],"")</f>
        <v>3597</v>
      </c>
      <c r="S1049">
        <f>IFERROR(Table1_1[[#This Row],[Gross_Sales]]*Table1_1[[#This Row],[Discount_%]],"")</f>
        <v>539.54999999999995</v>
      </c>
      <c r="T1049">
        <f>IFERROR(Table1_1[[#This Row],[Gross_Sales]]-Table1_1[[#This Row],[Discount_amount]]+Table1_1[[#This Row],[Shipping_Cost]],"")</f>
        <v>3057.45</v>
      </c>
      <c r="U1049">
        <f>IFERROR(Table1_1[[#This Row],[Net_Sale]]-(Table1_1[[#This Row],[Gross_Sales]]*70%),"")</f>
        <v>539.55000000000018</v>
      </c>
      <c r="V1049" s="7">
        <f>IFERROR(Table1_1[[#This Row],[Profit]]/Table1_1[[#This Row],[Net_Sale]],"")</f>
        <v>0.17647058823529418</v>
      </c>
      <c r="W1049" t="str">
        <f>TEXT(Table1_1[[#This Row],[Order_Date]],"mmm")</f>
        <v>Nov</v>
      </c>
    </row>
    <row r="1050" spans="1:23" x14ac:dyDescent="0.25">
      <c r="A1050" t="s">
        <v>1460</v>
      </c>
      <c r="B1050" t="s">
        <v>470</v>
      </c>
      <c r="C1050" s="6">
        <v>45873</v>
      </c>
      <c r="D1050" t="s">
        <v>110</v>
      </c>
      <c r="E1050" t="s">
        <v>111</v>
      </c>
      <c r="F1050" t="s">
        <v>98</v>
      </c>
      <c r="G1050" t="s">
        <v>112</v>
      </c>
      <c r="H1050">
        <v>1</v>
      </c>
      <c r="I1050">
        <v>2999</v>
      </c>
      <c r="J1050">
        <v>0</v>
      </c>
      <c r="K1050">
        <v>49</v>
      </c>
      <c r="L1050" t="s">
        <v>39</v>
      </c>
      <c r="M1050" t="s">
        <v>39</v>
      </c>
      <c r="N1050" t="s">
        <v>102</v>
      </c>
      <c r="O1050" t="s">
        <v>51</v>
      </c>
      <c r="P1050" t="s">
        <v>33</v>
      </c>
      <c r="Q1050">
        <v>3</v>
      </c>
      <c r="R1050">
        <f>IFERROR(Table1_1[[#This Row],[Unit_Price]]*Table1_1[[#This Row],[Quantity]],"")</f>
        <v>2999</v>
      </c>
      <c r="S1050">
        <f>IFERROR(Table1_1[[#This Row],[Gross_Sales]]*Table1_1[[#This Row],[Discount_%]],"")</f>
        <v>0</v>
      </c>
      <c r="T1050">
        <f>IFERROR(Table1_1[[#This Row],[Gross_Sales]]-Table1_1[[#This Row],[Discount_amount]]+Table1_1[[#This Row],[Shipping_Cost]],"")</f>
        <v>3048</v>
      </c>
      <c r="U1050">
        <f>IFERROR(Table1_1[[#This Row],[Net_Sale]]-(Table1_1[[#This Row],[Gross_Sales]]*70%),"")</f>
        <v>948.70000000000027</v>
      </c>
      <c r="V1050" s="7">
        <f>IFERROR(Table1_1[[#This Row],[Profit]]/Table1_1[[#This Row],[Net_Sale]],"")</f>
        <v>0.31125328083989512</v>
      </c>
      <c r="W1050" t="str">
        <f>TEXT(Table1_1[[#This Row],[Order_Date]],"mmm")</f>
        <v>Aug</v>
      </c>
    </row>
    <row r="1051" spans="1:23" x14ac:dyDescent="0.25">
      <c r="A1051" t="s">
        <v>1461</v>
      </c>
      <c r="B1051" t="s">
        <v>1618</v>
      </c>
      <c r="C1051" s="6">
        <v>45695</v>
      </c>
      <c r="D1051" t="s">
        <v>25</v>
      </c>
      <c r="E1051" t="s">
        <v>26</v>
      </c>
      <c r="F1051" t="s">
        <v>27</v>
      </c>
      <c r="G1051" t="s">
        <v>28</v>
      </c>
      <c r="H1051">
        <v>1</v>
      </c>
      <c r="I1051">
        <v>249</v>
      </c>
      <c r="J1051">
        <v>0.2</v>
      </c>
      <c r="K1051">
        <v>0</v>
      </c>
      <c r="L1051" t="s">
        <v>39</v>
      </c>
      <c r="M1051" t="s">
        <v>39</v>
      </c>
      <c r="N1051" t="s">
        <v>31</v>
      </c>
      <c r="O1051" t="s">
        <v>59</v>
      </c>
      <c r="P1051" t="s">
        <v>85</v>
      </c>
      <c r="Q1051">
        <v>5</v>
      </c>
      <c r="R1051">
        <f>IFERROR(Table1_1[[#This Row],[Unit_Price]]*Table1_1[[#This Row],[Quantity]],"")</f>
        <v>249</v>
      </c>
      <c r="S1051">
        <f>IFERROR(Table1_1[[#This Row],[Gross_Sales]]*Table1_1[[#This Row],[Discount_%]],"")</f>
        <v>49.800000000000004</v>
      </c>
      <c r="T1051">
        <f>IFERROR(Table1_1[[#This Row],[Gross_Sales]]-Table1_1[[#This Row],[Discount_amount]]+Table1_1[[#This Row],[Shipping_Cost]],"")</f>
        <v>199.2</v>
      </c>
      <c r="U1051">
        <f>IFERROR(Table1_1[[#This Row],[Net_Sale]]-(Table1_1[[#This Row],[Gross_Sales]]*70%),"")</f>
        <v>24.900000000000006</v>
      </c>
      <c r="V1051" s="7">
        <f>IFERROR(Table1_1[[#This Row],[Profit]]/Table1_1[[#This Row],[Net_Sale]],"")</f>
        <v>0.12500000000000003</v>
      </c>
      <c r="W1051" t="str">
        <f>TEXT(Table1_1[[#This Row],[Order_Date]],"mmm")</f>
        <v>Feb</v>
      </c>
    </row>
    <row r="1052" spans="1:23" x14ac:dyDescent="0.25">
      <c r="A1052" t="s">
        <v>1462</v>
      </c>
      <c r="B1052" t="s">
        <v>574</v>
      </c>
      <c r="C1052" s="6">
        <v>45940</v>
      </c>
      <c r="D1052" t="s">
        <v>77</v>
      </c>
      <c r="E1052" t="s">
        <v>78</v>
      </c>
      <c r="F1052" t="s">
        <v>79</v>
      </c>
      <c r="G1052" t="s">
        <v>28</v>
      </c>
      <c r="H1052">
        <v>4</v>
      </c>
      <c r="I1052">
        <v>6499</v>
      </c>
      <c r="J1052">
        <v>0.2</v>
      </c>
      <c r="K1052">
        <v>0</v>
      </c>
      <c r="L1052" t="s">
        <v>125</v>
      </c>
      <c r="M1052" t="s">
        <v>126</v>
      </c>
      <c r="N1052" t="s">
        <v>31</v>
      </c>
      <c r="O1052" t="s">
        <v>59</v>
      </c>
      <c r="P1052" t="s">
        <v>33</v>
      </c>
      <c r="Q1052">
        <v>5</v>
      </c>
      <c r="R1052">
        <f>IFERROR(Table1_1[[#This Row],[Unit_Price]]*Table1_1[[#This Row],[Quantity]],"")</f>
        <v>25996</v>
      </c>
      <c r="S1052">
        <f>IFERROR(Table1_1[[#This Row],[Gross_Sales]]*Table1_1[[#This Row],[Discount_%]],"")</f>
        <v>5199.2000000000007</v>
      </c>
      <c r="T1052">
        <f>IFERROR(Table1_1[[#This Row],[Gross_Sales]]-Table1_1[[#This Row],[Discount_amount]]+Table1_1[[#This Row],[Shipping_Cost]],"")</f>
        <v>20796.8</v>
      </c>
      <c r="U1052">
        <f>IFERROR(Table1_1[[#This Row],[Net_Sale]]-(Table1_1[[#This Row],[Gross_Sales]]*70%),"")</f>
        <v>2599.6000000000022</v>
      </c>
      <c r="V1052" s="7">
        <f>IFERROR(Table1_1[[#This Row],[Profit]]/Table1_1[[#This Row],[Net_Sale]],"")</f>
        <v>0.12500000000000011</v>
      </c>
      <c r="W1052" t="str">
        <f>TEXT(Table1_1[[#This Row],[Order_Date]],"mmm")</f>
        <v>Oct</v>
      </c>
    </row>
    <row r="1053" spans="1:23" x14ac:dyDescent="0.25">
      <c r="A1053" t="s">
        <v>1463</v>
      </c>
      <c r="B1053" t="s">
        <v>224</v>
      </c>
      <c r="C1053" s="6">
        <v>45813</v>
      </c>
      <c r="D1053" t="s">
        <v>67</v>
      </c>
      <c r="E1053" t="s">
        <v>68</v>
      </c>
      <c r="F1053" t="s">
        <v>37</v>
      </c>
      <c r="G1053" t="s">
        <v>38</v>
      </c>
      <c r="H1053">
        <v>1</v>
      </c>
      <c r="I1053">
        <v>1299</v>
      </c>
      <c r="J1053">
        <v>0</v>
      </c>
      <c r="K1053">
        <v>49</v>
      </c>
      <c r="L1053" t="s">
        <v>74</v>
      </c>
      <c r="M1053" t="s">
        <v>49</v>
      </c>
      <c r="N1053" t="s">
        <v>102</v>
      </c>
      <c r="O1053" t="s">
        <v>59</v>
      </c>
      <c r="P1053" t="s">
        <v>33</v>
      </c>
      <c r="Q1053">
        <v>3</v>
      </c>
      <c r="R1053">
        <f>IFERROR(Table1_1[[#This Row],[Unit_Price]]*Table1_1[[#This Row],[Quantity]],"")</f>
        <v>1299</v>
      </c>
      <c r="S1053">
        <f>IFERROR(Table1_1[[#This Row],[Gross_Sales]]*Table1_1[[#This Row],[Discount_%]],"")</f>
        <v>0</v>
      </c>
      <c r="T1053">
        <f>IFERROR(Table1_1[[#This Row],[Gross_Sales]]-Table1_1[[#This Row],[Discount_amount]]+Table1_1[[#This Row],[Shipping_Cost]],"")</f>
        <v>1348</v>
      </c>
      <c r="U1053">
        <f>IFERROR(Table1_1[[#This Row],[Net_Sale]]-(Table1_1[[#This Row],[Gross_Sales]]*70%),"")</f>
        <v>438.70000000000005</v>
      </c>
      <c r="V1053" s="7">
        <f>IFERROR(Table1_1[[#This Row],[Profit]]/Table1_1[[#This Row],[Net_Sale]],"")</f>
        <v>0.32544510385756681</v>
      </c>
      <c r="W1053" t="str">
        <f>TEXT(Table1_1[[#This Row],[Order_Date]],"mmm")</f>
        <v>Jun</v>
      </c>
    </row>
    <row r="1054" spans="1:23" x14ac:dyDescent="0.25">
      <c r="A1054" t="s">
        <v>1464</v>
      </c>
      <c r="B1054" t="s">
        <v>1031</v>
      </c>
      <c r="C1054" s="6">
        <v>45684</v>
      </c>
      <c r="D1054" t="s">
        <v>25</v>
      </c>
      <c r="E1054" t="s">
        <v>26</v>
      </c>
      <c r="F1054" t="s">
        <v>27</v>
      </c>
      <c r="G1054" t="s">
        <v>28</v>
      </c>
      <c r="H1054">
        <v>2</v>
      </c>
      <c r="I1054">
        <v>249</v>
      </c>
      <c r="J1054">
        <v>0.2</v>
      </c>
      <c r="K1054">
        <v>49</v>
      </c>
      <c r="L1054" t="s">
        <v>39</v>
      </c>
      <c r="M1054" t="s">
        <v>39</v>
      </c>
      <c r="N1054" t="s">
        <v>40</v>
      </c>
      <c r="O1054" t="s">
        <v>32</v>
      </c>
      <c r="P1054" t="s">
        <v>52</v>
      </c>
      <c r="Q1054">
        <v>2</v>
      </c>
      <c r="R1054">
        <f>IFERROR(Table1_1[[#This Row],[Unit_Price]]*Table1_1[[#This Row],[Quantity]],"")</f>
        <v>498</v>
      </c>
      <c r="S1054">
        <f>IFERROR(Table1_1[[#This Row],[Gross_Sales]]*Table1_1[[#This Row],[Discount_%]],"")</f>
        <v>99.600000000000009</v>
      </c>
      <c r="T1054">
        <f>IFERROR(Table1_1[[#This Row],[Gross_Sales]]-Table1_1[[#This Row],[Discount_amount]]+Table1_1[[#This Row],[Shipping_Cost]],"")</f>
        <v>447.4</v>
      </c>
      <c r="U1054">
        <f>IFERROR(Table1_1[[#This Row],[Net_Sale]]-(Table1_1[[#This Row],[Gross_Sales]]*70%),"")</f>
        <v>98.800000000000011</v>
      </c>
      <c r="V1054" s="7">
        <f>IFERROR(Table1_1[[#This Row],[Profit]]/Table1_1[[#This Row],[Net_Sale]],"")</f>
        <v>0.22083147071971393</v>
      </c>
      <c r="W1054" t="str">
        <f>TEXT(Table1_1[[#This Row],[Order_Date]],"mmm")</f>
        <v>Jan</v>
      </c>
    </row>
    <row r="1055" spans="1:23" x14ac:dyDescent="0.25">
      <c r="A1055" t="s">
        <v>1466</v>
      </c>
      <c r="B1055" t="s">
        <v>1117</v>
      </c>
      <c r="C1055" s="6">
        <v>45973</v>
      </c>
      <c r="D1055" t="s">
        <v>55</v>
      </c>
      <c r="E1055" t="s">
        <v>56</v>
      </c>
      <c r="F1055" t="s">
        <v>37</v>
      </c>
      <c r="G1055" t="s">
        <v>38</v>
      </c>
      <c r="H1055">
        <v>1</v>
      </c>
      <c r="I1055">
        <v>2499</v>
      </c>
      <c r="J1055">
        <v>0.05</v>
      </c>
      <c r="K1055">
        <v>79</v>
      </c>
      <c r="L1055" t="s">
        <v>119</v>
      </c>
      <c r="M1055" t="s">
        <v>120</v>
      </c>
      <c r="N1055" t="s">
        <v>50</v>
      </c>
      <c r="O1055" t="s">
        <v>41</v>
      </c>
      <c r="P1055" t="s">
        <v>33</v>
      </c>
      <c r="Q1055">
        <v>1</v>
      </c>
      <c r="R1055">
        <f>IFERROR(Table1_1[[#This Row],[Unit_Price]]*Table1_1[[#This Row],[Quantity]],"")</f>
        <v>2499</v>
      </c>
      <c r="S1055">
        <f>IFERROR(Table1_1[[#This Row],[Gross_Sales]]*Table1_1[[#This Row],[Discount_%]],"")</f>
        <v>124.95</v>
      </c>
      <c r="T1055">
        <f>IFERROR(Table1_1[[#This Row],[Gross_Sales]]-Table1_1[[#This Row],[Discount_amount]]+Table1_1[[#This Row],[Shipping_Cost]],"")</f>
        <v>2453.0500000000002</v>
      </c>
      <c r="U1055">
        <f>IFERROR(Table1_1[[#This Row],[Net_Sale]]-(Table1_1[[#This Row],[Gross_Sales]]*70%),"")</f>
        <v>703.75000000000023</v>
      </c>
      <c r="V1055" s="7">
        <f>IFERROR(Table1_1[[#This Row],[Profit]]/Table1_1[[#This Row],[Net_Sale]],"")</f>
        <v>0.28688775198222627</v>
      </c>
      <c r="W1055" t="str">
        <f>TEXT(Table1_1[[#This Row],[Order_Date]],"mmm")</f>
        <v>Nov</v>
      </c>
    </row>
    <row r="1056" spans="1:23" x14ac:dyDescent="0.25">
      <c r="A1056" t="s">
        <v>1467</v>
      </c>
      <c r="B1056" t="s">
        <v>1117</v>
      </c>
      <c r="C1056" s="6">
        <v>45932</v>
      </c>
      <c r="D1056" t="s">
        <v>44</v>
      </c>
      <c r="E1056" t="s">
        <v>45</v>
      </c>
      <c r="F1056" t="s">
        <v>46</v>
      </c>
      <c r="G1056" t="s">
        <v>47</v>
      </c>
      <c r="H1056">
        <v>1</v>
      </c>
      <c r="I1056">
        <v>1199</v>
      </c>
      <c r="J1056">
        <v>0.2</v>
      </c>
      <c r="K1056">
        <v>49</v>
      </c>
      <c r="L1056" t="s">
        <v>39</v>
      </c>
      <c r="M1056" t="s">
        <v>39</v>
      </c>
      <c r="N1056" t="s">
        <v>31</v>
      </c>
      <c r="O1056" t="s">
        <v>93</v>
      </c>
      <c r="P1056" t="s">
        <v>33</v>
      </c>
      <c r="Q1056">
        <v>2</v>
      </c>
      <c r="R1056">
        <f>IFERROR(Table1_1[[#This Row],[Unit_Price]]*Table1_1[[#This Row],[Quantity]],"")</f>
        <v>1199</v>
      </c>
      <c r="S1056">
        <f>IFERROR(Table1_1[[#This Row],[Gross_Sales]]*Table1_1[[#This Row],[Discount_%]],"")</f>
        <v>239.8</v>
      </c>
      <c r="T1056">
        <f>IFERROR(Table1_1[[#This Row],[Gross_Sales]]-Table1_1[[#This Row],[Discount_amount]]+Table1_1[[#This Row],[Shipping_Cost]],"")</f>
        <v>1008.2</v>
      </c>
      <c r="U1056">
        <f>IFERROR(Table1_1[[#This Row],[Net_Sale]]-(Table1_1[[#This Row],[Gross_Sales]]*70%),"")</f>
        <v>168.90000000000009</v>
      </c>
      <c r="V1056" s="7">
        <f>IFERROR(Table1_1[[#This Row],[Profit]]/Table1_1[[#This Row],[Net_Sale]],"")</f>
        <v>0.16752628446736767</v>
      </c>
      <c r="W1056" t="str">
        <f>TEXT(Table1_1[[#This Row],[Order_Date]],"mmm")</f>
        <v>Oct</v>
      </c>
    </row>
    <row r="1057" spans="1:23" x14ac:dyDescent="0.25">
      <c r="A1057" t="s">
        <v>1468</v>
      </c>
      <c r="B1057" t="s">
        <v>306</v>
      </c>
      <c r="C1057" s="6">
        <v>45818</v>
      </c>
      <c r="D1057" t="s">
        <v>90</v>
      </c>
      <c r="E1057" t="s">
        <v>91</v>
      </c>
      <c r="F1057" t="s">
        <v>37</v>
      </c>
      <c r="G1057" t="s">
        <v>92</v>
      </c>
      <c r="H1057">
        <v>1</v>
      </c>
      <c r="I1057">
        <v>3499</v>
      </c>
      <c r="J1057">
        <v>0</v>
      </c>
      <c r="K1057">
        <v>59</v>
      </c>
      <c r="L1057" t="s">
        <v>100</v>
      </c>
      <c r="M1057" t="s">
        <v>101</v>
      </c>
      <c r="N1057" t="s">
        <v>102</v>
      </c>
      <c r="O1057" t="s">
        <v>59</v>
      </c>
      <c r="P1057" t="s">
        <v>80</v>
      </c>
      <c r="Q1057">
        <v>4</v>
      </c>
      <c r="R1057">
        <f>IFERROR(Table1_1[[#This Row],[Unit_Price]]*Table1_1[[#This Row],[Quantity]],"")</f>
        <v>3499</v>
      </c>
      <c r="S1057">
        <f>IFERROR(Table1_1[[#This Row],[Gross_Sales]]*Table1_1[[#This Row],[Discount_%]],"")</f>
        <v>0</v>
      </c>
      <c r="T1057">
        <f>IFERROR(Table1_1[[#This Row],[Gross_Sales]]-Table1_1[[#This Row],[Discount_amount]]+Table1_1[[#This Row],[Shipping_Cost]],"")</f>
        <v>3558</v>
      </c>
      <c r="U1057">
        <f>IFERROR(Table1_1[[#This Row],[Net_Sale]]-(Table1_1[[#This Row],[Gross_Sales]]*70%),"")</f>
        <v>1108.7000000000003</v>
      </c>
      <c r="V1057" s="7">
        <f>IFERROR(Table1_1[[#This Row],[Profit]]/Table1_1[[#This Row],[Net_Sale]],"")</f>
        <v>0.31160764474423841</v>
      </c>
      <c r="W1057" t="str">
        <f>TEXT(Table1_1[[#This Row],[Order_Date]],"mmm")</f>
        <v>Jun</v>
      </c>
    </row>
    <row r="1058" spans="1:23" x14ac:dyDescent="0.25">
      <c r="A1058" t="s">
        <v>1469</v>
      </c>
      <c r="B1058" t="s">
        <v>82</v>
      </c>
      <c r="C1058" s="6">
        <v>45697</v>
      </c>
      <c r="D1058" t="s">
        <v>25</v>
      </c>
      <c r="E1058" t="s">
        <v>26</v>
      </c>
      <c r="F1058" t="s">
        <v>27</v>
      </c>
      <c r="G1058" t="s">
        <v>28</v>
      </c>
      <c r="H1058">
        <v>2</v>
      </c>
      <c r="I1058">
        <v>249</v>
      </c>
      <c r="J1058">
        <v>0.1</v>
      </c>
      <c r="K1058">
        <v>59</v>
      </c>
      <c r="L1058" t="s">
        <v>29</v>
      </c>
      <c r="M1058" t="s">
        <v>30</v>
      </c>
      <c r="N1058" t="s">
        <v>40</v>
      </c>
      <c r="O1058" t="s">
        <v>51</v>
      </c>
      <c r="P1058" t="s">
        <v>33</v>
      </c>
      <c r="Q1058">
        <v>3</v>
      </c>
      <c r="R1058">
        <f>IFERROR(Table1_1[[#This Row],[Unit_Price]]*Table1_1[[#This Row],[Quantity]],"")</f>
        <v>498</v>
      </c>
      <c r="S1058">
        <f>IFERROR(Table1_1[[#This Row],[Gross_Sales]]*Table1_1[[#This Row],[Discount_%]],"")</f>
        <v>49.800000000000004</v>
      </c>
      <c r="T1058">
        <f>IFERROR(Table1_1[[#This Row],[Gross_Sales]]-Table1_1[[#This Row],[Discount_amount]]+Table1_1[[#This Row],[Shipping_Cost]],"")</f>
        <v>507.2</v>
      </c>
      <c r="U1058">
        <f>IFERROR(Table1_1[[#This Row],[Net_Sale]]-(Table1_1[[#This Row],[Gross_Sales]]*70%),"")</f>
        <v>158.60000000000002</v>
      </c>
      <c r="V1058" s="7">
        <f>IFERROR(Table1_1[[#This Row],[Profit]]/Table1_1[[#This Row],[Net_Sale]],"")</f>
        <v>0.31269716088328081</v>
      </c>
      <c r="W1058" t="str">
        <f>TEXT(Table1_1[[#This Row],[Order_Date]],"mmm")</f>
        <v>Feb</v>
      </c>
    </row>
    <row r="1059" spans="1:23" x14ac:dyDescent="0.25">
      <c r="A1059" t="s">
        <v>1470</v>
      </c>
      <c r="B1059" t="s">
        <v>392</v>
      </c>
      <c r="C1059" s="6">
        <v>45783</v>
      </c>
      <c r="D1059" t="s">
        <v>62</v>
      </c>
      <c r="E1059" t="s">
        <v>63</v>
      </c>
      <c r="F1059" t="s">
        <v>46</v>
      </c>
      <c r="G1059" t="s">
        <v>64</v>
      </c>
      <c r="H1059">
        <v>3</v>
      </c>
      <c r="I1059">
        <v>699</v>
      </c>
      <c r="J1059">
        <v>0.05</v>
      </c>
      <c r="K1059">
        <v>99</v>
      </c>
      <c r="L1059" t="s">
        <v>48</v>
      </c>
      <c r="M1059" t="s">
        <v>49</v>
      </c>
      <c r="N1059" t="s">
        <v>31</v>
      </c>
      <c r="O1059" t="s">
        <v>93</v>
      </c>
      <c r="P1059" t="s">
        <v>33</v>
      </c>
      <c r="Q1059">
        <v>3</v>
      </c>
      <c r="R1059">
        <f>IFERROR(Table1_1[[#This Row],[Unit_Price]]*Table1_1[[#This Row],[Quantity]],"")</f>
        <v>2097</v>
      </c>
      <c r="S1059">
        <f>IFERROR(Table1_1[[#This Row],[Gross_Sales]]*Table1_1[[#This Row],[Discount_%]],"")</f>
        <v>104.85000000000001</v>
      </c>
      <c r="T1059">
        <f>IFERROR(Table1_1[[#This Row],[Gross_Sales]]-Table1_1[[#This Row],[Discount_amount]]+Table1_1[[#This Row],[Shipping_Cost]],"")</f>
        <v>2091.15</v>
      </c>
      <c r="U1059">
        <f>IFERROR(Table1_1[[#This Row],[Net_Sale]]-(Table1_1[[#This Row],[Gross_Sales]]*70%),"")</f>
        <v>623.25000000000023</v>
      </c>
      <c r="V1059" s="7">
        <f>IFERROR(Table1_1[[#This Row],[Profit]]/Table1_1[[#This Row],[Net_Sale]],"")</f>
        <v>0.29804174736389077</v>
      </c>
      <c r="W1059" t="str">
        <f>TEXT(Table1_1[[#This Row],[Order_Date]],"mmm")</f>
        <v>May</v>
      </c>
    </row>
    <row r="1060" spans="1:23" x14ac:dyDescent="0.25">
      <c r="A1060" t="s">
        <v>1471</v>
      </c>
      <c r="B1060" t="s">
        <v>220</v>
      </c>
      <c r="C1060" s="6">
        <v>45698</v>
      </c>
      <c r="D1060" t="s">
        <v>96</v>
      </c>
      <c r="E1060" t="s">
        <v>97</v>
      </c>
      <c r="F1060" t="s">
        <v>98</v>
      </c>
      <c r="G1060" t="s">
        <v>99</v>
      </c>
      <c r="H1060">
        <v>2</v>
      </c>
      <c r="I1060">
        <v>1499</v>
      </c>
      <c r="J1060">
        <v>0.15</v>
      </c>
      <c r="K1060">
        <v>49</v>
      </c>
      <c r="L1060" t="s">
        <v>125</v>
      </c>
      <c r="M1060" t="s">
        <v>126</v>
      </c>
      <c r="N1060" t="s">
        <v>102</v>
      </c>
      <c r="O1060" t="s">
        <v>41</v>
      </c>
      <c r="P1060" t="s">
        <v>33</v>
      </c>
      <c r="Q1060">
        <v>1</v>
      </c>
      <c r="R1060">
        <f>IFERROR(Table1_1[[#This Row],[Unit_Price]]*Table1_1[[#This Row],[Quantity]],"")</f>
        <v>2998</v>
      </c>
      <c r="S1060">
        <f>IFERROR(Table1_1[[#This Row],[Gross_Sales]]*Table1_1[[#This Row],[Discount_%]],"")</f>
        <v>449.7</v>
      </c>
      <c r="T1060">
        <f>IFERROR(Table1_1[[#This Row],[Gross_Sales]]-Table1_1[[#This Row],[Discount_amount]]+Table1_1[[#This Row],[Shipping_Cost]],"")</f>
        <v>2597.3000000000002</v>
      </c>
      <c r="U1060">
        <f>IFERROR(Table1_1[[#This Row],[Net_Sale]]-(Table1_1[[#This Row],[Gross_Sales]]*70%),"")</f>
        <v>498.70000000000027</v>
      </c>
      <c r="V1060" s="7">
        <f>IFERROR(Table1_1[[#This Row],[Profit]]/Table1_1[[#This Row],[Net_Sale]],"")</f>
        <v>0.19200708427982915</v>
      </c>
      <c r="W1060" t="str">
        <f>TEXT(Table1_1[[#This Row],[Order_Date]],"mmm")</f>
        <v>Feb</v>
      </c>
    </row>
    <row r="1061" spans="1:23" x14ac:dyDescent="0.25">
      <c r="A1061" t="s">
        <v>1472</v>
      </c>
      <c r="B1061" t="s">
        <v>192</v>
      </c>
      <c r="C1061" s="6">
        <v>45778</v>
      </c>
      <c r="D1061" t="s">
        <v>169</v>
      </c>
      <c r="E1061" t="s">
        <v>170</v>
      </c>
      <c r="F1061" t="s">
        <v>98</v>
      </c>
      <c r="G1061" t="s">
        <v>171</v>
      </c>
      <c r="H1061">
        <v>1</v>
      </c>
      <c r="I1061">
        <v>799</v>
      </c>
      <c r="J1061">
        <v>0.1</v>
      </c>
      <c r="K1061">
        <v>0</v>
      </c>
      <c r="L1061" t="s">
        <v>100</v>
      </c>
      <c r="M1061" t="s">
        <v>101</v>
      </c>
      <c r="N1061" t="s">
        <v>40</v>
      </c>
      <c r="O1061" t="s">
        <v>93</v>
      </c>
      <c r="P1061" t="s">
        <v>80</v>
      </c>
      <c r="Q1061">
        <v>3</v>
      </c>
      <c r="R1061">
        <f>IFERROR(Table1_1[[#This Row],[Unit_Price]]*Table1_1[[#This Row],[Quantity]],"")</f>
        <v>799</v>
      </c>
      <c r="S1061">
        <f>IFERROR(Table1_1[[#This Row],[Gross_Sales]]*Table1_1[[#This Row],[Discount_%]],"")</f>
        <v>79.900000000000006</v>
      </c>
      <c r="T1061">
        <f>IFERROR(Table1_1[[#This Row],[Gross_Sales]]-Table1_1[[#This Row],[Discount_amount]]+Table1_1[[#This Row],[Shipping_Cost]],"")</f>
        <v>719.1</v>
      </c>
      <c r="U1061">
        <f>IFERROR(Table1_1[[#This Row],[Net_Sale]]-(Table1_1[[#This Row],[Gross_Sales]]*70%),"")</f>
        <v>159.80000000000007</v>
      </c>
      <c r="V1061" s="7">
        <f>IFERROR(Table1_1[[#This Row],[Profit]]/Table1_1[[#This Row],[Net_Sale]],"")</f>
        <v>0.22222222222222232</v>
      </c>
      <c r="W1061" t="str">
        <f>TEXT(Table1_1[[#This Row],[Order_Date]],"mmm")</f>
        <v>May</v>
      </c>
    </row>
    <row r="1062" spans="1:23" x14ac:dyDescent="0.25">
      <c r="A1062" t="s">
        <v>1473</v>
      </c>
      <c r="B1062" t="s">
        <v>942</v>
      </c>
      <c r="C1062" s="6">
        <v>45701</v>
      </c>
      <c r="D1062" t="s">
        <v>110</v>
      </c>
      <c r="E1062" t="s">
        <v>111</v>
      </c>
      <c r="F1062" t="s">
        <v>98</v>
      </c>
      <c r="G1062" t="s">
        <v>112</v>
      </c>
      <c r="H1062">
        <v>1</v>
      </c>
      <c r="I1062">
        <v>2999</v>
      </c>
      <c r="J1062">
        <v>0.1</v>
      </c>
      <c r="K1062">
        <v>79</v>
      </c>
      <c r="L1062" t="s">
        <v>125</v>
      </c>
      <c r="M1062" t="s">
        <v>126</v>
      </c>
      <c r="N1062" t="s">
        <v>40</v>
      </c>
      <c r="O1062" t="s">
        <v>59</v>
      </c>
      <c r="P1062" t="s">
        <v>85</v>
      </c>
      <c r="Q1062">
        <v>4</v>
      </c>
      <c r="R1062">
        <f>IFERROR(Table1_1[[#This Row],[Unit_Price]]*Table1_1[[#This Row],[Quantity]],"")</f>
        <v>2999</v>
      </c>
      <c r="S1062">
        <f>IFERROR(Table1_1[[#This Row],[Gross_Sales]]*Table1_1[[#This Row],[Discount_%]],"")</f>
        <v>299.90000000000003</v>
      </c>
      <c r="T1062">
        <f>IFERROR(Table1_1[[#This Row],[Gross_Sales]]-Table1_1[[#This Row],[Discount_amount]]+Table1_1[[#This Row],[Shipping_Cost]],"")</f>
        <v>2778.1</v>
      </c>
      <c r="U1062">
        <f>IFERROR(Table1_1[[#This Row],[Net_Sale]]-(Table1_1[[#This Row],[Gross_Sales]]*70%),"")</f>
        <v>678.80000000000018</v>
      </c>
      <c r="V1062" s="7">
        <f>IFERROR(Table1_1[[#This Row],[Profit]]/Table1_1[[#This Row],[Net_Sale]],"")</f>
        <v>0.2443396565998345</v>
      </c>
      <c r="W1062" t="str">
        <f>TEXT(Table1_1[[#This Row],[Order_Date]],"mmm")</f>
        <v>Feb</v>
      </c>
    </row>
    <row r="1063" spans="1:23" x14ac:dyDescent="0.25">
      <c r="A1063" t="s">
        <v>1474</v>
      </c>
      <c r="B1063" t="s">
        <v>381</v>
      </c>
      <c r="C1063" s="6">
        <v>45752</v>
      </c>
      <c r="D1063" t="s">
        <v>35</v>
      </c>
      <c r="E1063" t="s">
        <v>36</v>
      </c>
      <c r="F1063" t="s">
        <v>37</v>
      </c>
      <c r="G1063" t="s">
        <v>38</v>
      </c>
      <c r="H1063">
        <v>1</v>
      </c>
      <c r="I1063">
        <v>599</v>
      </c>
      <c r="J1063">
        <v>0</v>
      </c>
      <c r="K1063">
        <v>59</v>
      </c>
      <c r="L1063" t="s">
        <v>113</v>
      </c>
      <c r="M1063" t="s">
        <v>114</v>
      </c>
      <c r="N1063" t="s">
        <v>102</v>
      </c>
      <c r="O1063" t="s">
        <v>51</v>
      </c>
      <c r="P1063" t="s">
        <v>85</v>
      </c>
      <c r="Q1063">
        <v>1</v>
      </c>
      <c r="R1063">
        <f>IFERROR(Table1_1[[#This Row],[Unit_Price]]*Table1_1[[#This Row],[Quantity]],"")</f>
        <v>599</v>
      </c>
      <c r="S1063">
        <f>IFERROR(Table1_1[[#This Row],[Gross_Sales]]*Table1_1[[#This Row],[Discount_%]],"")</f>
        <v>0</v>
      </c>
      <c r="T1063">
        <f>IFERROR(Table1_1[[#This Row],[Gross_Sales]]-Table1_1[[#This Row],[Discount_amount]]+Table1_1[[#This Row],[Shipping_Cost]],"")</f>
        <v>658</v>
      </c>
      <c r="U1063">
        <f>IFERROR(Table1_1[[#This Row],[Net_Sale]]-(Table1_1[[#This Row],[Gross_Sales]]*70%),"")</f>
        <v>238.70000000000005</v>
      </c>
      <c r="V1063" s="7">
        <f>IFERROR(Table1_1[[#This Row],[Profit]]/Table1_1[[#This Row],[Net_Sale]],"")</f>
        <v>0.36276595744680856</v>
      </c>
      <c r="W1063" t="str">
        <f>TEXT(Table1_1[[#This Row],[Order_Date]],"mmm")</f>
        <v>Apr</v>
      </c>
    </row>
    <row r="1064" spans="1:23" x14ac:dyDescent="0.25">
      <c r="A1064" t="s">
        <v>1475</v>
      </c>
      <c r="B1064" t="s">
        <v>265</v>
      </c>
      <c r="C1064" s="6">
        <v>45792</v>
      </c>
      <c r="D1064" t="s">
        <v>44</v>
      </c>
      <c r="E1064" t="s">
        <v>45</v>
      </c>
      <c r="F1064" t="s">
        <v>46</v>
      </c>
      <c r="G1064" t="s">
        <v>47</v>
      </c>
      <c r="H1064">
        <v>4</v>
      </c>
      <c r="I1064">
        <v>1199</v>
      </c>
      <c r="J1064">
        <v>0.05</v>
      </c>
      <c r="K1064">
        <v>99</v>
      </c>
      <c r="L1064" t="s">
        <v>74</v>
      </c>
      <c r="M1064" t="s">
        <v>49</v>
      </c>
      <c r="N1064" t="s">
        <v>40</v>
      </c>
      <c r="O1064" t="s">
        <v>93</v>
      </c>
      <c r="P1064" t="s">
        <v>33</v>
      </c>
      <c r="Q1064">
        <v>3</v>
      </c>
      <c r="R1064">
        <f>IFERROR(Table1_1[[#This Row],[Unit_Price]]*Table1_1[[#This Row],[Quantity]],"")</f>
        <v>4796</v>
      </c>
      <c r="S1064">
        <f>IFERROR(Table1_1[[#This Row],[Gross_Sales]]*Table1_1[[#This Row],[Discount_%]],"")</f>
        <v>239.8</v>
      </c>
      <c r="T1064">
        <f>IFERROR(Table1_1[[#This Row],[Gross_Sales]]-Table1_1[[#This Row],[Discount_amount]]+Table1_1[[#This Row],[Shipping_Cost]],"")</f>
        <v>4655.2</v>
      </c>
      <c r="U1064">
        <f>IFERROR(Table1_1[[#This Row],[Net_Sale]]-(Table1_1[[#This Row],[Gross_Sales]]*70%),"")</f>
        <v>1298</v>
      </c>
      <c r="V1064" s="7">
        <f>IFERROR(Table1_1[[#This Row],[Profit]]/Table1_1[[#This Row],[Net_Sale]],"")</f>
        <v>0.27882797731568998</v>
      </c>
      <c r="W1064" t="str">
        <f>TEXT(Table1_1[[#This Row],[Order_Date]],"mmm")</f>
        <v>May</v>
      </c>
    </row>
    <row r="1065" spans="1:23" x14ac:dyDescent="0.25">
      <c r="A1065" t="s">
        <v>1476</v>
      </c>
      <c r="B1065" t="s">
        <v>226</v>
      </c>
      <c r="C1065" s="6">
        <v>46005</v>
      </c>
      <c r="D1065" t="s">
        <v>55</v>
      </c>
      <c r="E1065" t="s">
        <v>56</v>
      </c>
      <c r="F1065" t="s">
        <v>37</v>
      </c>
      <c r="G1065" t="s">
        <v>38</v>
      </c>
      <c r="H1065">
        <v>1</v>
      </c>
      <c r="I1065">
        <v>2499</v>
      </c>
      <c r="J1065">
        <v>0.1</v>
      </c>
      <c r="K1065">
        <v>79</v>
      </c>
      <c r="L1065" t="s">
        <v>83</v>
      </c>
      <c r="M1065" t="s">
        <v>84</v>
      </c>
      <c r="N1065" t="s">
        <v>102</v>
      </c>
      <c r="O1065" t="s">
        <v>32</v>
      </c>
      <c r="P1065" t="s">
        <v>85</v>
      </c>
      <c r="Q1065">
        <v>3</v>
      </c>
      <c r="R1065">
        <f>IFERROR(Table1_1[[#This Row],[Unit_Price]]*Table1_1[[#This Row],[Quantity]],"")</f>
        <v>2499</v>
      </c>
      <c r="S1065">
        <f>IFERROR(Table1_1[[#This Row],[Gross_Sales]]*Table1_1[[#This Row],[Discount_%]],"")</f>
        <v>249.9</v>
      </c>
      <c r="T1065">
        <f>IFERROR(Table1_1[[#This Row],[Gross_Sales]]-Table1_1[[#This Row],[Discount_amount]]+Table1_1[[#This Row],[Shipping_Cost]],"")</f>
        <v>2328.1</v>
      </c>
      <c r="U1065">
        <f>IFERROR(Table1_1[[#This Row],[Net_Sale]]-(Table1_1[[#This Row],[Gross_Sales]]*70%),"")</f>
        <v>578.79999999999995</v>
      </c>
      <c r="V1065" s="7">
        <f>IFERROR(Table1_1[[#This Row],[Profit]]/Table1_1[[#This Row],[Net_Sale]],"")</f>
        <v>0.24861475022550578</v>
      </c>
      <c r="W1065" t="str">
        <f>TEXT(Table1_1[[#This Row],[Order_Date]],"mmm")</f>
        <v>Dec</v>
      </c>
    </row>
    <row r="1066" spans="1:23" x14ac:dyDescent="0.25">
      <c r="A1066" t="s">
        <v>1477</v>
      </c>
      <c r="B1066" t="s">
        <v>748</v>
      </c>
      <c r="C1066" s="6">
        <v>45779</v>
      </c>
      <c r="D1066" t="s">
        <v>105</v>
      </c>
      <c r="E1066" t="s">
        <v>106</v>
      </c>
      <c r="F1066" t="s">
        <v>37</v>
      </c>
      <c r="G1066" t="s">
        <v>107</v>
      </c>
      <c r="H1066">
        <v>2</v>
      </c>
      <c r="I1066">
        <v>1799</v>
      </c>
      <c r="J1066">
        <v>0.05</v>
      </c>
      <c r="K1066">
        <v>59</v>
      </c>
      <c r="L1066" t="s">
        <v>57</v>
      </c>
      <c r="M1066" t="s">
        <v>58</v>
      </c>
      <c r="N1066" t="s">
        <v>50</v>
      </c>
      <c r="O1066" t="s">
        <v>32</v>
      </c>
      <c r="P1066" t="s">
        <v>33</v>
      </c>
      <c r="Q1066">
        <v>3</v>
      </c>
      <c r="R1066">
        <f>IFERROR(Table1_1[[#This Row],[Unit_Price]]*Table1_1[[#This Row],[Quantity]],"")</f>
        <v>3598</v>
      </c>
      <c r="S1066">
        <f>IFERROR(Table1_1[[#This Row],[Gross_Sales]]*Table1_1[[#This Row],[Discount_%]],"")</f>
        <v>179.9</v>
      </c>
      <c r="T1066">
        <f>IFERROR(Table1_1[[#This Row],[Gross_Sales]]-Table1_1[[#This Row],[Discount_amount]]+Table1_1[[#This Row],[Shipping_Cost]],"")</f>
        <v>3477.1</v>
      </c>
      <c r="U1066">
        <f>IFERROR(Table1_1[[#This Row],[Net_Sale]]-(Table1_1[[#This Row],[Gross_Sales]]*70%),"")</f>
        <v>958.5</v>
      </c>
      <c r="V1066" s="7">
        <f>IFERROR(Table1_1[[#This Row],[Profit]]/Table1_1[[#This Row],[Net_Sale]],"")</f>
        <v>0.27566075177590521</v>
      </c>
      <c r="W1066" t="str">
        <f>TEXT(Table1_1[[#This Row],[Order_Date]],"mmm")</f>
        <v>May</v>
      </c>
    </row>
    <row r="1067" spans="1:23" x14ac:dyDescent="0.25">
      <c r="A1067" t="s">
        <v>1478</v>
      </c>
      <c r="B1067" t="s">
        <v>779</v>
      </c>
      <c r="C1067" s="6">
        <v>45973</v>
      </c>
      <c r="D1067" t="s">
        <v>169</v>
      </c>
      <c r="E1067" t="s">
        <v>170</v>
      </c>
      <c r="F1067" t="s">
        <v>98</v>
      </c>
      <c r="G1067" t="s">
        <v>171</v>
      </c>
      <c r="H1067">
        <v>1</v>
      </c>
      <c r="I1067">
        <v>2017</v>
      </c>
      <c r="J1067">
        <v>0.2</v>
      </c>
      <c r="K1067">
        <v>59</v>
      </c>
      <c r="L1067" t="s">
        <v>125</v>
      </c>
      <c r="M1067" t="s">
        <v>126</v>
      </c>
      <c r="N1067" t="s">
        <v>31</v>
      </c>
      <c r="O1067" t="s">
        <v>51</v>
      </c>
      <c r="P1067" t="s">
        <v>33</v>
      </c>
      <c r="Q1067">
        <v>5</v>
      </c>
      <c r="R1067">
        <f>IFERROR(Table1_1[[#This Row],[Unit_Price]]*Table1_1[[#This Row],[Quantity]],"")</f>
        <v>2017</v>
      </c>
      <c r="S1067">
        <f>IFERROR(Table1_1[[#This Row],[Gross_Sales]]*Table1_1[[#This Row],[Discount_%]],"")</f>
        <v>403.40000000000003</v>
      </c>
      <c r="T1067">
        <f>IFERROR(Table1_1[[#This Row],[Gross_Sales]]-Table1_1[[#This Row],[Discount_amount]]+Table1_1[[#This Row],[Shipping_Cost]],"")</f>
        <v>1672.6</v>
      </c>
      <c r="U1067">
        <f>IFERROR(Table1_1[[#This Row],[Net_Sale]]-(Table1_1[[#This Row],[Gross_Sales]]*70%),"")</f>
        <v>260.70000000000005</v>
      </c>
      <c r="V1067" s="7">
        <f>IFERROR(Table1_1[[#This Row],[Profit]]/Table1_1[[#This Row],[Net_Sale]],"")</f>
        <v>0.15586512017218704</v>
      </c>
      <c r="W1067" t="str">
        <f>TEXT(Table1_1[[#This Row],[Order_Date]],"mmm")</f>
        <v>Nov</v>
      </c>
    </row>
    <row r="1068" spans="1:23" x14ac:dyDescent="0.25">
      <c r="A1068" t="s">
        <v>1479</v>
      </c>
      <c r="B1068" t="s">
        <v>204</v>
      </c>
      <c r="C1068" s="6">
        <v>45749</v>
      </c>
      <c r="D1068" t="s">
        <v>25</v>
      </c>
      <c r="E1068" t="s">
        <v>26</v>
      </c>
      <c r="F1068" t="s">
        <v>27</v>
      </c>
      <c r="G1068" t="s">
        <v>28</v>
      </c>
      <c r="H1068">
        <v>3</v>
      </c>
      <c r="I1068">
        <v>249</v>
      </c>
      <c r="J1068">
        <v>0.1</v>
      </c>
      <c r="K1068">
        <v>0</v>
      </c>
      <c r="L1068" t="s">
        <v>74</v>
      </c>
      <c r="M1068" t="s">
        <v>49</v>
      </c>
      <c r="N1068" t="s">
        <v>31</v>
      </c>
      <c r="O1068" t="s">
        <v>51</v>
      </c>
      <c r="P1068" t="s">
        <v>33</v>
      </c>
      <c r="Q1068">
        <v>4</v>
      </c>
      <c r="R1068">
        <f>IFERROR(Table1_1[[#This Row],[Unit_Price]]*Table1_1[[#This Row],[Quantity]],"")</f>
        <v>747</v>
      </c>
      <c r="S1068">
        <f>IFERROR(Table1_1[[#This Row],[Gross_Sales]]*Table1_1[[#This Row],[Discount_%]],"")</f>
        <v>74.7</v>
      </c>
      <c r="T1068">
        <f>IFERROR(Table1_1[[#This Row],[Gross_Sales]]-Table1_1[[#This Row],[Discount_amount]]+Table1_1[[#This Row],[Shipping_Cost]],"")</f>
        <v>672.3</v>
      </c>
      <c r="U1068">
        <f>IFERROR(Table1_1[[#This Row],[Net_Sale]]-(Table1_1[[#This Row],[Gross_Sales]]*70%),"")</f>
        <v>149.39999999999998</v>
      </c>
      <c r="V1068" s="7">
        <f>IFERROR(Table1_1[[#This Row],[Profit]]/Table1_1[[#This Row],[Net_Sale]],"")</f>
        <v>0.22222222222222221</v>
      </c>
      <c r="W1068" t="str">
        <f>TEXT(Table1_1[[#This Row],[Order_Date]],"mmm")</f>
        <v>Apr</v>
      </c>
    </row>
    <row r="1069" spans="1:23" x14ac:dyDescent="0.25">
      <c r="A1069" t="s">
        <v>1480</v>
      </c>
      <c r="B1069" t="s">
        <v>304</v>
      </c>
      <c r="C1069" s="6">
        <v>45687</v>
      </c>
      <c r="D1069" t="s">
        <v>25</v>
      </c>
      <c r="E1069" t="s">
        <v>26</v>
      </c>
      <c r="F1069" t="s">
        <v>27</v>
      </c>
      <c r="G1069" t="s">
        <v>28</v>
      </c>
      <c r="H1069">
        <v>1</v>
      </c>
      <c r="I1069">
        <v>249</v>
      </c>
      <c r="J1069">
        <v>0.15</v>
      </c>
      <c r="K1069">
        <v>99</v>
      </c>
      <c r="L1069" t="s">
        <v>83</v>
      </c>
      <c r="M1069" t="s">
        <v>84</v>
      </c>
      <c r="N1069" t="s">
        <v>31</v>
      </c>
      <c r="O1069" t="s">
        <v>59</v>
      </c>
      <c r="P1069" t="s">
        <v>33</v>
      </c>
      <c r="Q1069">
        <v>2</v>
      </c>
      <c r="R1069">
        <f>IFERROR(Table1_1[[#This Row],[Unit_Price]]*Table1_1[[#This Row],[Quantity]],"")</f>
        <v>249</v>
      </c>
      <c r="S1069">
        <f>IFERROR(Table1_1[[#This Row],[Gross_Sales]]*Table1_1[[#This Row],[Discount_%]],"")</f>
        <v>37.35</v>
      </c>
      <c r="T1069">
        <f>IFERROR(Table1_1[[#This Row],[Gross_Sales]]-Table1_1[[#This Row],[Discount_amount]]+Table1_1[[#This Row],[Shipping_Cost]],"")</f>
        <v>310.64999999999998</v>
      </c>
      <c r="U1069">
        <f>IFERROR(Table1_1[[#This Row],[Net_Sale]]-(Table1_1[[#This Row],[Gross_Sales]]*70%),"")</f>
        <v>136.35</v>
      </c>
      <c r="V1069" s="7">
        <f>IFERROR(Table1_1[[#This Row],[Profit]]/Table1_1[[#This Row],[Net_Sale]],"")</f>
        <v>0.43891839690970547</v>
      </c>
      <c r="W1069" t="str">
        <f>TEXT(Table1_1[[#This Row],[Order_Date]],"mmm")</f>
        <v>Jan</v>
      </c>
    </row>
    <row r="1070" spans="1:23" x14ac:dyDescent="0.25">
      <c r="A1070" t="s">
        <v>1481</v>
      </c>
      <c r="B1070" t="s">
        <v>865</v>
      </c>
      <c r="C1070" s="6">
        <v>45911</v>
      </c>
      <c r="D1070" t="s">
        <v>110</v>
      </c>
      <c r="E1070" t="s">
        <v>111</v>
      </c>
      <c r="F1070" t="s">
        <v>98</v>
      </c>
      <c r="G1070" t="s">
        <v>112</v>
      </c>
      <c r="H1070">
        <v>1</v>
      </c>
      <c r="I1070">
        <v>2999</v>
      </c>
      <c r="J1070">
        <v>0</v>
      </c>
      <c r="K1070">
        <v>49</v>
      </c>
      <c r="L1070" t="s">
        <v>48</v>
      </c>
      <c r="M1070" t="s">
        <v>49</v>
      </c>
      <c r="N1070" t="s">
        <v>50</v>
      </c>
      <c r="O1070" t="s">
        <v>93</v>
      </c>
      <c r="P1070" t="s">
        <v>80</v>
      </c>
      <c r="Q1070">
        <v>3</v>
      </c>
      <c r="R1070">
        <f>IFERROR(Table1_1[[#This Row],[Unit_Price]]*Table1_1[[#This Row],[Quantity]],"")</f>
        <v>2999</v>
      </c>
      <c r="S1070">
        <f>IFERROR(Table1_1[[#This Row],[Gross_Sales]]*Table1_1[[#This Row],[Discount_%]],"")</f>
        <v>0</v>
      </c>
      <c r="T1070">
        <f>IFERROR(Table1_1[[#This Row],[Gross_Sales]]-Table1_1[[#This Row],[Discount_amount]]+Table1_1[[#This Row],[Shipping_Cost]],"")</f>
        <v>3048</v>
      </c>
      <c r="U1070">
        <f>IFERROR(Table1_1[[#This Row],[Net_Sale]]-(Table1_1[[#This Row],[Gross_Sales]]*70%),"")</f>
        <v>948.70000000000027</v>
      </c>
      <c r="V1070" s="7">
        <f>IFERROR(Table1_1[[#This Row],[Profit]]/Table1_1[[#This Row],[Net_Sale]],"")</f>
        <v>0.31125328083989512</v>
      </c>
      <c r="W1070" t="str">
        <f>TEXT(Table1_1[[#This Row],[Order_Date]],"mmm")</f>
        <v>Sep</v>
      </c>
    </row>
    <row r="1071" spans="1:23" x14ac:dyDescent="0.25">
      <c r="A1071" t="s">
        <v>1482</v>
      </c>
      <c r="B1071" t="s">
        <v>440</v>
      </c>
      <c r="C1071" s="6">
        <v>45883</v>
      </c>
      <c r="D1071" t="s">
        <v>35</v>
      </c>
      <c r="E1071" t="s">
        <v>36</v>
      </c>
      <c r="F1071" t="s">
        <v>37</v>
      </c>
      <c r="G1071" t="s">
        <v>38</v>
      </c>
      <c r="H1071">
        <v>2</v>
      </c>
      <c r="I1071">
        <v>599</v>
      </c>
      <c r="J1071">
        <v>0.15</v>
      </c>
      <c r="K1071">
        <v>49</v>
      </c>
      <c r="L1071" t="s">
        <v>100</v>
      </c>
      <c r="M1071" t="s">
        <v>101</v>
      </c>
      <c r="N1071" t="s">
        <v>71</v>
      </c>
      <c r="O1071" t="s">
        <v>51</v>
      </c>
      <c r="P1071" t="s">
        <v>33</v>
      </c>
      <c r="Q1071">
        <v>1</v>
      </c>
      <c r="R1071">
        <f>IFERROR(Table1_1[[#This Row],[Unit_Price]]*Table1_1[[#This Row],[Quantity]],"")</f>
        <v>1198</v>
      </c>
      <c r="S1071">
        <f>IFERROR(Table1_1[[#This Row],[Gross_Sales]]*Table1_1[[#This Row],[Discount_%]],"")</f>
        <v>179.7</v>
      </c>
      <c r="T1071">
        <f>IFERROR(Table1_1[[#This Row],[Gross_Sales]]-Table1_1[[#This Row],[Discount_amount]]+Table1_1[[#This Row],[Shipping_Cost]],"")</f>
        <v>1067.3</v>
      </c>
      <c r="U1071">
        <f>IFERROR(Table1_1[[#This Row],[Net_Sale]]-(Table1_1[[#This Row],[Gross_Sales]]*70%),"")</f>
        <v>228.70000000000005</v>
      </c>
      <c r="V1071" s="7">
        <f>IFERROR(Table1_1[[#This Row],[Profit]]/Table1_1[[#This Row],[Net_Sale]],"")</f>
        <v>0.21427902183078801</v>
      </c>
      <c r="W1071" t="str">
        <f>TEXT(Table1_1[[#This Row],[Order_Date]],"mmm")</f>
        <v>Aug</v>
      </c>
    </row>
    <row r="1072" spans="1:23" x14ac:dyDescent="0.25">
      <c r="A1072" t="s">
        <v>1483</v>
      </c>
      <c r="B1072" t="s">
        <v>555</v>
      </c>
      <c r="C1072" s="6">
        <v>45680</v>
      </c>
      <c r="D1072" t="s">
        <v>25</v>
      </c>
      <c r="E1072" t="s">
        <v>26</v>
      </c>
      <c r="F1072" t="s">
        <v>27</v>
      </c>
      <c r="G1072" t="s">
        <v>28</v>
      </c>
      <c r="H1072">
        <v>2</v>
      </c>
      <c r="I1072">
        <v>249</v>
      </c>
      <c r="J1072">
        <v>0</v>
      </c>
      <c r="K1072">
        <v>0</v>
      </c>
      <c r="L1072" t="s">
        <v>74</v>
      </c>
      <c r="M1072" t="s">
        <v>49</v>
      </c>
      <c r="N1072" t="s">
        <v>40</v>
      </c>
      <c r="O1072" t="s">
        <v>93</v>
      </c>
      <c r="P1072" t="s">
        <v>33</v>
      </c>
      <c r="Q1072">
        <v>5</v>
      </c>
      <c r="R1072">
        <f>IFERROR(Table1_1[[#This Row],[Unit_Price]]*Table1_1[[#This Row],[Quantity]],"")</f>
        <v>498</v>
      </c>
      <c r="S1072">
        <f>IFERROR(Table1_1[[#This Row],[Gross_Sales]]*Table1_1[[#This Row],[Discount_%]],"")</f>
        <v>0</v>
      </c>
      <c r="T1072">
        <f>IFERROR(Table1_1[[#This Row],[Gross_Sales]]-Table1_1[[#This Row],[Discount_amount]]+Table1_1[[#This Row],[Shipping_Cost]],"")</f>
        <v>498</v>
      </c>
      <c r="U1072">
        <f>IFERROR(Table1_1[[#This Row],[Net_Sale]]-(Table1_1[[#This Row],[Gross_Sales]]*70%),"")</f>
        <v>149.40000000000003</v>
      </c>
      <c r="V1072" s="7">
        <f>IFERROR(Table1_1[[#This Row],[Profit]]/Table1_1[[#This Row],[Net_Sale]],"")</f>
        <v>0.30000000000000004</v>
      </c>
      <c r="W1072" t="str">
        <f>TEXT(Table1_1[[#This Row],[Order_Date]],"mmm")</f>
        <v>Jan</v>
      </c>
    </row>
    <row r="1073" spans="1:23" x14ac:dyDescent="0.25">
      <c r="A1073" t="s">
        <v>1484</v>
      </c>
      <c r="B1073" t="s">
        <v>616</v>
      </c>
      <c r="C1073" s="6">
        <v>45950</v>
      </c>
      <c r="D1073" t="s">
        <v>55</v>
      </c>
      <c r="E1073" t="s">
        <v>56</v>
      </c>
      <c r="F1073" t="s">
        <v>37</v>
      </c>
      <c r="G1073" t="s">
        <v>38</v>
      </c>
      <c r="H1073">
        <v>1</v>
      </c>
      <c r="I1073">
        <v>2499</v>
      </c>
      <c r="J1073">
        <v>0.1</v>
      </c>
      <c r="K1073">
        <v>0</v>
      </c>
      <c r="L1073" t="s">
        <v>113</v>
      </c>
      <c r="M1073" t="s">
        <v>114</v>
      </c>
      <c r="N1073" t="s">
        <v>71</v>
      </c>
      <c r="O1073" t="s">
        <v>41</v>
      </c>
      <c r="P1073" t="s">
        <v>80</v>
      </c>
      <c r="Q1073">
        <v>1</v>
      </c>
      <c r="R1073">
        <f>IFERROR(Table1_1[[#This Row],[Unit_Price]]*Table1_1[[#This Row],[Quantity]],"")</f>
        <v>2499</v>
      </c>
      <c r="S1073">
        <f>IFERROR(Table1_1[[#This Row],[Gross_Sales]]*Table1_1[[#This Row],[Discount_%]],"")</f>
        <v>249.9</v>
      </c>
      <c r="T1073">
        <f>IFERROR(Table1_1[[#This Row],[Gross_Sales]]-Table1_1[[#This Row],[Discount_amount]]+Table1_1[[#This Row],[Shipping_Cost]],"")</f>
        <v>2249.1</v>
      </c>
      <c r="U1073">
        <f>IFERROR(Table1_1[[#This Row],[Net_Sale]]-(Table1_1[[#This Row],[Gross_Sales]]*70%),"")</f>
        <v>499.79999999999995</v>
      </c>
      <c r="V1073" s="7">
        <f>IFERROR(Table1_1[[#This Row],[Profit]]/Table1_1[[#This Row],[Net_Sale]],"")</f>
        <v>0.22222222222222221</v>
      </c>
      <c r="W1073" t="str">
        <f>TEXT(Table1_1[[#This Row],[Order_Date]],"mmm")</f>
        <v>Oct</v>
      </c>
    </row>
    <row r="1074" spans="1:23" x14ac:dyDescent="0.25">
      <c r="A1074" t="s">
        <v>1485</v>
      </c>
      <c r="B1074" t="s">
        <v>1391</v>
      </c>
      <c r="C1074" s="6">
        <v>45829</v>
      </c>
      <c r="D1074" t="s">
        <v>169</v>
      </c>
      <c r="E1074" t="s">
        <v>170</v>
      </c>
      <c r="F1074" t="s">
        <v>98</v>
      </c>
      <c r="G1074" t="s">
        <v>171</v>
      </c>
      <c r="H1074">
        <v>3</v>
      </c>
      <c r="I1074">
        <v>799</v>
      </c>
      <c r="J1074">
        <v>0.05</v>
      </c>
      <c r="K1074">
        <v>79</v>
      </c>
      <c r="L1074" t="s">
        <v>125</v>
      </c>
      <c r="M1074" t="s">
        <v>126</v>
      </c>
      <c r="N1074" t="s">
        <v>102</v>
      </c>
      <c r="O1074" t="s">
        <v>93</v>
      </c>
      <c r="P1074" t="s">
        <v>80</v>
      </c>
      <c r="Q1074">
        <v>2</v>
      </c>
      <c r="R1074">
        <f>IFERROR(Table1_1[[#This Row],[Unit_Price]]*Table1_1[[#This Row],[Quantity]],"")</f>
        <v>2397</v>
      </c>
      <c r="S1074">
        <f>IFERROR(Table1_1[[#This Row],[Gross_Sales]]*Table1_1[[#This Row],[Discount_%]],"")</f>
        <v>119.85000000000001</v>
      </c>
      <c r="T1074">
        <f>IFERROR(Table1_1[[#This Row],[Gross_Sales]]-Table1_1[[#This Row],[Discount_amount]]+Table1_1[[#This Row],[Shipping_Cost]],"")</f>
        <v>2356.15</v>
      </c>
      <c r="U1074">
        <f>IFERROR(Table1_1[[#This Row],[Net_Sale]]-(Table1_1[[#This Row],[Gross_Sales]]*70%),"")</f>
        <v>678.25000000000023</v>
      </c>
      <c r="V1074" s="7">
        <f>IFERROR(Table1_1[[#This Row],[Profit]]/Table1_1[[#This Row],[Net_Sale]],"")</f>
        <v>0.28786367591197515</v>
      </c>
      <c r="W1074" t="str">
        <f>TEXT(Table1_1[[#This Row],[Order_Date]],"mmm")</f>
        <v>Jun</v>
      </c>
    </row>
    <row r="1075" spans="1:23" x14ac:dyDescent="0.25">
      <c r="A1075" t="s">
        <v>1486</v>
      </c>
      <c r="B1075" t="s">
        <v>304</v>
      </c>
      <c r="C1075" s="6">
        <v>45734</v>
      </c>
      <c r="D1075" t="s">
        <v>169</v>
      </c>
      <c r="E1075" t="s">
        <v>170</v>
      </c>
      <c r="F1075" t="s">
        <v>98</v>
      </c>
      <c r="G1075" t="s">
        <v>171</v>
      </c>
      <c r="H1075">
        <v>1</v>
      </c>
      <c r="I1075">
        <v>799</v>
      </c>
      <c r="J1075">
        <v>0.15</v>
      </c>
      <c r="K1075">
        <v>49</v>
      </c>
      <c r="L1075" t="s">
        <v>39</v>
      </c>
      <c r="M1075" t="s">
        <v>39</v>
      </c>
      <c r="N1075" t="s">
        <v>102</v>
      </c>
      <c r="O1075" t="s">
        <v>32</v>
      </c>
      <c r="P1075" t="s">
        <v>33</v>
      </c>
      <c r="Q1075">
        <v>3</v>
      </c>
      <c r="R1075">
        <f>IFERROR(Table1_1[[#This Row],[Unit_Price]]*Table1_1[[#This Row],[Quantity]],"")</f>
        <v>799</v>
      </c>
      <c r="S1075">
        <f>IFERROR(Table1_1[[#This Row],[Gross_Sales]]*Table1_1[[#This Row],[Discount_%]],"")</f>
        <v>119.85</v>
      </c>
      <c r="T1075">
        <f>IFERROR(Table1_1[[#This Row],[Gross_Sales]]-Table1_1[[#This Row],[Discount_amount]]+Table1_1[[#This Row],[Shipping_Cost]],"")</f>
        <v>728.15</v>
      </c>
      <c r="U1075">
        <f>IFERROR(Table1_1[[#This Row],[Net_Sale]]-(Table1_1[[#This Row],[Gross_Sales]]*70%),"")</f>
        <v>168.85000000000002</v>
      </c>
      <c r="V1075" s="7">
        <f>IFERROR(Table1_1[[#This Row],[Profit]]/Table1_1[[#This Row],[Net_Sale]],"")</f>
        <v>0.23188903385291496</v>
      </c>
      <c r="W1075" t="str">
        <f>TEXT(Table1_1[[#This Row],[Order_Date]],"mmm")</f>
        <v>Mar</v>
      </c>
    </row>
    <row r="1076" spans="1:23" x14ac:dyDescent="0.25">
      <c r="A1076" t="s">
        <v>1487</v>
      </c>
      <c r="B1076" t="s">
        <v>450</v>
      </c>
      <c r="C1076" s="6">
        <v>45851</v>
      </c>
      <c r="D1076" t="s">
        <v>44</v>
      </c>
      <c r="E1076" t="s">
        <v>45</v>
      </c>
      <c r="F1076" t="s">
        <v>46</v>
      </c>
      <c r="G1076" t="s">
        <v>47</v>
      </c>
      <c r="H1076">
        <v>4</v>
      </c>
      <c r="I1076">
        <v>1199</v>
      </c>
      <c r="J1076">
        <v>0.2</v>
      </c>
      <c r="K1076">
        <v>49</v>
      </c>
      <c r="L1076" t="s">
        <v>74</v>
      </c>
      <c r="M1076" t="s">
        <v>49</v>
      </c>
      <c r="N1076" t="s">
        <v>31</v>
      </c>
      <c r="O1076" t="s">
        <v>93</v>
      </c>
      <c r="P1076" t="s">
        <v>80</v>
      </c>
      <c r="Q1076">
        <v>2</v>
      </c>
      <c r="R1076">
        <f>IFERROR(Table1_1[[#This Row],[Unit_Price]]*Table1_1[[#This Row],[Quantity]],"")</f>
        <v>4796</v>
      </c>
      <c r="S1076">
        <f>IFERROR(Table1_1[[#This Row],[Gross_Sales]]*Table1_1[[#This Row],[Discount_%]],"")</f>
        <v>959.2</v>
      </c>
      <c r="T1076">
        <f>IFERROR(Table1_1[[#This Row],[Gross_Sales]]-Table1_1[[#This Row],[Discount_amount]]+Table1_1[[#This Row],[Shipping_Cost]],"")</f>
        <v>3885.8</v>
      </c>
      <c r="U1076">
        <f>IFERROR(Table1_1[[#This Row],[Net_Sale]]-(Table1_1[[#This Row],[Gross_Sales]]*70%),"")</f>
        <v>528.60000000000036</v>
      </c>
      <c r="V1076" s="7">
        <f>IFERROR(Table1_1[[#This Row],[Profit]]/Table1_1[[#This Row],[Net_Sale]],"")</f>
        <v>0.13603376396108918</v>
      </c>
      <c r="W1076" t="str">
        <f>TEXT(Table1_1[[#This Row],[Order_Date]],"mmm")</f>
        <v>Jul</v>
      </c>
    </row>
    <row r="1077" spans="1:23" x14ac:dyDescent="0.25">
      <c r="A1077" t="s">
        <v>1488</v>
      </c>
      <c r="B1077" t="s">
        <v>521</v>
      </c>
      <c r="C1077" s="6">
        <v>45980</v>
      </c>
      <c r="D1077" t="s">
        <v>44</v>
      </c>
      <c r="E1077" t="s">
        <v>45</v>
      </c>
      <c r="F1077" t="s">
        <v>46</v>
      </c>
      <c r="G1077" t="s">
        <v>47</v>
      </c>
      <c r="H1077">
        <v>5</v>
      </c>
      <c r="I1077">
        <v>1199</v>
      </c>
      <c r="J1077">
        <v>0.15</v>
      </c>
      <c r="K1077">
        <v>0</v>
      </c>
      <c r="L1077" t="s">
        <v>83</v>
      </c>
      <c r="M1077" t="s">
        <v>84</v>
      </c>
      <c r="N1077" t="s">
        <v>31</v>
      </c>
      <c r="O1077" t="s">
        <v>32</v>
      </c>
      <c r="P1077" t="s">
        <v>52</v>
      </c>
      <c r="Q1077">
        <v>4</v>
      </c>
      <c r="R1077">
        <f>IFERROR(Table1_1[[#This Row],[Unit_Price]]*Table1_1[[#This Row],[Quantity]],"")</f>
        <v>5995</v>
      </c>
      <c r="S1077">
        <f>IFERROR(Table1_1[[#This Row],[Gross_Sales]]*Table1_1[[#This Row],[Discount_%]],"")</f>
        <v>899.25</v>
      </c>
      <c r="T1077">
        <f>IFERROR(Table1_1[[#This Row],[Gross_Sales]]-Table1_1[[#This Row],[Discount_amount]]+Table1_1[[#This Row],[Shipping_Cost]],"")</f>
        <v>5095.75</v>
      </c>
      <c r="U1077">
        <f>IFERROR(Table1_1[[#This Row],[Net_Sale]]-(Table1_1[[#This Row],[Gross_Sales]]*70%),"")</f>
        <v>899.25</v>
      </c>
      <c r="V1077" s="7">
        <f>IFERROR(Table1_1[[#This Row],[Profit]]/Table1_1[[#This Row],[Net_Sale]],"")</f>
        <v>0.17647058823529413</v>
      </c>
      <c r="W1077" t="str">
        <f>TEXT(Table1_1[[#This Row],[Order_Date]],"mmm")</f>
        <v>Nov</v>
      </c>
    </row>
    <row r="1078" spans="1:23" x14ac:dyDescent="0.25">
      <c r="A1078" t="s">
        <v>1489</v>
      </c>
      <c r="B1078" t="s">
        <v>1081</v>
      </c>
      <c r="C1078" s="6">
        <v>45820</v>
      </c>
      <c r="D1078" t="s">
        <v>25</v>
      </c>
      <c r="E1078" t="s">
        <v>26</v>
      </c>
      <c r="F1078" t="s">
        <v>27</v>
      </c>
      <c r="G1078" t="s">
        <v>28</v>
      </c>
      <c r="H1078">
        <v>2</v>
      </c>
      <c r="I1078">
        <v>249</v>
      </c>
      <c r="J1078">
        <v>0.05</v>
      </c>
      <c r="K1078">
        <v>49</v>
      </c>
      <c r="L1078" t="s">
        <v>83</v>
      </c>
      <c r="M1078" t="s">
        <v>84</v>
      </c>
      <c r="N1078" t="s">
        <v>50</v>
      </c>
      <c r="O1078" t="s">
        <v>51</v>
      </c>
      <c r="P1078" t="s">
        <v>85</v>
      </c>
      <c r="Q1078">
        <v>2</v>
      </c>
      <c r="R1078">
        <f>IFERROR(Table1_1[[#This Row],[Unit_Price]]*Table1_1[[#This Row],[Quantity]],"")</f>
        <v>498</v>
      </c>
      <c r="S1078">
        <f>IFERROR(Table1_1[[#This Row],[Gross_Sales]]*Table1_1[[#This Row],[Discount_%]],"")</f>
        <v>24.900000000000002</v>
      </c>
      <c r="T1078">
        <f>IFERROR(Table1_1[[#This Row],[Gross_Sales]]-Table1_1[[#This Row],[Discount_amount]]+Table1_1[[#This Row],[Shipping_Cost]],"")</f>
        <v>522.1</v>
      </c>
      <c r="U1078">
        <f>IFERROR(Table1_1[[#This Row],[Net_Sale]]-(Table1_1[[#This Row],[Gross_Sales]]*70%),"")</f>
        <v>173.50000000000006</v>
      </c>
      <c r="V1078" s="7">
        <f>IFERROR(Table1_1[[#This Row],[Profit]]/Table1_1[[#This Row],[Net_Sale]],"")</f>
        <v>0.33231181765945228</v>
      </c>
      <c r="W1078" t="str">
        <f>TEXT(Table1_1[[#This Row],[Order_Date]],"mmm")</f>
        <v>Jun</v>
      </c>
    </row>
    <row r="1079" spans="1:23" x14ac:dyDescent="0.25">
      <c r="A1079" t="s">
        <v>1490</v>
      </c>
      <c r="B1079" t="s">
        <v>387</v>
      </c>
      <c r="C1079" s="6">
        <v>45717</v>
      </c>
      <c r="D1079" t="s">
        <v>90</v>
      </c>
      <c r="E1079" t="s">
        <v>91</v>
      </c>
      <c r="F1079" t="s">
        <v>37</v>
      </c>
      <c r="G1079" t="s">
        <v>92</v>
      </c>
      <c r="H1079">
        <v>2</v>
      </c>
      <c r="I1079">
        <v>3499</v>
      </c>
      <c r="J1079">
        <v>0.2</v>
      </c>
      <c r="K1079">
        <v>79</v>
      </c>
      <c r="L1079" t="s">
        <v>74</v>
      </c>
      <c r="M1079" t="s">
        <v>49</v>
      </c>
      <c r="N1079" t="s">
        <v>31</v>
      </c>
      <c r="O1079" t="s">
        <v>51</v>
      </c>
      <c r="P1079" t="s">
        <v>52</v>
      </c>
      <c r="Q1079">
        <v>5</v>
      </c>
      <c r="R1079">
        <f>IFERROR(Table1_1[[#This Row],[Unit_Price]]*Table1_1[[#This Row],[Quantity]],"")</f>
        <v>6998</v>
      </c>
      <c r="S1079">
        <f>IFERROR(Table1_1[[#This Row],[Gross_Sales]]*Table1_1[[#This Row],[Discount_%]],"")</f>
        <v>1399.6000000000001</v>
      </c>
      <c r="T1079">
        <f>IFERROR(Table1_1[[#This Row],[Gross_Sales]]-Table1_1[[#This Row],[Discount_amount]]+Table1_1[[#This Row],[Shipping_Cost]],"")</f>
        <v>5677.4</v>
      </c>
      <c r="U1079">
        <f>IFERROR(Table1_1[[#This Row],[Net_Sale]]-(Table1_1[[#This Row],[Gross_Sales]]*70%),"")</f>
        <v>778.80000000000018</v>
      </c>
      <c r="V1079" s="7">
        <f>IFERROR(Table1_1[[#This Row],[Profit]]/Table1_1[[#This Row],[Net_Sale]],"")</f>
        <v>0.13717546764363975</v>
      </c>
      <c r="W1079" t="str">
        <f>TEXT(Table1_1[[#This Row],[Order_Date]],"mmm")</f>
        <v>Mar</v>
      </c>
    </row>
    <row r="1080" spans="1:23" x14ac:dyDescent="0.25">
      <c r="A1080" t="s">
        <v>1491</v>
      </c>
      <c r="B1080" t="s">
        <v>118</v>
      </c>
      <c r="C1080" s="6">
        <v>45992</v>
      </c>
      <c r="D1080" t="s">
        <v>62</v>
      </c>
      <c r="E1080" t="s">
        <v>63</v>
      </c>
      <c r="F1080" t="s">
        <v>46</v>
      </c>
      <c r="G1080" t="s">
        <v>64</v>
      </c>
      <c r="H1080">
        <v>4</v>
      </c>
      <c r="I1080">
        <v>699</v>
      </c>
      <c r="J1080">
        <v>0.1</v>
      </c>
      <c r="K1080">
        <v>79</v>
      </c>
      <c r="L1080" t="s">
        <v>29</v>
      </c>
      <c r="M1080" t="s">
        <v>30</v>
      </c>
      <c r="N1080" t="s">
        <v>102</v>
      </c>
      <c r="O1080" t="s">
        <v>41</v>
      </c>
      <c r="P1080" t="s">
        <v>33</v>
      </c>
      <c r="Q1080">
        <v>5</v>
      </c>
      <c r="R1080">
        <f>IFERROR(Table1_1[[#This Row],[Unit_Price]]*Table1_1[[#This Row],[Quantity]],"")</f>
        <v>2796</v>
      </c>
      <c r="S1080">
        <f>IFERROR(Table1_1[[#This Row],[Gross_Sales]]*Table1_1[[#This Row],[Discount_%]],"")</f>
        <v>279.60000000000002</v>
      </c>
      <c r="T1080">
        <f>IFERROR(Table1_1[[#This Row],[Gross_Sales]]-Table1_1[[#This Row],[Discount_amount]]+Table1_1[[#This Row],[Shipping_Cost]],"")</f>
        <v>2595.4</v>
      </c>
      <c r="U1080">
        <f>IFERROR(Table1_1[[#This Row],[Net_Sale]]-(Table1_1[[#This Row],[Gross_Sales]]*70%),"")</f>
        <v>638.20000000000027</v>
      </c>
      <c r="V1080" s="7">
        <f>IFERROR(Table1_1[[#This Row],[Profit]]/Table1_1[[#This Row],[Net_Sale]],"")</f>
        <v>0.24589658626801272</v>
      </c>
      <c r="W1080" t="str">
        <f>TEXT(Table1_1[[#This Row],[Order_Date]],"mmm")</f>
        <v>Dec</v>
      </c>
    </row>
    <row r="1081" spans="1:23" x14ac:dyDescent="0.25">
      <c r="A1081" t="s">
        <v>1492</v>
      </c>
      <c r="B1081" t="s">
        <v>304</v>
      </c>
      <c r="C1081" s="6">
        <v>45998</v>
      </c>
      <c r="D1081" t="s">
        <v>67</v>
      </c>
      <c r="E1081" t="s">
        <v>68</v>
      </c>
      <c r="F1081" t="s">
        <v>37</v>
      </c>
      <c r="G1081" t="s">
        <v>38</v>
      </c>
      <c r="H1081">
        <v>2</v>
      </c>
      <c r="I1081">
        <v>1299</v>
      </c>
      <c r="J1081">
        <v>0.05</v>
      </c>
      <c r="K1081">
        <v>59</v>
      </c>
      <c r="L1081" t="s">
        <v>57</v>
      </c>
      <c r="M1081" t="s">
        <v>58</v>
      </c>
      <c r="N1081" t="s">
        <v>31</v>
      </c>
      <c r="O1081" t="s">
        <v>93</v>
      </c>
      <c r="P1081" t="s">
        <v>33</v>
      </c>
      <c r="Q1081">
        <v>4</v>
      </c>
      <c r="R1081">
        <f>IFERROR(Table1_1[[#This Row],[Unit_Price]]*Table1_1[[#This Row],[Quantity]],"")</f>
        <v>2598</v>
      </c>
      <c r="S1081">
        <f>IFERROR(Table1_1[[#This Row],[Gross_Sales]]*Table1_1[[#This Row],[Discount_%]],"")</f>
        <v>129.9</v>
      </c>
      <c r="T1081">
        <f>IFERROR(Table1_1[[#This Row],[Gross_Sales]]-Table1_1[[#This Row],[Discount_amount]]+Table1_1[[#This Row],[Shipping_Cost]],"")</f>
        <v>2527.1</v>
      </c>
      <c r="U1081">
        <f>IFERROR(Table1_1[[#This Row],[Net_Sale]]-(Table1_1[[#This Row],[Gross_Sales]]*70%),"")</f>
        <v>708.5</v>
      </c>
      <c r="V1081" s="7">
        <f>IFERROR(Table1_1[[#This Row],[Profit]]/Table1_1[[#This Row],[Net_Sale]],"")</f>
        <v>0.28036088797435799</v>
      </c>
      <c r="W1081" t="str">
        <f>TEXT(Table1_1[[#This Row],[Order_Date]],"mmm")</f>
        <v>Dec</v>
      </c>
    </row>
    <row r="1082" spans="1:23" x14ac:dyDescent="0.25">
      <c r="A1082" t="s">
        <v>1493</v>
      </c>
      <c r="B1082" t="s">
        <v>805</v>
      </c>
      <c r="C1082" s="6">
        <v>45952</v>
      </c>
      <c r="D1082" t="s">
        <v>96</v>
      </c>
      <c r="E1082" t="s">
        <v>97</v>
      </c>
      <c r="F1082" t="s">
        <v>98</v>
      </c>
      <c r="G1082" t="s">
        <v>99</v>
      </c>
      <c r="H1082">
        <v>5</v>
      </c>
      <c r="I1082">
        <v>1499</v>
      </c>
      <c r="J1082">
        <v>0</v>
      </c>
      <c r="K1082">
        <v>79</v>
      </c>
      <c r="L1082" t="s">
        <v>83</v>
      </c>
      <c r="M1082" t="s">
        <v>84</v>
      </c>
      <c r="N1082" t="s">
        <v>50</v>
      </c>
      <c r="O1082" t="s">
        <v>93</v>
      </c>
      <c r="P1082" t="s">
        <v>33</v>
      </c>
      <c r="Q1082">
        <v>4</v>
      </c>
      <c r="R1082">
        <f>IFERROR(Table1_1[[#This Row],[Unit_Price]]*Table1_1[[#This Row],[Quantity]],"")</f>
        <v>7495</v>
      </c>
      <c r="S1082">
        <f>IFERROR(Table1_1[[#This Row],[Gross_Sales]]*Table1_1[[#This Row],[Discount_%]],"")</f>
        <v>0</v>
      </c>
      <c r="T1082">
        <f>IFERROR(Table1_1[[#This Row],[Gross_Sales]]-Table1_1[[#This Row],[Discount_amount]]+Table1_1[[#This Row],[Shipping_Cost]],"")</f>
        <v>7574</v>
      </c>
      <c r="U1082">
        <f>IFERROR(Table1_1[[#This Row],[Net_Sale]]-(Table1_1[[#This Row],[Gross_Sales]]*70%),"")</f>
        <v>2327.5</v>
      </c>
      <c r="V1082" s="7">
        <f>IFERROR(Table1_1[[#This Row],[Profit]]/Table1_1[[#This Row],[Net_Sale]],"")</f>
        <v>0.30730129390018485</v>
      </c>
      <c r="W1082" t="str">
        <f>TEXT(Table1_1[[#This Row],[Order_Date]],"mmm")</f>
        <v>Oct</v>
      </c>
    </row>
    <row r="1083" spans="1:23" x14ac:dyDescent="0.25">
      <c r="A1083" t="s">
        <v>1494</v>
      </c>
      <c r="B1083" t="s">
        <v>1495</v>
      </c>
      <c r="C1083" s="6">
        <v>45898</v>
      </c>
      <c r="D1083" t="s">
        <v>110</v>
      </c>
      <c r="E1083" t="s">
        <v>111</v>
      </c>
      <c r="F1083" t="s">
        <v>98</v>
      </c>
      <c r="G1083" t="s">
        <v>112</v>
      </c>
      <c r="H1083">
        <v>2</v>
      </c>
      <c r="I1083">
        <v>2999</v>
      </c>
      <c r="J1083">
        <v>0</v>
      </c>
      <c r="K1083">
        <v>79</v>
      </c>
      <c r="L1083" t="s">
        <v>83</v>
      </c>
      <c r="M1083" t="s">
        <v>84</v>
      </c>
      <c r="N1083" t="s">
        <v>50</v>
      </c>
      <c r="O1083" t="s">
        <v>93</v>
      </c>
      <c r="P1083" t="s">
        <v>33</v>
      </c>
      <c r="Q1083">
        <v>2</v>
      </c>
      <c r="R1083">
        <f>IFERROR(Table1_1[[#This Row],[Unit_Price]]*Table1_1[[#This Row],[Quantity]],"")</f>
        <v>5998</v>
      </c>
      <c r="S1083">
        <f>IFERROR(Table1_1[[#This Row],[Gross_Sales]]*Table1_1[[#This Row],[Discount_%]],"")</f>
        <v>0</v>
      </c>
      <c r="T1083">
        <f>IFERROR(Table1_1[[#This Row],[Gross_Sales]]-Table1_1[[#This Row],[Discount_amount]]+Table1_1[[#This Row],[Shipping_Cost]],"")</f>
        <v>6077</v>
      </c>
      <c r="U1083">
        <f>IFERROR(Table1_1[[#This Row],[Net_Sale]]-(Table1_1[[#This Row],[Gross_Sales]]*70%),"")</f>
        <v>1878.4000000000005</v>
      </c>
      <c r="V1083" s="7">
        <f>IFERROR(Table1_1[[#This Row],[Profit]]/Table1_1[[#This Row],[Net_Sale]],"")</f>
        <v>0.30909988481158474</v>
      </c>
      <c r="W1083" t="str">
        <f>TEXT(Table1_1[[#This Row],[Order_Date]],"mmm")</f>
        <v>Aug</v>
      </c>
    </row>
    <row r="1084" spans="1:23" x14ac:dyDescent="0.25">
      <c r="A1084" t="s">
        <v>1496</v>
      </c>
      <c r="B1084" t="s">
        <v>216</v>
      </c>
      <c r="C1084" s="6">
        <v>45874</v>
      </c>
      <c r="D1084" t="s">
        <v>62</v>
      </c>
      <c r="E1084" t="s">
        <v>63</v>
      </c>
      <c r="F1084" t="s">
        <v>46</v>
      </c>
      <c r="G1084" t="s">
        <v>64</v>
      </c>
      <c r="H1084">
        <v>4</v>
      </c>
      <c r="I1084">
        <v>699</v>
      </c>
      <c r="J1084">
        <v>0.2</v>
      </c>
      <c r="K1084">
        <v>99</v>
      </c>
      <c r="L1084" t="s">
        <v>83</v>
      </c>
      <c r="M1084" t="s">
        <v>84</v>
      </c>
      <c r="N1084" t="s">
        <v>71</v>
      </c>
      <c r="O1084" t="s">
        <v>93</v>
      </c>
      <c r="P1084" t="s">
        <v>52</v>
      </c>
      <c r="Q1084">
        <v>3</v>
      </c>
      <c r="R1084">
        <f>IFERROR(Table1_1[[#This Row],[Unit_Price]]*Table1_1[[#This Row],[Quantity]],"")</f>
        <v>2796</v>
      </c>
      <c r="S1084">
        <f>IFERROR(Table1_1[[#This Row],[Gross_Sales]]*Table1_1[[#This Row],[Discount_%]],"")</f>
        <v>559.20000000000005</v>
      </c>
      <c r="T1084">
        <f>IFERROR(Table1_1[[#This Row],[Gross_Sales]]-Table1_1[[#This Row],[Discount_amount]]+Table1_1[[#This Row],[Shipping_Cost]],"")</f>
        <v>2335.8000000000002</v>
      </c>
      <c r="U1084">
        <f>IFERROR(Table1_1[[#This Row],[Net_Sale]]-(Table1_1[[#This Row],[Gross_Sales]]*70%),"")</f>
        <v>378.60000000000036</v>
      </c>
      <c r="V1084" s="7">
        <f>IFERROR(Table1_1[[#This Row],[Profit]]/Table1_1[[#This Row],[Net_Sale]],"")</f>
        <v>0.16208579501669679</v>
      </c>
      <c r="W1084" t="str">
        <f>TEXT(Table1_1[[#This Row],[Order_Date]],"mmm")</f>
        <v>Aug</v>
      </c>
    </row>
    <row r="1085" spans="1:23" x14ac:dyDescent="0.25">
      <c r="A1085" t="s">
        <v>1497</v>
      </c>
      <c r="B1085" t="s">
        <v>493</v>
      </c>
      <c r="C1085" s="6">
        <v>45713</v>
      </c>
      <c r="D1085" t="s">
        <v>169</v>
      </c>
      <c r="E1085" t="s">
        <v>170</v>
      </c>
      <c r="F1085" t="s">
        <v>98</v>
      </c>
      <c r="G1085" t="s">
        <v>171</v>
      </c>
      <c r="H1085">
        <v>2</v>
      </c>
      <c r="I1085">
        <v>799</v>
      </c>
      <c r="J1085">
        <v>0.2</v>
      </c>
      <c r="K1085">
        <v>59</v>
      </c>
      <c r="L1085" t="s">
        <v>125</v>
      </c>
      <c r="M1085" t="s">
        <v>126</v>
      </c>
      <c r="N1085" t="s">
        <v>40</v>
      </c>
      <c r="O1085" t="s">
        <v>59</v>
      </c>
      <c r="P1085" t="s">
        <v>33</v>
      </c>
      <c r="Q1085">
        <v>3</v>
      </c>
      <c r="R1085">
        <f>IFERROR(Table1_1[[#This Row],[Unit_Price]]*Table1_1[[#This Row],[Quantity]],"")</f>
        <v>1598</v>
      </c>
      <c r="S1085">
        <f>IFERROR(Table1_1[[#This Row],[Gross_Sales]]*Table1_1[[#This Row],[Discount_%]],"")</f>
        <v>319.60000000000002</v>
      </c>
      <c r="T1085">
        <f>IFERROR(Table1_1[[#This Row],[Gross_Sales]]-Table1_1[[#This Row],[Discount_amount]]+Table1_1[[#This Row],[Shipping_Cost]],"")</f>
        <v>1337.4</v>
      </c>
      <c r="U1085">
        <f>IFERROR(Table1_1[[#This Row],[Net_Sale]]-(Table1_1[[#This Row],[Gross_Sales]]*70%),"")</f>
        <v>218.80000000000018</v>
      </c>
      <c r="V1085" s="7">
        <f>IFERROR(Table1_1[[#This Row],[Profit]]/Table1_1[[#This Row],[Net_Sale]],"")</f>
        <v>0.16360101689845982</v>
      </c>
      <c r="W1085" t="str">
        <f>TEXT(Table1_1[[#This Row],[Order_Date]],"mmm")</f>
        <v>Feb</v>
      </c>
    </row>
    <row r="1086" spans="1:23" x14ac:dyDescent="0.25">
      <c r="A1086" t="s">
        <v>1498</v>
      </c>
      <c r="B1086" t="s">
        <v>713</v>
      </c>
      <c r="C1086" s="6">
        <v>46016</v>
      </c>
      <c r="D1086" t="s">
        <v>96</v>
      </c>
      <c r="E1086" t="s">
        <v>97</v>
      </c>
      <c r="F1086" t="s">
        <v>98</v>
      </c>
      <c r="G1086" t="s">
        <v>99</v>
      </c>
      <c r="H1086">
        <v>3</v>
      </c>
      <c r="I1086">
        <v>1499</v>
      </c>
      <c r="J1086">
        <v>0.2</v>
      </c>
      <c r="K1086">
        <v>99</v>
      </c>
      <c r="L1086" t="s">
        <v>48</v>
      </c>
      <c r="M1086" t="s">
        <v>49</v>
      </c>
      <c r="N1086" t="s">
        <v>31</v>
      </c>
      <c r="O1086" t="s">
        <v>41</v>
      </c>
      <c r="P1086" t="s">
        <v>33</v>
      </c>
      <c r="Q1086">
        <v>1</v>
      </c>
      <c r="R1086">
        <f>IFERROR(Table1_1[[#This Row],[Unit_Price]]*Table1_1[[#This Row],[Quantity]],"")</f>
        <v>4497</v>
      </c>
      <c r="S1086">
        <f>IFERROR(Table1_1[[#This Row],[Gross_Sales]]*Table1_1[[#This Row],[Discount_%]],"")</f>
        <v>899.40000000000009</v>
      </c>
      <c r="T1086">
        <f>IFERROR(Table1_1[[#This Row],[Gross_Sales]]-Table1_1[[#This Row],[Discount_amount]]+Table1_1[[#This Row],[Shipping_Cost]],"")</f>
        <v>3696.6</v>
      </c>
      <c r="U1086">
        <f>IFERROR(Table1_1[[#This Row],[Net_Sale]]-(Table1_1[[#This Row],[Gross_Sales]]*70%),"")</f>
        <v>548.70000000000027</v>
      </c>
      <c r="V1086" s="7">
        <f>IFERROR(Table1_1[[#This Row],[Profit]]/Table1_1[[#This Row],[Net_Sale]],"")</f>
        <v>0.14843369582859933</v>
      </c>
      <c r="W1086" t="str">
        <f>TEXT(Table1_1[[#This Row],[Order_Date]],"mmm")</f>
        <v>Dec</v>
      </c>
    </row>
    <row r="1087" spans="1:23" x14ac:dyDescent="0.25">
      <c r="A1087" t="s">
        <v>1499</v>
      </c>
      <c r="B1087" t="s">
        <v>713</v>
      </c>
      <c r="C1087" s="6">
        <v>45990</v>
      </c>
      <c r="D1087" t="s">
        <v>44</v>
      </c>
      <c r="E1087" t="s">
        <v>45</v>
      </c>
      <c r="F1087" t="s">
        <v>46</v>
      </c>
      <c r="G1087" t="s">
        <v>47</v>
      </c>
      <c r="H1087">
        <v>1</v>
      </c>
      <c r="I1087">
        <v>1199</v>
      </c>
      <c r="J1087">
        <v>0.1</v>
      </c>
      <c r="K1087">
        <v>49</v>
      </c>
      <c r="L1087" t="s">
        <v>125</v>
      </c>
      <c r="M1087" t="s">
        <v>126</v>
      </c>
      <c r="N1087" t="s">
        <v>102</v>
      </c>
      <c r="O1087" t="s">
        <v>51</v>
      </c>
      <c r="P1087" t="s">
        <v>33</v>
      </c>
      <c r="Q1087">
        <v>3</v>
      </c>
      <c r="R1087">
        <f>IFERROR(Table1_1[[#This Row],[Unit_Price]]*Table1_1[[#This Row],[Quantity]],"")</f>
        <v>1199</v>
      </c>
      <c r="S1087">
        <f>IFERROR(Table1_1[[#This Row],[Gross_Sales]]*Table1_1[[#This Row],[Discount_%]],"")</f>
        <v>119.9</v>
      </c>
      <c r="T1087">
        <f>IFERROR(Table1_1[[#This Row],[Gross_Sales]]-Table1_1[[#This Row],[Discount_amount]]+Table1_1[[#This Row],[Shipping_Cost]],"")</f>
        <v>1128.0999999999999</v>
      </c>
      <c r="U1087">
        <f>IFERROR(Table1_1[[#This Row],[Net_Sale]]-(Table1_1[[#This Row],[Gross_Sales]]*70%),"")</f>
        <v>288.79999999999995</v>
      </c>
      <c r="V1087" s="7">
        <f>IFERROR(Table1_1[[#This Row],[Profit]]/Table1_1[[#This Row],[Net_Sale]],"")</f>
        <v>0.256005673255917</v>
      </c>
      <c r="W1087" t="str">
        <f>TEXT(Table1_1[[#This Row],[Order_Date]],"mmm")</f>
        <v>Nov</v>
      </c>
    </row>
    <row r="1088" spans="1:23" x14ac:dyDescent="0.25">
      <c r="A1088" t="s">
        <v>1500</v>
      </c>
      <c r="B1088" t="s">
        <v>713</v>
      </c>
      <c r="C1088" s="6">
        <v>45832</v>
      </c>
      <c r="D1088" t="s">
        <v>55</v>
      </c>
      <c r="E1088" t="s">
        <v>56</v>
      </c>
      <c r="F1088" t="s">
        <v>37</v>
      </c>
      <c r="G1088" t="s">
        <v>38</v>
      </c>
      <c r="H1088">
        <v>1</v>
      </c>
      <c r="I1088">
        <v>2499</v>
      </c>
      <c r="J1088">
        <v>0.15</v>
      </c>
      <c r="K1088">
        <v>99</v>
      </c>
      <c r="L1088" t="s">
        <v>113</v>
      </c>
      <c r="M1088" t="s">
        <v>114</v>
      </c>
      <c r="N1088" t="s">
        <v>40</v>
      </c>
      <c r="O1088" t="s">
        <v>51</v>
      </c>
      <c r="P1088" t="s">
        <v>85</v>
      </c>
      <c r="Q1088">
        <v>3</v>
      </c>
      <c r="R1088">
        <f>IFERROR(Table1_1[[#This Row],[Unit_Price]]*Table1_1[[#This Row],[Quantity]],"")</f>
        <v>2499</v>
      </c>
      <c r="S1088">
        <f>IFERROR(Table1_1[[#This Row],[Gross_Sales]]*Table1_1[[#This Row],[Discount_%]],"")</f>
        <v>374.84999999999997</v>
      </c>
      <c r="T1088">
        <f>IFERROR(Table1_1[[#This Row],[Gross_Sales]]-Table1_1[[#This Row],[Discount_amount]]+Table1_1[[#This Row],[Shipping_Cost]],"")</f>
        <v>2223.15</v>
      </c>
      <c r="U1088">
        <f>IFERROR(Table1_1[[#This Row],[Net_Sale]]-(Table1_1[[#This Row],[Gross_Sales]]*70%),"")</f>
        <v>473.85000000000014</v>
      </c>
      <c r="V1088" s="7">
        <f>IFERROR(Table1_1[[#This Row],[Profit]]/Table1_1[[#This Row],[Net_Sale]],"")</f>
        <v>0.21314351258349645</v>
      </c>
      <c r="W1088" t="str">
        <f>TEXT(Table1_1[[#This Row],[Order_Date]],"mmm")</f>
        <v>Jun</v>
      </c>
    </row>
    <row r="1089" spans="1:23" x14ac:dyDescent="0.25">
      <c r="A1089" t="s">
        <v>1501</v>
      </c>
      <c r="B1089" t="s">
        <v>1031</v>
      </c>
      <c r="C1089" s="6">
        <v>45731</v>
      </c>
      <c r="D1089" t="s">
        <v>96</v>
      </c>
      <c r="E1089" t="s">
        <v>97</v>
      </c>
      <c r="F1089" t="s">
        <v>98</v>
      </c>
      <c r="G1089" t="s">
        <v>99</v>
      </c>
      <c r="H1089">
        <v>3</v>
      </c>
      <c r="I1089">
        <v>1499</v>
      </c>
      <c r="J1089">
        <v>0.2</v>
      </c>
      <c r="K1089">
        <v>49</v>
      </c>
      <c r="L1089" t="s">
        <v>74</v>
      </c>
      <c r="M1089" t="s">
        <v>49</v>
      </c>
      <c r="N1089" t="s">
        <v>102</v>
      </c>
      <c r="O1089" t="s">
        <v>51</v>
      </c>
      <c r="P1089" t="s">
        <v>80</v>
      </c>
      <c r="Q1089">
        <v>5</v>
      </c>
      <c r="R1089">
        <f>IFERROR(Table1_1[[#This Row],[Unit_Price]]*Table1_1[[#This Row],[Quantity]],"")</f>
        <v>4497</v>
      </c>
      <c r="S1089">
        <f>IFERROR(Table1_1[[#This Row],[Gross_Sales]]*Table1_1[[#This Row],[Discount_%]],"")</f>
        <v>899.40000000000009</v>
      </c>
      <c r="T1089">
        <f>IFERROR(Table1_1[[#This Row],[Gross_Sales]]-Table1_1[[#This Row],[Discount_amount]]+Table1_1[[#This Row],[Shipping_Cost]],"")</f>
        <v>3646.6</v>
      </c>
      <c r="U1089">
        <f>IFERROR(Table1_1[[#This Row],[Net_Sale]]-(Table1_1[[#This Row],[Gross_Sales]]*70%),"")</f>
        <v>498.70000000000027</v>
      </c>
      <c r="V1089" s="7">
        <f>IFERROR(Table1_1[[#This Row],[Profit]]/Table1_1[[#This Row],[Net_Sale]],"")</f>
        <v>0.13675752755991891</v>
      </c>
      <c r="W1089" t="str">
        <f>TEXT(Table1_1[[#This Row],[Order_Date]],"mmm")</f>
        <v>Mar</v>
      </c>
    </row>
    <row r="1090" spans="1:23" x14ac:dyDescent="0.25">
      <c r="A1090" t="s">
        <v>1502</v>
      </c>
      <c r="B1090" t="s">
        <v>675</v>
      </c>
      <c r="C1090" s="6">
        <v>45803</v>
      </c>
      <c r="D1090" t="s">
        <v>44</v>
      </c>
      <c r="E1090" t="s">
        <v>45</v>
      </c>
      <c r="F1090" t="s">
        <v>46</v>
      </c>
      <c r="G1090" t="s">
        <v>47</v>
      </c>
      <c r="H1090">
        <v>1</v>
      </c>
      <c r="I1090">
        <v>1199</v>
      </c>
      <c r="J1090">
        <v>0.05</v>
      </c>
      <c r="K1090">
        <v>79</v>
      </c>
      <c r="L1090" t="s">
        <v>74</v>
      </c>
      <c r="M1090" t="s">
        <v>49</v>
      </c>
      <c r="N1090" t="s">
        <v>50</v>
      </c>
      <c r="O1090" t="s">
        <v>41</v>
      </c>
      <c r="P1090" t="s">
        <v>33</v>
      </c>
      <c r="Q1090">
        <v>3</v>
      </c>
      <c r="R1090">
        <f>IFERROR(Table1_1[[#This Row],[Unit_Price]]*Table1_1[[#This Row],[Quantity]],"")</f>
        <v>1199</v>
      </c>
      <c r="S1090">
        <f>IFERROR(Table1_1[[#This Row],[Gross_Sales]]*Table1_1[[#This Row],[Discount_%]],"")</f>
        <v>59.95</v>
      </c>
      <c r="T1090">
        <f>IFERROR(Table1_1[[#This Row],[Gross_Sales]]-Table1_1[[#This Row],[Discount_amount]]+Table1_1[[#This Row],[Shipping_Cost]],"")</f>
        <v>1218.05</v>
      </c>
      <c r="U1090">
        <f>IFERROR(Table1_1[[#This Row],[Net_Sale]]-(Table1_1[[#This Row],[Gross_Sales]]*70%),"")</f>
        <v>378.75</v>
      </c>
      <c r="V1090" s="7">
        <f>IFERROR(Table1_1[[#This Row],[Profit]]/Table1_1[[#This Row],[Net_Sale]],"")</f>
        <v>0.31094782644390623</v>
      </c>
      <c r="W1090" t="str">
        <f>TEXT(Table1_1[[#This Row],[Order_Date]],"mmm")</f>
        <v>May</v>
      </c>
    </row>
    <row r="1091" spans="1:23" x14ac:dyDescent="0.25">
      <c r="A1091" t="s">
        <v>1503</v>
      </c>
      <c r="B1091" t="s">
        <v>640</v>
      </c>
      <c r="C1091" s="6">
        <v>45776</v>
      </c>
      <c r="D1091" t="s">
        <v>110</v>
      </c>
      <c r="E1091" t="s">
        <v>111</v>
      </c>
      <c r="F1091" t="s">
        <v>98</v>
      </c>
      <c r="G1091" t="s">
        <v>112</v>
      </c>
      <c r="H1091">
        <v>3</v>
      </c>
      <c r="I1091">
        <v>2999</v>
      </c>
      <c r="J1091">
        <v>0</v>
      </c>
      <c r="K1091">
        <v>49</v>
      </c>
      <c r="L1091" t="s">
        <v>125</v>
      </c>
      <c r="M1091" t="s">
        <v>126</v>
      </c>
      <c r="N1091" t="s">
        <v>102</v>
      </c>
      <c r="O1091" t="s">
        <v>41</v>
      </c>
      <c r="P1091" t="s">
        <v>33</v>
      </c>
      <c r="Q1091">
        <v>1</v>
      </c>
      <c r="R1091">
        <f>IFERROR(Table1_1[[#This Row],[Unit_Price]]*Table1_1[[#This Row],[Quantity]],"")</f>
        <v>8997</v>
      </c>
      <c r="S1091">
        <f>IFERROR(Table1_1[[#This Row],[Gross_Sales]]*Table1_1[[#This Row],[Discount_%]],"")</f>
        <v>0</v>
      </c>
      <c r="T1091">
        <f>IFERROR(Table1_1[[#This Row],[Gross_Sales]]-Table1_1[[#This Row],[Discount_amount]]+Table1_1[[#This Row],[Shipping_Cost]],"")</f>
        <v>9046</v>
      </c>
      <c r="U1091">
        <f>IFERROR(Table1_1[[#This Row],[Net_Sale]]-(Table1_1[[#This Row],[Gross_Sales]]*70%),"")</f>
        <v>2748.1000000000004</v>
      </c>
      <c r="V1091" s="7">
        <f>IFERROR(Table1_1[[#This Row],[Profit]]/Table1_1[[#This Row],[Net_Sale]],"")</f>
        <v>0.3037917311518904</v>
      </c>
      <c r="W1091" t="str">
        <f>TEXT(Table1_1[[#This Row],[Order_Date]],"mmm")</f>
        <v>Apr</v>
      </c>
    </row>
    <row r="1092" spans="1:23" x14ac:dyDescent="0.25">
      <c r="A1092" t="s">
        <v>1504</v>
      </c>
      <c r="B1092" t="s">
        <v>311</v>
      </c>
      <c r="C1092" s="6">
        <v>45934</v>
      </c>
      <c r="D1092" t="s">
        <v>44</v>
      </c>
      <c r="E1092" t="s">
        <v>45</v>
      </c>
      <c r="F1092" t="s">
        <v>46</v>
      </c>
      <c r="G1092" t="s">
        <v>47</v>
      </c>
      <c r="H1092">
        <v>4</v>
      </c>
      <c r="I1092">
        <v>1199</v>
      </c>
      <c r="J1092">
        <v>0</v>
      </c>
      <c r="K1092">
        <v>79</v>
      </c>
      <c r="L1092" t="s">
        <v>39</v>
      </c>
      <c r="M1092" t="s">
        <v>39</v>
      </c>
      <c r="N1092" t="s">
        <v>71</v>
      </c>
      <c r="O1092" t="s">
        <v>41</v>
      </c>
      <c r="P1092" t="s">
        <v>33</v>
      </c>
      <c r="Q1092">
        <v>3</v>
      </c>
      <c r="R1092">
        <f>IFERROR(Table1_1[[#This Row],[Unit_Price]]*Table1_1[[#This Row],[Quantity]],"")</f>
        <v>4796</v>
      </c>
      <c r="S1092">
        <f>IFERROR(Table1_1[[#This Row],[Gross_Sales]]*Table1_1[[#This Row],[Discount_%]],"")</f>
        <v>0</v>
      </c>
      <c r="T1092">
        <f>IFERROR(Table1_1[[#This Row],[Gross_Sales]]-Table1_1[[#This Row],[Discount_amount]]+Table1_1[[#This Row],[Shipping_Cost]],"")</f>
        <v>4875</v>
      </c>
      <c r="U1092">
        <f>IFERROR(Table1_1[[#This Row],[Net_Sale]]-(Table1_1[[#This Row],[Gross_Sales]]*70%),"")</f>
        <v>1517.8000000000002</v>
      </c>
      <c r="V1092" s="7">
        <f>IFERROR(Table1_1[[#This Row],[Profit]]/Table1_1[[#This Row],[Net_Sale]],"")</f>
        <v>0.31134358974358978</v>
      </c>
      <c r="W1092" t="str">
        <f>TEXT(Table1_1[[#This Row],[Order_Date]],"mmm")</f>
        <v>Oct</v>
      </c>
    </row>
    <row r="1093" spans="1:23" x14ac:dyDescent="0.25">
      <c r="A1093" t="s">
        <v>1505</v>
      </c>
      <c r="B1093" t="s">
        <v>1618</v>
      </c>
      <c r="C1093" s="6">
        <v>45924</v>
      </c>
      <c r="D1093" t="s">
        <v>44</v>
      </c>
      <c r="E1093" t="s">
        <v>45</v>
      </c>
      <c r="F1093" t="s">
        <v>46</v>
      </c>
      <c r="G1093" t="s">
        <v>47</v>
      </c>
      <c r="H1093">
        <v>2</v>
      </c>
      <c r="I1093">
        <v>1199</v>
      </c>
      <c r="J1093">
        <v>0.05</v>
      </c>
      <c r="K1093">
        <v>0</v>
      </c>
      <c r="L1093" t="s">
        <v>57</v>
      </c>
      <c r="M1093" t="s">
        <v>58</v>
      </c>
      <c r="N1093" t="s">
        <v>40</v>
      </c>
      <c r="O1093" t="s">
        <v>59</v>
      </c>
      <c r="P1093" t="s">
        <v>52</v>
      </c>
      <c r="Q1093">
        <v>4</v>
      </c>
      <c r="R1093">
        <f>IFERROR(Table1_1[[#This Row],[Unit_Price]]*Table1_1[[#This Row],[Quantity]],"")</f>
        <v>2398</v>
      </c>
      <c r="S1093">
        <f>IFERROR(Table1_1[[#This Row],[Gross_Sales]]*Table1_1[[#This Row],[Discount_%]],"")</f>
        <v>119.9</v>
      </c>
      <c r="T1093">
        <f>IFERROR(Table1_1[[#This Row],[Gross_Sales]]-Table1_1[[#This Row],[Discount_amount]]+Table1_1[[#This Row],[Shipping_Cost]],"")</f>
        <v>2278.1</v>
      </c>
      <c r="U1093">
        <f>IFERROR(Table1_1[[#This Row],[Net_Sale]]-(Table1_1[[#This Row],[Gross_Sales]]*70%),"")</f>
        <v>599.5</v>
      </c>
      <c r="V1093" s="7">
        <f>IFERROR(Table1_1[[#This Row],[Profit]]/Table1_1[[#This Row],[Net_Sale]],"")</f>
        <v>0.26315789473684209</v>
      </c>
      <c r="W1093" t="str">
        <f>TEXT(Table1_1[[#This Row],[Order_Date]],"mmm")</f>
        <v>Sep</v>
      </c>
    </row>
    <row r="1094" spans="1:23" x14ac:dyDescent="0.25">
      <c r="A1094" t="s">
        <v>1506</v>
      </c>
      <c r="B1094" t="s">
        <v>325</v>
      </c>
      <c r="C1094" s="6">
        <v>45800</v>
      </c>
      <c r="D1094" t="s">
        <v>110</v>
      </c>
      <c r="E1094" t="s">
        <v>111</v>
      </c>
      <c r="F1094" t="s">
        <v>98</v>
      </c>
      <c r="G1094" t="s">
        <v>112</v>
      </c>
      <c r="H1094">
        <v>3</v>
      </c>
      <c r="I1094">
        <v>2999</v>
      </c>
      <c r="J1094">
        <v>0.05</v>
      </c>
      <c r="K1094">
        <v>0</v>
      </c>
      <c r="L1094" t="s">
        <v>29</v>
      </c>
      <c r="M1094" t="s">
        <v>30</v>
      </c>
      <c r="N1094" t="s">
        <v>31</v>
      </c>
      <c r="O1094" t="s">
        <v>51</v>
      </c>
      <c r="P1094" t="s">
        <v>33</v>
      </c>
      <c r="Q1094">
        <v>2</v>
      </c>
      <c r="R1094">
        <f>IFERROR(Table1_1[[#This Row],[Unit_Price]]*Table1_1[[#This Row],[Quantity]],"")</f>
        <v>8997</v>
      </c>
      <c r="S1094">
        <f>IFERROR(Table1_1[[#This Row],[Gross_Sales]]*Table1_1[[#This Row],[Discount_%]],"")</f>
        <v>449.85</v>
      </c>
      <c r="T1094">
        <f>IFERROR(Table1_1[[#This Row],[Gross_Sales]]-Table1_1[[#This Row],[Discount_amount]]+Table1_1[[#This Row],[Shipping_Cost]],"")</f>
        <v>8547.15</v>
      </c>
      <c r="U1094">
        <f>IFERROR(Table1_1[[#This Row],[Net_Sale]]-(Table1_1[[#This Row],[Gross_Sales]]*70%),"")</f>
        <v>2249.25</v>
      </c>
      <c r="V1094" s="7">
        <f>IFERROR(Table1_1[[#This Row],[Profit]]/Table1_1[[#This Row],[Net_Sale]],"")</f>
        <v>0.26315789473684209</v>
      </c>
      <c r="W1094" t="str">
        <f>TEXT(Table1_1[[#This Row],[Order_Date]],"mmm")</f>
        <v>May</v>
      </c>
    </row>
    <row r="1095" spans="1:23" x14ac:dyDescent="0.25">
      <c r="A1095" t="s">
        <v>1507</v>
      </c>
      <c r="B1095" t="s">
        <v>662</v>
      </c>
      <c r="C1095" s="6">
        <v>45980</v>
      </c>
      <c r="D1095" t="s">
        <v>62</v>
      </c>
      <c r="E1095" t="s">
        <v>63</v>
      </c>
      <c r="F1095" t="s">
        <v>46</v>
      </c>
      <c r="G1095" t="s">
        <v>64</v>
      </c>
      <c r="H1095">
        <v>1</v>
      </c>
      <c r="I1095">
        <v>699</v>
      </c>
      <c r="J1095">
        <v>0</v>
      </c>
      <c r="K1095">
        <v>59</v>
      </c>
      <c r="L1095" t="s">
        <v>74</v>
      </c>
      <c r="M1095" t="s">
        <v>49</v>
      </c>
      <c r="N1095" t="s">
        <v>40</v>
      </c>
      <c r="O1095" t="s">
        <v>93</v>
      </c>
      <c r="P1095" t="s">
        <v>80</v>
      </c>
      <c r="Q1095">
        <v>3</v>
      </c>
      <c r="R1095">
        <f>IFERROR(Table1_1[[#This Row],[Unit_Price]]*Table1_1[[#This Row],[Quantity]],"")</f>
        <v>699</v>
      </c>
      <c r="S1095">
        <f>IFERROR(Table1_1[[#This Row],[Gross_Sales]]*Table1_1[[#This Row],[Discount_%]],"")</f>
        <v>0</v>
      </c>
      <c r="T1095">
        <f>IFERROR(Table1_1[[#This Row],[Gross_Sales]]-Table1_1[[#This Row],[Discount_amount]]+Table1_1[[#This Row],[Shipping_Cost]],"")</f>
        <v>758</v>
      </c>
      <c r="U1095">
        <f>IFERROR(Table1_1[[#This Row],[Net_Sale]]-(Table1_1[[#This Row],[Gross_Sales]]*70%),"")</f>
        <v>268.70000000000005</v>
      </c>
      <c r="V1095" s="7">
        <f>IFERROR(Table1_1[[#This Row],[Profit]]/Table1_1[[#This Row],[Net_Sale]],"")</f>
        <v>0.35448548812664915</v>
      </c>
      <c r="W1095" t="str">
        <f>TEXT(Table1_1[[#This Row],[Order_Date]],"mmm")</f>
        <v>Nov</v>
      </c>
    </row>
    <row r="1096" spans="1:23" x14ac:dyDescent="0.25">
      <c r="A1096" t="s">
        <v>1508</v>
      </c>
      <c r="B1096" t="s">
        <v>1509</v>
      </c>
      <c r="C1096" s="6">
        <v>45943</v>
      </c>
      <c r="D1096" t="s">
        <v>62</v>
      </c>
      <c r="E1096" t="s">
        <v>63</v>
      </c>
      <c r="F1096" t="s">
        <v>46</v>
      </c>
      <c r="G1096" t="s">
        <v>64</v>
      </c>
      <c r="H1096">
        <v>1</v>
      </c>
      <c r="I1096">
        <v>699</v>
      </c>
      <c r="J1096">
        <v>0</v>
      </c>
      <c r="K1096">
        <v>0</v>
      </c>
      <c r="L1096" t="s">
        <v>74</v>
      </c>
      <c r="M1096" t="s">
        <v>49</v>
      </c>
      <c r="N1096" t="s">
        <v>50</v>
      </c>
      <c r="O1096" t="s">
        <v>32</v>
      </c>
      <c r="P1096" t="s">
        <v>80</v>
      </c>
      <c r="Q1096">
        <v>4</v>
      </c>
      <c r="R1096">
        <f>IFERROR(Table1_1[[#This Row],[Unit_Price]]*Table1_1[[#This Row],[Quantity]],"")</f>
        <v>699</v>
      </c>
      <c r="S1096">
        <f>IFERROR(Table1_1[[#This Row],[Gross_Sales]]*Table1_1[[#This Row],[Discount_%]],"")</f>
        <v>0</v>
      </c>
      <c r="T1096">
        <f>IFERROR(Table1_1[[#This Row],[Gross_Sales]]-Table1_1[[#This Row],[Discount_amount]]+Table1_1[[#This Row],[Shipping_Cost]],"")</f>
        <v>699</v>
      </c>
      <c r="U1096">
        <f>IFERROR(Table1_1[[#This Row],[Net_Sale]]-(Table1_1[[#This Row],[Gross_Sales]]*70%),"")</f>
        <v>209.70000000000005</v>
      </c>
      <c r="V1096" s="7">
        <f>IFERROR(Table1_1[[#This Row],[Profit]]/Table1_1[[#This Row],[Net_Sale]],"")</f>
        <v>0.30000000000000004</v>
      </c>
      <c r="W1096" t="str">
        <f>TEXT(Table1_1[[#This Row],[Order_Date]],"mmm")</f>
        <v>Oct</v>
      </c>
    </row>
    <row r="1097" spans="1:23" x14ac:dyDescent="0.25">
      <c r="A1097" t="s">
        <v>1510</v>
      </c>
      <c r="B1097" t="s">
        <v>338</v>
      </c>
      <c r="C1097" s="6">
        <v>45735</v>
      </c>
      <c r="D1097" t="s">
        <v>67</v>
      </c>
      <c r="E1097" t="s">
        <v>68</v>
      </c>
      <c r="F1097" t="s">
        <v>37</v>
      </c>
      <c r="G1097" t="s">
        <v>38</v>
      </c>
      <c r="H1097">
        <v>1</v>
      </c>
      <c r="I1097">
        <v>2017</v>
      </c>
      <c r="J1097">
        <v>0.2</v>
      </c>
      <c r="K1097">
        <v>79</v>
      </c>
      <c r="L1097" t="s">
        <v>113</v>
      </c>
      <c r="M1097" t="s">
        <v>114</v>
      </c>
      <c r="N1097" t="s">
        <v>50</v>
      </c>
      <c r="O1097" t="s">
        <v>41</v>
      </c>
      <c r="P1097" t="s">
        <v>33</v>
      </c>
      <c r="Q1097">
        <v>3</v>
      </c>
      <c r="R1097">
        <f>IFERROR(Table1_1[[#This Row],[Unit_Price]]*Table1_1[[#This Row],[Quantity]],"")</f>
        <v>2017</v>
      </c>
      <c r="S1097">
        <f>IFERROR(Table1_1[[#This Row],[Gross_Sales]]*Table1_1[[#This Row],[Discount_%]],"")</f>
        <v>403.40000000000003</v>
      </c>
      <c r="T1097">
        <f>IFERROR(Table1_1[[#This Row],[Gross_Sales]]-Table1_1[[#This Row],[Discount_amount]]+Table1_1[[#This Row],[Shipping_Cost]],"")</f>
        <v>1692.6</v>
      </c>
      <c r="U1097">
        <f>IFERROR(Table1_1[[#This Row],[Net_Sale]]-(Table1_1[[#This Row],[Gross_Sales]]*70%),"")</f>
        <v>280.70000000000005</v>
      </c>
      <c r="V1097" s="7">
        <f>IFERROR(Table1_1[[#This Row],[Profit]]/Table1_1[[#This Row],[Net_Sale]],"")</f>
        <v>0.16583953680727878</v>
      </c>
      <c r="W1097" t="str">
        <f>TEXT(Table1_1[[#This Row],[Order_Date]],"mmm")</f>
        <v>Mar</v>
      </c>
    </row>
    <row r="1098" spans="1:23" x14ac:dyDescent="0.25">
      <c r="A1098" t="s">
        <v>1511</v>
      </c>
      <c r="B1098" t="s">
        <v>809</v>
      </c>
      <c r="C1098" s="6">
        <v>45767</v>
      </c>
      <c r="D1098" t="s">
        <v>55</v>
      </c>
      <c r="E1098" t="s">
        <v>56</v>
      </c>
      <c r="F1098" t="s">
        <v>37</v>
      </c>
      <c r="G1098" t="s">
        <v>38</v>
      </c>
      <c r="H1098">
        <v>3</v>
      </c>
      <c r="I1098">
        <v>2499</v>
      </c>
      <c r="J1098">
        <v>0.1</v>
      </c>
      <c r="K1098">
        <v>99</v>
      </c>
      <c r="L1098" t="s">
        <v>83</v>
      </c>
      <c r="M1098" t="s">
        <v>84</v>
      </c>
      <c r="N1098" t="s">
        <v>50</v>
      </c>
      <c r="O1098" t="s">
        <v>93</v>
      </c>
      <c r="P1098" t="s">
        <v>33</v>
      </c>
      <c r="Q1098">
        <v>4</v>
      </c>
      <c r="R1098">
        <f>IFERROR(Table1_1[[#This Row],[Unit_Price]]*Table1_1[[#This Row],[Quantity]],"")</f>
        <v>7497</v>
      </c>
      <c r="S1098">
        <f>IFERROR(Table1_1[[#This Row],[Gross_Sales]]*Table1_1[[#This Row],[Discount_%]],"")</f>
        <v>749.7</v>
      </c>
      <c r="T1098">
        <f>IFERROR(Table1_1[[#This Row],[Gross_Sales]]-Table1_1[[#This Row],[Discount_amount]]+Table1_1[[#This Row],[Shipping_Cost]],"")</f>
        <v>6846.3</v>
      </c>
      <c r="U1098">
        <f>IFERROR(Table1_1[[#This Row],[Net_Sale]]-(Table1_1[[#This Row],[Gross_Sales]]*70%),"")</f>
        <v>1598.4000000000005</v>
      </c>
      <c r="V1098" s="7">
        <f>IFERROR(Table1_1[[#This Row],[Profit]]/Table1_1[[#This Row],[Net_Sale]],"")</f>
        <v>0.23346917313001189</v>
      </c>
      <c r="W1098" t="str">
        <f>TEXT(Table1_1[[#This Row],[Order_Date]],"mmm")</f>
        <v>Apr</v>
      </c>
    </row>
    <row r="1099" spans="1:23" x14ac:dyDescent="0.25">
      <c r="A1099" t="s">
        <v>1512</v>
      </c>
      <c r="B1099" t="s">
        <v>300</v>
      </c>
      <c r="C1099" s="6">
        <v>45981</v>
      </c>
      <c r="D1099" t="s">
        <v>77</v>
      </c>
      <c r="E1099" t="s">
        <v>78</v>
      </c>
      <c r="F1099" t="s">
        <v>79</v>
      </c>
      <c r="G1099" t="s">
        <v>28</v>
      </c>
      <c r="H1099">
        <v>2</v>
      </c>
      <c r="I1099">
        <v>6499</v>
      </c>
      <c r="J1099">
        <v>0.05</v>
      </c>
      <c r="K1099">
        <v>79</v>
      </c>
      <c r="L1099" t="s">
        <v>48</v>
      </c>
      <c r="M1099" t="s">
        <v>49</v>
      </c>
      <c r="N1099" t="s">
        <v>50</v>
      </c>
      <c r="O1099" t="s">
        <v>51</v>
      </c>
      <c r="P1099" t="s">
        <v>80</v>
      </c>
      <c r="Q1099">
        <v>3</v>
      </c>
      <c r="R1099">
        <f>IFERROR(Table1_1[[#This Row],[Unit_Price]]*Table1_1[[#This Row],[Quantity]],"")</f>
        <v>12998</v>
      </c>
      <c r="S1099">
        <f>IFERROR(Table1_1[[#This Row],[Gross_Sales]]*Table1_1[[#This Row],[Discount_%]],"")</f>
        <v>649.90000000000009</v>
      </c>
      <c r="T1099">
        <f>IFERROR(Table1_1[[#This Row],[Gross_Sales]]-Table1_1[[#This Row],[Discount_amount]]+Table1_1[[#This Row],[Shipping_Cost]],"")</f>
        <v>12427.1</v>
      </c>
      <c r="U1099">
        <f>IFERROR(Table1_1[[#This Row],[Net_Sale]]-(Table1_1[[#This Row],[Gross_Sales]]*70%),"")</f>
        <v>3328.5000000000018</v>
      </c>
      <c r="V1099" s="7">
        <f>IFERROR(Table1_1[[#This Row],[Profit]]/Table1_1[[#This Row],[Net_Sale]],"")</f>
        <v>0.26784205486396678</v>
      </c>
      <c r="W1099" t="str">
        <f>TEXT(Table1_1[[#This Row],[Order_Date]],"mmm")</f>
        <v>Nov</v>
      </c>
    </row>
    <row r="1100" spans="1:23" x14ac:dyDescent="0.25">
      <c r="A1100" t="s">
        <v>1513</v>
      </c>
      <c r="B1100" t="s">
        <v>884</v>
      </c>
      <c r="C1100" s="6">
        <v>45908</v>
      </c>
      <c r="D1100" t="s">
        <v>67</v>
      </c>
      <c r="E1100" t="s">
        <v>68</v>
      </c>
      <c r="F1100" t="s">
        <v>37</v>
      </c>
      <c r="G1100" t="s">
        <v>38</v>
      </c>
      <c r="H1100">
        <v>2</v>
      </c>
      <c r="I1100">
        <v>1299</v>
      </c>
      <c r="J1100">
        <v>0.05</v>
      </c>
      <c r="K1100">
        <v>99</v>
      </c>
      <c r="L1100" t="s">
        <v>48</v>
      </c>
      <c r="M1100" t="s">
        <v>49</v>
      </c>
      <c r="N1100" t="s">
        <v>71</v>
      </c>
      <c r="O1100" t="s">
        <v>93</v>
      </c>
      <c r="P1100" t="s">
        <v>85</v>
      </c>
      <c r="Q1100">
        <v>2</v>
      </c>
      <c r="R1100">
        <f>IFERROR(Table1_1[[#This Row],[Unit_Price]]*Table1_1[[#This Row],[Quantity]],"")</f>
        <v>2598</v>
      </c>
      <c r="S1100">
        <f>IFERROR(Table1_1[[#This Row],[Gross_Sales]]*Table1_1[[#This Row],[Discount_%]],"")</f>
        <v>129.9</v>
      </c>
      <c r="T1100">
        <f>IFERROR(Table1_1[[#This Row],[Gross_Sales]]-Table1_1[[#This Row],[Discount_amount]]+Table1_1[[#This Row],[Shipping_Cost]],"")</f>
        <v>2567.1</v>
      </c>
      <c r="U1100">
        <f>IFERROR(Table1_1[[#This Row],[Net_Sale]]-(Table1_1[[#This Row],[Gross_Sales]]*70%),"")</f>
        <v>748.5</v>
      </c>
      <c r="V1100" s="7">
        <f>IFERROR(Table1_1[[#This Row],[Profit]]/Table1_1[[#This Row],[Net_Sale]],"")</f>
        <v>0.29157414981886176</v>
      </c>
      <c r="W1100" t="str">
        <f>TEXT(Table1_1[[#This Row],[Order_Date]],"mmm")</f>
        <v>Sep</v>
      </c>
    </row>
    <row r="1101" spans="1:23" x14ac:dyDescent="0.25">
      <c r="A1101" t="s">
        <v>1514</v>
      </c>
      <c r="B1101" t="s">
        <v>181</v>
      </c>
      <c r="C1101" s="6">
        <v>45886</v>
      </c>
      <c r="D1101" t="s">
        <v>55</v>
      </c>
      <c r="E1101" t="s">
        <v>56</v>
      </c>
      <c r="F1101" t="s">
        <v>37</v>
      </c>
      <c r="G1101" t="s">
        <v>38</v>
      </c>
      <c r="H1101">
        <v>1</v>
      </c>
      <c r="I1101">
        <v>2499</v>
      </c>
      <c r="J1101">
        <v>0.1</v>
      </c>
      <c r="K1101">
        <v>0</v>
      </c>
      <c r="L1101" t="s">
        <v>48</v>
      </c>
      <c r="M1101" t="s">
        <v>49</v>
      </c>
      <c r="N1101" t="s">
        <v>40</v>
      </c>
      <c r="O1101" t="s">
        <v>51</v>
      </c>
      <c r="P1101" t="s">
        <v>80</v>
      </c>
      <c r="Q1101">
        <v>3</v>
      </c>
      <c r="R1101">
        <f>IFERROR(Table1_1[[#This Row],[Unit_Price]]*Table1_1[[#This Row],[Quantity]],"")</f>
        <v>2499</v>
      </c>
      <c r="S1101">
        <f>IFERROR(Table1_1[[#This Row],[Gross_Sales]]*Table1_1[[#This Row],[Discount_%]],"")</f>
        <v>249.9</v>
      </c>
      <c r="T1101">
        <f>IFERROR(Table1_1[[#This Row],[Gross_Sales]]-Table1_1[[#This Row],[Discount_amount]]+Table1_1[[#This Row],[Shipping_Cost]],"")</f>
        <v>2249.1</v>
      </c>
      <c r="U1101">
        <f>IFERROR(Table1_1[[#This Row],[Net_Sale]]-(Table1_1[[#This Row],[Gross_Sales]]*70%),"")</f>
        <v>499.79999999999995</v>
      </c>
      <c r="V1101" s="7">
        <f>IFERROR(Table1_1[[#This Row],[Profit]]/Table1_1[[#This Row],[Net_Sale]],"")</f>
        <v>0.22222222222222221</v>
      </c>
      <c r="W1101" t="str">
        <f>TEXT(Table1_1[[#This Row],[Order_Date]],"mmm")</f>
        <v>Aug</v>
      </c>
    </row>
    <row r="1102" spans="1:23" x14ac:dyDescent="0.25">
      <c r="A1102" t="s">
        <v>1515</v>
      </c>
      <c r="B1102" t="s">
        <v>420</v>
      </c>
      <c r="C1102" s="6">
        <v>46018</v>
      </c>
      <c r="D1102" t="s">
        <v>55</v>
      </c>
      <c r="E1102" t="s">
        <v>56</v>
      </c>
      <c r="F1102" t="s">
        <v>37</v>
      </c>
      <c r="G1102" t="s">
        <v>38</v>
      </c>
      <c r="H1102">
        <v>2</v>
      </c>
      <c r="I1102">
        <v>2499</v>
      </c>
      <c r="J1102">
        <v>0.1</v>
      </c>
      <c r="K1102">
        <v>99</v>
      </c>
      <c r="L1102" t="s">
        <v>74</v>
      </c>
      <c r="M1102" t="s">
        <v>49</v>
      </c>
      <c r="N1102" t="s">
        <v>50</v>
      </c>
      <c r="O1102" t="s">
        <v>93</v>
      </c>
      <c r="P1102" t="s">
        <v>52</v>
      </c>
      <c r="Q1102">
        <v>3</v>
      </c>
      <c r="R1102">
        <f>IFERROR(Table1_1[[#This Row],[Unit_Price]]*Table1_1[[#This Row],[Quantity]],"")</f>
        <v>4998</v>
      </c>
      <c r="S1102">
        <f>IFERROR(Table1_1[[#This Row],[Gross_Sales]]*Table1_1[[#This Row],[Discount_%]],"")</f>
        <v>499.8</v>
      </c>
      <c r="T1102">
        <f>IFERROR(Table1_1[[#This Row],[Gross_Sales]]-Table1_1[[#This Row],[Discount_amount]]+Table1_1[[#This Row],[Shipping_Cost]],"")</f>
        <v>4597.2</v>
      </c>
      <c r="U1102">
        <f>IFERROR(Table1_1[[#This Row],[Net_Sale]]-(Table1_1[[#This Row],[Gross_Sales]]*70%),"")</f>
        <v>1098.5999999999999</v>
      </c>
      <c r="V1102" s="7">
        <f>IFERROR(Table1_1[[#This Row],[Profit]]/Table1_1[[#This Row],[Net_Sale]],"")</f>
        <v>0.23897154789872094</v>
      </c>
      <c r="W1102" t="str">
        <f>TEXT(Table1_1[[#This Row],[Order_Date]],"mmm")</f>
        <v>Dec</v>
      </c>
    </row>
    <row r="1103" spans="1:23" x14ac:dyDescent="0.25">
      <c r="A1103" t="s">
        <v>1516</v>
      </c>
      <c r="B1103" t="s">
        <v>420</v>
      </c>
      <c r="C1103" s="6">
        <v>45867</v>
      </c>
      <c r="D1103" t="s">
        <v>110</v>
      </c>
      <c r="E1103" t="s">
        <v>111</v>
      </c>
      <c r="F1103" t="s">
        <v>98</v>
      </c>
      <c r="G1103" t="s">
        <v>112</v>
      </c>
      <c r="H1103">
        <v>1</v>
      </c>
      <c r="I1103">
        <v>2999</v>
      </c>
      <c r="J1103">
        <v>0.05</v>
      </c>
      <c r="K1103">
        <v>59</v>
      </c>
      <c r="L1103" t="s">
        <v>83</v>
      </c>
      <c r="M1103" t="s">
        <v>84</v>
      </c>
      <c r="N1103" t="s">
        <v>40</v>
      </c>
      <c r="O1103" t="s">
        <v>59</v>
      </c>
      <c r="P1103" t="s">
        <v>33</v>
      </c>
      <c r="Q1103">
        <v>4</v>
      </c>
      <c r="R1103">
        <f>IFERROR(Table1_1[[#This Row],[Unit_Price]]*Table1_1[[#This Row],[Quantity]],"")</f>
        <v>2999</v>
      </c>
      <c r="S1103">
        <f>IFERROR(Table1_1[[#This Row],[Gross_Sales]]*Table1_1[[#This Row],[Discount_%]],"")</f>
        <v>149.95000000000002</v>
      </c>
      <c r="T1103">
        <f>IFERROR(Table1_1[[#This Row],[Gross_Sales]]-Table1_1[[#This Row],[Discount_amount]]+Table1_1[[#This Row],[Shipping_Cost]],"")</f>
        <v>2908.05</v>
      </c>
      <c r="U1103">
        <f>IFERROR(Table1_1[[#This Row],[Net_Sale]]-(Table1_1[[#This Row],[Gross_Sales]]*70%),"")</f>
        <v>808.75000000000045</v>
      </c>
      <c r="V1103" s="7">
        <f>IFERROR(Table1_1[[#This Row],[Profit]]/Table1_1[[#This Row],[Net_Sale]],"")</f>
        <v>0.27810732277643108</v>
      </c>
      <c r="W1103" t="str">
        <f>TEXT(Table1_1[[#This Row],[Order_Date]],"mmm")</f>
        <v>Jul</v>
      </c>
    </row>
    <row r="1104" spans="1:23" x14ac:dyDescent="0.25">
      <c r="A1104" t="s">
        <v>1517</v>
      </c>
      <c r="B1104" t="s">
        <v>906</v>
      </c>
      <c r="C1104" s="6">
        <v>45795</v>
      </c>
      <c r="D1104" t="s">
        <v>96</v>
      </c>
      <c r="E1104" t="s">
        <v>97</v>
      </c>
      <c r="F1104" t="s">
        <v>98</v>
      </c>
      <c r="G1104" t="s">
        <v>99</v>
      </c>
      <c r="H1104">
        <v>4</v>
      </c>
      <c r="I1104">
        <v>1499</v>
      </c>
      <c r="J1104">
        <v>0.05</v>
      </c>
      <c r="K1104">
        <v>0</v>
      </c>
      <c r="L1104" t="s">
        <v>48</v>
      </c>
      <c r="M1104" t="s">
        <v>49</v>
      </c>
      <c r="N1104" t="s">
        <v>40</v>
      </c>
      <c r="O1104" t="s">
        <v>59</v>
      </c>
      <c r="P1104" t="s">
        <v>33</v>
      </c>
      <c r="Q1104">
        <v>2</v>
      </c>
      <c r="R1104">
        <f>IFERROR(Table1_1[[#This Row],[Unit_Price]]*Table1_1[[#This Row],[Quantity]],"")</f>
        <v>5996</v>
      </c>
      <c r="S1104">
        <f>IFERROR(Table1_1[[#This Row],[Gross_Sales]]*Table1_1[[#This Row],[Discount_%]],"")</f>
        <v>299.8</v>
      </c>
      <c r="T1104">
        <f>IFERROR(Table1_1[[#This Row],[Gross_Sales]]-Table1_1[[#This Row],[Discount_amount]]+Table1_1[[#This Row],[Shipping_Cost]],"")</f>
        <v>5696.2</v>
      </c>
      <c r="U1104">
        <f>IFERROR(Table1_1[[#This Row],[Net_Sale]]-(Table1_1[[#This Row],[Gross_Sales]]*70%),"")</f>
        <v>1499</v>
      </c>
      <c r="V1104" s="7">
        <f>IFERROR(Table1_1[[#This Row],[Profit]]/Table1_1[[#This Row],[Net_Sale]],"")</f>
        <v>0.26315789473684209</v>
      </c>
      <c r="W1104" t="str">
        <f>TEXT(Table1_1[[#This Row],[Order_Date]],"mmm")</f>
        <v>May</v>
      </c>
    </row>
    <row r="1105" spans="1:23" x14ac:dyDescent="0.25">
      <c r="A1105" t="s">
        <v>1518</v>
      </c>
      <c r="B1105" t="s">
        <v>919</v>
      </c>
      <c r="C1105" s="6">
        <v>45978</v>
      </c>
      <c r="D1105" t="s">
        <v>44</v>
      </c>
      <c r="E1105" t="s">
        <v>45</v>
      </c>
      <c r="F1105" t="s">
        <v>46</v>
      </c>
      <c r="G1105" t="s">
        <v>47</v>
      </c>
      <c r="H1105">
        <v>2</v>
      </c>
      <c r="I1105">
        <v>1199</v>
      </c>
      <c r="J1105">
        <v>0.05</v>
      </c>
      <c r="K1105">
        <v>49</v>
      </c>
      <c r="L1105" t="s">
        <v>100</v>
      </c>
      <c r="M1105" t="s">
        <v>101</v>
      </c>
      <c r="N1105" t="s">
        <v>31</v>
      </c>
      <c r="O1105" t="s">
        <v>93</v>
      </c>
      <c r="P1105" t="s">
        <v>85</v>
      </c>
      <c r="Q1105">
        <v>3</v>
      </c>
      <c r="R1105">
        <f>IFERROR(Table1_1[[#This Row],[Unit_Price]]*Table1_1[[#This Row],[Quantity]],"")</f>
        <v>2398</v>
      </c>
      <c r="S1105">
        <f>IFERROR(Table1_1[[#This Row],[Gross_Sales]]*Table1_1[[#This Row],[Discount_%]],"")</f>
        <v>119.9</v>
      </c>
      <c r="T1105">
        <f>IFERROR(Table1_1[[#This Row],[Gross_Sales]]-Table1_1[[#This Row],[Discount_amount]]+Table1_1[[#This Row],[Shipping_Cost]],"")</f>
        <v>2327.1</v>
      </c>
      <c r="U1105">
        <f>IFERROR(Table1_1[[#This Row],[Net_Sale]]-(Table1_1[[#This Row],[Gross_Sales]]*70%),"")</f>
        <v>648.5</v>
      </c>
      <c r="V1105" s="7">
        <f>IFERROR(Table1_1[[#This Row],[Profit]]/Table1_1[[#This Row],[Net_Sale]],"")</f>
        <v>0.27867302651368658</v>
      </c>
      <c r="W1105" t="str">
        <f>TEXT(Table1_1[[#This Row],[Order_Date]],"mmm")</f>
        <v>Nov</v>
      </c>
    </row>
    <row r="1106" spans="1:23" x14ac:dyDescent="0.25">
      <c r="A1106" t="s">
        <v>1519</v>
      </c>
      <c r="B1106" t="s">
        <v>550</v>
      </c>
      <c r="C1106" s="6">
        <v>45828</v>
      </c>
      <c r="D1106" t="s">
        <v>96</v>
      </c>
      <c r="E1106" t="s">
        <v>97</v>
      </c>
      <c r="F1106" t="s">
        <v>98</v>
      </c>
      <c r="G1106" t="s">
        <v>99</v>
      </c>
      <c r="H1106">
        <v>3</v>
      </c>
      <c r="I1106">
        <v>1499</v>
      </c>
      <c r="J1106">
        <v>0</v>
      </c>
      <c r="K1106">
        <v>0</v>
      </c>
      <c r="L1106" t="s">
        <v>29</v>
      </c>
      <c r="M1106" t="s">
        <v>30</v>
      </c>
      <c r="N1106" t="s">
        <v>50</v>
      </c>
      <c r="O1106" t="s">
        <v>51</v>
      </c>
      <c r="P1106" t="s">
        <v>85</v>
      </c>
      <c r="Q1106">
        <v>5</v>
      </c>
      <c r="R1106">
        <f>IFERROR(Table1_1[[#This Row],[Unit_Price]]*Table1_1[[#This Row],[Quantity]],"")</f>
        <v>4497</v>
      </c>
      <c r="S1106">
        <f>IFERROR(Table1_1[[#This Row],[Gross_Sales]]*Table1_1[[#This Row],[Discount_%]],"")</f>
        <v>0</v>
      </c>
      <c r="T1106">
        <f>IFERROR(Table1_1[[#This Row],[Gross_Sales]]-Table1_1[[#This Row],[Discount_amount]]+Table1_1[[#This Row],[Shipping_Cost]],"")</f>
        <v>4497</v>
      </c>
      <c r="U1106">
        <f>IFERROR(Table1_1[[#This Row],[Net_Sale]]-(Table1_1[[#This Row],[Gross_Sales]]*70%),"")</f>
        <v>1349.1000000000004</v>
      </c>
      <c r="V1106" s="7">
        <f>IFERROR(Table1_1[[#This Row],[Profit]]/Table1_1[[#This Row],[Net_Sale]],"")</f>
        <v>0.3000000000000001</v>
      </c>
      <c r="W1106" t="str">
        <f>TEXT(Table1_1[[#This Row],[Order_Date]],"mmm")</f>
        <v>Jun</v>
      </c>
    </row>
    <row r="1107" spans="1:23" x14ac:dyDescent="0.25">
      <c r="A1107" t="s">
        <v>1520</v>
      </c>
      <c r="B1107" t="s">
        <v>483</v>
      </c>
      <c r="C1107" s="6">
        <v>45860</v>
      </c>
      <c r="D1107" t="s">
        <v>67</v>
      </c>
      <c r="E1107" t="s">
        <v>68</v>
      </c>
      <c r="F1107" t="s">
        <v>37</v>
      </c>
      <c r="G1107" t="s">
        <v>38</v>
      </c>
      <c r="H1107">
        <v>3</v>
      </c>
      <c r="I1107">
        <v>1299</v>
      </c>
      <c r="J1107">
        <v>0</v>
      </c>
      <c r="K1107">
        <v>59</v>
      </c>
      <c r="L1107" t="s">
        <v>100</v>
      </c>
      <c r="M1107" t="s">
        <v>101</v>
      </c>
      <c r="N1107" t="s">
        <v>40</v>
      </c>
      <c r="O1107" t="s">
        <v>41</v>
      </c>
      <c r="P1107" t="s">
        <v>33</v>
      </c>
      <c r="Q1107">
        <v>5</v>
      </c>
      <c r="R1107">
        <f>IFERROR(Table1_1[[#This Row],[Unit_Price]]*Table1_1[[#This Row],[Quantity]],"")</f>
        <v>3897</v>
      </c>
      <c r="S1107">
        <f>IFERROR(Table1_1[[#This Row],[Gross_Sales]]*Table1_1[[#This Row],[Discount_%]],"")</f>
        <v>0</v>
      </c>
      <c r="T1107">
        <f>IFERROR(Table1_1[[#This Row],[Gross_Sales]]-Table1_1[[#This Row],[Discount_amount]]+Table1_1[[#This Row],[Shipping_Cost]],"")</f>
        <v>3956</v>
      </c>
      <c r="U1107">
        <f>IFERROR(Table1_1[[#This Row],[Net_Sale]]-(Table1_1[[#This Row],[Gross_Sales]]*70%),"")</f>
        <v>1228.1000000000004</v>
      </c>
      <c r="V1107" s="7">
        <f>IFERROR(Table1_1[[#This Row],[Profit]]/Table1_1[[#This Row],[Net_Sale]],"")</f>
        <v>0.31043983822042476</v>
      </c>
      <c r="W1107" t="str">
        <f>TEXT(Table1_1[[#This Row],[Order_Date]],"mmm")</f>
        <v>Jul</v>
      </c>
    </row>
    <row r="1108" spans="1:23" x14ac:dyDescent="0.25">
      <c r="A1108" t="s">
        <v>1521</v>
      </c>
      <c r="B1108" t="s">
        <v>280</v>
      </c>
      <c r="C1108" s="6">
        <v>45676</v>
      </c>
      <c r="D1108" t="s">
        <v>77</v>
      </c>
      <c r="E1108" t="s">
        <v>78</v>
      </c>
      <c r="F1108" t="s">
        <v>79</v>
      </c>
      <c r="G1108" t="s">
        <v>28</v>
      </c>
      <c r="H1108">
        <v>4</v>
      </c>
      <c r="I1108">
        <v>6499</v>
      </c>
      <c r="J1108">
        <v>0</v>
      </c>
      <c r="K1108">
        <v>99</v>
      </c>
      <c r="L1108" t="s">
        <v>113</v>
      </c>
      <c r="M1108" t="s">
        <v>114</v>
      </c>
      <c r="N1108" t="s">
        <v>40</v>
      </c>
      <c r="O1108" t="s">
        <v>93</v>
      </c>
      <c r="P1108" t="s">
        <v>85</v>
      </c>
      <c r="Q1108">
        <v>2</v>
      </c>
      <c r="R1108">
        <f>IFERROR(Table1_1[[#This Row],[Unit_Price]]*Table1_1[[#This Row],[Quantity]],"")</f>
        <v>25996</v>
      </c>
      <c r="S1108">
        <f>IFERROR(Table1_1[[#This Row],[Gross_Sales]]*Table1_1[[#This Row],[Discount_%]],"")</f>
        <v>0</v>
      </c>
      <c r="T1108">
        <f>IFERROR(Table1_1[[#This Row],[Gross_Sales]]-Table1_1[[#This Row],[Discount_amount]]+Table1_1[[#This Row],[Shipping_Cost]],"")</f>
        <v>26095</v>
      </c>
      <c r="U1108">
        <f>IFERROR(Table1_1[[#This Row],[Net_Sale]]-(Table1_1[[#This Row],[Gross_Sales]]*70%),"")</f>
        <v>7897.8000000000029</v>
      </c>
      <c r="V1108" s="7">
        <f>IFERROR(Table1_1[[#This Row],[Profit]]/Table1_1[[#This Row],[Net_Sale]],"")</f>
        <v>0.30265568116497427</v>
      </c>
      <c r="W1108" t="str">
        <f>TEXT(Table1_1[[#This Row],[Order_Date]],"mmm")</f>
        <v>Jan</v>
      </c>
    </row>
    <row r="1109" spans="1:23" x14ac:dyDescent="0.25">
      <c r="A1109" t="s">
        <v>1522</v>
      </c>
      <c r="B1109" t="s">
        <v>1065</v>
      </c>
      <c r="C1109" s="6">
        <v>45981</v>
      </c>
      <c r="D1109" t="s">
        <v>110</v>
      </c>
      <c r="E1109" t="s">
        <v>111</v>
      </c>
      <c r="F1109" t="s">
        <v>98</v>
      </c>
      <c r="G1109" t="s">
        <v>112</v>
      </c>
      <c r="H1109">
        <v>1</v>
      </c>
      <c r="I1109">
        <v>2999</v>
      </c>
      <c r="J1109">
        <v>0.05</v>
      </c>
      <c r="K1109">
        <v>0</v>
      </c>
      <c r="L1109" t="s">
        <v>48</v>
      </c>
      <c r="M1109" t="s">
        <v>49</v>
      </c>
      <c r="N1109" t="s">
        <v>40</v>
      </c>
      <c r="O1109" t="s">
        <v>41</v>
      </c>
      <c r="P1109" t="s">
        <v>33</v>
      </c>
      <c r="Q1109">
        <v>3</v>
      </c>
      <c r="R1109">
        <f>IFERROR(Table1_1[[#This Row],[Unit_Price]]*Table1_1[[#This Row],[Quantity]],"")</f>
        <v>2999</v>
      </c>
      <c r="S1109">
        <f>IFERROR(Table1_1[[#This Row],[Gross_Sales]]*Table1_1[[#This Row],[Discount_%]],"")</f>
        <v>149.95000000000002</v>
      </c>
      <c r="T1109">
        <f>IFERROR(Table1_1[[#This Row],[Gross_Sales]]-Table1_1[[#This Row],[Discount_amount]]+Table1_1[[#This Row],[Shipping_Cost]],"")</f>
        <v>2849.05</v>
      </c>
      <c r="U1109">
        <f>IFERROR(Table1_1[[#This Row],[Net_Sale]]-(Table1_1[[#This Row],[Gross_Sales]]*70%),"")</f>
        <v>749.75000000000045</v>
      </c>
      <c r="V1109" s="7">
        <f>IFERROR(Table1_1[[#This Row],[Profit]]/Table1_1[[#This Row],[Net_Sale]],"")</f>
        <v>0.26315789473684226</v>
      </c>
      <c r="W1109" t="str">
        <f>TEXT(Table1_1[[#This Row],[Order_Date]],"mmm")</f>
        <v>Nov</v>
      </c>
    </row>
    <row r="1110" spans="1:23" x14ac:dyDescent="0.25">
      <c r="A1110" t="s">
        <v>1523</v>
      </c>
      <c r="B1110" t="s">
        <v>192</v>
      </c>
      <c r="C1110" s="6">
        <v>45697</v>
      </c>
      <c r="D1110" t="s">
        <v>77</v>
      </c>
      <c r="E1110" t="s">
        <v>78</v>
      </c>
      <c r="F1110" t="s">
        <v>79</v>
      </c>
      <c r="G1110" t="s">
        <v>28</v>
      </c>
      <c r="H1110">
        <v>3</v>
      </c>
      <c r="I1110">
        <v>6499</v>
      </c>
      <c r="J1110">
        <v>0.2</v>
      </c>
      <c r="K1110">
        <v>79</v>
      </c>
      <c r="L1110" t="s">
        <v>48</v>
      </c>
      <c r="M1110" t="s">
        <v>49</v>
      </c>
      <c r="N1110" t="s">
        <v>31</v>
      </c>
      <c r="O1110" t="s">
        <v>32</v>
      </c>
      <c r="P1110" t="s">
        <v>80</v>
      </c>
      <c r="Q1110">
        <v>5</v>
      </c>
      <c r="R1110">
        <f>IFERROR(Table1_1[[#This Row],[Unit_Price]]*Table1_1[[#This Row],[Quantity]],"")</f>
        <v>19497</v>
      </c>
      <c r="S1110">
        <f>IFERROR(Table1_1[[#This Row],[Gross_Sales]]*Table1_1[[#This Row],[Discount_%]],"")</f>
        <v>3899.4</v>
      </c>
      <c r="T1110">
        <f>IFERROR(Table1_1[[#This Row],[Gross_Sales]]-Table1_1[[#This Row],[Discount_amount]]+Table1_1[[#This Row],[Shipping_Cost]],"")</f>
        <v>15676.6</v>
      </c>
      <c r="U1110">
        <f>IFERROR(Table1_1[[#This Row],[Net_Sale]]-(Table1_1[[#This Row],[Gross_Sales]]*70%),"")</f>
        <v>2028.7000000000007</v>
      </c>
      <c r="V1110" s="7">
        <f>IFERROR(Table1_1[[#This Row],[Profit]]/Table1_1[[#This Row],[Net_Sale]],"")</f>
        <v>0.12940943827105372</v>
      </c>
      <c r="W1110" t="str">
        <f>TEXT(Table1_1[[#This Row],[Order_Date]],"mmm")</f>
        <v>Feb</v>
      </c>
    </row>
    <row r="1111" spans="1:23" x14ac:dyDescent="0.25">
      <c r="A1111" t="s">
        <v>1524</v>
      </c>
      <c r="B1111" t="s">
        <v>1338</v>
      </c>
      <c r="C1111" s="6">
        <v>45858</v>
      </c>
      <c r="D1111" t="s">
        <v>105</v>
      </c>
      <c r="E1111" t="s">
        <v>106</v>
      </c>
      <c r="F1111" t="s">
        <v>37</v>
      </c>
      <c r="G1111" t="s">
        <v>107</v>
      </c>
      <c r="H1111">
        <v>2</v>
      </c>
      <c r="I1111">
        <v>2017</v>
      </c>
      <c r="J1111">
        <v>0.05</v>
      </c>
      <c r="K1111">
        <v>59</v>
      </c>
      <c r="L1111" t="s">
        <v>29</v>
      </c>
      <c r="M1111" t="s">
        <v>30</v>
      </c>
      <c r="N1111" t="s">
        <v>102</v>
      </c>
      <c r="O1111" t="s">
        <v>93</v>
      </c>
      <c r="P1111" t="s">
        <v>85</v>
      </c>
      <c r="Q1111">
        <v>3</v>
      </c>
      <c r="R1111">
        <f>IFERROR(Table1_1[[#This Row],[Unit_Price]]*Table1_1[[#This Row],[Quantity]],"")</f>
        <v>4034</v>
      </c>
      <c r="S1111">
        <f>IFERROR(Table1_1[[#This Row],[Gross_Sales]]*Table1_1[[#This Row],[Discount_%]],"")</f>
        <v>201.70000000000002</v>
      </c>
      <c r="T1111">
        <f>IFERROR(Table1_1[[#This Row],[Gross_Sales]]-Table1_1[[#This Row],[Discount_amount]]+Table1_1[[#This Row],[Shipping_Cost]],"")</f>
        <v>3891.3</v>
      </c>
      <c r="U1111">
        <f>IFERROR(Table1_1[[#This Row],[Net_Sale]]-(Table1_1[[#This Row],[Gross_Sales]]*70%),"")</f>
        <v>1067.5000000000005</v>
      </c>
      <c r="V1111" s="7">
        <f>IFERROR(Table1_1[[#This Row],[Profit]]/Table1_1[[#This Row],[Net_Sale]],"")</f>
        <v>0.27432991545241958</v>
      </c>
      <c r="W1111" t="str">
        <f>TEXT(Table1_1[[#This Row],[Order_Date]],"mmm")</f>
        <v>Jul</v>
      </c>
    </row>
    <row r="1112" spans="1:23" x14ac:dyDescent="0.25">
      <c r="A1112" t="s">
        <v>1525</v>
      </c>
      <c r="B1112" t="s">
        <v>232</v>
      </c>
      <c r="C1112" s="6">
        <v>45793</v>
      </c>
      <c r="D1112" t="s">
        <v>110</v>
      </c>
      <c r="E1112" t="s">
        <v>111</v>
      </c>
      <c r="F1112" t="s">
        <v>98</v>
      </c>
      <c r="G1112" t="s">
        <v>112</v>
      </c>
      <c r="H1112">
        <v>1</v>
      </c>
      <c r="I1112">
        <v>2999</v>
      </c>
      <c r="J1112">
        <v>0.1</v>
      </c>
      <c r="K1112">
        <v>59</v>
      </c>
      <c r="L1112" t="s">
        <v>119</v>
      </c>
      <c r="M1112" t="s">
        <v>120</v>
      </c>
      <c r="N1112" t="s">
        <v>31</v>
      </c>
      <c r="O1112" t="s">
        <v>41</v>
      </c>
      <c r="P1112" t="s">
        <v>52</v>
      </c>
      <c r="Q1112">
        <v>4</v>
      </c>
      <c r="R1112">
        <f>IFERROR(Table1_1[[#This Row],[Unit_Price]]*Table1_1[[#This Row],[Quantity]],"")</f>
        <v>2999</v>
      </c>
      <c r="S1112">
        <f>IFERROR(Table1_1[[#This Row],[Gross_Sales]]*Table1_1[[#This Row],[Discount_%]],"")</f>
        <v>299.90000000000003</v>
      </c>
      <c r="T1112">
        <f>IFERROR(Table1_1[[#This Row],[Gross_Sales]]-Table1_1[[#This Row],[Discount_amount]]+Table1_1[[#This Row],[Shipping_Cost]],"")</f>
        <v>2758.1</v>
      </c>
      <c r="U1112">
        <f>IFERROR(Table1_1[[#This Row],[Net_Sale]]-(Table1_1[[#This Row],[Gross_Sales]]*70%),"")</f>
        <v>658.80000000000018</v>
      </c>
      <c r="V1112" s="7">
        <f>IFERROR(Table1_1[[#This Row],[Profit]]/Table1_1[[#This Row],[Net_Sale]],"")</f>
        <v>0.23886008484101381</v>
      </c>
      <c r="W1112" t="str">
        <f>TEXT(Table1_1[[#This Row],[Order_Date]],"mmm")</f>
        <v>May</v>
      </c>
    </row>
    <row r="1113" spans="1:23" x14ac:dyDescent="0.25">
      <c r="A1113" t="s">
        <v>1526</v>
      </c>
      <c r="B1113" t="s">
        <v>607</v>
      </c>
      <c r="C1113" s="6">
        <v>46017</v>
      </c>
      <c r="D1113" t="s">
        <v>62</v>
      </c>
      <c r="E1113" t="s">
        <v>63</v>
      </c>
      <c r="F1113" t="s">
        <v>46</v>
      </c>
      <c r="G1113" t="s">
        <v>64</v>
      </c>
      <c r="H1113">
        <v>2</v>
      </c>
      <c r="I1113">
        <v>699</v>
      </c>
      <c r="J1113">
        <v>0.1</v>
      </c>
      <c r="K1113">
        <v>0</v>
      </c>
      <c r="L1113" t="s">
        <v>48</v>
      </c>
      <c r="M1113" t="s">
        <v>49</v>
      </c>
      <c r="N1113" t="s">
        <v>40</v>
      </c>
      <c r="O1113" t="s">
        <v>51</v>
      </c>
      <c r="P1113" t="s">
        <v>33</v>
      </c>
      <c r="Q1113">
        <v>3</v>
      </c>
      <c r="R1113">
        <f>IFERROR(Table1_1[[#This Row],[Unit_Price]]*Table1_1[[#This Row],[Quantity]],"")</f>
        <v>1398</v>
      </c>
      <c r="S1113">
        <f>IFERROR(Table1_1[[#This Row],[Gross_Sales]]*Table1_1[[#This Row],[Discount_%]],"")</f>
        <v>139.80000000000001</v>
      </c>
      <c r="T1113">
        <f>IFERROR(Table1_1[[#This Row],[Gross_Sales]]-Table1_1[[#This Row],[Discount_amount]]+Table1_1[[#This Row],[Shipping_Cost]],"")</f>
        <v>1258.2</v>
      </c>
      <c r="U1113">
        <f>IFERROR(Table1_1[[#This Row],[Net_Sale]]-(Table1_1[[#This Row],[Gross_Sales]]*70%),"")</f>
        <v>279.60000000000014</v>
      </c>
      <c r="V1113" s="7">
        <f>IFERROR(Table1_1[[#This Row],[Profit]]/Table1_1[[#This Row],[Net_Sale]],"")</f>
        <v>0.22222222222222232</v>
      </c>
      <c r="W1113" t="str">
        <f>TEXT(Table1_1[[#This Row],[Order_Date]],"mmm")</f>
        <v>Dec</v>
      </c>
    </row>
    <row r="1114" spans="1:23" x14ac:dyDescent="0.25">
      <c r="A1114" t="s">
        <v>1527</v>
      </c>
      <c r="B1114" t="s">
        <v>1345</v>
      </c>
      <c r="C1114" s="6">
        <v>45953</v>
      </c>
      <c r="D1114" t="s">
        <v>62</v>
      </c>
      <c r="E1114" t="s">
        <v>63</v>
      </c>
      <c r="F1114" t="s">
        <v>46</v>
      </c>
      <c r="G1114" t="s">
        <v>64</v>
      </c>
      <c r="H1114">
        <v>2</v>
      </c>
      <c r="I1114">
        <v>699</v>
      </c>
      <c r="J1114">
        <v>0.1</v>
      </c>
      <c r="K1114">
        <v>59</v>
      </c>
      <c r="L1114" t="s">
        <v>29</v>
      </c>
      <c r="M1114" t="s">
        <v>30</v>
      </c>
      <c r="N1114" t="s">
        <v>102</v>
      </c>
      <c r="O1114" t="s">
        <v>93</v>
      </c>
      <c r="P1114" t="s">
        <v>33</v>
      </c>
      <c r="Q1114">
        <v>3</v>
      </c>
      <c r="R1114">
        <f>IFERROR(Table1_1[[#This Row],[Unit_Price]]*Table1_1[[#This Row],[Quantity]],"")</f>
        <v>1398</v>
      </c>
      <c r="S1114">
        <f>IFERROR(Table1_1[[#This Row],[Gross_Sales]]*Table1_1[[#This Row],[Discount_%]],"")</f>
        <v>139.80000000000001</v>
      </c>
      <c r="T1114">
        <f>IFERROR(Table1_1[[#This Row],[Gross_Sales]]-Table1_1[[#This Row],[Discount_amount]]+Table1_1[[#This Row],[Shipping_Cost]],"")</f>
        <v>1317.2</v>
      </c>
      <c r="U1114">
        <f>IFERROR(Table1_1[[#This Row],[Net_Sale]]-(Table1_1[[#This Row],[Gross_Sales]]*70%),"")</f>
        <v>338.60000000000014</v>
      </c>
      <c r="V1114" s="7">
        <f>IFERROR(Table1_1[[#This Row],[Profit]]/Table1_1[[#This Row],[Net_Sale]],"")</f>
        <v>0.2570604312177347</v>
      </c>
      <c r="W1114" t="str">
        <f>TEXT(Table1_1[[#This Row],[Order_Date]],"mmm")</f>
        <v>Oct</v>
      </c>
    </row>
    <row r="1115" spans="1:23" x14ac:dyDescent="0.25">
      <c r="A1115" t="s">
        <v>1528</v>
      </c>
      <c r="B1115" t="s">
        <v>104</v>
      </c>
      <c r="C1115" s="6">
        <v>45980</v>
      </c>
      <c r="D1115" t="s">
        <v>110</v>
      </c>
      <c r="E1115" t="s">
        <v>111</v>
      </c>
      <c r="F1115" t="s">
        <v>98</v>
      </c>
      <c r="G1115" t="s">
        <v>112</v>
      </c>
      <c r="H1115">
        <v>1</v>
      </c>
      <c r="I1115">
        <v>2999</v>
      </c>
      <c r="J1115">
        <v>0</v>
      </c>
      <c r="K1115">
        <v>49</v>
      </c>
      <c r="L1115" t="s">
        <v>74</v>
      </c>
      <c r="M1115" t="s">
        <v>49</v>
      </c>
      <c r="N1115" t="s">
        <v>102</v>
      </c>
      <c r="O1115" t="s">
        <v>41</v>
      </c>
      <c r="P1115" t="s">
        <v>85</v>
      </c>
      <c r="Q1115">
        <v>1</v>
      </c>
      <c r="R1115">
        <f>IFERROR(Table1_1[[#This Row],[Unit_Price]]*Table1_1[[#This Row],[Quantity]],"")</f>
        <v>2999</v>
      </c>
      <c r="S1115">
        <f>IFERROR(Table1_1[[#This Row],[Gross_Sales]]*Table1_1[[#This Row],[Discount_%]],"")</f>
        <v>0</v>
      </c>
      <c r="T1115">
        <f>IFERROR(Table1_1[[#This Row],[Gross_Sales]]-Table1_1[[#This Row],[Discount_amount]]+Table1_1[[#This Row],[Shipping_Cost]],"")</f>
        <v>3048</v>
      </c>
      <c r="U1115">
        <f>IFERROR(Table1_1[[#This Row],[Net_Sale]]-(Table1_1[[#This Row],[Gross_Sales]]*70%),"")</f>
        <v>948.70000000000027</v>
      </c>
      <c r="V1115" s="7">
        <f>IFERROR(Table1_1[[#This Row],[Profit]]/Table1_1[[#This Row],[Net_Sale]],"")</f>
        <v>0.31125328083989512</v>
      </c>
      <c r="W1115" t="str">
        <f>TEXT(Table1_1[[#This Row],[Order_Date]],"mmm")</f>
        <v>Nov</v>
      </c>
    </row>
    <row r="1116" spans="1:23" x14ac:dyDescent="0.25">
      <c r="A1116" t="s">
        <v>1529</v>
      </c>
      <c r="B1116" t="s">
        <v>1416</v>
      </c>
      <c r="C1116" s="6">
        <v>45900</v>
      </c>
      <c r="D1116" t="s">
        <v>105</v>
      </c>
      <c r="E1116" t="s">
        <v>106</v>
      </c>
      <c r="F1116" t="s">
        <v>37</v>
      </c>
      <c r="G1116" t="s">
        <v>107</v>
      </c>
      <c r="H1116">
        <v>2</v>
      </c>
      <c r="I1116">
        <v>1799</v>
      </c>
      <c r="J1116">
        <v>0</v>
      </c>
      <c r="K1116">
        <v>0</v>
      </c>
      <c r="L1116" t="s">
        <v>57</v>
      </c>
      <c r="M1116" t="s">
        <v>58</v>
      </c>
      <c r="N1116" t="s">
        <v>71</v>
      </c>
      <c r="O1116" t="s">
        <v>59</v>
      </c>
      <c r="P1116" t="s">
        <v>85</v>
      </c>
      <c r="Q1116">
        <v>3</v>
      </c>
      <c r="R1116">
        <f>IFERROR(Table1_1[[#This Row],[Unit_Price]]*Table1_1[[#This Row],[Quantity]],"")</f>
        <v>3598</v>
      </c>
      <c r="S1116">
        <f>IFERROR(Table1_1[[#This Row],[Gross_Sales]]*Table1_1[[#This Row],[Discount_%]],"")</f>
        <v>0</v>
      </c>
      <c r="T1116">
        <f>IFERROR(Table1_1[[#This Row],[Gross_Sales]]-Table1_1[[#This Row],[Discount_amount]]+Table1_1[[#This Row],[Shipping_Cost]],"")</f>
        <v>3598</v>
      </c>
      <c r="U1116">
        <f>IFERROR(Table1_1[[#This Row],[Net_Sale]]-(Table1_1[[#This Row],[Gross_Sales]]*70%),"")</f>
        <v>1079.4000000000001</v>
      </c>
      <c r="V1116" s="7">
        <f>IFERROR(Table1_1[[#This Row],[Profit]]/Table1_1[[#This Row],[Net_Sale]],"")</f>
        <v>0.30000000000000004</v>
      </c>
      <c r="W1116" t="str">
        <f>TEXT(Table1_1[[#This Row],[Order_Date]],"mmm")</f>
        <v>Aug</v>
      </c>
    </row>
    <row r="1117" spans="1:23" x14ac:dyDescent="0.25">
      <c r="A1117" t="s">
        <v>1530</v>
      </c>
      <c r="B1117" t="s">
        <v>656</v>
      </c>
      <c r="C1117" s="6">
        <v>45676</v>
      </c>
      <c r="D1117" t="s">
        <v>77</v>
      </c>
      <c r="E1117" t="s">
        <v>78</v>
      </c>
      <c r="F1117" t="s">
        <v>79</v>
      </c>
      <c r="G1117" t="s">
        <v>28</v>
      </c>
      <c r="H1117">
        <v>3</v>
      </c>
      <c r="I1117">
        <v>6499</v>
      </c>
      <c r="J1117">
        <v>0.15</v>
      </c>
      <c r="K1117">
        <v>79</v>
      </c>
      <c r="L1117" t="s">
        <v>74</v>
      </c>
      <c r="M1117" t="s">
        <v>49</v>
      </c>
      <c r="N1117" t="s">
        <v>71</v>
      </c>
      <c r="O1117" t="s">
        <v>41</v>
      </c>
      <c r="P1117" t="s">
        <v>85</v>
      </c>
      <c r="Q1117">
        <v>3</v>
      </c>
      <c r="R1117">
        <f>IFERROR(Table1_1[[#This Row],[Unit_Price]]*Table1_1[[#This Row],[Quantity]],"")</f>
        <v>19497</v>
      </c>
      <c r="S1117">
        <f>IFERROR(Table1_1[[#This Row],[Gross_Sales]]*Table1_1[[#This Row],[Discount_%]],"")</f>
        <v>2924.5499999999997</v>
      </c>
      <c r="T1117">
        <f>IFERROR(Table1_1[[#This Row],[Gross_Sales]]-Table1_1[[#This Row],[Discount_amount]]+Table1_1[[#This Row],[Shipping_Cost]],"")</f>
        <v>16651.45</v>
      </c>
      <c r="U1117">
        <f>IFERROR(Table1_1[[#This Row],[Net_Sale]]-(Table1_1[[#This Row],[Gross_Sales]]*70%),"")</f>
        <v>3003.5500000000011</v>
      </c>
      <c r="V1117" s="7">
        <f>IFERROR(Table1_1[[#This Row],[Profit]]/Table1_1[[#This Row],[Net_Sale]],"")</f>
        <v>0.18037768482624641</v>
      </c>
      <c r="W1117" t="str">
        <f>TEXT(Table1_1[[#This Row],[Order_Date]],"mmm")</f>
        <v>Jan</v>
      </c>
    </row>
    <row r="1118" spans="1:23" x14ac:dyDescent="0.25">
      <c r="A1118" t="s">
        <v>1531</v>
      </c>
      <c r="B1118" t="s">
        <v>372</v>
      </c>
      <c r="C1118" s="6">
        <v>45818</v>
      </c>
      <c r="D1118" t="s">
        <v>62</v>
      </c>
      <c r="E1118" t="s">
        <v>63</v>
      </c>
      <c r="F1118" t="s">
        <v>46</v>
      </c>
      <c r="G1118" t="s">
        <v>64</v>
      </c>
      <c r="H1118">
        <v>2</v>
      </c>
      <c r="I1118">
        <v>699</v>
      </c>
      <c r="J1118">
        <v>0.1</v>
      </c>
      <c r="K1118">
        <v>79</v>
      </c>
      <c r="L1118" t="s">
        <v>119</v>
      </c>
      <c r="M1118" t="s">
        <v>120</v>
      </c>
      <c r="N1118" t="s">
        <v>102</v>
      </c>
      <c r="O1118" t="s">
        <v>93</v>
      </c>
      <c r="P1118" t="s">
        <v>33</v>
      </c>
      <c r="Q1118">
        <v>1</v>
      </c>
      <c r="R1118">
        <f>IFERROR(Table1_1[[#This Row],[Unit_Price]]*Table1_1[[#This Row],[Quantity]],"")</f>
        <v>1398</v>
      </c>
      <c r="S1118">
        <f>IFERROR(Table1_1[[#This Row],[Gross_Sales]]*Table1_1[[#This Row],[Discount_%]],"")</f>
        <v>139.80000000000001</v>
      </c>
      <c r="T1118">
        <f>IFERROR(Table1_1[[#This Row],[Gross_Sales]]-Table1_1[[#This Row],[Discount_amount]]+Table1_1[[#This Row],[Shipping_Cost]],"")</f>
        <v>1337.2</v>
      </c>
      <c r="U1118">
        <f>IFERROR(Table1_1[[#This Row],[Net_Sale]]-(Table1_1[[#This Row],[Gross_Sales]]*70%),"")</f>
        <v>358.60000000000014</v>
      </c>
      <c r="V1118" s="7">
        <f>IFERROR(Table1_1[[#This Row],[Profit]]/Table1_1[[#This Row],[Net_Sale]],"")</f>
        <v>0.26817230032904588</v>
      </c>
      <c r="W1118" t="str">
        <f>TEXT(Table1_1[[#This Row],[Order_Date]],"mmm")</f>
        <v>Jun</v>
      </c>
    </row>
    <row r="1119" spans="1:23" x14ac:dyDescent="0.25">
      <c r="A1119" t="s">
        <v>1532</v>
      </c>
      <c r="B1119" t="s">
        <v>1120</v>
      </c>
      <c r="C1119" s="6">
        <v>45664</v>
      </c>
      <c r="D1119" t="s">
        <v>96</v>
      </c>
      <c r="E1119" t="s">
        <v>97</v>
      </c>
      <c r="F1119" t="s">
        <v>98</v>
      </c>
      <c r="G1119" t="s">
        <v>99</v>
      </c>
      <c r="H1119">
        <v>1</v>
      </c>
      <c r="I1119">
        <v>1499</v>
      </c>
      <c r="J1119">
        <v>0</v>
      </c>
      <c r="K1119">
        <v>49</v>
      </c>
      <c r="L1119" t="s">
        <v>29</v>
      </c>
      <c r="M1119" t="s">
        <v>30</v>
      </c>
      <c r="N1119" t="s">
        <v>40</v>
      </c>
      <c r="O1119" t="s">
        <v>93</v>
      </c>
      <c r="P1119" t="s">
        <v>80</v>
      </c>
      <c r="Q1119">
        <v>1</v>
      </c>
      <c r="R1119">
        <f>IFERROR(Table1_1[[#This Row],[Unit_Price]]*Table1_1[[#This Row],[Quantity]],"")</f>
        <v>1499</v>
      </c>
      <c r="S1119">
        <f>IFERROR(Table1_1[[#This Row],[Gross_Sales]]*Table1_1[[#This Row],[Discount_%]],"")</f>
        <v>0</v>
      </c>
      <c r="T1119">
        <f>IFERROR(Table1_1[[#This Row],[Gross_Sales]]-Table1_1[[#This Row],[Discount_amount]]+Table1_1[[#This Row],[Shipping_Cost]],"")</f>
        <v>1548</v>
      </c>
      <c r="U1119">
        <f>IFERROR(Table1_1[[#This Row],[Net_Sale]]-(Table1_1[[#This Row],[Gross_Sales]]*70%),"")</f>
        <v>498.70000000000005</v>
      </c>
      <c r="V1119" s="7">
        <f>IFERROR(Table1_1[[#This Row],[Profit]]/Table1_1[[#This Row],[Net_Sale]],"")</f>
        <v>0.3221576227390181</v>
      </c>
      <c r="W1119" t="str">
        <f>TEXT(Table1_1[[#This Row],[Order_Date]],"mmm")</f>
        <v>Jan</v>
      </c>
    </row>
    <row r="1120" spans="1:23" x14ac:dyDescent="0.25">
      <c r="A1120" t="s">
        <v>1533</v>
      </c>
      <c r="B1120" t="s">
        <v>1534</v>
      </c>
      <c r="C1120" s="6">
        <v>45926</v>
      </c>
      <c r="D1120" t="s">
        <v>96</v>
      </c>
      <c r="E1120" t="s">
        <v>97</v>
      </c>
      <c r="F1120" t="s">
        <v>98</v>
      </c>
      <c r="G1120" t="s">
        <v>99</v>
      </c>
      <c r="H1120">
        <v>1</v>
      </c>
      <c r="I1120">
        <v>1499</v>
      </c>
      <c r="J1120">
        <v>0.15</v>
      </c>
      <c r="K1120">
        <v>79</v>
      </c>
      <c r="L1120" t="s">
        <v>119</v>
      </c>
      <c r="M1120" t="s">
        <v>120</v>
      </c>
      <c r="N1120" t="s">
        <v>31</v>
      </c>
      <c r="O1120" t="s">
        <v>51</v>
      </c>
      <c r="P1120" t="s">
        <v>80</v>
      </c>
      <c r="Q1120">
        <v>1</v>
      </c>
      <c r="R1120">
        <f>IFERROR(Table1_1[[#This Row],[Unit_Price]]*Table1_1[[#This Row],[Quantity]],"")</f>
        <v>1499</v>
      </c>
      <c r="S1120">
        <f>IFERROR(Table1_1[[#This Row],[Gross_Sales]]*Table1_1[[#This Row],[Discount_%]],"")</f>
        <v>224.85</v>
      </c>
      <c r="T1120">
        <f>IFERROR(Table1_1[[#This Row],[Gross_Sales]]-Table1_1[[#This Row],[Discount_amount]]+Table1_1[[#This Row],[Shipping_Cost]],"")</f>
        <v>1353.15</v>
      </c>
      <c r="U1120">
        <f>IFERROR(Table1_1[[#This Row],[Net_Sale]]-(Table1_1[[#This Row],[Gross_Sales]]*70%),"")</f>
        <v>303.85000000000014</v>
      </c>
      <c r="V1120" s="7">
        <f>IFERROR(Table1_1[[#This Row],[Profit]]/Table1_1[[#This Row],[Net_Sale]],"")</f>
        <v>0.22455012378524192</v>
      </c>
      <c r="W1120" t="str">
        <f>TEXT(Table1_1[[#This Row],[Order_Date]],"mmm")</f>
        <v>Sep</v>
      </c>
    </row>
    <row r="1121" spans="1:23" x14ac:dyDescent="0.25">
      <c r="A1121" t="s">
        <v>1535</v>
      </c>
      <c r="B1121" t="s">
        <v>329</v>
      </c>
      <c r="C1121" s="6">
        <v>46004</v>
      </c>
      <c r="D1121" t="s">
        <v>96</v>
      </c>
      <c r="E1121" t="s">
        <v>97</v>
      </c>
      <c r="F1121" t="s">
        <v>98</v>
      </c>
      <c r="G1121" t="s">
        <v>99</v>
      </c>
      <c r="H1121">
        <v>2</v>
      </c>
      <c r="I1121">
        <v>1499</v>
      </c>
      <c r="J1121">
        <v>0</v>
      </c>
      <c r="K1121">
        <v>59</v>
      </c>
      <c r="L1121" t="s">
        <v>48</v>
      </c>
      <c r="M1121" t="s">
        <v>49</v>
      </c>
      <c r="N1121" t="s">
        <v>50</v>
      </c>
      <c r="O1121" t="s">
        <v>41</v>
      </c>
      <c r="P1121" t="s">
        <v>33</v>
      </c>
      <c r="Q1121">
        <v>3</v>
      </c>
      <c r="R1121">
        <f>IFERROR(Table1_1[[#This Row],[Unit_Price]]*Table1_1[[#This Row],[Quantity]],"")</f>
        <v>2998</v>
      </c>
      <c r="S1121">
        <f>IFERROR(Table1_1[[#This Row],[Gross_Sales]]*Table1_1[[#This Row],[Discount_%]],"")</f>
        <v>0</v>
      </c>
      <c r="T1121">
        <f>IFERROR(Table1_1[[#This Row],[Gross_Sales]]-Table1_1[[#This Row],[Discount_amount]]+Table1_1[[#This Row],[Shipping_Cost]],"")</f>
        <v>3057</v>
      </c>
      <c r="U1121">
        <f>IFERROR(Table1_1[[#This Row],[Net_Sale]]-(Table1_1[[#This Row],[Gross_Sales]]*70%),"")</f>
        <v>958.40000000000009</v>
      </c>
      <c r="V1121" s="7">
        <f>IFERROR(Table1_1[[#This Row],[Profit]]/Table1_1[[#This Row],[Net_Sale]],"")</f>
        <v>0.31350997710173378</v>
      </c>
      <c r="W1121" t="str">
        <f>TEXT(Table1_1[[#This Row],[Order_Date]],"mmm")</f>
        <v>Dec</v>
      </c>
    </row>
    <row r="1122" spans="1:23" x14ac:dyDescent="0.25">
      <c r="A1122" t="s">
        <v>1536</v>
      </c>
      <c r="B1122" t="s">
        <v>148</v>
      </c>
      <c r="C1122" s="6">
        <v>45848</v>
      </c>
      <c r="D1122" t="s">
        <v>62</v>
      </c>
      <c r="E1122" t="s">
        <v>63</v>
      </c>
      <c r="F1122" t="s">
        <v>46</v>
      </c>
      <c r="G1122" t="s">
        <v>64</v>
      </c>
      <c r="H1122">
        <v>3</v>
      </c>
      <c r="I1122">
        <v>699</v>
      </c>
      <c r="J1122">
        <v>0.1</v>
      </c>
      <c r="K1122">
        <v>79</v>
      </c>
      <c r="L1122" t="s">
        <v>113</v>
      </c>
      <c r="M1122" t="s">
        <v>114</v>
      </c>
      <c r="N1122" t="s">
        <v>71</v>
      </c>
      <c r="O1122" t="s">
        <v>41</v>
      </c>
      <c r="P1122" t="s">
        <v>33</v>
      </c>
      <c r="Q1122">
        <v>2</v>
      </c>
      <c r="R1122">
        <f>IFERROR(Table1_1[[#This Row],[Unit_Price]]*Table1_1[[#This Row],[Quantity]],"")</f>
        <v>2097</v>
      </c>
      <c r="S1122">
        <f>IFERROR(Table1_1[[#This Row],[Gross_Sales]]*Table1_1[[#This Row],[Discount_%]],"")</f>
        <v>209.70000000000002</v>
      </c>
      <c r="T1122">
        <f>IFERROR(Table1_1[[#This Row],[Gross_Sales]]-Table1_1[[#This Row],[Discount_amount]]+Table1_1[[#This Row],[Shipping_Cost]],"")</f>
        <v>1966.3</v>
      </c>
      <c r="U1122">
        <f>IFERROR(Table1_1[[#This Row],[Net_Sale]]-(Table1_1[[#This Row],[Gross_Sales]]*70%),"")</f>
        <v>498.40000000000009</v>
      </c>
      <c r="V1122" s="7">
        <f>IFERROR(Table1_1[[#This Row],[Profit]]/Table1_1[[#This Row],[Net_Sale]],"")</f>
        <v>0.25347098611605556</v>
      </c>
      <c r="W1122" t="str">
        <f>TEXT(Table1_1[[#This Row],[Order_Date]],"mmm")</f>
        <v>Jul</v>
      </c>
    </row>
    <row r="1123" spans="1:23" x14ac:dyDescent="0.25">
      <c r="A1123" t="s">
        <v>1537</v>
      </c>
      <c r="B1123" t="s">
        <v>116</v>
      </c>
      <c r="C1123" s="6">
        <v>45871</v>
      </c>
      <c r="D1123" t="s">
        <v>62</v>
      </c>
      <c r="E1123" t="s">
        <v>63</v>
      </c>
      <c r="F1123" t="s">
        <v>46</v>
      </c>
      <c r="G1123" t="s">
        <v>64</v>
      </c>
      <c r="H1123">
        <v>1</v>
      </c>
      <c r="I1123">
        <v>699</v>
      </c>
      <c r="J1123">
        <v>0</v>
      </c>
      <c r="K1123">
        <v>0</v>
      </c>
      <c r="L1123" t="s">
        <v>119</v>
      </c>
      <c r="M1123" t="s">
        <v>120</v>
      </c>
      <c r="N1123" t="s">
        <v>50</v>
      </c>
      <c r="O1123" t="s">
        <v>41</v>
      </c>
      <c r="P1123" t="s">
        <v>52</v>
      </c>
      <c r="Q1123">
        <v>3</v>
      </c>
      <c r="R1123">
        <f>IFERROR(Table1_1[[#This Row],[Unit_Price]]*Table1_1[[#This Row],[Quantity]],"")</f>
        <v>699</v>
      </c>
      <c r="S1123">
        <f>IFERROR(Table1_1[[#This Row],[Gross_Sales]]*Table1_1[[#This Row],[Discount_%]],"")</f>
        <v>0</v>
      </c>
      <c r="T1123">
        <f>IFERROR(Table1_1[[#This Row],[Gross_Sales]]-Table1_1[[#This Row],[Discount_amount]]+Table1_1[[#This Row],[Shipping_Cost]],"")</f>
        <v>699</v>
      </c>
      <c r="U1123">
        <f>IFERROR(Table1_1[[#This Row],[Net_Sale]]-(Table1_1[[#This Row],[Gross_Sales]]*70%),"")</f>
        <v>209.70000000000005</v>
      </c>
      <c r="V1123" s="7">
        <f>IFERROR(Table1_1[[#This Row],[Profit]]/Table1_1[[#This Row],[Net_Sale]],"")</f>
        <v>0.30000000000000004</v>
      </c>
      <c r="W1123" t="str">
        <f>TEXT(Table1_1[[#This Row],[Order_Date]],"mmm")</f>
        <v>Aug</v>
      </c>
    </row>
    <row r="1124" spans="1:23" x14ac:dyDescent="0.25">
      <c r="A1124" t="s">
        <v>1538</v>
      </c>
      <c r="B1124" t="s">
        <v>138</v>
      </c>
      <c r="C1124" s="6">
        <v>45706</v>
      </c>
      <c r="D1124" t="s">
        <v>55</v>
      </c>
      <c r="E1124" t="s">
        <v>56</v>
      </c>
      <c r="F1124" t="s">
        <v>37</v>
      </c>
      <c r="G1124" t="s">
        <v>38</v>
      </c>
      <c r="H1124">
        <v>2</v>
      </c>
      <c r="I1124">
        <v>2499</v>
      </c>
      <c r="J1124">
        <v>0.15</v>
      </c>
      <c r="K1124">
        <v>49</v>
      </c>
      <c r="L1124" t="s">
        <v>83</v>
      </c>
      <c r="M1124" t="s">
        <v>84</v>
      </c>
      <c r="N1124" t="s">
        <v>71</v>
      </c>
      <c r="O1124" t="s">
        <v>32</v>
      </c>
      <c r="P1124" t="s">
        <v>52</v>
      </c>
      <c r="Q1124">
        <v>2</v>
      </c>
      <c r="R1124">
        <f>IFERROR(Table1_1[[#This Row],[Unit_Price]]*Table1_1[[#This Row],[Quantity]],"")</f>
        <v>4998</v>
      </c>
      <c r="S1124">
        <f>IFERROR(Table1_1[[#This Row],[Gross_Sales]]*Table1_1[[#This Row],[Discount_%]],"")</f>
        <v>749.69999999999993</v>
      </c>
      <c r="T1124">
        <f>IFERROR(Table1_1[[#This Row],[Gross_Sales]]-Table1_1[[#This Row],[Discount_amount]]+Table1_1[[#This Row],[Shipping_Cost]],"")</f>
        <v>4297.3</v>
      </c>
      <c r="U1124">
        <f>IFERROR(Table1_1[[#This Row],[Net_Sale]]-(Table1_1[[#This Row],[Gross_Sales]]*70%),"")</f>
        <v>798.70000000000027</v>
      </c>
      <c r="V1124" s="7">
        <f>IFERROR(Table1_1[[#This Row],[Profit]]/Table1_1[[#This Row],[Net_Sale]],"")</f>
        <v>0.18586088939566711</v>
      </c>
      <c r="W1124" t="str">
        <f>TEXT(Table1_1[[#This Row],[Order_Date]],"mmm")</f>
        <v>Feb</v>
      </c>
    </row>
    <row r="1125" spans="1:23" x14ac:dyDescent="0.25">
      <c r="A1125" t="s">
        <v>1539</v>
      </c>
      <c r="B1125" t="s">
        <v>218</v>
      </c>
      <c r="C1125" s="6">
        <v>45798</v>
      </c>
      <c r="D1125" t="s">
        <v>169</v>
      </c>
      <c r="E1125" t="s">
        <v>170</v>
      </c>
      <c r="F1125" t="s">
        <v>98</v>
      </c>
      <c r="G1125" t="s">
        <v>171</v>
      </c>
      <c r="H1125">
        <v>4</v>
      </c>
      <c r="I1125">
        <v>799</v>
      </c>
      <c r="J1125">
        <v>0.15</v>
      </c>
      <c r="K1125">
        <v>59</v>
      </c>
      <c r="L1125" t="s">
        <v>39</v>
      </c>
      <c r="M1125" t="s">
        <v>39</v>
      </c>
      <c r="N1125" t="s">
        <v>102</v>
      </c>
      <c r="O1125" t="s">
        <v>59</v>
      </c>
      <c r="P1125" t="s">
        <v>52</v>
      </c>
      <c r="Q1125">
        <v>3</v>
      </c>
      <c r="R1125">
        <f>IFERROR(Table1_1[[#This Row],[Unit_Price]]*Table1_1[[#This Row],[Quantity]],"")</f>
        <v>3196</v>
      </c>
      <c r="S1125">
        <f>IFERROR(Table1_1[[#This Row],[Gross_Sales]]*Table1_1[[#This Row],[Discount_%]],"")</f>
        <v>479.4</v>
      </c>
      <c r="T1125">
        <f>IFERROR(Table1_1[[#This Row],[Gross_Sales]]-Table1_1[[#This Row],[Discount_amount]]+Table1_1[[#This Row],[Shipping_Cost]],"")</f>
        <v>2775.6</v>
      </c>
      <c r="U1125">
        <f>IFERROR(Table1_1[[#This Row],[Net_Sale]]-(Table1_1[[#This Row],[Gross_Sales]]*70%),"")</f>
        <v>538.40000000000009</v>
      </c>
      <c r="V1125" s="7">
        <f>IFERROR(Table1_1[[#This Row],[Profit]]/Table1_1[[#This Row],[Net_Sale]],"")</f>
        <v>0.19397607724455979</v>
      </c>
      <c r="W1125" t="str">
        <f>TEXT(Table1_1[[#This Row],[Order_Date]],"mmm")</f>
        <v>May</v>
      </c>
    </row>
    <row r="1126" spans="1:23" x14ac:dyDescent="0.25">
      <c r="A1126" t="s">
        <v>1540</v>
      </c>
      <c r="B1126" t="s">
        <v>214</v>
      </c>
      <c r="C1126" s="6">
        <v>45761</v>
      </c>
      <c r="D1126" t="s">
        <v>62</v>
      </c>
      <c r="E1126" t="s">
        <v>63</v>
      </c>
      <c r="F1126" t="s">
        <v>46</v>
      </c>
      <c r="G1126" t="s">
        <v>64</v>
      </c>
      <c r="H1126">
        <v>2</v>
      </c>
      <c r="I1126">
        <v>699</v>
      </c>
      <c r="J1126">
        <v>0</v>
      </c>
      <c r="K1126">
        <v>49</v>
      </c>
      <c r="L1126" t="s">
        <v>83</v>
      </c>
      <c r="M1126" t="s">
        <v>84</v>
      </c>
      <c r="N1126" t="s">
        <v>430</v>
      </c>
      <c r="O1126" t="s">
        <v>51</v>
      </c>
      <c r="P1126" t="s">
        <v>33</v>
      </c>
      <c r="Q1126">
        <v>5</v>
      </c>
      <c r="R1126">
        <f>IFERROR(Table1_1[[#This Row],[Unit_Price]]*Table1_1[[#This Row],[Quantity]],"")</f>
        <v>1398</v>
      </c>
      <c r="S1126">
        <f>IFERROR(Table1_1[[#This Row],[Gross_Sales]]*Table1_1[[#This Row],[Discount_%]],"")</f>
        <v>0</v>
      </c>
      <c r="T1126">
        <f>IFERROR(Table1_1[[#This Row],[Gross_Sales]]-Table1_1[[#This Row],[Discount_amount]]+Table1_1[[#This Row],[Shipping_Cost]],"")</f>
        <v>1447</v>
      </c>
      <c r="U1126">
        <f>IFERROR(Table1_1[[#This Row],[Net_Sale]]-(Table1_1[[#This Row],[Gross_Sales]]*70%),"")</f>
        <v>468.40000000000009</v>
      </c>
      <c r="V1126" s="7">
        <f>IFERROR(Table1_1[[#This Row],[Profit]]/Table1_1[[#This Row],[Net_Sale]],"")</f>
        <v>0.32370421561852114</v>
      </c>
      <c r="W1126" t="str">
        <f>TEXT(Table1_1[[#This Row],[Order_Date]],"mmm")</f>
        <v>Apr</v>
      </c>
    </row>
    <row r="1127" spans="1:23" x14ac:dyDescent="0.25">
      <c r="A1127" t="s">
        <v>1541</v>
      </c>
      <c r="B1127" t="s">
        <v>222</v>
      </c>
      <c r="C1127" s="6">
        <v>45958</v>
      </c>
      <c r="D1127" t="s">
        <v>55</v>
      </c>
      <c r="E1127" t="s">
        <v>56</v>
      </c>
      <c r="F1127" t="s">
        <v>37</v>
      </c>
      <c r="G1127" t="s">
        <v>38</v>
      </c>
      <c r="H1127">
        <v>3</v>
      </c>
      <c r="I1127">
        <v>2499</v>
      </c>
      <c r="J1127">
        <v>0.05</v>
      </c>
      <c r="K1127">
        <v>99</v>
      </c>
      <c r="L1127" t="s">
        <v>100</v>
      </c>
      <c r="M1127" t="s">
        <v>101</v>
      </c>
      <c r="N1127" t="s">
        <v>102</v>
      </c>
      <c r="O1127" t="s">
        <v>59</v>
      </c>
      <c r="P1127" t="s">
        <v>52</v>
      </c>
      <c r="Q1127">
        <v>2</v>
      </c>
      <c r="R1127">
        <f>IFERROR(Table1_1[[#This Row],[Unit_Price]]*Table1_1[[#This Row],[Quantity]],"")</f>
        <v>7497</v>
      </c>
      <c r="S1127">
        <f>IFERROR(Table1_1[[#This Row],[Gross_Sales]]*Table1_1[[#This Row],[Discount_%]],"")</f>
        <v>374.85</v>
      </c>
      <c r="T1127">
        <f>IFERROR(Table1_1[[#This Row],[Gross_Sales]]-Table1_1[[#This Row],[Discount_amount]]+Table1_1[[#This Row],[Shipping_Cost]],"")</f>
        <v>7221.15</v>
      </c>
      <c r="U1127">
        <f>IFERROR(Table1_1[[#This Row],[Net_Sale]]-(Table1_1[[#This Row],[Gross_Sales]]*70%),"")</f>
        <v>1973.25</v>
      </c>
      <c r="V1127" s="7">
        <f>IFERROR(Table1_1[[#This Row],[Profit]]/Table1_1[[#This Row],[Net_Sale]],"")</f>
        <v>0.27325979933944039</v>
      </c>
      <c r="W1127" t="str">
        <f>TEXT(Table1_1[[#This Row],[Order_Date]],"mmm")</f>
        <v>Oct</v>
      </c>
    </row>
    <row r="1128" spans="1:23" x14ac:dyDescent="0.25">
      <c r="A1128" t="s">
        <v>1542</v>
      </c>
      <c r="B1128" t="s">
        <v>660</v>
      </c>
      <c r="C1128" s="6">
        <v>45768</v>
      </c>
      <c r="D1128" t="s">
        <v>105</v>
      </c>
      <c r="E1128" t="s">
        <v>106</v>
      </c>
      <c r="F1128" t="s">
        <v>37</v>
      </c>
      <c r="G1128" t="s">
        <v>107</v>
      </c>
      <c r="H1128">
        <v>3</v>
      </c>
      <c r="I1128">
        <v>1799</v>
      </c>
      <c r="J1128">
        <v>0</v>
      </c>
      <c r="K1128">
        <v>49</v>
      </c>
      <c r="L1128" t="s">
        <v>39</v>
      </c>
      <c r="M1128" t="s">
        <v>39</v>
      </c>
      <c r="N1128" t="s">
        <v>40</v>
      </c>
      <c r="O1128" t="s">
        <v>93</v>
      </c>
      <c r="P1128" t="s">
        <v>85</v>
      </c>
      <c r="Q1128">
        <v>3</v>
      </c>
      <c r="R1128">
        <f>IFERROR(Table1_1[[#This Row],[Unit_Price]]*Table1_1[[#This Row],[Quantity]],"")</f>
        <v>5397</v>
      </c>
      <c r="S1128">
        <f>IFERROR(Table1_1[[#This Row],[Gross_Sales]]*Table1_1[[#This Row],[Discount_%]],"")</f>
        <v>0</v>
      </c>
      <c r="T1128">
        <f>IFERROR(Table1_1[[#This Row],[Gross_Sales]]-Table1_1[[#This Row],[Discount_amount]]+Table1_1[[#This Row],[Shipping_Cost]],"")</f>
        <v>5446</v>
      </c>
      <c r="U1128">
        <f>IFERROR(Table1_1[[#This Row],[Net_Sale]]-(Table1_1[[#This Row],[Gross_Sales]]*70%),"")</f>
        <v>1668.1000000000004</v>
      </c>
      <c r="V1128" s="7">
        <f>IFERROR(Table1_1[[#This Row],[Profit]]/Table1_1[[#This Row],[Net_Sale]],"")</f>
        <v>0.30629820051413886</v>
      </c>
      <c r="W1128" t="str">
        <f>TEXT(Table1_1[[#This Row],[Order_Date]],"mmm")</f>
        <v>Apr</v>
      </c>
    </row>
    <row r="1129" spans="1:23" x14ac:dyDescent="0.25">
      <c r="A1129" t="s">
        <v>1543</v>
      </c>
      <c r="B1129" t="s">
        <v>278</v>
      </c>
      <c r="C1129" s="6">
        <v>45883</v>
      </c>
      <c r="D1129" t="s">
        <v>55</v>
      </c>
      <c r="E1129" t="s">
        <v>56</v>
      </c>
      <c r="F1129" t="s">
        <v>37</v>
      </c>
      <c r="G1129" t="s">
        <v>38</v>
      </c>
      <c r="H1129">
        <v>1</v>
      </c>
      <c r="I1129">
        <v>2499</v>
      </c>
      <c r="J1129">
        <v>0.05</v>
      </c>
      <c r="K1129">
        <v>59</v>
      </c>
      <c r="L1129" t="s">
        <v>39</v>
      </c>
      <c r="M1129" t="s">
        <v>39</v>
      </c>
      <c r="N1129" t="s">
        <v>31</v>
      </c>
      <c r="O1129" t="s">
        <v>41</v>
      </c>
      <c r="P1129" t="s">
        <v>52</v>
      </c>
      <c r="Q1129">
        <v>5</v>
      </c>
      <c r="R1129">
        <f>IFERROR(Table1_1[[#This Row],[Unit_Price]]*Table1_1[[#This Row],[Quantity]],"")</f>
        <v>2499</v>
      </c>
      <c r="S1129">
        <f>IFERROR(Table1_1[[#This Row],[Gross_Sales]]*Table1_1[[#This Row],[Discount_%]],"")</f>
        <v>124.95</v>
      </c>
      <c r="T1129">
        <f>IFERROR(Table1_1[[#This Row],[Gross_Sales]]-Table1_1[[#This Row],[Discount_amount]]+Table1_1[[#This Row],[Shipping_Cost]],"")</f>
        <v>2433.0500000000002</v>
      </c>
      <c r="U1129">
        <f>IFERROR(Table1_1[[#This Row],[Net_Sale]]-(Table1_1[[#This Row],[Gross_Sales]]*70%),"")</f>
        <v>683.75000000000023</v>
      </c>
      <c r="V1129" s="7">
        <f>IFERROR(Table1_1[[#This Row],[Profit]]/Table1_1[[#This Row],[Net_Sale]],"")</f>
        <v>0.28102587287560887</v>
      </c>
      <c r="W1129" t="str">
        <f>TEXT(Table1_1[[#This Row],[Order_Date]],"mmm")</f>
        <v>Aug</v>
      </c>
    </row>
    <row r="1130" spans="1:23" x14ac:dyDescent="0.25">
      <c r="A1130" t="s">
        <v>1544</v>
      </c>
      <c r="B1130" t="s">
        <v>300</v>
      </c>
      <c r="C1130" s="6">
        <v>46019</v>
      </c>
      <c r="D1130" t="s">
        <v>96</v>
      </c>
      <c r="E1130" t="s">
        <v>97</v>
      </c>
      <c r="F1130" t="s">
        <v>98</v>
      </c>
      <c r="G1130" t="s">
        <v>99</v>
      </c>
      <c r="H1130">
        <v>1</v>
      </c>
      <c r="I1130">
        <v>1499</v>
      </c>
      <c r="J1130">
        <v>0.15</v>
      </c>
      <c r="K1130">
        <v>59</v>
      </c>
      <c r="L1130" t="s">
        <v>57</v>
      </c>
      <c r="M1130" t="s">
        <v>58</v>
      </c>
      <c r="N1130" t="s">
        <v>31</v>
      </c>
      <c r="O1130" t="s">
        <v>32</v>
      </c>
      <c r="P1130" t="s">
        <v>33</v>
      </c>
      <c r="Q1130">
        <v>3</v>
      </c>
      <c r="R1130">
        <f>IFERROR(Table1_1[[#This Row],[Unit_Price]]*Table1_1[[#This Row],[Quantity]],"")</f>
        <v>1499</v>
      </c>
      <c r="S1130">
        <f>IFERROR(Table1_1[[#This Row],[Gross_Sales]]*Table1_1[[#This Row],[Discount_%]],"")</f>
        <v>224.85</v>
      </c>
      <c r="T1130">
        <f>IFERROR(Table1_1[[#This Row],[Gross_Sales]]-Table1_1[[#This Row],[Discount_amount]]+Table1_1[[#This Row],[Shipping_Cost]],"")</f>
        <v>1333.15</v>
      </c>
      <c r="U1130">
        <f>IFERROR(Table1_1[[#This Row],[Net_Sale]]-(Table1_1[[#This Row],[Gross_Sales]]*70%),"")</f>
        <v>283.85000000000014</v>
      </c>
      <c r="V1130" s="7">
        <f>IFERROR(Table1_1[[#This Row],[Profit]]/Table1_1[[#This Row],[Net_Sale]],"")</f>
        <v>0.21291677605670789</v>
      </c>
      <c r="W1130" t="str">
        <f>TEXT(Table1_1[[#This Row],[Order_Date]],"mmm")</f>
        <v>Dec</v>
      </c>
    </row>
    <row r="1131" spans="1:23" x14ac:dyDescent="0.25">
      <c r="A1131" t="s">
        <v>1545</v>
      </c>
      <c r="B1131" t="s">
        <v>104</v>
      </c>
      <c r="C1131" s="6">
        <v>45800</v>
      </c>
      <c r="D1131" t="s">
        <v>67</v>
      </c>
      <c r="E1131" t="s">
        <v>68</v>
      </c>
      <c r="F1131" t="s">
        <v>37</v>
      </c>
      <c r="G1131" t="s">
        <v>38</v>
      </c>
      <c r="H1131">
        <v>4</v>
      </c>
      <c r="I1131">
        <v>1299</v>
      </c>
      <c r="J1131">
        <v>0.15</v>
      </c>
      <c r="K1131">
        <v>79</v>
      </c>
      <c r="L1131" t="s">
        <v>100</v>
      </c>
      <c r="M1131" t="s">
        <v>101</v>
      </c>
      <c r="N1131" t="s">
        <v>71</v>
      </c>
      <c r="O1131" t="s">
        <v>93</v>
      </c>
      <c r="P1131" t="s">
        <v>52</v>
      </c>
      <c r="Q1131">
        <v>5</v>
      </c>
      <c r="R1131">
        <f>IFERROR(Table1_1[[#This Row],[Unit_Price]]*Table1_1[[#This Row],[Quantity]],"")</f>
        <v>5196</v>
      </c>
      <c r="S1131">
        <f>IFERROR(Table1_1[[#This Row],[Gross_Sales]]*Table1_1[[#This Row],[Discount_%]],"")</f>
        <v>779.4</v>
      </c>
      <c r="T1131">
        <f>IFERROR(Table1_1[[#This Row],[Gross_Sales]]-Table1_1[[#This Row],[Discount_amount]]+Table1_1[[#This Row],[Shipping_Cost]],"")</f>
        <v>4495.6000000000004</v>
      </c>
      <c r="U1131">
        <f>IFERROR(Table1_1[[#This Row],[Net_Sale]]-(Table1_1[[#This Row],[Gross_Sales]]*70%),"")</f>
        <v>858.40000000000055</v>
      </c>
      <c r="V1131" s="7">
        <f>IFERROR(Table1_1[[#This Row],[Profit]]/Table1_1[[#This Row],[Net_Sale]],"")</f>
        <v>0.19094225464899023</v>
      </c>
      <c r="W1131" t="str">
        <f>TEXT(Table1_1[[#This Row],[Order_Date]],"mmm")</f>
        <v>May</v>
      </c>
    </row>
    <row r="1132" spans="1:23" x14ac:dyDescent="0.25">
      <c r="A1132" t="s">
        <v>1546</v>
      </c>
      <c r="B1132" t="s">
        <v>132</v>
      </c>
      <c r="C1132" s="6">
        <v>45845</v>
      </c>
      <c r="D1132" t="s">
        <v>96</v>
      </c>
      <c r="E1132" t="s">
        <v>97</v>
      </c>
      <c r="F1132" t="s">
        <v>98</v>
      </c>
      <c r="G1132" t="s">
        <v>99</v>
      </c>
      <c r="H1132">
        <v>1</v>
      </c>
      <c r="I1132">
        <v>1499</v>
      </c>
      <c r="J1132">
        <v>0.05</v>
      </c>
      <c r="K1132">
        <v>79</v>
      </c>
      <c r="L1132" t="s">
        <v>74</v>
      </c>
      <c r="M1132" t="s">
        <v>49</v>
      </c>
      <c r="N1132" t="s">
        <v>102</v>
      </c>
      <c r="O1132" t="s">
        <v>32</v>
      </c>
      <c r="P1132" t="s">
        <v>80</v>
      </c>
      <c r="Q1132">
        <v>2</v>
      </c>
      <c r="R1132">
        <f>IFERROR(Table1_1[[#This Row],[Unit_Price]]*Table1_1[[#This Row],[Quantity]],"")</f>
        <v>1499</v>
      </c>
      <c r="S1132">
        <f>IFERROR(Table1_1[[#This Row],[Gross_Sales]]*Table1_1[[#This Row],[Discount_%]],"")</f>
        <v>74.95</v>
      </c>
      <c r="T1132">
        <f>IFERROR(Table1_1[[#This Row],[Gross_Sales]]-Table1_1[[#This Row],[Discount_amount]]+Table1_1[[#This Row],[Shipping_Cost]],"")</f>
        <v>1503.05</v>
      </c>
      <c r="U1132">
        <f>IFERROR(Table1_1[[#This Row],[Net_Sale]]-(Table1_1[[#This Row],[Gross_Sales]]*70%),"")</f>
        <v>453.75</v>
      </c>
      <c r="V1132" s="7">
        <f>IFERROR(Table1_1[[#This Row],[Profit]]/Table1_1[[#This Row],[Net_Sale]],"")</f>
        <v>0.30188616479824359</v>
      </c>
      <c r="W1132" t="str">
        <f>TEXT(Table1_1[[#This Row],[Order_Date]],"mmm")</f>
        <v>Jul</v>
      </c>
    </row>
    <row r="1133" spans="1:23" x14ac:dyDescent="0.25">
      <c r="A1133" t="s">
        <v>1547</v>
      </c>
      <c r="B1133" t="s">
        <v>656</v>
      </c>
      <c r="C1133" s="6">
        <v>45663</v>
      </c>
      <c r="D1133" t="s">
        <v>96</v>
      </c>
      <c r="E1133" t="s">
        <v>97</v>
      </c>
      <c r="F1133" t="s">
        <v>98</v>
      </c>
      <c r="G1133" t="s">
        <v>99</v>
      </c>
      <c r="H1133">
        <v>1</v>
      </c>
      <c r="I1133">
        <v>1499</v>
      </c>
      <c r="J1133">
        <v>0.15</v>
      </c>
      <c r="K1133">
        <v>49</v>
      </c>
      <c r="L1133" t="s">
        <v>74</v>
      </c>
      <c r="M1133" t="s">
        <v>49</v>
      </c>
      <c r="N1133" t="s">
        <v>102</v>
      </c>
      <c r="O1133" t="s">
        <v>51</v>
      </c>
      <c r="P1133" t="s">
        <v>33</v>
      </c>
      <c r="Q1133">
        <v>3</v>
      </c>
      <c r="R1133">
        <f>IFERROR(Table1_1[[#This Row],[Unit_Price]]*Table1_1[[#This Row],[Quantity]],"")</f>
        <v>1499</v>
      </c>
      <c r="S1133">
        <f>IFERROR(Table1_1[[#This Row],[Gross_Sales]]*Table1_1[[#This Row],[Discount_%]],"")</f>
        <v>224.85</v>
      </c>
      <c r="T1133">
        <f>IFERROR(Table1_1[[#This Row],[Gross_Sales]]-Table1_1[[#This Row],[Discount_amount]]+Table1_1[[#This Row],[Shipping_Cost]],"")</f>
        <v>1323.15</v>
      </c>
      <c r="U1133">
        <f>IFERROR(Table1_1[[#This Row],[Net_Sale]]-(Table1_1[[#This Row],[Gross_Sales]]*70%),"")</f>
        <v>273.85000000000014</v>
      </c>
      <c r="V1133" s="7">
        <f>IFERROR(Table1_1[[#This Row],[Profit]]/Table1_1[[#This Row],[Net_Sale]],"")</f>
        <v>0.20696821977855884</v>
      </c>
      <c r="W1133" t="str">
        <f>TEXT(Table1_1[[#This Row],[Order_Date]],"mmm")</f>
        <v>Jan</v>
      </c>
    </row>
    <row r="1134" spans="1:23" x14ac:dyDescent="0.25">
      <c r="A1134" t="s">
        <v>1548</v>
      </c>
      <c r="B1134" t="s">
        <v>993</v>
      </c>
      <c r="C1134" s="6">
        <v>45915</v>
      </c>
      <c r="D1134" t="s">
        <v>55</v>
      </c>
      <c r="E1134" t="s">
        <v>56</v>
      </c>
      <c r="F1134" t="s">
        <v>37</v>
      </c>
      <c r="G1134" t="s">
        <v>38</v>
      </c>
      <c r="H1134">
        <v>4</v>
      </c>
      <c r="I1134">
        <v>2499</v>
      </c>
      <c r="J1134">
        <v>0</v>
      </c>
      <c r="K1134">
        <v>59</v>
      </c>
      <c r="L1134" t="s">
        <v>74</v>
      </c>
      <c r="M1134" t="s">
        <v>49</v>
      </c>
      <c r="N1134" t="s">
        <v>40</v>
      </c>
      <c r="O1134" t="s">
        <v>93</v>
      </c>
      <c r="P1134" t="s">
        <v>33</v>
      </c>
      <c r="Q1134">
        <v>3</v>
      </c>
      <c r="R1134">
        <f>IFERROR(Table1_1[[#This Row],[Unit_Price]]*Table1_1[[#This Row],[Quantity]],"")</f>
        <v>9996</v>
      </c>
      <c r="S1134">
        <f>IFERROR(Table1_1[[#This Row],[Gross_Sales]]*Table1_1[[#This Row],[Discount_%]],"")</f>
        <v>0</v>
      </c>
      <c r="T1134">
        <f>IFERROR(Table1_1[[#This Row],[Gross_Sales]]-Table1_1[[#This Row],[Discount_amount]]+Table1_1[[#This Row],[Shipping_Cost]],"")</f>
        <v>10055</v>
      </c>
      <c r="U1134">
        <f>IFERROR(Table1_1[[#This Row],[Net_Sale]]-(Table1_1[[#This Row],[Gross_Sales]]*70%),"")</f>
        <v>3057.8</v>
      </c>
      <c r="V1134" s="7">
        <f>IFERROR(Table1_1[[#This Row],[Profit]]/Table1_1[[#This Row],[Net_Sale]],"")</f>
        <v>0.30410740924912982</v>
      </c>
      <c r="W1134" t="str">
        <f>TEXT(Table1_1[[#This Row],[Order_Date]],"mmm")</f>
        <v>Sep</v>
      </c>
    </row>
    <row r="1135" spans="1:23" x14ac:dyDescent="0.25">
      <c r="A1135" t="s">
        <v>1549</v>
      </c>
      <c r="B1135" t="s">
        <v>1321</v>
      </c>
      <c r="C1135" s="6">
        <v>45687</v>
      </c>
      <c r="D1135" t="s">
        <v>77</v>
      </c>
      <c r="E1135" t="s">
        <v>78</v>
      </c>
      <c r="F1135" t="s">
        <v>79</v>
      </c>
      <c r="G1135" t="s">
        <v>28</v>
      </c>
      <c r="H1135">
        <v>1</v>
      </c>
      <c r="I1135">
        <v>6499</v>
      </c>
      <c r="J1135">
        <v>0.2</v>
      </c>
      <c r="K1135">
        <v>79</v>
      </c>
      <c r="L1135" t="s">
        <v>48</v>
      </c>
      <c r="M1135" t="s">
        <v>49</v>
      </c>
      <c r="N1135" t="s">
        <v>40</v>
      </c>
      <c r="O1135" t="s">
        <v>41</v>
      </c>
      <c r="P1135" t="s">
        <v>33</v>
      </c>
      <c r="Q1135">
        <v>4</v>
      </c>
      <c r="R1135">
        <f>IFERROR(Table1_1[[#This Row],[Unit_Price]]*Table1_1[[#This Row],[Quantity]],"")</f>
        <v>6499</v>
      </c>
      <c r="S1135">
        <f>IFERROR(Table1_1[[#This Row],[Gross_Sales]]*Table1_1[[#This Row],[Discount_%]],"")</f>
        <v>1299.8000000000002</v>
      </c>
      <c r="T1135">
        <f>IFERROR(Table1_1[[#This Row],[Gross_Sales]]-Table1_1[[#This Row],[Discount_amount]]+Table1_1[[#This Row],[Shipping_Cost]],"")</f>
        <v>5278.2</v>
      </c>
      <c r="U1135">
        <f>IFERROR(Table1_1[[#This Row],[Net_Sale]]-(Table1_1[[#This Row],[Gross_Sales]]*70%),"")</f>
        <v>728.90000000000055</v>
      </c>
      <c r="V1135" s="7">
        <f>IFERROR(Table1_1[[#This Row],[Profit]]/Table1_1[[#This Row],[Net_Sale]],"")</f>
        <v>0.13809632071539552</v>
      </c>
      <c r="W1135" t="str">
        <f>TEXT(Table1_1[[#This Row],[Order_Date]],"mmm")</f>
        <v>Jan</v>
      </c>
    </row>
    <row r="1136" spans="1:23" x14ac:dyDescent="0.25">
      <c r="A1136" t="s">
        <v>1550</v>
      </c>
      <c r="B1136" t="s">
        <v>181</v>
      </c>
      <c r="C1136" s="6">
        <v>45677</v>
      </c>
      <c r="D1136" t="s">
        <v>77</v>
      </c>
      <c r="E1136" t="s">
        <v>78</v>
      </c>
      <c r="F1136" t="s">
        <v>79</v>
      </c>
      <c r="G1136" t="s">
        <v>28</v>
      </c>
      <c r="H1136">
        <v>3</v>
      </c>
      <c r="I1136">
        <v>6499</v>
      </c>
      <c r="J1136">
        <v>0.2</v>
      </c>
      <c r="K1136">
        <v>49</v>
      </c>
      <c r="L1136" t="s">
        <v>83</v>
      </c>
      <c r="M1136" t="s">
        <v>84</v>
      </c>
      <c r="N1136" t="s">
        <v>50</v>
      </c>
      <c r="O1136" t="s">
        <v>93</v>
      </c>
      <c r="P1136" t="s">
        <v>85</v>
      </c>
      <c r="Q1136">
        <v>4</v>
      </c>
      <c r="R1136">
        <f>IFERROR(Table1_1[[#This Row],[Unit_Price]]*Table1_1[[#This Row],[Quantity]],"")</f>
        <v>19497</v>
      </c>
      <c r="S1136">
        <f>IFERROR(Table1_1[[#This Row],[Gross_Sales]]*Table1_1[[#This Row],[Discount_%]],"")</f>
        <v>3899.4</v>
      </c>
      <c r="T1136">
        <f>IFERROR(Table1_1[[#This Row],[Gross_Sales]]-Table1_1[[#This Row],[Discount_amount]]+Table1_1[[#This Row],[Shipping_Cost]],"")</f>
        <v>15646.6</v>
      </c>
      <c r="U1136">
        <f>IFERROR(Table1_1[[#This Row],[Net_Sale]]-(Table1_1[[#This Row],[Gross_Sales]]*70%),"")</f>
        <v>1998.7000000000007</v>
      </c>
      <c r="V1136" s="7">
        <f>IFERROR(Table1_1[[#This Row],[Profit]]/Table1_1[[#This Row],[Net_Sale]],"")</f>
        <v>0.12774021193102658</v>
      </c>
      <c r="W1136" t="str">
        <f>TEXT(Table1_1[[#This Row],[Order_Date]],"mmm")</f>
        <v>Jan</v>
      </c>
    </row>
    <row r="1137" spans="1:23" x14ac:dyDescent="0.25">
      <c r="A1137" t="s">
        <v>1551</v>
      </c>
      <c r="B1137" t="s">
        <v>409</v>
      </c>
      <c r="C1137" s="6">
        <v>46021</v>
      </c>
      <c r="D1137" t="s">
        <v>55</v>
      </c>
      <c r="E1137" t="s">
        <v>56</v>
      </c>
      <c r="F1137" t="s">
        <v>37</v>
      </c>
      <c r="G1137" t="s">
        <v>38</v>
      </c>
      <c r="H1137">
        <v>1</v>
      </c>
      <c r="I1137">
        <v>2499</v>
      </c>
      <c r="J1137">
        <v>0.15</v>
      </c>
      <c r="K1137">
        <v>59</v>
      </c>
      <c r="L1137" t="s">
        <v>39</v>
      </c>
      <c r="M1137" t="s">
        <v>39</v>
      </c>
      <c r="N1137" t="s">
        <v>102</v>
      </c>
      <c r="O1137" t="s">
        <v>93</v>
      </c>
      <c r="P1137" t="s">
        <v>33</v>
      </c>
      <c r="Q1137">
        <v>3</v>
      </c>
      <c r="R1137">
        <f>IFERROR(Table1_1[[#This Row],[Unit_Price]]*Table1_1[[#This Row],[Quantity]],"")</f>
        <v>2499</v>
      </c>
      <c r="S1137">
        <f>IFERROR(Table1_1[[#This Row],[Gross_Sales]]*Table1_1[[#This Row],[Discount_%]],"")</f>
        <v>374.84999999999997</v>
      </c>
      <c r="T1137">
        <f>IFERROR(Table1_1[[#This Row],[Gross_Sales]]-Table1_1[[#This Row],[Discount_amount]]+Table1_1[[#This Row],[Shipping_Cost]],"")</f>
        <v>2183.15</v>
      </c>
      <c r="U1137">
        <f>IFERROR(Table1_1[[#This Row],[Net_Sale]]-(Table1_1[[#This Row],[Gross_Sales]]*70%),"")</f>
        <v>433.85000000000014</v>
      </c>
      <c r="V1137" s="7">
        <f>IFERROR(Table1_1[[#This Row],[Profit]]/Table1_1[[#This Row],[Net_Sale]],"")</f>
        <v>0.19872661063142713</v>
      </c>
      <c r="W1137" t="str">
        <f>TEXT(Table1_1[[#This Row],[Order_Date]],"mmm")</f>
        <v>Dec</v>
      </c>
    </row>
    <row r="1138" spans="1:23" x14ac:dyDescent="0.25">
      <c r="A1138" t="s">
        <v>1552</v>
      </c>
      <c r="B1138" t="s">
        <v>128</v>
      </c>
      <c r="C1138" s="6">
        <v>45744</v>
      </c>
      <c r="D1138" t="s">
        <v>25</v>
      </c>
      <c r="E1138" t="s">
        <v>26</v>
      </c>
      <c r="F1138" t="s">
        <v>27</v>
      </c>
      <c r="G1138" t="s">
        <v>28</v>
      </c>
      <c r="H1138">
        <v>3</v>
      </c>
      <c r="I1138">
        <v>249</v>
      </c>
      <c r="J1138">
        <v>0.15</v>
      </c>
      <c r="K1138">
        <v>0</v>
      </c>
      <c r="L1138" t="s">
        <v>74</v>
      </c>
      <c r="M1138" t="s">
        <v>49</v>
      </c>
      <c r="N1138" t="s">
        <v>40</v>
      </c>
      <c r="O1138" t="s">
        <v>93</v>
      </c>
      <c r="P1138" t="s">
        <v>33</v>
      </c>
      <c r="Q1138">
        <v>1</v>
      </c>
      <c r="R1138">
        <f>IFERROR(Table1_1[[#This Row],[Unit_Price]]*Table1_1[[#This Row],[Quantity]],"")</f>
        <v>747</v>
      </c>
      <c r="S1138">
        <f>IFERROR(Table1_1[[#This Row],[Gross_Sales]]*Table1_1[[#This Row],[Discount_%]],"")</f>
        <v>112.05</v>
      </c>
      <c r="T1138">
        <f>IFERROR(Table1_1[[#This Row],[Gross_Sales]]-Table1_1[[#This Row],[Discount_amount]]+Table1_1[[#This Row],[Shipping_Cost]],"")</f>
        <v>634.95000000000005</v>
      </c>
      <c r="U1138">
        <f>IFERROR(Table1_1[[#This Row],[Net_Sale]]-(Table1_1[[#This Row],[Gross_Sales]]*70%),"")</f>
        <v>112.05000000000007</v>
      </c>
      <c r="V1138" s="7">
        <f>IFERROR(Table1_1[[#This Row],[Profit]]/Table1_1[[#This Row],[Net_Sale]],"")</f>
        <v>0.17647058823529421</v>
      </c>
      <c r="W1138" t="str">
        <f>TEXT(Table1_1[[#This Row],[Order_Date]],"mmm")</f>
        <v>Mar</v>
      </c>
    </row>
    <row r="1139" spans="1:23" x14ac:dyDescent="0.25">
      <c r="A1139" t="s">
        <v>1553</v>
      </c>
      <c r="B1139" t="s">
        <v>1120</v>
      </c>
      <c r="C1139" s="6">
        <v>45794</v>
      </c>
      <c r="D1139" t="s">
        <v>67</v>
      </c>
      <c r="E1139" t="s">
        <v>68</v>
      </c>
      <c r="F1139" t="s">
        <v>37</v>
      </c>
      <c r="G1139" t="s">
        <v>38</v>
      </c>
      <c r="H1139">
        <v>1</v>
      </c>
      <c r="I1139">
        <v>1299</v>
      </c>
      <c r="J1139">
        <v>0</v>
      </c>
      <c r="K1139">
        <v>59</v>
      </c>
      <c r="L1139" t="s">
        <v>83</v>
      </c>
      <c r="M1139" t="s">
        <v>84</v>
      </c>
      <c r="N1139" t="s">
        <v>102</v>
      </c>
      <c r="O1139" t="s">
        <v>59</v>
      </c>
      <c r="P1139" t="s">
        <v>52</v>
      </c>
      <c r="Q1139">
        <v>2</v>
      </c>
      <c r="R1139">
        <f>IFERROR(Table1_1[[#This Row],[Unit_Price]]*Table1_1[[#This Row],[Quantity]],"")</f>
        <v>1299</v>
      </c>
      <c r="S1139">
        <f>IFERROR(Table1_1[[#This Row],[Gross_Sales]]*Table1_1[[#This Row],[Discount_%]],"")</f>
        <v>0</v>
      </c>
      <c r="T1139">
        <f>IFERROR(Table1_1[[#This Row],[Gross_Sales]]-Table1_1[[#This Row],[Discount_amount]]+Table1_1[[#This Row],[Shipping_Cost]],"")</f>
        <v>1358</v>
      </c>
      <c r="U1139">
        <f>IFERROR(Table1_1[[#This Row],[Net_Sale]]-(Table1_1[[#This Row],[Gross_Sales]]*70%),"")</f>
        <v>448.70000000000005</v>
      </c>
      <c r="V1139" s="7">
        <f>IFERROR(Table1_1[[#This Row],[Profit]]/Table1_1[[#This Row],[Net_Sale]],"")</f>
        <v>0.33041237113402067</v>
      </c>
      <c r="W1139" t="str">
        <f>TEXT(Table1_1[[#This Row],[Order_Date]],"mmm")</f>
        <v>May</v>
      </c>
    </row>
    <row r="1140" spans="1:23" x14ac:dyDescent="0.25">
      <c r="A1140" t="s">
        <v>1554</v>
      </c>
      <c r="B1140" t="s">
        <v>1249</v>
      </c>
      <c r="C1140" s="6">
        <v>45945</v>
      </c>
      <c r="D1140" t="s">
        <v>25</v>
      </c>
      <c r="E1140" t="s">
        <v>26</v>
      </c>
      <c r="F1140" t="s">
        <v>27</v>
      </c>
      <c r="G1140" t="s">
        <v>28</v>
      </c>
      <c r="H1140">
        <v>1</v>
      </c>
      <c r="I1140">
        <v>249</v>
      </c>
      <c r="J1140">
        <v>0.1</v>
      </c>
      <c r="K1140">
        <v>99</v>
      </c>
      <c r="L1140" t="s">
        <v>39</v>
      </c>
      <c r="M1140" t="s">
        <v>39</v>
      </c>
      <c r="N1140" t="s">
        <v>102</v>
      </c>
      <c r="O1140" t="s">
        <v>59</v>
      </c>
      <c r="P1140" t="s">
        <v>33</v>
      </c>
      <c r="Q1140">
        <v>1</v>
      </c>
      <c r="R1140">
        <f>IFERROR(Table1_1[[#This Row],[Unit_Price]]*Table1_1[[#This Row],[Quantity]],"")</f>
        <v>249</v>
      </c>
      <c r="S1140">
        <f>IFERROR(Table1_1[[#This Row],[Gross_Sales]]*Table1_1[[#This Row],[Discount_%]],"")</f>
        <v>24.900000000000002</v>
      </c>
      <c r="T1140">
        <f>IFERROR(Table1_1[[#This Row],[Gross_Sales]]-Table1_1[[#This Row],[Discount_amount]]+Table1_1[[#This Row],[Shipping_Cost]],"")</f>
        <v>323.10000000000002</v>
      </c>
      <c r="U1140">
        <f>IFERROR(Table1_1[[#This Row],[Net_Sale]]-(Table1_1[[#This Row],[Gross_Sales]]*70%),"")</f>
        <v>148.80000000000004</v>
      </c>
      <c r="V1140" s="7">
        <f>IFERROR(Table1_1[[#This Row],[Profit]]/Table1_1[[#This Row],[Net_Sale]],"")</f>
        <v>0.46053853296193137</v>
      </c>
      <c r="W1140" t="str">
        <f>TEXT(Table1_1[[#This Row],[Order_Date]],"mmm")</f>
        <v>Oct</v>
      </c>
    </row>
    <row r="1141" spans="1:23" x14ac:dyDescent="0.25">
      <c r="A1141" t="s">
        <v>1555</v>
      </c>
      <c r="B1141" t="s">
        <v>497</v>
      </c>
      <c r="C1141" s="6">
        <v>45702</v>
      </c>
      <c r="D1141" t="s">
        <v>55</v>
      </c>
      <c r="E1141" t="s">
        <v>56</v>
      </c>
      <c r="F1141" t="s">
        <v>37</v>
      </c>
      <c r="G1141" t="s">
        <v>38</v>
      </c>
      <c r="H1141">
        <v>1</v>
      </c>
      <c r="I1141">
        <v>2499</v>
      </c>
      <c r="J1141">
        <v>0.2</v>
      </c>
      <c r="K1141">
        <v>0</v>
      </c>
      <c r="L1141" t="s">
        <v>29</v>
      </c>
      <c r="M1141" t="s">
        <v>30</v>
      </c>
      <c r="N1141" t="s">
        <v>31</v>
      </c>
      <c r="O1141" t="s">
        <v>41</v>
      </c>
      <c r="P1141" t="s">
        <v>85</v>
      </c>
      <c r="Q1141">
        <v>3</v>
      </c>
      <c r="R1141">
        <f>IFERROR(Table1_1[[#This Row],[Unit_Price]]*Table1_1[[#This Row],[Quantity]],"")</f>
        <v>2499</v>
      </c>
      <c r="S1141">
        <f>IFERROR(Table1_1[[#This Row],[Gross_Sales]]*Table1_1[[#This Row],[Discount_%]],"")</f>
        <v>499.8</v>
      </c>
      <c r="T1141">
        <f>IFERROR(Table1_1[[#This Row],[Gross_Sales]]-Table1_1[[#This Row],[Discount_amount]]+Table1_1[[#This Row],[Shipping_Cost]],"")</f>
        <v>1999.2</v>
      </c>
      <c r="U1141">
        <f>IFERROR(Table1_1[[#This Row],[Net_Sale]]-(Table1_1[[#This Row],[Gross_Sales]]*70%),"")</f>
        <v>249.90000000000009</v>
      </c>
      <c r="V1141" s="7">
        <f>IFERROR(Table1_1[[#This Row],[Profit]]/Table1_1[[#This Row],[Net_Sale]],"")</f>
        <v>0.12500000000000006</v>
      </c>
      <c r="W1141" t="str">
        <f>TEXT(Table1_1[[#This Row],[Order_Date]],"mmm")</f>
        <v>Feb</v>
      </c>
    </row>
    <row r="1142" spans="1:23" x14ac:dyDescent="0.25">
      <c r="A1142" t="s">
        <v>1556</v>
      </c>
      <c r="B1142" t="s">
        <v>697</v>
      </c>
      <c r="C1142" s="6">
        <v>45784</v>
      </c>
      <c r="D1142" t="s">
        <v>169</v>
      </c>
      <c r="E1142" t="s">
        <v>170</v>
      </c>
      <c r="F1142" t="s">
        <v>98</v>
      </c>
      <c r="G1142" t="s">
        <v>171</v>
      </c>
      <c r="H1142">
        <v>1</v>
      </c>
      <c r="I1142">
        <v>799</v>
      </c>
      <c r="J1142">
        <v>0.2</v>
      </c>
      <c r="K1142">
        <v>49</v>
      </c>
      <c r="L1142" t="s">
        <v>119</v>
      </c>
      <c r="M1142" t="s">
        <v>120</v>
      </c>
      <c r="N1142" t="s">
        <v>71</v>
      </c>
      <c r="O1142" t="s">
        <v>93</v>
      </c>
      <c r="P1142" t="s">
        <v>80</v>
      </c>
      <c r="Q1142">
        <v>4</v>
      </c>
      <c r="R1142">
        <f>IFERROR(Table1_1[[#This Row],[Unit_Price]]*Table1_1[[#This Row],[Quantity]],"")</f>
        <v>799</v>
      </c>
      <c r="S1142">
        <f>IFERROR(Table1_1[[#This Row],[Gross_Sales]]*Table1_1[[#This Row],[Discount_%]],"")</f>
        <v>159.80000000000001</v>
      </c>
      <c r="T1142">
        <f>IFERROR(Table1_1[[#This Row],[Gross_Sales]]-Table1_1[[#This Row],[Discount_amount]]+Table1_1[[#This Row],[Shipping_Cost]],"")</f>
        <v>688.2</v>
      </c>
      <c r="U1142">
        <f>IFERROR(Table1_1[[#This Row],[Net_Sale]]-(Table1_1[[#This Row],[Gross_Sales]]*70%),"")</f>
        <v>128.90000000000009</v>
      </c>
      <c r="V1142" s="7">
        <f>IFERROR(Table1_1[[#This Row],[Profit]]/Table1_1[[#This Row],[Net_Sale]],"")</f>
        <v>0.18730020342923581</v>
      </c>
      <c r="W1142" t="str">
        <f>TEXT(Table1_1[[#This Row],[Order_Date]],"mmm")</f>
        <v>May</v>
      </c>
    </row>
    <row r="1143" spans="1:23" x14ac:dyDescent="0.25">
      <c r="A1143" t="s">
        <v>1557</v>
      </c>
      <c r="B1143" t="s">
        <v>315</v>
      </c>
      <c r="C1143" s="6">
        <v>45729</v>
      </c>
      <c r="D1143" t="s">
        <v>77</v>
      </c>
      <c r="E1143" t="s">
        <v>78</v>
      </c>
      <c r="F1143" t="s">
        <v>79</v>
      </c>
      <c r="G1143" t="s">
        <v>28</v>
      </c>
      <c r="H1143">
        <v>1</v>
      </c>
      <c r="I1143">
        <v>6499</v>
      </c>
      <c r="J1143">
        <v>0</v>
      </c>
      <c r="K1143">
        <v>49</v>
      </c>
      <c r="L1143" t="s">
        <v>48</v>
      </c>
      <c r="M1143" t="s">
        <v>49</v>
      </c>
      <c r="N1143" t="s">
        <v>50</v>
      </c>
      <c r="O1143" t="s">
        <v>41</v>
      </c>
      <c r="P1143" t="s">
        <v>52</v>
      </c>
      <c r="Q1143">
        <v>3</v>
      </c>
      <c r="R1143">
        <f>IFERROR(Table1_1[[#This Row],[Unit_Price]]*Table1_1[[#This Row],[Quantity]],"")</f>
        <v>6499</v>
      </c>
      <c r="S1143">
        <f>IFERROR(Table1_1[[#This Row],[Gross_Sales]]*Table1_1[[#This Row],[Discount_%]],"")</f>
        <v>0</v>
      </c>
      <c r="T1143">
        <f>IFERROR(Table1_1[[#This Row],[Gross_Sales]]-Table1_1[[#This Row],[Discount_amount]]+Table1_1[[#This Row],[Shipping_Cost]],"")</f>
        <v>6548</v>
      </c>
      <c r="U1143">
        <f>IFERROR(Table1_1[[#This Row],[Net_Sale]]-(Table1_1[[#This Row],[Gross_Sales]]*70%),"")</f>
        <v>1998.7000000000007</v>
      </c>
      <c r="V1143" s="7">
        <f>IFERROR(Table1_1[[#This Row],[Profit]]/Table1_1[[#This Row],[Net_Sale]],"")</f>
        <v>0.30523824068417849</v>
      </c>
      <c r="W1143" t="str">
        <f>TEXT(Table1_1[[#This Row],[Order_Date]],"mmm")</f>
        <v>Mar</v>
      </c>
    </row>
    <row r="1144" spans="1:23" x14ac:dyDescent="0.25">
      <c r="A1144" t="s">
        <v>1558</v>
      </c>
      <c r="B1144" t="s">
        <v>464</v>
      </c>
      <c r="C1144" s="6">
        <v>45908</v>
      </c>
      <c r="D1144" t="s">
        <v>110</v>
      </c>
      <c r="E1144" t="s">
        <v>111</v>
      </c>
      <c r="F1144" t="s">
        <v>98</v>
      </c>
      <c r="G1144" t="s">
        <v>112</v>
      </c>
      <c r="H1144">
        <v>1</v>
      </c>
      <c r="I1144">
        <v>2999</v>
      </c>
      <c r="J1144">
        <v>0.05</v>
      </c>
      <c r="K1144">
        <v>99</v>
      </c>
      <c r="L1144" t="s">
        <v>119</v>
      </c>
      <c r="M1144" t="s">
        <v>120</v>
      </c>
      <c r="N1144" t="s">
        <v>50</v>
      </c>
      <c r="O1144" t="s">
        <v>93</v>
      </c>
      <c r="P1144" t="s">
        <v>33</v>
      </c>
      <c r="Q1144">
        <v>3</v>
      </c>
      <c r="R1144">
        <f>IFERROR(Table1_1[[#This Row],[Unit_Price]]*Table1_1[[#This Row],[Quantity]],"")</f>
        <v>2999</v>
      </c>
      <c r="S1144">
        <f>IFERROR(Table1_1[[#This Row],[Gross_Sales]]*Table1_1[[#This Row],[Discount_%]],"")</f>
        <v>149.95000000000002</v>
      </c>
      <c r="T1144">
        <f>IFERROR(Table1_1[[#This Row],[Gross_Sales]]-Table1_1[[#This Row],[Discount_amount]]+Table1_1[[#This Row],[Shipping_Cost]],"")</f>
        <v>2948.05</v>
      </c>
      <c r="U1144">
        <f>IFERROR(Table1_1[[#This Row],[Net_Sale]]-(Table1_1[[#This Row],[Gross_Sales]]*70%),"")</f>
        <v>848.75000000000045</v>
      </c>
      <c r="V1144" s="7">
        <f>IFERROR(Table1_1[[#This Row],[Profit]]/Table1_1[[#This Row],[Net_Sale]],"")</f>
        <v>0.28790217262258117</v>
      </c>
      <c r="W1144" t="str">
        <f>TEXT(Table1_1[[#This Row],[Order_Date]],"mmm")</f>
        <v>Sep</v>
      </c>
    </row>
    <row r="1145" spans="1:23" x14ac:dyDescent="0.25">
      <c r="A1145" t="s">
        <v>1559</v>
      </c>
      <c r="B1145" t="s">
        <v>809</v>
      </c>
      <c r="C1145" s="6">
        <v>45949</v>
      </c>
      <c r="D1145" t="s">
        <v>44</v>
      </c>
      <c r="E1145" t="s">
        <v>45</v>
      </c>
      <c r="F1145" t="s">
        <v>46</v>
      </c>
      <c r="G1145" t="s">
        <v>47</v>
      </c>
      <c r="H1145">
        <v>1</v>
      </c>
      <c r="I1145">
        <v>1199</v>
      </c>
      <c r="J1145">
        <v>0.05</v>
      </c>
      <c r="K1145">
        <v>59</v>
      </c>
      <c r="L1145" t="s">
        <v>57</v>
      </c>
      <c r="M1145" t="s">
        <v>58</v>
      </c>
      <c r="N1145" t="s">
        <v>71</v>
      </c>
      <c r="O1145" t="s">
        <v>32</v>
      </c>
      <c r="P1145" t="s">
        <v>52</v>
      </c>
      <c r="Q1145">
        <v>5</v>
      </c>
      <c r="R1145">
        <f>IFERROR(Table1_1[[#This Row],[Unit_Price]]*Table1_1[[#This Row],[Quantity]],"")</f>
        <v>1199</v>
      </c>
      <c r="S1145">
        <f>IFERROR(Table1_1[[#This Row],[Gross_Sales]]*Table1_1[[#This Row],[Discount_%]],"")</f>
        <v>59.95</v>
      </c>
      <c r="T1145">
        <f>IFERROR(Table1_1[[#This Row],[Gross_Sales]]-Table1_1[[#This Row],[Discount_amount]]+Table1_1[[#This Row],[Shipping_Cost]],"")</f>
        <v>1198.05</v>
      </c>
      <c r="U1145">
        <f>IFERROR(Table1_1[[#This Row],[Net_Sale]]-(Table1_1[[#This Row],[Gross_Sales]]*70%),"")</f>
        <v>358.75</v>
      </c>
      <c r="V1145" s="7">
        <f>IFERROR(Table1_1[[#This Row],[Profit]]/Table1_1[[#This Row],[Net_Sale]],"")</f>
        <v>0.29944493134677186</v>
      </c>
      <c r="W1145" t="str">
        <f>TEXT(Table1_1[[#This Row],[Order_Date]],"mmm")</f>
        <v>Oct</v>
      </c>
    </row>
    <row r="1146" spans="1:23" x14ac:dyDescent="0.25">
      <c r="A1146" t="s">
        <v>1560</v>
      </c>
      <c r="B1146" t="s">
        <v>162</v>
      </c>
      <c r="C1146" s="6">
        <v>45765</v>
      </c>
      <c r="D1146" t="s">
        <v>77</v>
      </c>
      <c r="E1146" t="s">
        <v>78</v>
      </c>
      <c r="F1146" t="s">
        <v>79</v>
      </c>
      <c r="G1146" t="s">
        <v>28</v>
      </c>
      <c r="H1146">
        <v>1</v>
      </c>
      <c r="I1146">
        <v>6499</v>
      </c>
      <c r="J1146">
        <v>0.05</v>
      </c>
      <c r="K1146">
        <v>0</v>
      </c>
      <c r="L1146" t="s">
        <v>48</v>
      </c>
      <c r="M1146" t="s">
        <v>49</v>
      </c>
      <c r="N1146" t="s">
        <v>102</v>
      </c>
      <c r="O1146" t="s">
        <v>41</v>
      </c>
      <c r="P1146" t="s">
        <v>52</v>
      </c>
      <c r="Q1146">
        <v>4</v>
      </c>
      <c r="R1146">
        <f>IFERROR(Table1_1[[#This Row],[Unit_Price]]*Table1_1[[#This Row],[Quantity]],"")</f>
        <v>6499</v>
      </c>
      <c r="S1146">
        <f>IFERROR(Table1_1[[#This Row],[Gross_Sales]]*Table1_1[[#This Row],[Discount_%]],"")</f>
        <v>324.95000000000005</v>
      </c>
      <c r="T1146">
        <f>IFERROR(Table1_1[[#This Row],[Gross_Sales]]-Table1_1[[#This Row],[Discount_amount]]+Table1_1[[#This Row],[Shipping_Cost]],"")</f>
        <v>6174.05</v>
      </c>
      <c r="U1146">
        <f>IFERROR(Table1_1[[#This Row],[Net_Sale]]-(Table1_1[[#This Row],[Gross_Sales]]*70%),"")</f>
        <v>1624.7500000000009</v>
      </c>
      <c r="V1146" s="7">
        <f>IFERROR(Table1_1[[#This Row],[Profit]]/Table1_1[[#This Row],[Net_Sale]],"")</f>
        <v>0.26315789473684226</v>
      </c>
      <c r="W1146" t="str">
        <f>TEXT(Table1_1[[#This Row],[Order_Date]],"mmm")</f>
        <v>Apr</v>
      </c>
    </row>
    <row r="1147" spans="1:23" x14ac:dyDescent="0.25">
      <c r="A1147" t="s">
        <v>1561</v>
      </c>
      <c r="B1147" t="s">
        <v>937</v>
      </c>
      <c r="C1147" s="6">
        <v>45848</v>
      </c>
      <c r="D1147" t="s">
        <v>105</v>
      </c>
      <c r="E1147" t="s">
        <v>106</v>
      </c>
      <c r="F1147" t="s">
        <v>37</v>
      </c>
      <c r="G1147" t="s">
        <v>107</v>
      </c>
      <c r="H1147">
        <v>2</v>
      </c>
      <c r="I1147">
        <v>1799</v>
      </c>
      <c r="J1147">
        <v>0.15</v>
      </c>
      <c r="K1147">
        <v>0</v>
      </c>
      <c r="L1147" t="s">
        <v>119</v>
      </c>
      <c r="M1147" t="s">
        <v>120</v>
      </c>
      <c r="N1147" t="s">
        <v>31</v>
      </c>
      <c r="O1147" t="s">
        <v>51</v>
      </c>
      <c r="P1147" t="s">
        <v>80</v>
      </c>
      <c r="Q1147">
        <v>3</v>
      </c>
      <c r="R1147">
        <f>IFERROR(Table1_1[[#This Row],[Unit_Price]]*Table1_1[[#This Row],[Quantity]],"")</f>
        <v>3598</v>
      </c>
      <c r="S1147">
        <f>IFERROR(Table1_1[[#This Row],[Gross_Sales]]*Table1_1[[#This Row],[Discount_%]],"")</f>
        <v>539.69999999999993</v>
      </c>
      <c r="T1147">
        <f>IFERROR(Table1_1[[#This Row],[Gross_Sales]]-Table1_1[[#This Row],[Discount_amount]]+Table1_1[[#This Row],[Shipping_Cost]],"")</f>
        <v>3058.3</v>
      </c>
      <c r="U1147">
        <f>IFERROR(Table1_1[[#This Row],[Net_Sale]]-(Table1_1[[#This Row],[Gross_Sales]]*70%),"")</f>
        <v>539.70000000000027</v>
      </c>
      <c r="V1147" s="7">
        <f>IFERROR(Table1_1[[#This Row],[Profit]]/Table1_1[[#This Row],[Net_Sale]],"")</f>
        <v>0.17647058823529418</v>
      </c>
      <c r="W1147" t="str">
        <f>TEXT(Table1_1[[#This Row],[Order_Date]],"mmm")</f>
        <v>Jul</v>
      </c>
    </row>
    <row r="1148" spans="1:23" x14ac:dyDescent="0.25">
      <c r="A1148" t="s">
        <v>1562</v>
      </c>
      <c r="B1148" t="s">
        <v>220</v>
      </c>
      <c r="C1148" s="6">
        <v>45829</v>
      </c>
      <c r="D1148" t="s">
        <v>35</v>
      </c>
      <c r="E1148" t="s">
        <v>36</v>
      </c>
      <c r="F1148" t="s">
        <v>37</v>
      </c>
      <c r="G1148" t="s">
        <v>38</v>
      </c>
      <c r="H1148">
        <v>1</v>
      </c>
      <c r="I1148">
        <v>599</v>
      </c>
      <c r="J1148">
        <v>0</v>
      </c>
      <c r="K1148">
        <v>59</v>
      </c>
      <c r="L1148" t="s">
        <v>100</v>
      </c>
      <c r="M1148" t="s">
        <v>101</v>
      </c>
      <c r="N1148" t="s">
        <v>50</v>
      </c>
      <c r="O1148" t="s">
        <v>59</v>
      </c>
      <c r="P1148" t="s">
        <v>33</v>
      </c>
      <c r="Q1148">
        <v>5</v>
      </c>
      <c r="R1148">
        <f>IFERROR(Table1_1[[#This Row],[Unit_Price]]*Table1_1[[#This Row],[Quantity]],"")</f>
        <v>599</v>
      </c>
      <c r="S1148">
        <f>IFERROR(Table1_1[[#This Row],[Gross_Sales]]*Table1_1[[#This Row],[Discount_%]],"")</f>
        <v>0</v>
      </c>
      <c r="T1148">
        <f>IFERROR(Table1_1[[#This Row],[Gross_Sales]]-Table1_1[[#This Row],[Discount_amount]]+Table1_1[[#This Row],[Shipping_Cost]],"")</f>
        <v>658</v>
      </c>
      <c r="U1148">
        <f>IFERROR(Table1_1[[#This Row],[Net_Sale]]-(Table1_1[[#This Row],[Gross_Sales]]*70%),"")</f>
        <v>238.70000000000005</v>
      </c>
      <c r="V1148" s="7">
        <f>IFERROR(Table1_1[[#This Row],[Profit]]/Table1_1[[#This Row],[Net_Sale]],"")</f>
        <v>0.36276595744680856</v>
      </c>
      <c r="W1148" t="str">
        <f>TEXT(Table1_1[[#This Row],[Order_Date]],"mmm")</f>
        <v>Jun</v>
      </c>
    </row>
    <row r="1149" spans="1:23" x14ac:dyDescent="0.25">
      <c r="A1149" t="s">
        <v>1563</v>
      </c>
      <c r="B1149" t="s">
        <v>1534</v>
      </c>
      <c r="C1149" s="6">
        <v>45973</v>
      </c>
      <c r="D1149" t="s">
        <v>105</v>
      </c>
      <c r="E1149" t="s">
        <v>106</v>
      </c>
      <c r="F1149" t="s">
        <v>37</v>
      </c>
      <c r="G1149" t="s">
        <v>107</v>
      </c>
      <c r="H1149">
        <v>1</v>
      </c>
      <c r="I1149">
        <v>1799</v>
      </c>
      <c r="J1149">
        <v>0.2</v>
      </c>
      <c r="K1149">
        <v>79</v>
      </c>
      <c r="L1149" t="s">
        <v>39</v>
      </c>
      <c r="M1149" t="s">
        <v>39</v>
      </c>
      <c r="N1149" t="s">
        <v>40</v>
      </c>
      <c r="O1149" t="s">
        <v>41</v>
      </c>
      <c r="P1149" t="s">
        <v>85</v>
      </c>
      <c r="Q1149">
        <v>3</v>
      </c>
      <c r="R1149">
        <f>IFERROR(Table1_1[[#This Row],[Unit_Price]]*Table1_1[[#This Row],[Quantity]],"")</f>
        <v>1799</v>
      </c>
      <c r="S1149">
        <f>IFERROR(Table1_1[[#This Row],[Gross_Sales]]*Table1_1[[#This Row],[Discount_%]],"")</f>
        <v>359.8</v>
      </c>
      <c r="T1149">
        <f>IFERROR(Table1_1[[#This Row],[Gross_Sales]]-Table1_1[[#This Row],[Discount_amount]]+Table1_1[[#This Row],[Shipping_Cost]],"")</f>
        <v>1518.2</v>
      </c>
      <c r="U1149">
        <f>IFERROR(Table1_1[[#This Row],[Net_Sale]]-(Table1_1[[#This Row],[Gross_Sales]]*70%),"")</f>
        <v>258.90000000000009</v>
      </c>
      <c r="V1149" s="7">
        <f>IFERROR(Table1_1[[#This Row],[Profit]]/Table1_1[[#This Row],[Net_Sale]],"")</f>
        <v>0.17053089184560669</v>
      </c>
      <c r="W1149" t="str">
        <f>TEXT(Table1_1[[#This Row],[Order_Date]],"mmm")</f>
        <v>Nov</v>
      </c>
    </row>
    <row r="1150" spans="1:23" x14ac:dyDescent="0.25">
      <c r="A1150" t="s">
        <v>1564</v>
      </c>
      <c r="B1150" t="s">
        <v>555</v>
      </c>
      <c r="C1150" s="6">
        <v>45905</v>
      </c>
      <c r="D1150" t="s">
        <v>77</v>
      </c>
      <c r="E1150" t="s">
        <v>78</v>
      </c>
      <c r="F1150" t="s">
        <v>79</v>
      </c>
      <c r="G1150" t="s">
        <v>28</v>
      </c>
      <c r="H1150">
        <v>2</v>
      </c>
      <c r="I1150">
        <v>6499</v>
      </c>
      <c r="J1150">
        <v>0</v>
      </c>
      <c r="K1150">
        <v>49</v>
      </c>
      <c r="L1150" t="s">
        <v>74</v>
      </c>
      <c r="M1150" t="s">
        <v>49</v>
      </c>
      <c r="N1150" t="s">
        <v>31</v>
      </c>
      <c r="O1150" t="s">
        <v>59</v>
      </c>
      <c r="P1150" t="s">
        <v>33</v>
      </c>
      <c r="Q1150">
        <v>4</v>
      </c>
      <c r="R1150">
        <f>IFERROR(Table1_1[[#This Row],[Unit_Price]]*Table1_1[[#This Row],[Quantity]],"")</f>
        <v>12998</v>
      </c>
      <c r="S1150">
        <f>IFERROR(Table1_1[[#This Row],[Gross_Sales]]*Table1_1[[#This Row],[Discount_%]],"")</f>
        <v>0</v>
      </c>
      <c r="T1150">
        <f>IFERROR(Table1_1[[#This Row],[Gross_Sales]]-Table1_1[[#This Row],[Discount_amount]]+Table1_1[[#This Row],[Shipping_Cost]],"")</f>
        <v>13047</v>
      </c>
      <c r="U1150">
        <f>IFERROR(Table1_1[[#This Row],[Net_Sale]]-(Table1_1[[#This Row],[Gross_Sales]]*70%),"")</f>
        <v>3948.4000000000015</v>
      </c>
      <c r="V1150" s="7">
        <f>IFERROR(Table1_1[[#This Row],[Profit]]/Table1_1[[#This Row],[Net_Sale]],"")</f>
        <v>0.30262895684831775</v>
      </c>
      <c r="W1150" t="str">
        <f>TEXT(Table1_1[[#This Row],[Order_Date]],"mmm")</f>
        <v>Sep</v>
      </c>
    </row>
    <row r="1151" spans="1:23" x14ac:dyDescent="0.25">
      <c r="A1151" t="s">
        <v>1565</v>
      </c>
      <c r="B1151" t="s">
        <v>364</v>
      </c>
      <c r="C1151" s="6">
        <v>45672</v>
      </c>
      <c r="D1151" t="s">
        <v>110</v>
      </c>
      <c r="E1151" t="s">
        <v>111</v>
      </c>
      <c r="F1151" t="s">
        <v>98</v>
      </c>
      <c r="G1151" t="s">
        <v>112</v>
      </c>
      <c r="H1151">
        <v>1</v>
      </c>
      <c r="I1151">
        <v>2999</v>
      </c>
      <c r="J1151">
        <v>0.05</v>
      </c>
      <c r="K1151">
        <v>99</v>
      </c>
      <c r="L1151" t="s">
        <v>125</v>
      </c>
      <c r="M1151" t="s">
        <v>126</v>
      </c>
      <c r="N1151" t="s">
        <v>50</v>
      </c>
      <c r="O1151" t="s">
        <v>32</v>
      </c>
      <c r="P1151" t="s">
        <v>33</v>
      </c>
      <c r="Q1151">
        <v>3</v>
      </c>
      <c r="R1151">
        <f>IFERROR(Table1_1[[#This Row],[Unit_Price]]*Table1_1[[#This Row],[Quantity]],"")</f>
        <v>2999</v>
      </c>
      <c r="S1151">
        <f>IFERROR(Table1_1[[#This Row],[Gross_Sales]]*Table1_1[[#This Row],[Discount_%]],"")</f>
        <v>149.95000000000002</v>
      </c>
      <c r="T1151">
        <f>IFERROR(Table1_1[[#This Row],[Gross_Sales]]-Table1_1[[#This Row],[Discount_amount]]+Table1_1[[#This Row],[Shipping_Cost]],"")</f>
        <v>2948.05</v>
      </c>
      <c r="U1151">
        <f>IFERROR(Table1_1[[#This Row],[Net_Sale]]-(Table1_1[[#This Row],[Gross_Sales]]*70%),"")</f>
        <v>848.75000000000045</v>
      </c>
      <c r="V1151" s="7">
        <f>IFERROR(Table1_1[[#This Row],[Profit]]/Table1_1[[#This Row],[Net_Sale]],"")</f>
        <v>0.28790217262258117</v>
      </c>
      <c r="W1151" t="str">
        <f>TEXT(Table1_1[[#This Row],[Order_Date]],"mmm")</f>
        <v>Jan</v>
      </c>
    </row>
    <row r="1152" spans="1:23" x14ac:dyDescent="0.25">
      <c r="A1152" t="s">
        <v>1566</v>
      </c>
      <c r="B1152" t="s">
        <v>500</v>
      </c>
      <c r="C1152" s="6">
        <v>45685</v>
      </c>
      <c r="D1152" t="s">
        <v>105</v>
      </c>
      <c r="E1152" t="s">
        <v>106</v>
      </c>
      <c r="F1152" t="s">
        <v>37</v>
      </c>
      <c r="G1152" t="s">
        <v>107</v>
      </c>
      <c r="H1152">
        <v>2</v>
      </c>
      <c r="I1152">
        <v>1799</v>
      </c>
      <c r="J1152">
        <v>0.05</v>
      </c>
      <c r="K1152">
        <v>79</v>
      </c>
      <c r="L1152" t="s">
        <v>100</v>
      </c>
      <c r="M1152" t="s">
        <v>101</v>
      </c>
      <c r="N1152" t="s">
        <v>50</v>
      </c>
      <c r="O1152" t="s">
        <v>59</v>
      </c>
      <c r="P1152" t="s">
        <v>33</v>
      </c>
      <c r="Q1152">
        <v>1</v>
      </c>
      <c r="R1152">
        <f>IFERROR(Table1_1[[#This Row],[Unit_Price]]*Table1_1[[#This Row],[Quantity]],"")</f>
        <v>3598</v>
      </c>
      <c r="S1152">
        <f>IFERROR(Table1_1[[#This Row],[Gross_Sales]]*Table1_1[[#This Row],[Discount_%]],"")</f>
        <v>179.9</v>
      </c>
      <c r="T1152">
        <f>IFERROR(Table1_1[[#This Row],[Gross_Sales]]-Table1_1[[#This Row],[Discount_amount]]+Table1_1[[#This Row],[Shipping_Cost]],"")</f>
        <v>3497.1</v>
      </c>
      <c r="U1152">
        <f>IFERROR(Table1_1[[#This Row],[Net_Sale]]-(Table1_1[[#This Row],[Gross_Sales]]*70%),"")</f>
        <v>978.5</v>
      </c>
      <c r="V1152" s="7">
        <f>IFERROR(Table1_1[[#This Row],[Profit]]/Table1_1[[#This Row],[Net_Sale]],"")</f>
        <v>0.27980326556289498</v>
      </c>
      <c r="W1152" t="str">
        <f>TEXT(Table1_1[[#This Row],[Order_Date]],"mmm")</f>
        <v>Jan</v>
      </c>
    </row>
    <row r="1153" spans="1:23" x14ac:dyDescent="0.25">
      <c r="A1153" t="s">
        <v>1567</v>
      </c>
      <c r="B1153" t="s">
        <v>470</v>
      </c>
      <c r="C1153" s="6">
        <v>45746</v>
      </c>
      <c r="D1153" t="s">
        <v>25</v>
      </c>
      <c r="E1153" t="s">
        <v>26</v>
      </c>
      <c r="F1153" t="s">
        <v>27</v>
      </c>
      <c r="G1153" t="s">
        <v>28</v>
      </c>
      <c r="H1153">
        <v>1</v>
      </c>
      <c r="I1153">
        <v>249</v>
      </c>
      <c r="J1153">
        <v>0</v>
      </c>
      <c r="K1153">
        <v>49</v>
      </c>
      <c r="L1153" t="s">
        <v>100</v>
      </c>
      <c r="M1153" t="s">
        <v>101</v>
      </c>
      <c r="N1153" t="s">
        <v>40</v>
      </c>
      <c r="O1153" t="s">
        <v>93</v>
      </c>
      <c r="P1153" t="s">
        <v>33</v>
      </c>
      <c r="Q1153">
        <v>3</v>
      </c>
      <c r="R1153">
        <f>IFERROR(Table1_1[[#This Row],[Unit_Price]]*Table1_1[[#This Row],[Quantity]],"")</f>
        <v>249</v>
      </c>
      <c r="S1153">
        <f>IFERROR(Table1_1[[#This Row],[Gross_Sales]]*Table1_1[[#This Row],[Discount_%]],"")</f>
        <v>0</v>
      </c>
      <c r="T1153">
        <f>IFERROR(Table1_1[[#This Row],[Gross_Sales]]-Table1_1[[#This Row],[Discount_amount]]+Table1_1[[#This Row],[Shipping_Cost]],"")</f>
        <v>298</v>
      </c>
      <c r="U1153">
        <f>IFERROR(Table1_1[[#This Row],[Net_Sale]]-(Table1_1[[#This Row],[Gross_Sales]]*70%),"")</f>
        <v>123.70000000000002</v>
      </c>
      <c r="V1153" s="7">
        <f>IFERROR(Table1_1[[#This Row],[Profit]]/Table1_1[[#This Row],[Net_Sale]],"")</f>
        <v>0.41510067114093968</v>
      </c>
      <c r="W1153" t="str">
        <f>TEXT(Table1_1[[#This Row],[Order_Date]],"mmm")</f>
        <v>Mar</v>
      </c>
    </row>
    <row r="1154" spans="1:23" x14ac:dyDescent="0.25">
      <c r="A1154" t="s">
        <v>1568</v>
      </c>
      <c r="B1154" t="s">
        <v>782</v>
      </c>
      <c r="C1154" s="6">
        <v>45849</v>
      </c>
      <c r="D1154" t="s">
        <v>67</v>
      </c>
      <c r="E1154" t="s">
        <v>68</v>
      </c>
      <c r="F1154" t="s">
        <v>37</v>
      </c>
      <c r="G1154" t="s">
        <v>38</v>
      </c>
      <c r="H1154">
        <v>2</v>
      </c>
      <c r="I1154">
        <v>1299</v>
      </c>
      <c r="J1154">
        <v>0.05</v>
      </c>
      <c r="K1154">
        <v>0</v>
      </c>
      <c r="L1154" t="s">
        <v>100</v>
      </c>
      <c r="M1154" t="s">
        <v>101</v>
      </c>
      <c r="N1154" t="s">
        <v>102</v>
      </c>
      <c r="O1154" t="s">
        <v>59</v>
      </c>
      <c r="P1154" t="s">
        <v>33</v>
      </c>
      <c r="Q1154">
        <v>3</v>
      </c>
      <c r="R1154">
        <f>IFERROR(Table1_1[[#This Row],[Unit_Price]]*Table1_1[[#This Row],[Quantity]],"")</f>
        <v>2598</v>
      </c>
      <c r="S1154">
        <f>IFERROR(Table1_1[[#This Row],[Gross_Sales]]*Table1_1[[#This Row],[Discount_%]],"")</f>
        <v>129.9</v>
      </c>
      <c r="T1154">
        <f>IFERROR(Table1_1[[#This Row],[Gross_Sales]]-Table1_1[[#This Row],[Discount_amount]]+Table1_1[[#This Row],[Shipping_Cost]],"")</f>
        <v>2468.1</v>
      </c>
      <c r="U1154">
        <f>IFERROR(Table1_1[[#This Row],[Net_Sale]]-(Table1_1[[#This Row],[Gross_Sales]]*70%),"")</f>
        <v>649.5</v>
      </c>
      <c r="V1154" s="7">
        <f>IFERROR(Table1_1[[#This Row],[Profit]]/Table1_1[[#This Row],[Net_Sale]],"")</f>
        <v>0.26315789473684209</v>
      </c>
      <c r="W1154" t="str">
        <f>TEXT(Table1_1[[#This Row],[Order_Date]],"mmm")</f>
        <v>Jul</v>
      </c>
    </row>
    <row r="1155" spans="1:23" x14ac:dyDescent="0.25">
      <c r="A1155" t="s">
        <v>1569</v>
      </c>
      <c r="B1155" t="s">
        <v>425</v>
      </c>
      <c r="C1155" s="6">
        <v>45895</v>
      </c>
      <c r="D1155" t="s">
        <v>67</v>
      </c>
      <c r="E1155" t="s">
        <v>68</v>
      </c>
      <c r="F1155" t="s">
        <v>37</v>
      </c>
      <c r="G1155" t="s">
        <v>38</v>
      </c>
      <c r="H1155">
        <v>2</v>
      </c>
      <c r="I1155">
        <v>1299</v>
      </c>
      <c r="J1155">
        <v>0.1</v>
      </c>
      <c r="K1155">
        <v>49</v>
      </c>
      <c r="L1155" t="s">
        <v>119</v>
      </c>
      <c r="M1155" t="s">
        <v>120</v>
      </c>
      <c r="N1155" t="s">
        <v>50</v>
      </c>
      <c r="O1155" t="s">
        <v>59</v>
      </c>
      <c r="P1155" t="s">
        <v>33</v>
      </c>
      <c r="Q1155">
        <v>3</v>
      </c>
      <c r="R1155">
        <f>IFERROR(Table1_1[[#This Row],[Unit_Price]]*Table1_1[[#This Row],[Quantity]],"")</f>
        <v>2598</v>
      </c>
      <c r="S1155">
        <f>IFERROR(Table1_1[[#This Row],[Gross_Sales]]*Table1_1[[#This Row],[Discount_%]],"")</f>
        <v>259.8</v>
      </c>
      <c r="T1155">
        <f>IFERROR(Table1_1[[#This Row],[Gross_Sales]]-Table1_1[[#This Row],[Discount_amount]]+Table1_1[[#This Row],[Shipping_Cost]],"")</f>
        <v>2387.1999999999998</v>
      </c>
      <c r="U1155">
        <f>IFERROR(Table1_1[[#This Row],[Net_Sale]]-(Table1_1[[#This Row],[Gross_Sales]]*70%),"")</f>
        <v>568.59999999999991</v>
      </c>
      <c r="V1155" s="7">
        <f>IFERROR(Table1_1[[#This Row],[Profit]]/Table1_1[[#This Row],[Net_Sale]],"")</f>
        <v>0.23818699731903484</v>
      </c>
      <c r="W1155" t="str">
        <f>TEXT(Table1_1[[#This Row],[Order_Date]],"mmm")</f>
        <v>Aug</v>
      </c>
    </row>
    <row r="1156" spans="1:23" x14ac:dyDescent="0.25">
      <c r="A1156" t="s">
        <v>1570</v>
      </c>
      <c r="B1156" t="s">
        <v>104</v>
      </c>
      <c r="C1156" s="6">
        <v>45875</v>
      </c>
      <c r="D1156" t="s">
        <v>169</v>
      </c>
      <c r="E1156" t="s">
        <v>170</v>
      </c>
      <c r="F1156" t="s">
        <v>98</v>
      </c>
      <c r="G1156" t="s">
        <v>171</v>
      </c>
      <c r="H1156">
        <v>3</v>
      </c>
      <c r="I1156">
        <v>799</v>
      </c>
      <c r="J1156">
        <v>0</v>
      </c>
      <c r="K1156">
        <v>59</v>
      </c>
      <c r="L1156" t="s">
        <v>48</v>
      </c>
      <c r="M1156" t="s">
        <v>49</v>
      </c>
      <c r="N1156" t="s">
        <v>102</v>
      </c>
      <c r="O1156" t="s">
        <v>93</v>
      </c>
      <c r="P1156" t="s">
        <v>85</v>
      </c>
      <c r="Q1156">
        <v>2</v>
      </c>
      <c r="R1156">
        <f>IFERROR(Table1_1[[#This Row],[Unit_Price]]*Table1_1[[#This Row],[Quantity]],"")</f>
        <v>2397</v>
      </c>
      <c r="S1156">
        <f>IFERROR(Table1_1[[#This Row],[Gross_Sales]]*Table1_1[[#This Row],[Discount_%]],"")</f>
        <v>0</v>
      </c>
      <c r="T1156">
        <f>IFERROR(Table1_1[[#This Row],[Gross_Sales]]-Table1_1[[#This Row],[Discount_amount]]+Table1_1[[#This Row],[Shipping_Cost]],"")</f>
        <v>2456</v>
      </c>
      <c r="U1156">
        <f>IFERROR(Table1_1[[#This Row],[Net_Sale]]-(Table1_1[[#This Row],[Gross_Sales]]*70%),"")</f>
        <v>778.10000000000014</v>
      </c>
      <c r="V1156" s="7">
        <f>IFERROR(Table1_1[[#This Row],[Profit]]/Table1_1[[#This Row],[Net_Sale]],"")</f>
        <v>0.31681596091205216</v>
      </c>
      <c r="W1156" t="str">
        <f>TEXT(Table1_1[[#This Row],[Order_Date]],"mmm")</f>
        <v>Aug</v>
      </c>
    </row>
    <row r="1157" spans="1:23" x14ac:dyDescent="0.25">
      <c r="A1157" t="s">
        <v>1571</v>
      </c>
      <c r="B1157" t="s">
        <v>280</v>
      </c>
      <c r="C1157" s="6">
        <v>45846</v>
      </c>
      <c r="D1157" t="s">
        <v>44</v>
      </c>
      <c r="E1157" t="s">
        <v>45</v>
      </c>
      <c r="F1157" t="s">
        <v>46</v>
      </c>
      <c r="G1157" t="s">
        <v>47</v>
      </c>
      <c r="H1157">
        <v>3</v>
      </c>
      <c r="I1157">
        <v>1199</v>
      </c>
      <c r="J1157">
        <v>0</v>
      </c>
      <c r="K1157">
        <v>99</v>
      </c>
      <c r="L1157" t="s">
        <v>100</v>
      </c>
      <c r="M1157" t="s">
        <v>101</v>
      </c>
      <c r="N1157" t="s">
        <v>31</v>
      </c>
      <c r="O1157" t="s">
        <v>41</v>
      </c>
      <c r="P1157" t="s">
        <v>85</v>
      </c>
      <c r="Q1157">
        <v>2</v>
      </c>
      <c r="R1157">
        <f>IFERROR(Table1_1[[#This Row],[Unit_Price]]*Table1_1[[#This Row],[Quantity]],"")</f>
        <v>3597</v>
      </c>
      <c r="S1157">
        <f>IFERROR(Table1_1[[#This Row],[Gross_Sales]]*Table1_1[[#This Row],[Discount_%]],"")</f>
        <v>0</v>
      </c>
      <c r="T1157">
        <f>IFERROR(Table1_1[[#This Row],[Gross_Sales]]-Table1_1[[#This Row],[Discount_amount]]+Table1_1[[#This Row],[Shipping_Cost]],"")</f>
        <v>3696</v>
      </c>
      <c r="U1157">
        <f>IFERROR(Table1_1[[#This Row],[Net_Sale]]-(Table1_1[[#This Row],[Gross_Sales]]*70%),"")</f>
        <v>1178.1000000000004</v>
      </c>
      <c r="V1157" s="7">
        <f>IFERROR(Table1_1[[#This Row],[Profit]]/Table1_1[[#This Row],[Net_Sale]],"")</f>
        <v>0.31875000000000009</v>
      </c>
      <c r="W1157" t="str">
        <f>TEXT(Table1_1[[#This Row],[Order_Date]],"mmm")</f>
        <v>Jul</v>
      </c>
    </row>
    <row r="1158" spans="1:23" x14ac:dyDescent="0.25">
      <c r="A1158" t="s">
        <v>1572</v>
      </c>
      <c r="B1158" t="s">
        <v>1338</v>
      </c>
      <c r="C1158" s="6">
        <v>45812</v>
      </c>
      <c r="D1158" t="s">
        <v>90</v>
      </c>
      <c r="E1158" t="s">
        <v>91</v>
      </c>
      <c r="F1158" t="s">
        <v>37</v>
      </c>
      <c r="G1158" t="s">
        <v>92</v>
      </c>
      <c r="H1158">
        <v>1</v>
      </c>
      <c r="I1158">
        <v>3499</v>
      </c>
      <c r="J1158">
        <v>0.1</v>
      </c>
      <c r="K1158">
        <v>49</v>
      </c>
      <c r="L1158" t="s">
        <v>113</v>
      </c>
      <c r="M1158" t="s">
        <v>114</v>
      </c>
      <c r="N1158" t="s">
        <v>50</v>
      </c>
      <c r="O1158" t="s">
        <v>51</v>
      </c>
      <c r="P1158" t="s">
        <v>33</v>
      </c>
      <c r="Q1158">
        <v>3</v>
      </c>
      <c r="R1158">
        <f>IFERROR(Table1_1[[#This Row],[Unit_Price]]*Table1_1[[#This Row],[Quantity]],"")</f>
        <v>3499</v>
      </c>
      <c r="S1158">
        <f>IFERROR(Table1_1[[#This Row],[Gross_Sales]]*Table1_1[[#This Row],[Discount_%]],"")</f>
        <v>349.90000000000003</v>
      </c>
      <c r="T1158">
        <f>IFERROR(Table1_1[[#This Row],[Gross_Sales]]-Table1_1[[#This Row],[Discount_amount]]+Table1_1[[#This Row],[Shipping_Cost]],"")</f>
        <v>3198.1</v>
      </c>
      <c r="U1158">
        <f>IFERROR(Table1_1[[#This Row],[Net_Sale]]-(Table1_1[[#This Row],[Gross_Sales]]*70%),"")</f>
        <v>748.80000000000018</v>
      </c>
      <c r="V1158" s="7">
        <f>IFERROR(Table1_1[[#This Row],[Profit]]/Table1_1[[#This Row],[Net_Sale]],"")</f>
        <v>0.23413902004315068</v>
      </c>
      <c r="W1158" t="str">
        <f>TEXT(Table1_1[[#This Row],[Order_Date]],"mmm")</f>
        <v>Jun</v>
      </c>
    </row>
    <row r="1159" spans="1:23" x14ac:dyDescent="0.25">
      <c r="A1159" t="s">
        <v>1573</v>
      </c>
      <c r="B1159" t="s">
        <v>1110</v>
      </c>
      <c r="C1159" s="6">
        <v>45873</v>
      </c>
      <c r="D1159" t="s">
        <v>96</v>
      </c>
      <c r="E1159" t="s">
        <v>97</v>
      </c>
      <c r="F1159" t="s">
        <v>98</v>
      </c>
      <c r="G1159" t="s">
        <v>99</v>
      </c>
      <c r="H1159">
        <v>1</v>
      </c>
      <c r="I1159">
        <v>1499</v>
      </c>
      <c r="J1159">
        <v>0.2</v>
      </c>
      <c r="K1159">
        <v>99</v>
      </c>
      <c r="L1159" t="s">
        <v>119</v>
      </c>
      <c r="M1159" t="s">
        <v>120</v>
      </c>
      <c r="N1159" t="s">
        <v>40</v>
      </c>
      <c r="O1159" t="s">
        <v>93</v>
      </c>
      <c r="P1159" t="s">
        <v>52</v>
      </c>
      <c r="Q1159">
        <v>3</v>
      </c>
      <c r="R1159">
        <f>IFERROR(Table1_1[[#This Row],[Unit_Price]]*Table1_1[[#This Row],[Quantity]],"")</f>
        <v>1499</v>
      </c>
      <c r="S1159">
        <f>IFERROR(Table1_1[[#This Row],[Gross_Sales]]*Table1_1[[#This Row],[Discount_%]],"")</f>
        <v>299.8</v>
      </c>
      <c r="T1159">
        <f>IFERROR(Table1_1[[#This Row],[Gross_Sales]]-Table1_1[[#This Row],[Discount_amount]]+Table1_1[[#This Row],[Shipping_Cost]],"")</f>
        <v>1298.2</v>
      </c>
      <c r="U1159">
        <f>IFERROR(Table1_1[[#This Row],[Net_Sale]]-(Table1_1[[#This Row],[Gross_Sales]]*70%),"")</f>
        <v>248.90000000000009</v>
      </c>
      <c r="V1159" s="7">
        <f>IFERROR(Table1_1[[#This Row],[Profit]]/Table1_1[[#This Row],[Net_Sale]],"")</f>
        <v>0.19172700662455713</v>
      </c>
      <c r="W1159" t="str">
        <f>TEXT(Table1_1[[#This Row],[Order_Date]],"mmm")</f>
        <v>Aug</v>
      </c>
    </row>
    <row r="1160" spans="1:23" x14ac:dyDescent="0.25">
      <c r="A1160" t="s">
        <v>1574</v>
      </c>
      <c r="B1160" t="s">
        <v>555</v>
      </c>
      <c r="C1160" s="6">
        <v>45865</v>
      </c>
      <c r="D1160" t="s">
        <v>25</v>
      </c>
      <c r="E1160" t="s">
        <v>26</v>
      </c>
      <c r="F1160" t="s">
        <v>27</v>
      </c>
      <c r="G1160" t="s">
        <v>28</v>
      </c>
      <c r="H1160">
        <v>2</v>
      </c>
      <c r="I1160">
        <v>249</v>
      </c>
      <c r="J1160">
        <v>0</v>
      </c>
      <c r="K1160">
        <v>99</v>
      </c>
      <c r="L1160" t="s">
        <v>29</v>
      </c>
      <c r="M1160" t="s">
        <v>30</v>
      </c>
      <c r="N1160" t="s">
        <v>40</v>
      </c>
      <c r="O1160" t="s">
        <v>59</v>
      </c>
      <c r="P1160" t="s">
        <v>33</v>
      </c>
      <c r="Q1160">
        <v>1</v>
      </c>
      <c r="R1160">
        <f>IFERROR(Table1_1[[#This Row],[Unit_Price]]*Table1_1[[#This Row],[Quantity]],"")</f>
        <v>498</v>
      </c>
      <c r="S1160">
        <f>IFERROR(Table1_1[[#This Row],[Gross_Sales]]*Table1_1[[#This Row],[Discount_%]],"")</f>
        <v>0</v>
      </c>
      <c r="T1160">
        <f>IFERROR(Table1_1[[#This Row],[Gross_Sales]]-Table1_1[[#This Row],[Discount_amount]]+Table1_1[[#This Row],[Shipping_Cost]],"")</f>
        <v>597</v>
      </c>
      <c r="U1160">
        <f>IFERROR(Table1_1[[#This Row],[Net_Sale]]-(Table1_1[[#This Row],[Gross_Sales]]*70%),"")</f>
        <v>248.40000000000003</v>
      </c>
      <c r="V1160" s="7">
        <f>IFERROR(Table1_1[[#This Row],[Profit]]/Table1_1[[#This Row],[Net_Sale]],"")</f>
        <v>0.41608040201005031</v>
      </c>
      <c r="W1160" t="str">
        <f>TEXT(Table1_1[[#This Row],[Order_Date]],"mmm")</f>
        <v>Jul</v>
      </c>
    </row>
    <row r="1161" spans="1:23" x14ac:dyDescent="0.25">
      <c r="A1161" t="s">
        <v>1575</v>
      </c>
      <c r="B1161" t="s">
        <v>464</v>
      </c>
      <c r="C1161" s="6">
        <v>45685</v>
      </c>
      <c r="D1161" t="s">
        <v>90</v>
      </c>
      <c r="E1161" t="s">
        <v>91</v>
      </c>
      <c r="F1161" t="s">
        <v>37</v>
      </c>
      <c r="G1161" t="s">
        <v>92</v>
      </c>
      <c r="H1161">
        <v>1</v>
      </c>
      <c r="I1161">
        <v>3499</v>
      </c>
      <c r="J1161">
        <v>0.2</v>
      </c>
      <c r="K1161">
        <v>0</v>
      </c>
      <c r="L1161" t="s">
        <v>57</v>
      </c>
      <c r="M1161" t="s">
        <v>58</v>
      </c>
      <c r="N1161" t="s">
        <v>102</v>
      </c>
      <c r="O1161" t="s">
        <v>51</v>
      </c>
      <c r="P1161" t="s">
        <v>33</v>
      </c>
      <c r="Q1161">
        <v>3</v>
      </c>
      <c r="R1161">
        <f>IFERROR(Table1_1[[#This Row],[Unit_Price]]*Table1_1[[#This Row],[Quantity]],"")</f>
        <v>3499</v>
      </c>
      <c r="S1161">
        <f>IFERROR(Table1_1[[#This Row],[Gross_Sales]]*Table1_1[[#This Row],[Discount_%]],"")</f>
        <v>699.80000000000007</v>
      </c>
      <c r="T1161">
        <f>IFERROR(Table1_1[[#This Row],[Gross_Sales]]-Table1_1[[#This Row],[Discount_amount]]+Table1_1[[#This Row],[Shipping_Cost]],"")</f>
        <v>2799.2</v>
      </c>
      <c r="U1161">
        <f>IFERROR(Table1_1[[#This Row],[Net_Sale]]-(Table1_1[[#This Row],[Gross_Sales]]*70%),"")</f>
        <v>349.90000000000009</v>
      </c>
      <c r="V1161" s="7">
        <f>IFERROR(Table1_1[[#This Row],[Profit]]/Table1_1[[#This Row],[Net_Sale]],"")</f>
        <v>0.12500000000000003</v>
      </c>
      <c r="W1161" t="str">
        <f>TEXT(Table1_1[[#This Row],[Order_Date]],"mmm")</f>
        <v>Jan</v>
      </c>
    </row>
    <row r="1162" spans="1:23" x14ac:dyDescent="0.25">
      <c r="A1162" t="s">
        <v>1576</v>
      </c>
      <c r="B1162" t="s">
        <v>271</v>
      </c>
      <c r="C1162" s="6">
        <v>45844</v>
      </c>
      <c r="D1162" t="s">
        <v>90</v>
      </c>
      <c r="E1162" t="s">
        <v>91</v>
      </c>
      <c r="F1162" t="s">
        <v>37</v>
      </c>
      <c r="G1162" t="s">
        <v>92</v>
      </c>
      <c r="H1162">
        <v>3</v>
      </c>
      <c r="I1162">
        <v>3499</v>
      </c>
      <c r="J1162">
        <v>0.1</v>
      </c>
      <c r="K1162">
        <v>99</v>
      </c>
      <c r="L1162" t="s">
        <v>74</v>
      </c>
      <c r="M1162" t="s">
        <v>49</v>
      </c>
      <c r="N1162" t="s">
        <v>31</v>
      </c>
      <c r="O1162" t="s">
        <v>41</v>
      </c>
      <c r="P1162" t="s">
        <v>33</v>
      </c>
      <c r="Q1162">
        <v>1</v>
      </c>
      <c r="R1162">
        <f>IFERROR(Table1_1[[#This Row],[Unit_Price]]*Table1_1[[#This Row],[Quantity]],"")</f>
        <v>10497</v>
      </c>
      <c r="S1162">
        <f>IFERROR(Table1_1[[#This Row],[Gross_Sales]]*Table1_1[[#This Row],[Discount_%]],"")</f>
        <v>1049.7</v>
      </c>
      <c r="T1162">
        <f>IFERROR(Table1_1[[#This Row],[Gross_Sales]]-Table1_1[[#This Row],[Discount_amount]]+Table1_1[[#This Row],[Shipping_Cost]],"")</f>
        <v>9546.2999999999993</v>
      </c>
      <c r="U1162">
        <f>IFERROR(Table1_1[[#This Row],[Net_Sale]]-(Table1_1[[#This Row],[Gross_Sales]]*70%),"")</f>
        <v>2198.3999999999996</v>
      </c>
      <c r="V1162" s="7">
        <f>IFERROR(Table1_1[[#This Row],[Profit]]/Table1_1[[#This Row],[Net_Sale]],"")</f>
        <v>0.23028817447597497</v>
      </c>
      <c r="W1162" t="str">
        <f>TEXT(Table1_1[[#This Row],[Order_Date]],"mmm")</f>
        <v>Jul</v>
      </c>
    </row>
    <row r="1163" spans="1:23" x14ac:dyDescent="0.25">
      <c r="A1163" t="s">
        <v>1577</v>
      </c>
      <c r="B1163" t="s">
        <v>283</v>
      </c>
      <c r="C1163" s="6">
        <v>45921</v>
      </c>
      <c r="D1163" t="s">
        <v>169</v>
      </c>
      <c r="E1163" t="s">
        <v>170</v>
      </c>
      <c r="F1163" t="s">
        <v>98</v>
      </c>
      <c r="G1163" t="s">
        <v>171</v>
      </c>
      <c r="H1163">
        <v>1</v>
      </c>
      <c r="I1163">
        <v>799</v>
      </c>
      <c r="J1163">
        <v>0.1</v>
      </c>
      <c r="K1163">
        <v>0</v>
      </c>
      <c r="L1163" t="s">
        <v>125</v>
      </c>
      <c r="M1163" t="s">
        <v>126</v>
      </c>
      <c r="N1163" t="s">
        <v>71</v>
      </c>
      <c r="O1163" t="s">
        <v>93</v>
      </c>
      <c r="P1163" t="s">
        <v>52</v>
      </c>
      <c r="Q1163">
        <v>1</v>
      </c>
      <c r="R1163">
        <f>IFERROR(Table1_1[[#This Row],[Unit_Price]]*Table1_1[[#This Row],[Quantity]],"")</f>
        <v>799</v>
      </c>
      <c r="S1163">
        <f>IFERROR(Table1_1[[#This Row],[Gross_Sales]]*Table1_1[[#This Row],[Discount_%]],"")</f>
        <v>79.900000000000006</v>
      </c>
      <c r="T1163">
        <f>IFERROR(Table1_1[[#This Row],[Gross_Sales]]-Table1_1[[#This Row],[Discount_amount]]+Table1_1[[#This Row],[Shipping_Cost]],"")</f>
        <v>719.1</v>
      </c>
      <c r="U1163">
        <f>IFERROR(Table1_1[[#This Row],[Net_Sale]]-(Table1_1[[#This Row],[Gross_Sales]]*70%),"")</f>
        <v>159.80000000000007</v>
      </c>
      <c r="V1163" s="7">
        <f>IFERROR(Table1_1[[#This Row],[Profit]]/Table1_1[[#This Row],[Net_Sale]],"")</f>
        <v>0.22222222222222232</v>
      </c>
      <c r="W1163" t="str">
        <f>TEXT(Table1_1[[#This Row],[Order_Date]],"mmm")</f>
        <v>Sep</v>
      </c>
    </row>
    <row r="1164" spans="1:23" x14ac:dyDescent="0.25">
      <c r="A1164" t="s">
        <v>1578</v>
      </c>
      <c r="B1164" t="s">
        <v>591</v>
      </c>
      <c r="C1164" s="6">
        <v>45964</v>
      </c>
      <c r="D1164" t="s">
        <v>90</v>
      </c>
      <c r="E1164" t="s">
        <v>91</v>
      </c>
      <c r="F1164" t="s">
        <v>37</v>
      </c>
      <c r="G1164" t="s">
        <v>92</v>
      </c>
      <c r="H1164">
        <v>1</v>
      </c>
      <c r="I1164">
        <v>3499</v>
      </c>
      <c r="J1164">
        <v>0.1</v>
      </c>
      <c r="K1164">
        <v>59</v>
      </c>
      <c r="L1164" t="s">
        <v>119</v>
      </c>
      <c r="M1164" t="s">
        <v>120</v>
      </c>
      <c r="N1164" t="s">
        <v>31</v>
      </c>
      <c r="O1164" t="s">
        <v>32</v>
      </c>
      <c r="P1164" t="s">
        <v>33</v>
      </c>
      <c r="Q1164">
        <v>3</v>
      </c>
      <c r="R1164">
        <f>IFERROR(Table1_1[[#This Row],[Unit_Price]]*Table1_1[[#This Row],[Quantity]],"")</f>
        <v>3499</v>
      </c>
      <c r="S1164">
        <f>IFERROR(Table1_1[[#This Row],[Gross_Sales]]*Table1_1[[#This Row],[Discount_%]],"")</f>
        <v>349.90000000000003</v>
      </c>
      <c r="T1164">
        <f>IFERROR(Table1_1[[#This Row],[Gross_Sales]]-Table1_1[[#This Row],[Discount_amount]]+Table1_1[[#This Row],[Shipping_Cost]],"")</f>
        <v>3208.1</v>
      </c>
      <c r="U1164">
        <f>IFERROR(Table1_1[[#This Row],[Net_Sale]]-(Table1_1[[#This Row],[Gross_Sales]]*70%),"")</f>
        <v>758.80000000000018</v>
      </c>
      <c r="V1164" s="7">
        <f>IFERROR(Table1_1[[#This Row],[Profit]]/Table1_1[[#This Row],[Net_Sale]],"")</f>
        <v>0.23652629282129617</v>
      </c>
      <c r="W1164" t="str">
        <f>TEXT(Table1_1[[#This Row],[Order_Date]],"mmm")</f>
        <v>Nov</v>
      </c>
    </row>
    <row r="1165" spans="1:23" x14ac:dyDescent="0.25">
      <c r="A1165" t="s">
        <v>1579</v>
      </c>
      <c r="B1165" t="s">
        <v>152</v>
      </c>
      <c r="C1165" s="6">
        <v>45666</v>
      </c>
      <c r="D1165" t="s">
        <v>105</v>
      </c>
      <c r="E1165" t="s">
        <v>106</v>
      </c>
      <c r="F1165" t="s">
        <v>37</v>
      </c>
      <c r="G1165" t="s">
        <v>107</v>
      </c>
      <c r="H1165">
        <v>1</v>
      </c>
      <c r="I1165">
        <v>1799</v>
      </c>
      <c r="J1165">
        <v>0.2</v>
      </c>
      <c r="K1165">
        <v>0</v>
      </c>
      <c r="L1165" t="s">
        <v>48</v>
      </c>
      <c r="M1165" t="s">
        <v>49</v>
      </c>
      <c r="N1165" t="s">
        <v>71</v>
      </c>
      <c r="O1165" t="s">
        <v>93</v>
      </c>
      <c r="P1165" t="s">
        <v>33</v>
      </c>
      <c r="Q1165">
        <v>5</v>
      </c>
      <c r="R1165">
        <f>IFERROR(Table1_1[[#This Row],[Unit_Price]]*Table1_1[[#This Row],[Quantity]],"")</f>
        <v>1799</v>
      </c>
      <c r="S1165">
        <f>IFERROR(Table1_1[[#This Row],[Gross_Sales]]*Table1_1[[#This Row],[Discount_%]],"")</f>
        <v>359.8</v>
      </c>
      <c r="T1165">
        <f>IFERROR(Table1_1[[#This Row],[Gross_Sales]]-Table1_1[[#This Row],[Discount_amount]]+Table1_1[[#This Row],[Shipping_Cost]],"")</f>
        <v>1439.2</v>
      </c>
      <c r="U1165">
        <f>IFERROR(Table1_1[[#This Row],[Net_Sale]]-(Table1_1[[#This Row],[Gross_Sales]]*70%),"")</f>
        <v>179.90000000000009</v>
      </c>
      <c r="V1165" s="7">
        <f>IFERROR(Table1_1[[#This Row],[Profit]]/Table1_1[[#This Row],[Net_Sale]],"")</f>
        <v>0.12500000000000006</v>
      </c>
      <c r="W1165" t="str">
        <f>TEXT(Table1_1[[#This Row],[Order_Date]],"mmm")</f>
        <v>Jan</v>
      </c>
    </row>
    <row r="1166" spans="1:23" x14ac:dyDescent="0.25">
      <c r="A1166" t="s">
        <v>1580</v>
      </c>
      <c r="B1166" t="s">
        <v>1416</v>
      </c>
      <c r="C1166" s="6">
        <v>45701</v>
      </c>
      <c r="D1166" t="s">
        <v>77</v>
      </c>
      <c r="E1166" t="s">
        <v>78</v>
      </c>
      <c r="F1166" t="s">
        <v>79</v>
      </c>
      <c r="G1166" t="s">
        <v>28</v>
      </c>
      <c r="H1166">
        <v>1</v>
      </c>
      <c r="I1166">
        <v>6499</v>
      </c>
      <c r="J1166">
        <v>0.2</v>
      </c>
      <c r="K1166">
        <v>49</v>
      </c>
      <c r="L1166" t="s">
        <v>57</v>
      </c>
      <c r="M1166" t="s">
        <v>58</v>
      </c>
      <c r="N1166" t="s">
        <v>40</v>
      </c>
      <c r="O1166" t="s">
        <v>51</v>
      </c>
      <c r="P1166" t="s">
        <v>33</v>
      </c>
      <c r="Q1166">
        <v>3</v>
      </c>
      <c r="R1166">
        <f>IFERROR(Table1_1[[#This Row],[Unit_Price]]*Table1_1[[#This Row],[Quantity]],"")</f>
        <v>6499</v>
      </c>
      <c r="S1166">
        <f>IFERROR(Table1_1[[#This Row],[Gross_Sales]]*Table1_1[[#This Row],[Discount_%]],"")</f>
        <v>1299.8000000000002</v>
      </c>
      <c r="T1166">
        <f>IFERROR(Table1_1[[#This Row],[Gross_Sales]]-Table1_1[[#This Row],[Discount_amount]]+Table1_1[[#This Row],[Shipping_Cost]],"")</f>
        <v>5248.2</v>
      </c>
      <c r="U1166">
        <f>IFERROR(Table1_1[[#This Row],[Net_Sale]]-(Table1_1[[#This Row],[Gross_Sales]]*70%),"")</f>
        <v>698.90000000000055</v>
      </c>
      <c r="V1166" s="7">
        <f>IFERROR(Table1_1[[#This Row],[Profit]]/Table1_1[[#This Row],[Net_Sale]],"")</f>
        <v>0.13316946762699602</v>
      </c>
      <c r="W1166" t="str">
        <f>TEXT(Table1_1[[#This Row],[Order_Date]],"mmm")</f>
        <v>Feb</v>
      </c>
    </row>
    <row r="1167" spans="1:23" x14ac:dyDescent="0.25">
      <c r="A1167" t="s">
        <v>1581</v>
      </c>
      <c r="B1167" t="s">
        <v>563</v>
      </c>
      <c r="C1167" s="6">
        <v>45926</v>
      </c>
      <c r="D1167" t="s">
        <v>90</v>
      </c>
      <c r="E1167" t="s">
        <v>91</v>
      </c>
      <c r="F1167" t="s">
        <v>37</v>
      </c>
      <c r="G1167" t="s">
        <v>92</v>
      </c>
      <c r="H1167">
        <v>1</v>
      </c>
      <c r="I1167">
        <v>3499</v>
      </c>
      <c r="J1167">
        <v>0</v>
      </c>
      <c r="K1167">
        <v>59</v>
      </c>
      <c r="L1167" t="s">
        <v>125</v>
      </c>
      <c r="M1167" t="s">
        <v>126</v>
      </c>
      <c r="N1167" t="s">
        <v>31</v>
      </c>
      <c r="O1167" t="s">
        <v>41</v>
      </c>
      <c r="P1167" t="s">
        <v>33</v>
      </c>
      <c r="Q1167">
        <v>5</v>
      </c>
      <c r="R1167">
        <f>IFERROR(Table1_1[[#This Row],[Unit_Price]]*Table1_1[[#This Row],[Quantity]],"")</f>
        <v>3499</v>
      </c>
      <c r="S1167">
        <f>IFERROR(Table1_1[[#This Row],[Gross_Sales]]*Table1_1[[#This Row],[Discount_%]],"")</f>
        <v>0</v>
      </c>
      <c r="T1167">
        <f>IFERROR(Table1_1[[#This Row],[Gross_Sales]]-Table1_1[[#This Row],[Discount_amount]]+Table1_1[[#This Row],[Shipping_Cost]],"")</f>
        <v>3558</v>
      </c>
      <c r="U1167">
        <f>IFERROR(Table1_1[[#This Row],[Net_Sale]]-(Table1_1[[#This Row],[Gross_Sales]]*70%),"")</f>
        <v>1108.7000000000003</v>
      </c>
      <c r="V1167" s="7">
        <f>IFERROR(Table1_1[[#This Row],[Profit]]/Table1_1[[#This Row],[Net_Sale]],"")</f>
        <v>0.31160764474423841</v>
      </c>
      <c r="W1167" t="str">
        <f>TEXT(Table1_1[[#This Row],[Order_Date]],"mmm")</f>
        <v>Sep</v>
      </c>
    </row>
    <row r="1168" spans="1:23" x14ac:dyDescent="0.25">
      <c r="A1168" t="s">
        <v>1582</v>
      </c>
      <c r="B1168" t="s">
        <v>1053</v>
      </c>
      <c r="C1168" s="6">
        <v>45698</v>
      </c>
      <c r="D1168" t="s">
        <v>77</v>
      </c>
      <c r="E1168" t="s">
        <v>78</v>
      </c>
      <c r="F1168" t="s">
        <v>79</v>
      </c>
      <c r="G1168" t="s">
        <v>28</v>
      </c>
      <c r="H1168">
        <v>1</v>
      </c>
      <c r="I1168">
        <v>6499</v>
      </c>
      <c r="J1168">
        <v>0.2</v>
      </c>
      <c r="K1168">
        <v>59</v>
      </c>
      <c r="L1168" t="s">
        <v>29</v>
      </c>
      <c r="M1168" t="s">
        <v>30</v>
      </c>
      <c r="N1168" t="s">
        <v>40</v>
      </c>
      <c r="O1168" t="s">
        <v>93</v>
      </c>
      <c r="P1168" t="s">
        <v>80</v>
      </c>
      <c r="Q1168">
        <v>2</v>
      </c>
      <c r="R1168">
        <f>IFERROR(Table1_1[[#This Row],[Unit_Price]]*Table1_1[[#This Row],[Quantity]],"")</f>
        <v>6499</v>
      </c>
      <c r="S1168">
        <f>IFERROR(Table1_1[[#This Row],[Gross_Sales]]*Table1_1[[#This Row],[Discount_%]],"")</f>
        <v>1299.8000000000002</v>
      </c>
      <c r="T1168">
        <f>IFERROR(Table1_1[[#This Row],[Gross_Sales]]-Table1_1[[#This Row],[Discount_amount]]+Table1_1[[#This Row],[Shipping_Cost]],"")</f>
        <v>5258.2</v>
      </c>
      <c r="U1168">
        <f>IFERROR(Table1_1[[#This Row],[Net_Sale]]-(Table1_1[[#This Row],[Gross_Sales]]*70%),"")</f>
        <v>708.90000000000055</v>
      </c>
      <c r="V1168" s="7">
        <f>IFERROR(Table1_1[[#This Row],[Profit]]/Table1_1[[#This Row],[Net_Sale]],"")</f>
        <v>0.13481799855463858</v>
      </c>
      <c r="W1168" t="str">
        <f>TEXT(Table1_1[[#This Row],[Order_Date]],"mmm")</f>
        <v>Feb</v>
      </c>
    </row>
    <row r="1169" spans="1:23" x14ac:dyDescent="0.25">
      <c r="A1169" t="s">
        <v>1583</v>
      </c>
      <c r="B1169" t="s">
        <v>857</v>
      </c>
      <c r="C1169" s="6">
        <v>45698</v>
      </c>
      <c r="D1169" t="s">
        <v>77</v>
      </c>
      <c r="E1169" t="s">
        <v>78</v>
      </c>
      <c r="F1169" t="s">
        <v>79</v>
      </c>
      <c r="G1169" t="s">
        <v>28</v>
      </c>
      <c r="H1169">
        <v>2</v>
      </c>
      <c r="I1169">
        <v>6499</v>
      </c>
      <c r="J1169">
        <v>0.15</v>
      </c>
      <c r="K1169">
        <v>59</v>
      </c>
      <c r="L1169" t="s">
        <v>48</v>
      </c>
      <c r="M1169" t="s">
        <v>49</v>
      </c>
      <c r="N1169" t="s">
        <v>102</v>
      </c>
      <c r="O1169" t="s">
        <v>32</v>
      </c>
      <c r="P1169" t="s">
        <v>33</v>
      </c>
      <c r="Q1169">
        <v>5</v>
      </c>
      <c r="R1169">
        <f>IFERROR(Table1_1[[#This Row],[Unit_Price]]*Table1_1[[#This Row],[Quantity]],"")</f>
        <v>12998</v>
      </c>
      <c r="S1169">
        <f>IFERROR(Table1_1[[#This Row],[Gross_Sales]]*Table1_1[[#This Row],[Discount_%]],"")</f>
        <v>1949.6999999999998</v>
      </c>
      <c r="T1169">
        <f>IFERROR(Table1_1[[#This Row],[Gross_Sales]]-Table1_1[[#This Row],[Discount_amount]]+Table1_1[[#This Row],[Shipping_Cost]],"")</f>
        <v>11107.3</v>
      </c>
      <c r="U1169">
        <f>IFERROR(Table1_1[[#This Row],[Net_Sale]]-(Table1_1[[#This Row],[Gross_Sales]]*70%),"")</f>
        <v>2008.7000000000007</v>
      </c>
      <c r="V1169" s="7">
        <f>IFERROR(Table1_1[[#This Row],[Profit]]/Table1_1[[#This Row],[Net_Sale]],"")</f>
        <v>0.18084502984523698</v>
      </c>
      <c r="W1169" t="str">
        <f>TEXT(Table1_1[[#This Row],[Order_Date]],"mmm")</f>
        <v>Feb</v>
      </c>
    </row>
    <row r="1170" spans="1:23" x14ac:dyDescent="0.25">
      <c r="A1170" t="s">
        <v>1584</v>
      </c>
      <c r="B1170" t="s">
        <v>222</v>
      </c>
      <c r="C1170" s="6">
        <v>45900</v>
      </c>
      <c r="D1170" t="s">
        <v>67</v>
      </c>
      <c r="E1170" t="s">
        <v>68</v>
      </c>
      <c r="F1170" t="s">
        <v>37</v>
      </c>
      <c r="G1170" t="s">
        <v>38</v>
      </c>
      <c r="H1170">
        <v>1</v>
      </c>
      <c r="I1170">
        <v>1299</v>
      </c>
      <c r="J1170">
        <v>0.05</v>
      </c>
      <c r="K1170">
        <v>49</v>
      </c>
      <c r="L1170" t="s">
        <v>39</v>
      </c>
      <c r="M1170" t="s">
        <v>39</v>
      </c>
      <c r="N1170" t="s">
        <v>102</v>
      </c>
      <c r="O1170" t="s">
        <v>93</v>
      </c>
      <c r="P1170" t="s">
        <v>52</v>
      </c>
      <c r="Q1170">
        <v>5</v>
      </c>
      <c r="R1170">
        <f>IFERROR(Table1_1[[#This Row],[Unit_Price]]*Table1_1[[#This Row],[Quantity]],"")</f>
        <v>1299</v>
      </c>
      <c r="S1170">
        <f>IFERROR(Table1_1[[#This Row],[Gross_Sales]]*Table1_1[[#This Row],[Discount_%]],"")</f>
        <v>64.95</v>
      </c>
      <c r="T1170">
        <f>IFERROR(Table1_1[[#This Row],[Gross_Sales]]-Table1_1[[#This Row],[Discount_amount]]+Table1_1[[#This Row],[Shipping_Cost]],"")</f>
        <v>1283.05</v>
      </c>
      <c r="U1170">
        <f>IFERROR(Table1_1[[#This Row],[Net_Sale]]-(Table1_1[[#This Row],[Gross_Sales]]*70%),"")</f>
        <v>373.75</v>
      </c>
      <c r="V1170" s="7">
        <f>IFERROR(Table1_1[[#This Row],[Profit]]/Table1_1[[#This Row],[Net_Sale]],"")</f>
        <v>0.29129807879661745</v>
      </c>
      <c r="W1170" t="str">
        <f>TEXT(Table1_1[[#This Row],[Order_Date]],"mmm")</f>
        <v>Aug</v>
      </c>
    </row>
    <row r="1171" spans="1:23" x14ac:dyDescent="0.25">
      <c r="A1171" t="s">
        <v>1585</v>
      </c>
      <c r="B1171" t="s">
        <v>306</v>
      </c>
      <c r="C1171" s="6">
        <v>45797</v>
      </c>
      <c r="D1171" t="s">
        <v>96</v>
      </c>
      <c r="E1171" t="s">
        <v>97</v>
      </c>
      <c r="F1171" t="s">
        <v>98</v>
      </c>
      <c r="G1171" t="s">
        <v>99</v>
      </c>
      <c r="H1171">
        <v>2</v>
      </c>
      <c r="I1171">
        <v>1499</v>
      </c>
      <c r="J1171">
        <v>0</v>
      </c>
      <c r="K1171">
        <v>79</v>
      </c>
      <c r="L1171" t="s">
        <v>100</v>
      </c>
      <c r="M1171" t="s">
        <v>101</v>
      </c>
      <c r="N1171" t="s">
        <v>71</v>
      </c>
      <c r="O1171" t="s">
        <v>51</v>
      </c>
      <c r="P1171" t="s">
        <v>33</v>
      </c>
      <c r="Q1171">
        <v>4</v>
      </c>
      <c r="R1171">
        <f>IFERROR(Table1_1[[#This Row],[Unit_Price]]*Table1_1[[#This Row],[Quantity]],"")</f>
        <v>2998</v>
      </c>
      <c r="S1171">
        <f>IFERROR(Table1_1[[#This Row],[Gross_Sales]]*Table1_1[[#This Row],[Discount_%]],"")</f>
        <v>0</v>
      </c>
      <c r="T1171">
        <f>IFERROR(Table1_1[[#This Row],[Gross_Sales]]-Table1_1[[#This Row],[Discount_amount]]+Table1_1[[#This Row],[Shipping_Cost]],"")</f>
        <v>3077</v>
      </c>
      <c r="U1171">
        <f>IFERROR(Table1_1[[#This Row],[Net_Sale]]-(Table1_1[[#This Row],[Gross_Sales]]*70%),"")</f>
        <v>978.40000000000009</v>
      </c>
      <c r="V1171" s="7">
        <f>IFERROR(Table1_1[[#This Row],[Profit]]/Table1_1[[#This Row],[Net_Sale]],"")</f>
        <v>0.31797205069873258</v>
      </c>
      <c r="W1171" t="str">
        <f>TEXT(Table1_1[[#This Row],[Order_Date]],"mmm")</f>
        <v>May</v>
      </c>
    </row>
    <row r="1172" spans="1:23" x14ac:dyDescent="0.25">
      <c r="A1172" t="s">
        <v>1586</v>
      </c>
      <c r="B1172" t="s">
        <v>240</v>
      </c>
      <c r="C1172" s="6">
        <v>45773</v>
      </c>
      <c r="D1172" t="s">
        <v>44</v>
      </c>
      <c r="E1172" t="s">
        <v>45</v>
      </c>
      <c r="F1172" t="s">
        <v>46</v>
      </c>
      <c r="G1172" t="s">
        <v>47</v>
      </c>
      <c r="H1172">
        <v>1</v>
      </c>
      <c r="I1172">
        <v>1199</v>
      </c>
      <c r="J1172">
        <v>0</v>
      </c>
      <c r="K1172">
        <v>0</v>
      </c>
      <c r="L1172" t="s">
        <v>74</v>
      </c>
      <c r="M1172" t="s">
        <v>49</v>
      </c>
      <c r="N1172" t="s">
        <v>102</v>
      </c>
      <c r="O1172" t="s">
        <v>59</v>
      </c>
      <c r="P1172" t="s">
        <v>33</v>
      </c>
      <c r="Q1172">
        <v>5</v>
      </c>
      <c r="R1172">
        <f>IFERROR(Table1_1[[#This Row],[Unit_Price]]*Table1_1[[#This Row],[Quantity]],"")</f>
        <v>1199</v>
      </c>
      <c r="S1172">
        <f>IFERROR(Table1_1[[#This Row],[Gross_Sales]]*Table1_1[[#This Row],[Discount_%]],"")</f>
        <v>0</v>
      </c>
      <c r="T1172">
        <f>IFERROR(Table1_1[[#This Row],[Gross_Sales]]-Table1_1[[#This Row],[Discount_amount]]+Table1_1[[#This Row],[Shipping_Cost]],"")</f>
        <v>1199</v>
      </c>
      <c r="U1172">
        <f>IFERROR(Table1_1[[#This Row],[Net_Sale]]-(Table1_1[[#This Row],[Gross_Sales]]*70%),"")</f>
        <v>359.70000000000005</v>
      </c>
      <c r="V1172" s="7">
        <f>IFERROR(Table1_1[[#This Row],[Profit]]/Table1_1[[#This Row],[Net_Sale]],"")</f>
        <v>0.30000000000000004</v>
      </c>
      <c r="W1172" t="str">
        <f>TEXT(Table1_1[[#This Row],[Order_Date]],"mmm")</f>
        <v>Apr</v>
      </c>
    </row>
    <row r="1173" spans="1:23" x14ac:dyDescent="0.25">
      <c r="A1173" t="s">
        <v>1587</v>
      </c>
      <c r="B1173" t="s">
        <v>1035</v>
      </c>
      <c r="C1173" s="6">
        <v>45857</v>
      </c>
      <c r="D1173" t="s">
        <v>96</v>
      </c>
      <c r="E1173" t="s">
        <v>97</v>
      </c>
      <c r="F1173" t="s">
        <v>98</v>
      </c>
      <c r="G1173" t="s">
        <v>99</v>
      </c>
      <c r="H1173">
        <v>1</v>
      </c>
      <c r="I1173">
        <v>1499</v>
      </c>
      <c r="J1173">
        <v>0</v>
      </c>
      <c r="K1173">
        <v>59</v>
      </c>
      <c r="L1173" t="s">
        <v>125</v>
      </c>
      <c r="M1173" t="s">
        <v>126</v>
      </c>
      <c r="N1173" t="s">
        <v>71</v>
      </c>
      <c r="O1173" t="s">
        <v>51</v>
      </c>
      <c r="P1173" t="s">
        <v>85</v>
      </c>
      <c r="Q1173">
        <v>3</v>
      </c>
      <c r="R1173">
        <f>IFERROR(Table1_1[[#This Row],[Unit_Price]]*Table1_1[[#This Row],[Quantity]],"")</f>
        <v>1499</v>
      </c>
      <c r="S1173">
        <f>IFERROR(Table1_1[[#This Row],[Gross_Sales]]*Table1_1[[#This Row],[Discount_%]],"")</f>
        <v>0</v>
      </c>
      <c r="T1173">
        <f>IFERROR(Table1_1[[#This Row],[Gross_Sales]]-Table1_1[[#This Row],[Discount_amount]]+Table1_1[[#This Row],[Shipping_Cost]],"")</f>
        <v>1558</v>
      </c>
      <c r="U1173">
        <f>IFERROR(Table1_1[[#This Row],[Net_Sale]]-(Table1_1[[#This Row],[Gross_Sales]]*70%),"")</f>
        <v>508.70000000000005</v>
      </c>
      <c r="V1173" s="7">
        <f>IFERROR(Table1_1[[#This Row],[Profit]]/Table1_1[[#This Row],[Net_Sale]],"")</f>
        <v>0.32650834403080875</v>
      </c>
      <c r="W1173" t="str">
        <f>TEXT(Table1_1[[#This Row],[Order_Date]],"mmm")</f>
        <v>Jul</v>
      </c>
    </row>
    <row r="1174" spans="1:23" x14ac:dyDescent="0.25">
      <c r="A1174" t="s">
        <v>1588</v>
      </c>
      <c r="B1174" t="s">
        <v>1234</v>
      </c>
      <c r="C1174" s="6">
        <v>45913</v>
      </c>
      <c r="D1174" t="s">
        <v>90</v>
      </c>
      <c r="E1174" t="s">
        <v>91</v>
      </c>
      <c r="F1174" t="s">
        <v>37</v>
      </c>
      <c r="G1174" t="s">
        <v>92</v>
      </c>
      <c r="H1174">
        <v>2</v>
      </c>
      <c r="I1174">
        <v>3499</v>
      </c>
      <c r="J1174">
        <v>0</v>
      </c>
      <c r="K1174">
        <v>79</v>
      </c>
      <c r="L1174" t="s">
        <v>100</v>
      </c>
      <c r="M1174" t="s">
        <v>101</v>
      </c>
      <c r="N1174" t="s">
        <v>40</v>
      </c>
      <c r="O1174" t="s">
        <v>93</v>
      </c>
      <c r="P1174" t="s">
        <v>80</v>
      </c>
      <c r="Q1174">
        <v>3</v>
      </c>
      <c r="R1174">
        <f>IFERROR(Table1_1[[#This Row],[Unit_Price]]*Table1_1[[#This Row],[Quantity]],"")</f>
        <v>6998</v>
      </c>
      <c r="S1174">
        <f>IFERROR(Table1_1[[#This Row],[Gross_Sales]]*Table1_1[[#This Row],[Discount_%]],"")</f>
        <v>0</v>
      </c>
      <c r="T1174">
        <f>IFERROR(Table1_1[[#This Row],[Gross_Sales]]-Table1_1[[#This Row],[Discount_amount]]+Table1_1[[#This Row],[Shipping_Cost]],"")</f>
        <v>7077</v>
      </c>
      <c r="U1174">
        <f>IFERROR(Table1_1[[#This Row],[Net_Sale]]-(Table1_1[[#This Row],[Gross_Sales]]*70%),"")</f>
        <v>2178.4000000000005</v>
      </c>
      <c r="V1174" s="7">
        <f>IFERROR(Table1_1[[#This Row],[Profit]]/Table1_1[[#This Row],[Net_Sale]],"")</f>
        <v>0.30781404549950553</v>
      </c>
      <c r="W1174" t="str">
        <f>TEXT(Table1_1[[#This Row],[Order_Date]],"mmm")</f>
        <v>Sep</v>
      </c>
    </row>
    <row r="1175" spans="1:23" x14ac:dyDescent="0.25">
      <c r="A1175" t="s">
        <v>1589</v>
      </c>
      <c r="B1175" t="s">
        <v>400</v>
      </c>
      <c r="C1175" s="6">
        <v>45945</v>
      </c>
      <c r="D1175" t="s">
        <v>44</v>
      </c>
      <c r="E1175" t="s">
        <v>45</v>
      </c>
      <c r="F1175" t="s">
        <v>46</v>
      </c>
      <c r="G1175" t="s">
        <v>47</v>
      </c>
      <c r="H1175">
        <v>2</v>
      </c>
      <c r="I1175">
        <v>1199</v>
      </c>
      <c r="J1175">
        <v>0.2</v>
      </c>
      <c r="K1175">
        <v>99</v>
      </c>
      <c r="L1175" t="s">
        <v>29</v>
      </c>
      <c r="M1175" t="s">
        <v>30</v>
      </c>
      <c r="N1175" t="s">
        <v>71</v>
      </c>
      <c r="O1175" t="s">
        <v>51</v>
      </c>
      <c r="P1175" t="s">
        <v>33</v>
      </c>
      <c r="Q1175">
        <v>3</v>
      </c>
      <c r="R1175">
        <f>IFERROR(Table1_1[[#This Row],[Unit_Price]]*Table1_1[[#This Row],[Quantity]],"")</f>
        <v>2398</v>
      </c>
      <c r="S1175">
        <f>IFERROR(Table1_1[[#This Row],[Gross_Sales]]*Table1_1[[#This Row],[Discount_%]],"")</f>
        <v>479.6</v>
      </c>
      <c r="T1175">
        <f>IFERROR(Table1_1[[#This Row],[Gross_Sales]]-Table1_1[[#This Row],[Discount_amount]]+Table1_1[[#This Row],[Shipping_Cost]],"")</f>
        <v>2017.4</v>
      </c>
      <c r="U1175">
        <f>IFERROR(Table1_1[[#This Row],[Net_Sale]]-(Table1_1[[#This Row],[Gross_Sales]]*70%),"")</f>
        <v>338.80000000000018</v>
      </c>
      <c r="V1175" s="7">
        <f>IFERROR(Table1_1[[#This Row],[Profit]]/Table1_1[[#This Row],[Net_Sale]],"")</f>
        <v>0.16793893129771001</v>
      </c>
      <c r="W1175" t="str">
        <f>TEXT(Table1_1[[#This Row],[Order_Date]],"mmm")</f>
        <v>Oct</v>
      </c>
    </row>
    <row r="1176" spans="1:23" x14ac:dyDescent="0.25">
      <c r="A1176" t="s">
        <v>1590</v>
      </c>
      <c r="B1176" t="s">
        <v>378</v>
      </c>
      <c r="C1176" s="6">
        <v>45673</v>
      </c>
      <c r="D1176" t="s">
        <v>169</v>
      </c>
      <c r="E1176" t="s">
        <v>170</v>
      </c>
      <c r="F1176" t="s">
        <v>98</v>
      </c>
      <c r="G1176" t="s">
        <v>171</v>
      </c>
      <c r="H1176">
        <v>2</v>
      </c>
      <c r="I1176">
        <v>799</v>
      </c>
      <c r="J1176">
        <v>0</v>
      </c>
      <c r="K1176">
        <v>99</v>
      </c>
      <c r="L1176" t="s">
        <v>119</v>
      </c>
      <c r="M1176" t="s">
        <v>120</v>
      </c>
      <c r="N1176" t="s">
        <v>102</v>
      </c>
      <c r="O1176" t="s">
        <v>59</v>
      </c>
      <c r="P1176" t="s">
        <v>85</v>
      </c>
      <c r="Q1176">
        <v>4</v>
      </c>
      <c r="R1176">
        <f>IFERROR(Table1_1[[#This Row],[Unit_Price]]*Table1_1[[#This Row],[Quantity]],"")</f>
        <v>1598</v>
      </c>
      <c r="S1176">
        <f>IFERROR(Table1_1[[#This Row],[Gross_Sales]]*Table1_1[[#This Row],[Discount_%]],"")</f>
        <v>0</v>
      </c>
      <c r="T1176">
        <f>IFERROR(Table1_1[[#This Row],[Gross_Sales]]-Table1_1[[#This Row],[Discount_amount]]+Table1_1[[#This Row],[Shipping_Cost]],"")</f>
        <v>1697</v>
      </c>
      <c r="U1176">
        <f>IFERROR(Table1_1[[#This Row],[Net_Sale]]-(Table1_1[[#This Row],[Gross_Sales]]*70%),"")</f>
        <v>578.40000000000009</v>
      </c>
      <c r="V1176" s="7">
        <f>IFERROR(Table1_1[[#This Row],[Profit]]/Table1_1[[#This Row],[Net_Sale]],"")</f>
        <v>0.34083677077195057</v>
      </c>
      <c r="W1176" t="str">
        <f>TEXT(Table1_1[[#This Row],[Order_Date]],"mmm")</f>
        <v>Jan</v>
      </c>
    </row>
    <row r="1177" spans="1:23" x14ac:dyDescent="0.25">
      <c r="A1177" t="s">
        <v>1591</v>
      </c>
      <c r="B1177" t="s">
        <v>690</v>
      </c>
      <c r="C1177" s="6">
        <v>45909</v>
      </c>
      <c r="D1177" t="s">
        <v>35</v>
      </c>
      <c r="E1177" t="s">
        <v>36</v>
      </c>
      <c r="F1177" t="s">
        <v>37</v>
      </c>
      <c r="G1177" t="s">
        <v>38</v>
      </c>
      <c r="H1177">
        <v>2</v>
      </c>
      <c r="I1177">
        <v>599</v>
      </c>
      <c r="J1177">
        <v>0</v>
      </c>
      <c r="K1177">
        <v>79</v>
      </c>
      <c r="L1177" t="s">
        <v>48</v>
      </c>
      <c r="M1177" t="s">
        <v>49</v>
      </c>
      <c r="N1177" t="s">
        <v>31</v>
      </c>
      <c r="O1177" t="s">
        <v>59</v>
      </c>
      <c r="P1177" t="s">
        <v>85</v>
      </c>
      <c r="Q1177">
        <v>2</v>
      </c>
      <c r="R1177">
        <f>IFERROR(Table1_1[[#This Row],[Unit_Price]]*Table1_1[[#This Row],[Quantity]],"")</f>
        <v>1198</v>
      </c>
      <c r="S1177">
        <f>IFERROR(Table1_1[[#This Row],[Gross_Sales]]*Table1_1[[#This Row],[Discount_%]],"")</f>
        <v>0</v>
      </c>
      <c r="T1177">
        <f>IFERROR(Table1_1[[#This Row],[Gross_Sales]]-Table1_1[[#This Row],[Discount_amount]]+Table1_1[[#This Row],[Shipping_Cost]],"")</f>
        <v>1277</v>
      </c>
      <c r="U1177">
        <f>IFERROR(Table1_1[[#This Row],[Net_Sale]]-(Table1_1[[#This Row],[Gross_Sales]]*70%),"")</f>
        <v>438.40000000000009</v>
      </c>
      <c r="V1177" s="7">
        <f>IFERROR(Table1_1[[#This Row],[Profit]]/Table1_1[[#This Row],[Net_Sale]],"")</f>
        <v>0.34330462020360225</v>
      </c>
      <c r="W1177" t="str">
        <f>TEXT(Table1_1[[#This Row],[Order_Date]],"mmm")</f>
        <v>Sep</v>
      </c>
    </row>
    <row r="1178" spans="1:23" x14ac:dyDescent="0.25">
      <c r="A1178" t="s">
        <v>1592</v>
      </c>
      <c r="B1178" t="s">
        <v>168</v>
      </c>
      <c r="C1178" s="6">
        <v>45749</v>
      </c>
      <c r="D1178" t="s">
        <v>67</v>
      </c>
      <c r="E1178" t="s">
        <v>68</v>
      </c>
      <c r="F1178" t="s">
        <v>37</v>
      </c>
      <c r="G1178" t="s">
        <v>38</v>
      </c>
      <c r="H1178">
        <v>2</v>
      </c>
      <c r="I1178">
        <v>1299</v>
      </c>
      <c r="J1178">
        <v>0.1</v>
      </c>
      <c r="K1178">
        <v>99</v>
      </c>
      <c r="L1178" t="s">
        <v>29</v>
      </c>
      <c r="M1178" t="s">
        <v>30</v>
      </c>
      <c r="N1178" t="s">
        <v>71</v>
      </c>
      <c r="O1178" t="s">
        <v>41</v>
      </c>
      <c r="P1178" t="s">
        <v>80</v>
      </c>
      <c r="Q1178">
        <v>4</v>
      </c>
      <c r="R1178">
        <f>IFERROR(Table1_1[[#This Row],[Unit_Price]]*Table1_1[[#This Row],[Quantity]],"")</f>
        <v>2598</v>
      </c>
      <c r="S1178">
        <f>IFERROR(Table1_1[[#This Row],[Gross_Sales]]*Table1_1[[#This Row],[Discount_%]],"")</f>
        <v>259.8</v>
      </c>
      <c r="T1178">
        <f>IFERROR(Table1_1[[#This Row],[Gross_Sales]]-Table1_1[[#This Row],[Discount_amount]]+Table1_1[[#This Row],[Shipping_Cost]],"")</f>
        <v>2437.1999999999998</v>
      </c>
      <c r="U1178">
        <f>IFERROR(Table1_1[[#This Row],[Net_Sale]]-(Table1_1[[#This Row],[Gross_Sales]]*70%),"")</f>
        <v>618.59999999999991</v>
      </c>
      <c r="V1178" s="7">
        <f>IFERROR(Table1_1[[#This Row],[Profit]]/Table1_1[[#This Row],[Net_Sale]],"")</f>
        <v>0.25381585425898573</v>
      </c>
      <c r="W1178" t="str">
        <f>TEXT(Table1_1[[#This Row],[Order_Date]],"mmm")</f>
        <v>Apr</v>
      </c>
    </row>
    <row r="1179" spans="1:23" x14ac:dyDescent="0.25">
      <c r="A1179" t="s">
        <v>1593</v>
      </c>
      <c r="B1179" t="s">
        <v>392</v>
      </c>
      <c r="C1179" s="6">
        <v>45843</v>
      </c>
      <c r="D1179" t="s">
        <v>44</v>
      </c>
      <c r="E1179" t="s">
        <v>45</v>
      </c>
      <c r="F1179" t="s">
        <v>46</v>
      </c>
      <c r="G1179" t="s">
        <v>47</v>
      </c>
      <c r="H1179">
        <v>1</v>
      </c>
      <c r="I1179">
        <v>1199</v>
      </c>
      <c r="J1179">
        <v>0.2</v>
      </c>
      <c r="K1179">
        <v>59</v>
      </c>
      <c r="L1179" t="s">
        <v>48</v>
      </c>
      <c r="M1179" t="s">
        <v>49</v>
      </c>
      <c r="N1179" t="s">
        <v>102</v>
      </c>
      <c r="O1179" t="s">
        <v>32</v>
      </c>
      <c r="P1179" t="s">
        <v>80</v>
      </c>
      <c r="Q1179">
        <v>4</v>
      </c>
      <c r="R1179">
        <f>IFERROR(Table1_1[[#This Row],[Unit_Price]]*Table1_1[[#This Row],[Quantity]],"")</f>
        <v>1199</v>
      </c>
      <c r="S1179">
        <f>IFERROR(Table1_1[[#This Row],[Gross_Sales]]*Table1_1[[#This Row],[Discount_%]],"")</f>
        <v>239.8</v>
      </c>
      <c r="T1179">
        <f>IFERROR(Table1_1[[#This Row],[Gross_Sales]]-Table1_1[[#This Row],[Discount_amount]]+Table1_1[[#This Row],[Shipping_Cost]],"")</f>
        <v>1018.2</v>
      </c>
      <c r="U1179">
        <f>IFERROR(Table1_1[[#This Row],[Net_Sale]]-(Table1_1[[#This Row],[Gross_Sales]]*70%),"")</f>
        <v>178.90000000000009</v>
      </c>
      <c r="V1179" s="7">
        <f>IFERROR(Table1_1[[#This Row],[Profit]]/Table1_1[[#This Row],[Net_Sale]],"")</f>
        <v>0.17570221960322147</v>
      </c>
      <c r="W1179" t="str">
        <f>TEXT(Table1_1[[#This Row],[Order_Date]],"mmm")</f>
        <v>Jul</v>
      </c>
    </row>
    <row r="1180" spans="1:23" x14ac:dyDescent="0.25">
      <c r="A1180" t="s">
        <v>1594</v>
      </c>
      <c r="B1180" t="s">
        <v>1534</v>
      </c>
      <c r="C1180" s="6">
        <v>45895</v>
      </c>
      <c r="D1180" t="s">
        <v>67</v>
      </c>
      <c r="E1180" t="s">
        <v>68</v>
      </c>
      <c r="F1180" t="s">
        <v>37</v>
      </c>
      <c r="G1180" t="s">
        <v>38</v>
      </c>
      <c r="H1180">
        <v>2</v>
      </c>
      <c r="I1180">
        <v>1299</v>
      </c>
      <c r="J1180">
        <v>0</v>
      </c>
      <c r="K1180">
        <v>49</v>
      </c>
      <c r="L1180" t="s">
        <v>558</v>
      </c>
      <c r="M1180" t="s">
        <v>58</v>
      </c>
      <c r="N1180" t="s">
        <v>71</v>
      </c>
      <c r="O1180" t="s">
        <v>93</v>
      </c>
      <c r="P1180" t="s">
        <v>52</v>
      </c>
      <c r="Q1180">
        <v>5</v>
      </c>
      <c r="R1180">
        <f>IFERROR(Table1_1[[#This Row],[Unit_Price]]*Table1_1[[#This Row],[Quantity]],"")</f>
        <v>2598</v>
      </c>
      <c r="S1180">
        <f>IFERROR(Table1_1[[#This Row],[Gross_Sales]]*Table1_1[[#This Row],[Discount_%]],"")</f>
        <v>0</v>
      </c>
      <c r="T1180">
        <f>IFERROR(Table1_1[[#This Row],[Gross_Sales]]-Table1_1[[#This Row],[Discount_amount]]+Table1_1[[#This Row],[Shipping_Cost]],"")</f>
        <v>2647</v>
      </c>
      <c r="U1180">
        <f>IFERROR(Table1_1[[#This Row],[Net_Sale]]-(Table1_1[[#This Row],[Gross_Sales]]*70%),"")</f>
        <v>828.40000000000009</v>
      </c>
      <c r="V1180" s="7">
        <f>IFERROR(Table1_1[[#This Row],[Profit]]/Table1_1[[#This Row],[Net_Sale]],"")</f>
        <v>0.31295806573479412</v>
      </c>
      <c r="W1180" t="str">
        <f>TEXT(Table1_1[[#This Row],[Order_Date]],"mmm")</f>
        <v>Aug</v>
      </c>
    </row>
    <row r="1181" spans="1:23" x14ac:dyDescent="0.25">
      <c r="A1181" t="s">
        <v>1595</v>
      </c>
      <c r="B1181" t="s">
        <v>508</v>
      </c>
      <c r="C1181" s="6">
        <v>46007</v>
      </c>
      <c r="D1181" t="s">
        <v>169</v>
      </c>
      <c r="E1181" t="s">
        <v>170</v>
      </c>
      <c r="F1181" t="s">
        <v>98</v>
      </c>
      <c r="G1181" t="s">
        <v>171</v>
      </c>
      <c r="H1181">
        <v>1</v>
      </c>
      <c r="I1181">
        <v>799</v>
      </c>
      <c r="J1181">
        <v>0.2</v>
      </c>
      <c r="K1181">
        <v>79</v>
      </c>
      <c r="L1181" t="s">
        <v>119</v>
      </c>
      <c r="M1181" t="s">
        <v>120</v>
      </c>
      <c r="N1181" t="s">
        <v>40</v>
      </c>
      <c r="O1181" t="s">
        <v>41</v>
      </c>
      <c r="P1181" t="s">
        <v>85</v>
      </c>
      <c r="Q1181">
        <v>3</v>
      </c>
      <c r="R1181">
        <f>IFERROR(Table1_1[[#This Row],[Unit_Price]]*Table1_1[[#This Row],[Quantity]],"")</f>
        <v>799</v>
      </c>
      <c r="S1181">
        <f>IFERROR(Table1_1[[#This Row],[Gross_Sales]]*Table1_1[[#This Row],[Discount_%]],"")</f>
        <v>159.80000000000001</v>
      </c>
      <c r="T1181">
        <f>IFERROR(Table1_1[[#This Row],[Gross_Sales]]-Table1_1[[#This Row],[Discount_amount]]+Table1_1[[#This Row],[Shipping_Cost]],"")</f>
        <v>718.2</v>
      </c>
      <c r="U1181">
        <f>IFERROR(Table1_1[[#This Row],[Net_Sale]]-(Table1_1[[#This Row],[Gross_Sales]]*70%),"")</f>
        <v>158.90000000000009</v>
      </c>
      <c r="V1181" s="7">
        <f>IFERROR(Table1_1[[#This Row],[Profit]]/Table1_1[[#This Row],[Net_Sale]],"")</f>
        <v>0.22124756335282664</v>
      </c>
      <c r="W1181" t="str">
        <f>TEXT(Table1_1[[#This Row],[Order_Date]],"mmm")</f>
        <v>Dec</v>
      </c>
    </row>
    <row r="1182" spans="1:23" x14ac:dyDescent="0.25">
      <c r="A1182" t="s">
        <v>1596</v>
      </c>
      <c r="B1182" t="s">
        <v>168</v>
      </c>
      <c r="C1182" s="6">
        <v>45970</v>
      </c>
      <c r="D1182" t="s">
        <v>35</v>
      </c>
      <c r="E1182" t="s">
        <v>36</v>
      </c>
      <c r="F1182" t="s">
        <v>37</v>
      </c>
      <c r="G1182" t="s">
        <v>38</v>
      </c>
      <c r="H1182">
        <v>1</v>
      </c>
      <c r="I1182">
        <v>599</v>
      </c>
      <c r="J1182">
        <v>0.15</v>
      </c>
      <c r="K1182">
        <v>99</v>
      </c>
      <c r="L1182" t="s">
        <v>125</v>
      </c>
      <c r="M1182" t="s">
        <v>126</v>
      </c>
      <c r="N1182" t="s">
        <v>31</v>
      </c>
      <c r="O1182" t="s">
        <v>51</v>
      </c>
      <c r="P1182" t="s">
        <v>33</v>
      </c>
      <c r="Q1182">
        <v>5</v>
      </c>
      <c r="R1182">
        <f>IFERROR(Table1_1[[#This Row],[Unit_Price]]*Table1_1[[#This Row],[Quantity]],"")</f>
        <v>599</v>
      </c>
      <c r="S1182">
        <f>IFERROR(Table1_1[[#This Row],[Gross_Sales]]*Table1_1[[#This Row],[Discount_%]],"")</f>
        <v>89.85</v>
      </c>
      <c r="T1182">
        <f>IFERROR(Table1_1[[#This Row],[Gross_Sales]]-Table1_1[[#This Row],[Discount_amount]]+Table1_1[[#This Row],[Shipping_Cost]],"")</f>
        <v>608.15</v>
      </c>
      <c r="U1182">
        <f>IFERROR(Table1_1[[#This Row],[Net_Sale]]-(Table1_1[[#This Row],[Gross_Sales]]*70%),"")</f>
        <v>188.85000000000002</v>
      </c>
      <c r="V1182" s="7">
        <f>IFERROR(Table1_1[[#This Row],[Profit]]/Table1_1[[#This Row],[Net_Sale]],"")</f>
        <v>0.31053194113294424</v>
      </c>
      <c r="W1182" t="str">
        <f>TEXT(Table1_1[[#This Row],[Order_Date]],"mmm")</f>
        <v>Nov</v>
      </c>
    </row>
    <row r="1183" spans="1:23" x14ac:dyDescent="0.25">
      <c r="A1183" t="s">
        <v>1597</v>
      </c>
      <c r="B1183" t="s">
        <v>1598</v>
      </c>
      <c r="C1183" s="6">
        <v>45899</v>
      </c>
      <c r="D1183" t="s">
        <v>67</v>
      </c>
      <c r="E1183" t="s">
        <v>68</v>
      </c>
      <c r="F1183" t="s">
        <v>37</v>
      </c>
      <c r="G1183" t="s">
        <v>38</v>
      </c>
      <c r="H1183">
        <v>2</v>
      </c>
      <c r="I1183">
        <v>1299</v>
      </c>
      <c r="J1183">
        <v>0</v>
      </c>
      <c r="K1183">
        <v>99</v>
      </c>
      <c r="L1183" t="s">
        <v>100</v>
      </c>
      <c r="M1183" t="s">
        <v>101</v>
      </c>
      <c r="N1183" t="s">
        <v>102</v>
      </c>
      <c r="O1183" t="s">
        <v>32</v>
      </c>
      <c r="P1183" t="s">
        <v>33</v>
      </c>
      <c r="Q1183">
        <v>3</v>
      </c>
      <c r="R1183">
        <f>IFERROR(Table1_1[[#This Row],[Unit_Price]]*Table1_1[[#This Row],[Quantity]],"")</f>
        <v>2598</v>
      </c>
      <c r="S1183">
        <f>IFERROR(Table1_1[[#This Row],[Gross_Sales]]*Table1_1[[#This Row],[Discount_%]],"")</f>
        <v>0</v>
      </c>
      <c r="T1183">
        <f>IFERROR(Table1_1[[#This Row],[Gross_Sales]]-Table1_1[[#This Row],[Discount_amount]]+Table1_1[[#This Row],[Shipping_Cost]],"")</f>
        <v>2697</v>
      </c>
      <c r="U1183">
        <f>IFERROR(Table1_1[[#This Row],[Net_Sale]]-(Table1_1[[#This Row],[Gross_Sales]]*70%),"")</f>
        <v>878.40000000000009</v>
      </c>
      <c r="V1183" s="7">
        <f>IFERROR(Table1_1[[#This Row],[Profit]]/Table1_1[[#This Row],[Net_Sale]],"")</f>
        <v>0.32569521690767522</v>
      </c>
      <c r="W1183" t="str">
        <f>TEXT(Table1_1[[#This Row],[Order_Date]],"mmm")</f>
        <v>Aug</v>
      </c>
    </row>
    <row r="1184" spans="1:23" x14ac:dyDescent="0.25">
      <c r="A1184" t="s">
        <v>1599</v>
      </c>
      <c r="B1184" t="s">
        <v>697</v>
      </c>
      <c r="C1184" s="6">
        <v>45780</v>
      </c>
      <c r="D1184" t="s">
        <v>67</v>
      </c>
      <c r="E1184" t="s">
        <v>68</v>
      </c>
      <c r="F1184" t="s">
        <v>37</v>
      </c>
      <c r="G1184" t="s">
        <v>38</v>
      </c>
      <c r="H1184">
        <v>2</v>
      </c>
      <c r="I1184">
        <v>2017</v>
      </c>
      <c r="J1184">
        <v>0</v>
      </c>
      <c r="K1184">
        <v>59</v>
      </c>
      <c r="L1184" t="s">
        <v>100</v>
      </c>
      <c r="M1184" t="s">
        <v>101</v>
      </c>
      <c r="N1184" t="s">
        <v>71</v>
      </c>
      <c r="O1184" t="s">
        <v>93</v>
      </c>
      <c r="P1184" t="s">
        <v>80</v>
      </c>
      <c r="Q1184">
        <v>1</v>
      </c>
      <c r="R1184">
        <f>IFERROR(Table1_1[[#This Row],[Unit_Price]]*Table1_1[[#This Row],[Quantity]],"")</f>
        <v>4034</v>
      </c>
      <c r="S1184">
        <f>IFERROR(Table1_1[[#This Row],[Gross_Sales]]*Table1_1[[#This Row],[Discount_%]],"")</f>
        <v>0</v>
      </c>
      <c r="T1184">
        <f>IFERROR(Table1_1[[#This Row],[Gross_Sales]]-Table1_1[[#This Row],[Discount_amount]]+Table1_1[[#This Row],[Shipping_Cost]],"")</f>
        <v>4093</v>
      </c>
      <c r="U1184">
        <f>IFERROR(Table1_1[[#This Row],[Net_Sale]]-(Table1_1[[#This Row],[Gross_Sales]]*70%),"")</f>
        <v>1269.2000000000003</v>
      </c>
      <c r="V1184" s="7">
        <f>IFERROR(Table1_1[[#This Row],[Profit]]/Table1_1[[#This Row],[Net_Sale]],"")</f>
        <v>0.31009039824089918</v>
      </c>
      <c r="W1184" t="str">
        <f>TEXT(Table1_1[[#This Row],[Order_Date]],"mmm")</f>
        <v>May</v>
      </c>
    </row>
    <row r="1185" spans="1:23" x14ac:dyDescent="0.25">
      <c r="A1185" t="s">
        <v>1600</v>
      </c>
      <c r="B1185" t="s">
        <v>198</v>
      </c>
      <c r="C1185" s="6">
        <v>45783</v>
      </c>
      <c r="D1185" t="s">
        <v>67</v>
      </c>
      <c r="E1185" t="s">
        <v>68</v>
      </c>
      <c r="F1185" t="s">
        <v>37</v>
      </c>
      <c r="G1185" t="s">
        <v>38</v>
      </c>
      <c r="H1185">
        <v>2</v>
      </c>
      <c r="I1185">
        <v>1299</v>
      </c>
      <c r="J1185">
        <v>0</v>
      </c>
      <c r="K1185">
        <v>49</v>
      </c>
      <c r="L1185" t="s">
        <v>125</v>
      </c>
      <c r="M1185" t="s">
        <v>126</v>
      </c>
      <c r="N1185" t="s">
        <v>102</v>
      </c>
      <c r="O1185" t="s">
        <v>93</v>
      </c>
      <c r="P1185" t="s">
        <v>52</v>
      </c>
      <c r="Q1185">
        <v>3</v>
      </c>
      <c r="R1185">
        <f>IFERROR(Table1_1[[#This Row],[Unit_Price]]*Table1_1[[#This Row],[Quantity]],"")</f>
        <v>2598</v>
      </c>
      <c r="S1185">
        <f>IFERROR(Table1_1[[#This Row],[Gross_Sales]]*Table1_1[[#This Row],[Discount_%]],"")</f>
        <v>0</v>
      </c>
      <c r="T1185">
        <f>IFERROR(Table1_1[[#This Row],[Gross_Sales]]-Table1_1[[#This Row],[Discount_amount]]+Table1_1[[#This Row],[Shipping_Cost]],"")</f>
        <v>2647</v>
      </c>
      <c r="U1185">
        <f>IFERROR(Table1_1[[#This Row],[Net_Sale]]-(Table1_1[[#This Row],[Gross_Sales]]*70%),"")</f>
        <v>828.40000000000009</v>
      </c>
      <c r="V1185" s="7">
        <f>IFERROR(Table1_1[[#This Row],[Profit]]/Table1_1[[#This Row],[Net_Sale]],"")</f>
        <v>0.31295806573479412</v>
      </c>
      <c r="W1185" t="str">
        <f>TEXT(Table1_1[[#This Row],[Order_Date]],"mmm")</f>
        <v>May</v>
      </c>
    </row>
    <row r="1186" spans="1:23" x14ac:dyDescent="0.25">
      <c r="A1186" t="s">
        <v>1601</v>
      </c>
      <c r="B1186" t="s">
        <v>381</v>
      </c>
      <c r="C1186" s="6">
        <v>45739</v>
      </c>
      <c r="D1186" t="s">
        <v>44</v>
      </c>
      <c r="E1186" t="s">
        <v>45</v>
      </c>
      <c r="F1186" t="s">
        <v>46</v>
      </c>
      <c r="G1186" t="s">
        <v>47</v>
      </c>
      <c r="H1186">
        <v>3</v>
      </c>
      <c r="I1186">
        <v>1199</v>
      </c>
      <c r="J1186">
        <v>0</v>
      </c>
      <c r="K1186">
        <v>0</v>
      </c>
      <c r="L1186" t="s">
        <v>74</v>
      </c>
      <c r="M1186" t="s">
        <v>49</v>
      </c>
      <c r="N1186" t="s">
        <v>40</v>
      </c>
      <c r="O1186" t="s">
        <v>32</v>
      </c>
      <c r="P1186" t="s">
        <v>80</v>
      </c>
      <c r="Q1186">
        <v>4</v>
      </c>
      <c r="R1186">
        <f>IFERROR(Table1_1[[#This Row],[Unit_Price]]*Table1_1[[#This Row],[Quantity]],"")</f>
        <v>3597</v>
      </c>
      <c r="S1186">
        <f>IFERROR(Table1_1[[#This Row],[Gross_Sales]]*Table1_1[[#This Row],[Discount_%]],"")</f>
        <v>0</v>
      </c>
      <c r="T1186">
        <f>IFERROR(Table1_1[[#This Row],[Gross_Sales]]-Table1_1[[#This Row],[Discount_amount]]+Table1_1[[#This Row],[Shipping_Cost]],"")</f>
        <v>3597</v>
      </c>
      <c r="U1186">
        <f>IFERROR(Table1_1[[#This Row],[Net_Sale]]-(Table1_1[[#This Row],[Gross_Sales]]*70%),"")</f>
        <v>1079.1000000000004</v>
      </c>
      <c r="V1186" s="7">
        <f>IFERROR(Table1_1[[#This Row],[Profit]]/Table1_1[[#This Row],[Net_Sale]],"")</f>
        <v>0.3000000000000001</v>
      </c>
      <c r="W1186" t="str">
        <f>TEXT(Table1_1[[#This Row],[Order_Date]],"mmm")</f>
        <v>Mar</v>
      </c>
    </row>
    <row r="1187" spans="1:23" x14ac:dyDescent="0.25">
      <c r="A1187" t="s">
        <v>1602</v>
      </c>
      <c r="B1187" t="s">
        <v>224</v>
      </c>
      <c r="C1187" s="6">
        <v>45791</v>
      </c>
      <c r="D1187" t="s">
        <v>96</v>
      </c>
      <c r="E1187" t="s">
        <v>97</v>
      </c>
      <c r="F1187" t="s">
        <v>98</v>
      </c>
      <c r="G1187" t="s">
        <v>99</v>
      </c>
      <c r="H1187">
        <v>3</v>
      </c>
      <c r="I1187">
        <v>1499</v>
      </c>
      <c r="J1187">
        <v>0.2</v>
      </c>
      <c r="K1187">
        <v>99</v>
      </c>
      <c r="L1187" t="s">
        <v>29</v>
      </c>
      <c r="M1187" t="s">
        <v>30</v>
      </c>
      <c r="N1187" t="s">
        <v>31</v>
      </c>
      <c r="O1187" t="s">
        <v>59</v>
      </c>
      <c r="P1187" t="s">
        <v>33</v>
      </c>
      <c r="Q1187">
        <v>4</v>
      </c>
      <c r="R1187">
        <f>IFERROR(Table1_1[[#This Row],[Unit_Price]]*Table1_1[[#This Row],[Quantity]],"")</f>
        <v>4497</v>
      </c>
      <c r="S1187">
        <f>IFERROR(Table1_1[[#This Row],[Gross_Sales]]*Table1_1[[#This Row],[Discount_%]],"")</f>
        <v>899.40000000000009</v>
      </c>
      <c r="T1187">
        <f>IFERROR(Table1_1[[#This Row],[Gross_Sales]]-Table1_1[[#This Row],[Discount_amount]]+Table1_1[[#This Row],[Shipping_Cost]],"")</f>
        <v>3696.6</v>
      </c>
      <c r="U1187">
        <f>IFERROR(Table1_1[[#This Row],[Net_Sale]]-(Table1_1[[#This Row],[Gross_Sales]]*70%),"")</f>
        <v>548.70000000000027</v>
      </c>
      <c r="V1187" s="7">
        <f>IFERROR(Table1_1[[#This Row],[Profit]]/Table1_1[[#This Row],[Net_Sale]],"")</f>
        <v>0.14843369582859933</v>
      </c>
      <c r="W1187" t="str">
        <f>TEXT(Table1_1[[#This Row],[Order_Date]],"mmm")</f>
        <v>May</v>
      </c>
    </row>
    <row r="1188" spans="1:23" x14ac:dyDescent="0.25">
      <c r="A1188" t="s">
        <v>1603</v>
      </c>
      <c r="B1188" t="s">
        <v>164</v>
      </c>
      <c r="C1188" s="6">
        <v>45861</v>
      </c>
      <c r="D1188" t="s">
        <v>77</v>
      </c>
      <c r="E1188" t="s">
        <v>78</v>
      </c>
      <c r="F1188" t="s">
        <v>79</v>
      </c>
      <c r="G1188" t="s">
        <v>28</v>
      </c>
      <c r="H1188">
        <v>1</v>
      </c>
      <c r="I1188">
        <v>6499</v>
      </c>
      <c r="J1188">
        <v>0.05</v>
      </c>
      <c r="K1188">
        <v>79</v>
      </c>
      <c r="L1188" t="s">
        <v>39</v>
      </c>
      <c r="M1188" t="s">
        <v>39</v>
      </c>
      <c r="N1188" t="s">
        <v>40</v>
      </c>
      <c r="O1188" t="s">
        <v>59</v>
      </c>
      <c r="P1188" t="s">
        <v>33</v>
      </c>
      <c r="Q1188">
        <v>3</v>
      </c>
      <c r="R1188">
        <f>IFERROR(Table1_1[[#This Row],[Unit_Price]]*Table1_1[[#This Row],[Quantity]],"")</f>
        <v>6499</v>
      </c>
      <c r="S1188">
        <f>IFERROR(Table1_1[[#This Row],[Gross_Sales]]*Table1_1[[#This Row],[Discount_%]],"")</f>
        <v>324.95000000000005</v>
      </c>
      <c r="T1188">
        <f>IFERROR(Table1_1[[#This Row],[Gross_Sales]]-Table1_1[[#This Row],[Discount_amount]]+Table1_1[[#This Row],[Shipping_Cost]],"")</f>
        <v>6253.05</v>
      </c>
      <c r="U1188">
        <f>IFERROR(Table1_1[[#This Row],[Net_Sale]]-(Table1_1[[#This Row],[Gross_Sales]]*70%),"")</f>
        <v>1703.7500000000009</v>
      </c>
      <c r="V1188" s="7">
        <f>IFERROR(Table1_1[[#This Row],[Profit]]/Table1_1[[#This Row],[Net_Sale]],"")</f>
        <v>0.27246703608639</v>
      </c>
      <c r="W1188" t="str">
        <f>TEXT(Table1_1[[#This Row],[Order_Date]],"mmm")</f>
        <v>Jul</v>
      </c>
    </row>
    <row r="1189" spans="1:23" x14ac:dyDescent="0.25">
      <c r="A1189" t="s">
        <v>1604</v>
      </c>
      <c r="B1189" t="s">
        <v>842</v>
      </c>
      <c r="C1189" s="6">
        <v>45792</v>
      </c>
      <c r="D1189" t="s">
        <v>55</v>
      </c>
      <c r="E1189" t="s">
        <v>56</v>
      </c>
      <c r="F1189" t="s">
        <v>37</v>
      </c>
      <c r="G1189" t="s">
        <v>38</v>
      </c>
      <c r="H1189">
        <v>1</v>
      </c>
      <c r="I1189">
        <v>2499</v>
      </c>
      <c r="J1189">
        <v>0.2</v>
      </c>
      <c r="K1189">
        <v>49</v>
      </c>
      <c r="L1189" t="s">
        <v>29</v>
      </c>
      <c r="M1189" t="s">
        <v>30</v>
      </c>
      <c r="N1189" t="s">
        <v>40</v>
      </c>
      <c r="O1189" t="s">
        <v>51</v>
      </c>
      <c r="P1189" t="s">
        <v>33</v>
      </c>
      <c r="Q1189">
        <v>2</v>
      </c>
      <c r="R1189">
        <f>IFERROR(Table1_1[[#This Row],[Unit_Price]]*Table1_1[[#This Row],[Quantity]],"")</f>
        <v>2499</v>
      </c>
      <c r="S1189">
        <f>IFERROR(Table1_1[[#This Row],[Gross_Sales]]*Table1_1[[#This Row],[Discount_%]],"")</f>
        <v>499.8</v>
      </c>
      <c r="T1189">
        <f>IFERROR(Table1_1[[#This Row],[Gross_Sales]]-Table1_1[[#This Row],[Discount_amount]]+Table1_1[[#This Row],[Shipping_Cost]],"")</f>
        <v>2048.1999999999998</v>
      </c>
      <c r="U1189">
        <f>IFERROR(Table1_1[[#This Row],[Net_Sale]]-(Table1_1[[#This Row],[Gross_Sales]]*70%),"")</f>
        <v>298.89999999999986</v>
      </c>
      <c r="V1189" s="7">
        <f>IFERROR(Table1_1[[#This Row],[Profit]]/Table1_1[[#This Row],[Net_Sale]],"")</f>
        <v>0.14593301435406694</v>
      </c>
      <c r="W1189" t="str">
        <f>TEXT(Table1_1[[#This Row],[Order_Date]],"mmm")</f>
        <v>May</v>
      </c>
    </row>
    <row r="1190" spans="1:23" x14ac:dyDescent="0.25">
      <c r="A1190" t="s">
        <v>1605</v>
      </c>
      <c r="B1190" t="s">
        <v>707</v>
      </c>
      <c r="C1190" s="6">
        <v>45707</v>
      </c>
      <c r="D1190" t="s">
        <v>67</v>
      </c>
      <c r="E1190" t="s">
        <v>68</v>
      </c>
      <c r="F1190" t="s">
        <v>37</v>
      </c>
      <c r="G1190" t="s">
        <v>38</v>
      </c>
      <c r="H1190">
        <v>1</v>
      </c>
      <c r="I1190">
        <v>1299</v>
      </c>
      <c r="J1190">
        <v>0</v>
      </c>
      <c r="K1190">
        <v>79</v>
      </c>
      <c r="L1190" t="s">
        <v>119</v>
      </c>
      <c r="M1190" t="s">
        <v>120</v>
      </c>
      <c r="N1190" t="s">
        <v>50</v>
      </c>
      <c r="O1190" t="s">
        <v>51</v>
      </c>
      <c r="P1190" t="s">
        <v>80</v>
      </c>
      <c r="Q1190">
        <v>3</v>
      </c>
      <c r="R1190">
        <f>IFERROR(Table1_1[[#This Row],[Unit_Price]]*Table1_1[[#This Row],[Quantity]],"")</f>
        <v>1299</v>
      </c>
      <c r="S1190">
        <f>IFERROR(Table1_1[[#This Row],[Gross_Sales]]*Table1_1[[#This Row],[Discount_%]],"")</f>
        <v>0</v>
      </c>
      <c r="T1190">
        <f>IFERROR(Table1_1[[#This Row],[Gross_Sales]]-Table1_1[[#This Row],[Discount_amount]]+Table1_1[[#This Row],[Shipping_Cost]],"")</f>
        <v>1378</v>
      </c>
      <c r="U1190">
        <f>IFERROR(Table1_1[[#This Row],[Net_Sale]]-(Table1_1[[#This Row],[Gross_Sales]]*70%),"")</f>
        <v>468.70000000000005</v>
      </c>
      <c r="V1190" s="7">
        <f>IFERROR(Table1_1[[#This Row],[Profit]]/Table1_1[[#This Row],[Net_Sale]],"")</f>
        <v>0.3401306240928883</v>
      </c>
      <c r="W1190" t="str">
        <f>TEXT(Table1_1[[#This Row],[Order_Date]],"mmm")</f>
        <v>Feb</v>
      </c>
    </row>
    <row r="1191" spans="1:23" x14ac:dyDescent="0.25">
      <c r="A1191" t="s">
        <v>1606</v>
      </c>
      <c r="B1191" t="s">
        <v>1370</v>
      </c>
      <c r="C1191" s="6">
        <v>45888</v>
      </c>
      <c r="D1191" t="s">
        <v>110</v>
      </c>
      <c r="E1191" t="s">
        <v>111</v>
      </c>
      <c r="F1191" t="s">
        <v>98</v>
      </c>
      <c r="G1191" t="s">
        <v>112</v>
      </c>
      <c r="H1191">
        <v>1</v>
      </c>
      <c r="I1191">
        <v>2999</v>
      </c>
      <c r="J1191">
        <v>0.05</v>
      </c>
      <c r="K1191">
        <v>99</v>
      </c>
      <c r="L1191" t="s">
        <v>119</v>
      </c>
      <c r="M1191" t="s">
        <v>120</v>
      </c>
      <c r="N1191" t="s">
        <v>50</v>
      </c>
      <c r="O1191" t="s">
        <v>41</v>
      </c>
      <c r="P1191" t="s">
        <v>85</v>
      </c>
      <c r="Q1191">
        <v>5</v>
      </c>
      <c r="R1191">
        <f>IFERROR(Table1_1[[#This Row],[Unit_Price]]*Table1_1[[#This Row],[Quantity]],"")</f>
        <v>2999</v>
      </c>
      <c r="S1191">
        <f>IFERROR(Table1_1[[#This Row],[Gross_Sales]]*Table1_1[[#This Row],[Discount_%]],"")</f>
        <v>149.95000000000002</v>
      </c>
      <c r="T1191">
        <f>IFERROR(Table1_1[[#This Row],[Gross_Sales]]-Table1_1[[#This Row],[Discount_amount]]+Table1_1[[#This Row],[Shipping_Cost]],"")</f>
        <v>2948.05</v>
      </c>
      <c r="U1191">
        <f>IFERROR(Table1_1[[#This Row],[Net_Sale]]-(Table1_1[[#This Row],[Gross_Sales]]*70%),"")</f>
        <v>848.75000000000045</v>
      </c>
      <c r="V1191" s="7">
        <f>IFERROR(Table1_1[[#This Row],[Profit]]/Table1_1[[#This Row],[Net_Sale]],"")</f>
        <v>0.28790217262258117</v>
      </c>
      <c r="W1191" t="str">
        <f>TEXT(Table1_1[[#This Row],[Order_Date]],"mmm")</f>
        <v>Aug</v>
      </c>
    </row>
    <row r="1192" spans="1:23" x14ac:dyDescent="0.25">
      <c r="A1192" t="s">
        <v>1607</v>
      </c>
      <c r="B1192" t="s">
        <v>158</v>
      </c>
      <c r="C1192" s="6">
        <v>45847</v>
      </c>
      <c r="D1192" t="s">
        <v>110</v>
      </c>
      <c r="E1192" t="s">
        <v>111</v>
      </c>
      <c r="F1192" t="s">
        <v>98</v>
      </c>
      <c r="G1192" t="s">
        <v>112</v>
      </c>
      <c r="H1192">
        <v>1</v>
      </c>
      <c r="I1192">
        <v>2999</v>
      </c>
      <c r="J1192">
        <v>0.05</v>
      </c>
      <c r="K1192">
        <v>59</v>
      </c>
      <c r="L1192" t="s">
        <v>39</v>
      </c>
      <c r="M1192" t="s">
        <v>39</v>
      </c>
      <c r="N1192" t="s">
        <v>102</v>
      </c>
      <c r="O1192" t="s">
        <v>51</v>
      </c>
      <c r="P1192" t="s">
        <v>80</v>
      </c>
      <c r="Q1192">
        <v>4</v>
      </c>
      <c r="R1192">
        <f>IFERROR(Table1_1[[#This Row],[Unit_Price]]*Table1_1[[#This Row],[Quantity]],"")</f>
        <v>2999</v>
      </c>
      <c r="S1192">
        <f>IFERROR(Table1_1[[#This Row],[Gross_Sales]]*Table1_1[[#This Row],[Discount_%]],"")</f>
        <v>149.95000000000002</v>
      </c>
      <c r="T1192">
        <f>IFERROR(Table1_1[[#This Row],[Gross_Sales]]-Table1_1[[#This Row],[Discount_amount]]+Table1_1[[#This Row],[Shipping_Cost]],"")</f>
        <v>2908.05</v>
      </c>
      <c r="U1192">
        <f>IFERROR(Table1_1[[#This Row],[Net_Sale]]-(Table1_1[[#This Row],[Gross_Sales]]*70%),"")</f>
        <v>808.75000000000045</v>
      </c>
      <c r="V1192" s="7">
        <f>IFERROR(Table1_1[[#This Row],[Profit]]/Table1_1[[#This Row],[Net_Sale]],"")</f>
        <v>0.27810732277643108</v>
      </c>
      <c r="W1192" t="str">
        <f>TEXT(Table1_1[[#This Row],[Order_Date]],"mmm")</f>
        <v>Jul</v>
      </c>
    </row>
    <row r="1193" spans="1:23" x14ac:dyDescent="0.25">
      <c r="A1193" t="s">
        <v>1608</v>
      </c>
      <c r="B1193" t="s">
        <v>252</v>
      </c>
      <c r="C1193" s="6">
        <v>45737</v>
      </c>
      <c r="D1193" t="s">
        <v>77</v>
      </c>
      <c r="E1193" t="s">
        <v>78</v>
      </c>
      <c r="F1193" t="s">
        <v>79</v>
      </c>
      <c r="G1193" t="s">
        <v>28</v>
      </c>
      <c r="H1193">
        <v>2</v>
      </c>
      <c r="I1193">
        <v>6499</v>
      </c>
      <c r="J1193">
        <v>0</v>
      </c>
      <c r="K1193">
        <v>49</v>
      </c>
      <c r="L1193" t="s">
        <v>119</v>
      </c>
      <c r="M1193" t="s">
        <v>120</v>
      </c>
      <c r="N1193" t="s">
        <v>40</v>
      </c>
      <c r="O1193" t="s">
        <v>51</v>
      </c>
      <c r="P1193" t="s">
        <v>80</v>
      </c>
      <c r="Q1193">
        <v>3</v>
      </c>
      <c r="R1193">
        <f>IFERROR(Table1_1[[#This Row],[Unit_Price]]*Table1_1[[#This Row],[Quantity]],"")</f>
        <v>12998</v>
      </c>
      <c r="S1193">
        <f>IFERROR(Table1_1[[#This Row],[Gross_Sales]]*Table1_1[[#This Row],[Discount_%]],"")</f>
        <v>0</v>
      </c>
      <c r="T1193">
        <f>IFERROR(Table1_1[[#This Row],[Gross_Sales]]-Table1_1[[#This Row],[Discount_amount]]+Table1_1[[#This Row],[Shipping_Cost]],"")</f>
        <v>13047</v>
      </c>
      <c r="U1193">
        <f>IFERROR(Table1_1[[#This Row],[Net_Sale]]-(Table1_1[[#This Row],[Gross_Sales]]*70%),"")</f>
        <v>3948.4000000000015</v>
      </c>
      <c r="V1193" s="7">
        <f>IFERROR(Table1_1[[#This Row],[Profit]]/Table1_1[[#This Row],[Net_Sale]],"")</f>
        <v>0.30262895684831775</v>
      </c>
      <c r="W1193" t="str">
        <f>TEXT(Table1_1[[#This Row],[Order_Date]],"mmm")</f>
        <v>Mar</v>
      </c>
    </row>
    <row r="1194" spans="1:23" x14ac:dyDescent="0.25">
      <c r="A1194" t="s">
        <v>1609</v>
      </c>
      <c r="B1194" t="s">
        <v>166</v>
      </c>
      <c r="C1194" s="6">
        <v>45956</v>
      </c>
      <c r="D1194" t="s">
        <v>67</v>
      </c>
      <c r="E1194" t="s">
        <v>68</v>
      </c>
      <c r="F1194" t="s">
        <v>37</v>
      </c>
      <c r="G1194" t="s">
        <v>38</v>
      </c>
      <c r="H1194">
        <v>3</v>
      </c>
      <c r="I1194">
        <v>1299</v>
      </c>
      <c r="J1194">
        <v>0</v>
      </c>
      <c r="K1194">
        <v>59</v>
      </c>
      <c r="L1194" t="s">
        <v>39</v>
      </c>
      <c r="M1194" t="s">
        <v>39</v>
      </c>
      <c r="N1194" t="s">
        <v>102</v>
      </c>
      <c r="O1194" t="s">
        <v>32</v>
      </c>
      <c r="P1194" t="s">
        <v>85</v>
      </c>
      <c r="Q1194">
        <v>4</v>
      </c>
      <c r="R1194">
        <f>IFERROR(Table1_1[[#This Row],[Unit_Price]]*Table1_1[[#This Row],[Quantity]],"")</f>
        <v>3897</v>
      </c>
      <c r="S1194">
        <f>IFERROR(Table1_1[[#This Row],[Gross_Sales]]*Table1_1[[#This Row],[Discount_%]],"")</f>
        <v>0</v>
      </c>
      <c r="T1194">
        <f>IFERROR(Table1_1[[#This Row],[Gross_Sales]]-Table1_1[[#This Row],[Discount_amount]]+Table1_1[[#This Row],[Shipping_Cost]],"")</f>
        <v>3956</v>
      </c>
      <c r="U1194">
        <f>IFERROR(Table1_1[[#This Row],[Net_Sale]]-(Table1_1[[#This Row],[Gross_Sales]]*70%),"")</f>
        <v>1228.1000000000004</v>
      </c>
      <c r="V1194" s="7">
        <f>IFERROR(Table1_1[[#This Row],[Profit]]/Table1_1[[#This Row],[Net_Sale]],"")</f>
        <v>0.31043983822042476</v>
      </c>
      <c r="W1194" t="str">
        <f>TEXT(Table1_1[[#This Row],[Order_Date]],"mmm")</f>
        <v>Oct</v>
      </c>
    </row>
    <row r="1195" spans="1:23" x14ac:dyDescent="0.25">
      <c r="A1195" t="s">
        <v>1610</v>
      </c>
      <c r="B1195" t="s">
        <v>623</v>
      </c>
      <c r="C1195" s="6">
        <v>45834</v>
      </c>
      <c r="D1195" t="s">
        <v>90</v>
      </c>
      <c r="E1195" t="s">
        <v>91</v>
      </c>
      <c r="F1195" t="s">
        <v>37</v>
      </c>
      <c r="G1195" t="s">
        <v>92</v>
      </c>
      <c r="H1195">
        <v>4</v>
      </c>
      <c r="I1195">
        <v>3499</v>
      </c>
      <c r="J1195">
        <v>0.15</v>
      </c>
      <c r="K1195">
        <v>59</v>
      </c>
      <c r="L1195" t="s">
        <v>125</v>
      </c>
      <c r="M1195" t="s">
        <v>126</v>
      </c>
      <c r="N1195" t="s">
        <v>71</v>
      </c>
      <c r="O1195" t="s">
        <v>59</v>
      </c>
      <c r="P1195" t="s">
        <v>85</v>
      </c>
      <c r="Q1195">
        <v>3</v>
      </c>
      <c r="R1195">
        <f>IFERROR(Table1_1[[#This Row],[Unit_Price]]*Table1_1[[#This Row],[Quantity]],"")</f>
        <v>13996</v>
      </c>
      <c r="S1195">
        <f>IFERROR(Table1_1[[#This Row],[Gross_Sales]]*Table1_1[[#This Row],[Discount_%]],"")</f>
        <v>2099.4</v>
      </c>
      <c r="T1195">
        <f>IFERROR(Table1_1[[#This Row],[Gross_Sales]]-Table1_1[[#This Row],[Discount_amount]]+Table1_1[[#This Row],[Shipping_Cost]],"")</f>
        <v>11955.6</v>
      </c>
      <c r="U1195">
        <f>IFERROR(Table1_1[[#This Row],[Net_Sale]]-(Table1_1[[#This Row],[Gross_Sales]]*70%),"")</f>
        <v>2158.4000000000015</v>
      </c>
      <c r="V1195" s="7">
        <f>IFERROR(Table1_1[[#This Row],[Profit]]/Table1_1[[#This Row],[Net_Sale]],"")</f>
        <v>0.1805346448526215</v>
      </c>
      <c r="W1195" t="str">
        <f>TEXT(Table1_1[[#This Row],[Order_Date]],"mmm")</f>
        <v>Jun</v>
      </c>
    </row>
    <row r="1196" spans="1:23" x14ac:dyDescent="0.25">
      <c r="A1196" t="s">
        <v>1611</v>
      </c>
      <c r="B1196" t="s">
        <v>986</v>
      </c>
      <c r="C1196" s="6">
        <v>45904</v>
      </c>
      <c r="D1196" t="s">
        <v>90</v>
      </c>
      <c r="E1196" t="s">
        <v>91</v>
      </c>
      <c r="F1196" t="s">
        <v>37</v>
      </c>
      <c r="G1196" t="s">
        <v>92</v>
      </c>
      <c r="H1196">
        <v>3</v>
      </c>
      <c r="I1196">
        <v>3499</v>
      </c>
      <c r="J1196">
        <v>0</v>
      </c>
      <c r="K1196">
        <v>0</v>
      </c>
      <c r="L1196" t="s">
        <v>100</v>
      </c>
      <c r="M1196" t="s">
        <v>101</v>
      </c>
      <c r="N1196" t="s">
        <v>50</v>
      </c>
      <c r="O1196" t="s">
        <v>51</v>
      </c>
      <c r="P1196" t="s">
        <v>52</v>
      </c>
      <c r="Q1196">
        <v>2</v>
      </c>
      <c r="R1196">
        <f>IFERROR(Table1_1[[#This Row],[Unit_Price]]*Table1_1[[#This Row],[Quantity]],"")</f>
        <v>10497</v>
      </c>
      <c r="S1196">
        <f>IFERROR(Table1_1[[#This Row],[Gross_Sales]]*Table1_1[[#This Row],[Discount_%]],"")</f>
        <v>0</v>
      </c>
      <c r="T1196">
        <f>IFERROR(Table1_1[[#This Row],[Gross_Sales]]-Table1_1[[#This Row],[Discount_amount]]+Table1_1[[#This Row],[Shipping_Cost]],"")</f>
        <v>10497</v>
      </c>
      <c r="U1196">
        <f>IFERROR(Table1_1[[#This Row],[Net_Sale]]-(Table1_1[[#This Row],[Gross_Sales]]*70%),"")</f>
        <v>3149.1000000000004</v>
      </c>
      <c r="V1196" s="7">
        <f>IFERROR(Table1_1[[#This Row],[Profit]]/Table1_1[[#This Row],[Net_Sale]],"")</f>
        <v>0.30000000000000004</v>
      </c>
      <c r="W1196" t="str">
        <f>TEXT(Table1_1[[#This Row],[Order_Date]],"mmm")</f>
        <v>Sep</v>
      </c>
    </row>
    <row r="1197" spans="1:23" x14ac:dyDescent="0.25">
      <c r="A1197" t="s">
        <v>1612</v>
      </c>
      <c r="B1197" t="s">
        <v>173</v>
      </c>
      <c r="C1197" s="6">
        <v>45719</v>
      </c>
      <c r="D1197" t="s">
        <v>67</v>
      </c>
      <c r="E1197" t="s">
        <v>68</v>
      </c>
      <c r="F1197" t="s">
        <v>37</v>
      </c>
      <c r="G1197" t="s">
        <v>38</v>
      </c>
      <c r="H1197">
        <v>1</v>
      </c>
      <c r="I1197">
        <v>1299</v>
      </c>
      <c r="J1197">
        <v>0.1</v>
      </c>
      <c r="K1197">
        <v>79</v>
      </c>
      <c r="L1197" t="s">
        <v>100</v>
      </c>
      <c r="M1197" t="s">
        <v>101</v>
      </c>
      <c r="N1197" t="s">
        <v>31</v>
      </c>
      <c r="O1197" t="s">
        <v>32</v>
      </c>
      <c r="P1197" t="s">
        <v>33</v>
      </c>
      <c r="Q1197">
        <v>2</v>
      </c>
      <c r="R1197">
        <f>IFERROR(Table1_1[[#This Row],[Unit_Price]]*Table1_1[[#This Row],[Quantity]],"")</f>
        <v>1299</v>
      </c>
      <c r="S1197">
        <f>IFERROR(Table1_1[[#This Row],[Gross_Sales]]*Table1_1[[#This Row],[Discount_%]],"")</f>
        <v>129.9</v>
      </c>
      <c r="T1197">
        <f>IFERROR(Table1_1[[#This Row],[Gross_Sales]]-Table1_1[[#This Row],[Discount_amount]]+Table1_1[[#This Row],[Shipping_Cost]],"")</f>
        <v>1248.0999999999999</v>
      </c>
      <c r="U1197">
        <f>IFERROR(Table1_1[[#This Row],[Net_Sale]]-(Table1_1[[#This Row],[Gross_Sales]]*70%),"")</f>
        <v>338.79999999999995</v>
      </c>
      <c r="V1197" s="7">
        <f>IFERROR(Table1_1[[#This Row],[Profit]]/Table1_1[[#This Row],[Net_Sale]],"")</f>
        <v>0.27145260796410542</v>
      </c>
      <c r="W1197" t="str">
        <f>TEXT(Table1_1[[#This Row],[Order_Date]],"mmm")</f>
        <v>Mar</v>
      </c>
    </row>
    <row r="1198" spans="1:23" x14ac:dyDescent="0.25">
      <c r="A1198" t="s">
        <v>1613</v>
      </c>
      <c r="B1198" t="s">
        <v>138</v>
      </c>
      <c r="C1198" s="6">
        <v>45674</v>
      </c>
      <c r="D1198" t="s">
        <v>77</v>
      </c>
      <c r="E1198" t="s">
        <v>78</v>
      </c>
      <c r="F1198" t="s">
        <v>79</v>
      </c>
      <c r="G1198" t="s">
        <v>28</v>
      </c>
      <c r="H1198">
        <v>1</v>
      </c>
      <c r="I1198">
        <v>6499</v>
      </c>
      <c r="J1198">
        <v>0.05</v>
      </c>
      <c r="K1198">
        <v>99</v>
      </c>
      <c r="L1198" t="s">
        <v>113</v>
      </c>
      <c r="M1198" t="s">
        <v>114</v>
      </c>
      <c r="N1198" t="s">
        <v>71</v>
      </c>
      <c r="O1198" t="s">
        <v>32</v>
      </c>
      <c r="P1198" t="s">
        <v>33</v>
      </c>
      <c r="Q1198">
        <v>5</v>
      </c>
      <c r="R1198">
        <f>IFERROR(Table1_1[[#This Row],[Unit_Price]]*Table1_1[[#This Row],[Quantity]],"")</f>
        <v>6499</v>
      </c>
      <c r="S1198">
        <f>IFERROR(Table1_1[[#This Row],[Gross_Sales]]*Table1_1[[#This Row],[Discount_%]],"")</f>
        <v>324.95000000000005</v>
      </c>
      <c r="T1198">
        <f>IFERROR(Table1_1[[#This Row],[Gross_Sales]]-Table1_1[[#This Row],[Discount_amount]]+Table1_1[[#This Row],[Shipping_Cost]],"")</f>
        <v>6273.05</v>
      </c>
      <c r="U1198">
        <f>IFERROR(Table1_1[[#This Row],[Net_Sale]]-(Table1_1[[#This Row],[Gross_Sales]]*70%),"")</f>
        <v>1723.7500000000009</v>
      </c>
      <c r="V1198" s="7">
        <f>IFERROR(Table1_1[[#This Row],[Profit]]/Table1_1[[#This Row],[Net_Sale]],"")</f>
        <v>0.2747865870668974</v>
      </c>
      <c r="W1198" t="str">
        <f>TEXT(Table1_1[[#This Row],[Order_Date]],"mmm")</f>
        <v>Jan</v>
      </c>
    </row>
    <row r="1199" spans="1:23" x14ac:dyDescent="0.25">
      <c r="A1199" t="s">
        <v>1614</v>
      </c>
      <c r="B1199" t="s">
        <v>360</v>
      </c>
      <c r="C1199" s="6">
        <v>45686</v>
      </c>
      <c r="D1199" t="s">
        <v>77</v>
      </c>
      <c r="E1199" t="s">
        <v>78</v>
      </c>
      <c r="F1199" t="s">
        <v>79</v>
      </c>
      <c r="G1199" t="s">
        <v>28</v>
      </c>
      <c r="H1199">
        <v>3</v>
      </c>
      <c r="I1199">
        <v>6499</v>
      </c>
      <c r="J1199">
        <v>0</v>
      </c>
      <c r="K1199">
        <v>49</v>
      </c>
      <c r="L1199" t="s">
        <v>83</v>
      </c>
      <c r="M1199" t="s">
        <v>84</v>
      </c>
      <c r="N1199" t="s">
        <v>50</v>
      </c>
      <c r="O1199" t="s">
        <v>41</v>
      </c>
      <c r="P1199" t="s">
        <v>85</v>
      </c>
      <c r="Q1199">
        <v>2</v>
      </c>
      <c r="R1199">
        <f>IFERROR(Table1_1[[#This Row],[Unit_Price]]*Table1_1[[#This Row],[Quantity]],"")</f>
        <v>19497</v>
      </c>
      <c r="S1199">
        <f>IFERROR(Table1_1[[#This Row],[Gross_Sales]]*Table1_1[[#This Row],[Discount_%]],"")</f>
        <v>0</v>
      </c>
      <c r="T1199">
        <f>IFERROR(Table1_1[[#This Row],[Gross_Sales]]-Table1_1[[#This Row],[Discount_amount]]+Table1_1[[#This Row],[Shipping_Cost]],"")</f>
        <v>19546</v>
      </c>
      <c r="U1199">
        <f>IFERROR(Table1_1[[#This Row],[Net_Sale]]-(Table1_1[[#This Row],[Gross_Sales]]*70%),"")</f>
        <v>5898.1</v>
      </c>
      <c r="V1199" s="7">
        <f>IFERROR(Table1_1[[#This Row],[Profit]]/Table1_1[[#This Row],[Net_Sale]],"")</f>
        <v>0.30175483474879772</v>
      </c>
      <c r="W1199" t="str">
        <f>TEXT(Table1_1[[#This Row],[Order_Date]],"mmm")</f>
        <v>Jan</v>
      </c>
    </row>
    <row r="1200" spans="1:23" x14ac:dyDescent="0.25">
      <c r="A1200" t="s">
        <v>1615</v>
      </c>
      <c r="B1200" t="s">
        <v>87</v>
      </c>
      <c r="C1200" s="6">
        <v>45969</v>
      </c>
      <c r="D1200" t="s">
        <v>77</v>
      </c>
      <c r="E1200" t="s">
        <v>78</v>
      </c>
      <c r="F1200" t="s">
        <v>79</v>
      </c>
      <c r="G1200" t="s">
        <v>28</v>
      </c>
      <c r="H1200">
        <v>1</v>
      </c>
      <c r="I1200">
        <v>6499</v>
      </c>
      <c r="J1200">
        <v>0</v>
      </c>
      <c r="K1200">
        <v>49</v>
      </c>
      <c r="L1200" t="s">
        <v>119</v>
      </c>
      <c r="M1200" t="s">
        <v>120</v>
      </c>
      <c r="N1200" t="s">
        <v>50</v>
      </c>
      <c r="O1200" t="s">
        <v>32</v>
      </c>
      <c r="P1200" t="s">
        <v>33</v>
      </c>
      <c r="Q1200">
        <v>3</v>
      </c>
      <c r="R1200">
        <f>IFERROR(Table1_1[[#This Row],[Unit_Price]]*Table1_1[[#This Row],[Quantity]],"")</f>
        <v>6499</v>
      </c>
      <c r="S1200">
        <f>IFERROR(Table1_1[[#This Row],[Gross_Sales]]*Table1_1[[#This Row],[Discount_%]],"")</f>
        <v>0</v>
      </c>
      <c r="T1200">
        <f>IFERROR(Table1_1[[#This Row],[Gross_Sales]]-Table1_1[[#This Row],[Discount_amount]]+Table1_1[[#This Row],[Shipping_Cost]],"")</f>
        <v>6548</v>
      </c>
      <c r="U1200">
        <f>IFERROR(Table1_1[[#This Row],[Net_Sale]]-(Table1_1[[#This Row],[Gross_Sales]]*70%),"")</f>
        <v>1998.7000000000007</v>
      </c>
      <c r="V1200" s="7">
        <f>IFERROR(Table1_1[[#This Row],[Profit]]/Table1_1[[#This Row],[Net_Sale]],"")</f>
        <v>0.30523824068417849</v>
      </c>
      <c r="W1200" t="str">
        <f>TEXT(Table1_1[[#This Row],[Order_Date]],"mmm")</f>
        <v>Nov</v>
      </c>
    </row>
    <row r="1201" spans="1:23" x14ac:dyDescent="0.25">
      <c r="A1201" t="s">
        <v>1616</v>
      </c>
      <c r="B1201" t="s">
        <v>1059</v>
      </c>
      <c r="C1201" s="6">
        <v>45957</v>
      </c>
      <c r="D1201" t="s">
        <v>35</v>
      </c>
      <c r="E1201" t="s">
        <v>36</v>
      </c>
      <c r="F1201" t="s">
        <v>37</v>
      </c>
      <c r="G1201" t="s">
        <v>38</v>
      </c>
      <c r="H1201">
        <v>1</v>
      </c>
      <c r="I1201">
        <v>599</v>
      </c>
      <c r="J1201">
        <v>0</v>
      </c>
      <c r="K1201">
        <v>99</v>
      </c>
      <c r="L1201" t="s">
        <v>113</v>
      </c>
      <c r="M1201" t="s">
        <v>114</v>
      </c>
      <c r="N1201" t="s">
        <v>71</v>
      </c>
      <c r="O1201" t="s">
        <v>93</v>
      </c>
      <c r="P1201" t="s">
        <v>52</v>
      </c>
      <c r="Q1201">
        <v>2</v>
      </c>
      <c r="R1201">
        <f>IFERROR(Table1_1[[#This Row],[Unit_Price]]*Table1_1[[#This Row],[Quantity]],"")</f>
        <v>599</v>
      </c>
      <c r="S1201">
        <f>IFERROR(Table1_1[[#This Row],[Gross_Sales]]*Table1_1[[#This Row],[Discount_%]],"")</f>
        <v>0</v>
      </c>
      <c r="T1201">
        <f>IFERROR(Table1_1[[#This Row],[Gross_Sales]]-Table1_1[[#This Row],[Discount_amount]]+Table1_1[[#This Row],[Shipping_Cost]],"")</f>
        <v>698</v>
      </c>
      <c r="U1201">
        <f>IFERROR(Table1_1[[#This Row],[Net_Sale]]-(Table1_1[[#This Row],[Gross_Sales]]*70%),"")</f>
        <v>278.70000000000005</v>
      </c>
      <c r="V1201" s="7">
        <f>IFERROR(Table1_1[[#This Row],[Profit]]/Table1_1[[#This Row],[Net_Sale]],"")</f>
        <v>0.39928366762177658</v>
      </c>
      <c r="W1201" t="str">
        <f>TEXT(Table1_1[[#This Row],[Order_Date]],"mmm")</f>
        <v>Oct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BF4A3-E921-49C7-B2F8-BF07275099C0}">
  <dimension ref="A2:X58"/>
  <sheetViews>
    <sheetView tabSelected="1" topLeftCell="A3" zoomScaleNormal="100" workbookViewId="0">
      <selection activeCell="G72" sqref="G72"/>
    </sheetView>
  </sheetViews>
  <sheetFormatPr defaultRowHeight="15" x14ac:dyDescent="0.25"/>
  <cols>
    <col min="1" max="1" width="17.42578125" bestFit="1" customWidth="1"/>
    <col min="2" max="2" width="15.7109375" bestFit="1" customWidth="1"/>
    <col min="3" max="3" width="23.7109375" bestFit="1" customWidth="1"/>
    <col min="4" max="4" width="20.140625" bestFit="1" customWidth="1"/>
    <col min="5" max="5" width="11.7109375" bestFit="1" customWidth="1"/>
    <col min="6" max="6" width="13.140625" bestFit="1" customWidth="1"/>
    <col min="7" max="7" width="17.28515625" bestFit="1" customWidth="1"/>
    <col min="8" max="8" width="12.85546875" customWidth="1"/>
    <col min="9" max="11" width="10" bestFit="1" customWidth="1"/>
    <col min="12" max="12" width="13.140625" bestFit="1" customWidth="1"/>
    <col min="13" max="13" width="12.5703125" bestFit="1" customWidth="1"/>
  </cols>
  <sheetData>
    <row r="2" spans="1:24" x14ac:dyDescent="0.25">
      <c r="A2" t="s">
        <v>1623</v>
      </c>
      <c r="B2" t="s">
        <v>1624</v>
      </c>
      <c r="C2" t="s">
        <v>1625</v>
      </c>
      <c r="D2" t="s">
        <v>1626</v>
      </c>
    </row>
    <row r="3" spans="1:24" x14ac:dyDescent="0.25">
      <c r="A3">
        <v>1200</v>
      </c>
      <c r="B3">
        <v>4224640.3999999994</v>
      </c>
      <c r="C3">
        <v>1049433.3999999997</v>
      </c>
      <c r="D3" s="10">
        <v>314.58330053280588</v>
      </c>
    </row>
    <row r="7" spans="1:24" x14ac:dyDescent="0.25">
      <c r="A7" s="9" t="s">
        <v>1627</v>
      </c>
      <c r="B7" t="s">
        <v>1624</v>
      </c>
      <c r="G7" s="9" t="s">
        <v>1627</v>
      </c>
      <c r="H7" t="s">
        <v>1625</v>
      </c>
    </row>
    <row r="8" spans="1:24" x14ac:dyDescent="0.25">
      <c r="A8" s="11" t="s">
        <v>1628</v>
      </c>
      <c r="B8" s="12">
        <v>414726.94999999995</v>
      </c>
      <c r="G8" s="11" t="s">
        <v>1628</v>
      </c>
      <c r="H8" s="12">
        <v>101210.95000000001</v>
      </c>
      <c r="X8" s="12"/>
    </row>
    <row r="9" spans="1:24" x14ac:dyDescent="0.25">
      <c r="A9" s="11" t="s">
        <v>1629</v>
      </c>
      <c r="B9" s="12">
        <v>317290.8</v>
      </c>
      <c r="G9" s="11" t="s">
        <v>1629</v>
      </c>
      <c r="H9" s="12">
        <v>74903.89999999998</v>
      </c>
      <c r="X9" s="12"/>
    </row>
    <row r="10" spans="1:24" x14ac:dyDescent="0.25">
      <c r="A10" s="11" t="s">
        <v>1630</v>
      </c>
      <c r="B10" s="12">
        <v>364303.14999999997</v>
      </c>
      <c r="G10" s="11" t="s">
        <v>1630</v>
      </c>
      <c r="H10" s="12">
        <v>94931.250000000015</v>
      </c>
      <c r="X10" s="12"/>
    </row>
    <row r="11" spans="1:24" x14ac:dyDescent="0.25">
      <c r="A11" s="11" t="s">
        <v>1631</v>
      </c>
      <c r="B11" s="12">
        <v>293682.35000000003</v>
      </c>
      <c r="G11" s="11" t="s">
        <v>1631</v>
      </c>
      <c r="H11" s="12">
        <v>72312.950000000012</v>
      </c>
      <c r="X11" s="12"/>
    </row>
    <row r="12" spans="1:24" x14ac:dyDescent="0.25">
      <c r="A12" s="11" t="s">
        <v>1632</v>
      </c>
      <c r="B12" s="12">
        <v>302307.09999999998</v>
      </c>
      <c r="G12" s="11" t="s">
        <v>1632</v>
      </c>
      <c r="H12" s="12">
        <v>79006.399999999965</v>
      </c>
      <c r="X12" s="12"/>
    </row>
    <row r="13" spans="1:24" x14ac:dyDescent="0.25">
      <c r="A13" s="11" t="s">
        <v>1633</v>
      </c>
      <c r="B13" s="12">
        <v>401107.69999999995</v>
      </c>
      <c r="G13" s="11" t="s">
        <v>1633</v>
      </c>
      <c r="H13" s="12">
        <v>96208</v>
      </c>
      <c r="X13" s="12"/>
    </row>
    <row r="14" spans="1:24" x14ac:dyDescent="0.25">
      <c r="A14" s="11" t="s">
        <v>1634</v>
      </c>
      <c r="B14" s="12">
        <v>345675.5499999997</v>
      </c>
      <c r="G14" s="11" t="s">
        <v>1634</v>
      </c>
      <c r="H14" s="12">
        <v>83761.45</v>
      </c>
      <c r="X14" s="12"/>
    </row>
    <row r="15" spans="1:24" x14ac:dyDescent="0.25">
      <c r="A15" s="11" t="s">
        <v>1635</v>
      </c>
      <c r="B15" s="12">
        <v>342529.14999999991</v>
      </c>
      <c r="G15" s="11" t="s">
        <v>1635</v>
      </c>
      <c r="H15" s="12">
        <v>87347.650000000009</v>
      </c>
      <c r="X15" s="12"/>
    </row>
    <row r="16" spans="1:24" x14ac:dyDescent="0.25">
      <c r="A16" s="11" t="s">
        <v>1636</v>
      </c>
      <c r="B16" s="12">
        <v>427615.24999999994</v>
      </c>
      <c r="G16" s="11" t="s">
        <v>1636</v>
      </c>
      <c r="H16" s="12">
        <v>107356.85</v>
      </c>
      <c r="X16" s="12"/>
    </row>
    <row r="17" spans="1:24" x14ac:dyDescent="0.25">
      <c r="A17" s="11" t="s">
        <v>1637</v>
      </c>
      <c r="B17" s="12">
        <v>381042.95</v>
      </c>
      <c r="G17" s="11" t="s">
        <v>1637</v>
      </c>
      <c r="H17" s="12">
        <v>95475.849999999991</v>
      </c>
      <c r="X17" s="12"/>
    </row>
    <row r="18" spans="1:24" x14ac:dyDescent="0.25">
      <c r="A18" s="11" t="s">
        <v>1638</v>
      </c>
      <c r="B18" s="12">
        <v>299011.64999999997</v>
      </c>
      <c r="G18" s="11" t="s">
        <v>1638</v>
      </c>
      <c r="H18" s="12">
        <v>76364.75</v>
      </c>
      <c r="X18" s="12"/>
    </row>
    <row r="19" spans="1:24" x14ac:dyDescent="0.25">
      <c r="A19" s="11" t="s">
        <v>1639</v>
      </c>
      <c r="B19" s="12">
        <v>335347.8</v>
      </c>
      <c r="G19" s="11" t="s">
        <v>1639</v>
      </c>
      <c r="H19" s="12">
        <v>80553.400000000038</v>
      </c>
      <c r="X19" s="12"/>
    </row>
    <row r="24" spans="1:24" x14ac:dyDescent="0.25">
      <c r="A24" s="9" t="s">
        <v>1627</v>
      </c>
      <c r="B24" t="s">
        <v>1624</v>
      </c>
      <c r="C24" t="s">
        <v>1640</v>
      </c>
    </row>
    <row r="25" spans="1:24" x14ac:dyDescent="0.25">
      <c r="A25" s="11" t="s">
        <v>37</v>
      </c>
      <c r="B25">
        <v>1618345.4000000018</v>
      </c>
      <c r="C25" s="10">
        <v>0.25809942730120955</v>
      </c>
    </row>
    <row r="26" spans="1:24" x14ac:dyDescent="0.25">
      <c r="A26" s="11" t="s">
        <v>98</v>
      </c>
      <c r="B26">
        <v>877661.14999999991</v>
      </c>
      <c r="C26" s="10">
        <v>0.25141651635994938</v>
      </c>
    </row>
    <row r="27" spans="1:24" x14ac:dyDescent="0.25">
      <c r="A27" s="11" t="s">
        <v>79</v>
      </c>
      <c r="B27">
        <v>1323543.6000000006</v>
      </c>
      <c r="C27" s="10">
        <v>0.23225212622942915</v>
      </c>
    </row>
    <row r="28" spans="1:24" x14ac:dyDescent="0.25">
      <c r="A28" s="11" t="s">
        <v>46</v>
      </c>
      <c r="B28">
        <v>348181.99999999988</v>
      </c>
      <c r="C28" s="10">
        <v>0.26292266732957126</v>
      </c>
    </row>
    <row r="29" spans="1:24" x14ac:dyDescent="0.25">
      <c r="A29" s="11" t="s">
        <v>27</v>
      </c>
      <c r="B29">
        <v>56908.250000000015</v>
      </c>
      <c r="C29" s="10">
        <v>0.34244926071524528</v>
      </c>
    </row>
    <row r="36" spans="1:7" x14ac:dyDescent="0.25">
      <c r="A36" s="9" t="s">
        <v>1627</v>
      </c>
      <c r="B36" t="s">
        <v>1624</v>
      </c>
    </row>
    <row r="37" spans="1:7" x14ac:dyDescent="0.25">
      <c r="A37" s="11" t="s">
        <v>39</v>
      </c>
      <c r="B37" s="12">
        <v>462366.14999999997</v>
      </c>
      <c r="E37" s="12"/>
    </row>
    <row r="38" spans="1:7" x14ac:dyDescent="0.25">
      <c r="A38" s="11" t="s">
        <v>30</v>
      </c>
      <c r="B38" s="12">
        <v>329955.55000000022</v>
      </c>
      <c r="E38" s="12"/>
      <c r="F38" s="9" t="s">
        <v>1627</v>
      </c>
      <c r="G38" t="s">
        <v>1623</v>
      </c>
    </row>
    <row r="39" spans="1:7" x14ac:dyDescent="0.25">
      <c r="A39" s="11" t="s">
        <v>58</v>
      </c>
      <c r="B39" s="12">
        <v>347924.89999999985</v>
      </c>
      <c r="E39" s="12"/>
      <c r="F39" s="11" t="s">
        <v>85</v>
      </c>
      <c r="G39">
        <v>190</v>
      </c>
    </row>
    <row r="40" spans="1:7" x14ac:dyDescent="0.25">
      <c r="A40" s="11" t="s">
        <v>49</v>
      </c>
      <c r="B40" s="12">
        <v>936774.00000000058</v>
      </c>
      <c r="E40" s="12"/>
      <c r="F40" s="11" t="s">
        <v>33</v>
      </c>
      <c r="G40">
        <v>577</v>
      </c>
    </row>
    <row r="41" spans="1:7" x14ac:dyDescent="0.25">
      <c r="A41" s="11" t="s">
        <v>114</v>
      </c>
      <c r="B41" s="12">
        <v>313394.05</v>
      </c>
      <c r="E41" s="12"/>
      <c r="F41" s="11" t="s">
        <v>80</v>
      </c>
      <c r="G41">
        <v>230</v>
      </c>
    </row>
    <row r="42" spans="1:7" x14ac:dyDescent="0.25">
      <c r="A42" s="11" t="s">
        <v>84</v>
      </c>
      <c r="B42" s="12">
        <v>431084.44999999995</v>
      </c>
      <c r="E42" s="12"/>
      <c r="F42" s="11" t="s">
        <v>52</v>
      </c>
      <c r="G42">
        <v>203</v>
      </c>
    </row>
    <row r="43" spans="1:7" x14ac:dyDescent="0.25">
      <c r="A43" s="11" t="s">
        <v>120</v>
      </c>
      <c r="B43" s="12">
        <v>403802.99999999988</v>
      </c>
      <c r="E43" s="12"/>
    </row>
    <row r="44" spans="1:7" x14ac:dyDescent="0.25">
      <c r="A44" s="11" t="s">
        <v>101</v>
      </c>
      <c r="B44" s="12">
        <v>438835.85</v>
      </c>
      <c r="E44" s="12"/>
    </row>
    <row r="45" spans="1:7" x14ac:dyDescent="0.25">
      <c r="A45" s="11" t="s">
        <v>126</v>
      </c>
      <c r="B45" s="12">
        <v>560502.44999999984</v>
      </c>
      <c r="E45" s="12"/>
    </row>
    <row r="52" spans="1:6" x14ac:dyDescent="0.25">
      <c r="A52" s="9" t="s">
        <v>1623</v>
      </c>
      <c r="B52" s="9" t="s">
        <v>1641</v>
      </c>
    </row>
    <row r="53" spans="1:6" x14ac:dyDescent="0.25">
      <c r="A53" s="9" t="s">
        <v>1627</v>
      </c>
      <c r="B53" t="s">
        <v>59</v>
      </c>
      <c r="C53" t="s">
        <v>41</v>
      </c>
      <c r="D53" t="s">
        <v>51</v>
      </c>
      <c r="E53" t="s">
        <v>32</v>
      </c>
      <c r="F53" t="s">
        <v>93</v>
      </c>
    </row>
    <row r="54" spans="1:6" x14ac:dyDescent="0.25">
      <c r="A54" s="11" t="s">
        <v>50</v>
      </c>
      <c r="B54">
        <v>44</v>
      </c>
      <c r="C54">
        <v>57</v>
      </c>
      <c r="D54">
        <v>50</v>
      </c>
      <c r="E54">
        <v>40</v>
      </c>
      <c r="F54">
        <v>56</v>
      </c>
    </row>
    <row r="55" spans="1:6" x14ac:dyDescent="0.25">
      <c r="A55" s="11" t="s">
        <v>71</v>
      </c>
      <c r="B55">
        <v>46</v>
      </c>
      <c r="C55">
        <v>53</v>
      </c>
      <c r="D55">
        <v>38</v>
      </c>
      <c r="E55">
        <v>36</v>
      </c>
      <c r="F55">
        <v>57</v>
      </c>
    </row>
    <row r="56" spans="1:6" x14ac:dyDescent="0.25">
      <c r="A56" s="11" t="s">
        <v>40</v>
      </c>
      <c r="B56">
        <v>61</v>
      </c>
      <c r="C56">
        <v>48</v>
      </c>
      <c r="D56">
        <v>50</v>
      </c>
      <c r="E56">
        <v>34</v>
      </c>
      <c r="F56">
        <v>58</v>
      </c>
    </row>
    <row r="57" spans="1:6" x14ac:dyDescent="0.25">
      <c r="A57" s="11" t="s">
        <v>102</v>
      </c>
      <c r="B57">
        <v>44</v>
      </c>
      <c r="C57">
        <v>49</v>
      </c>
      <c r="D57">
        <v>54</v>
      </c>
      <c r="E57">
        <v>50</v>
      </c>
      <c r="F57">
        <v>46</v>
      </c>
    </row>
    <row r="58" spans="1:6" x14ac:dyDescent="0.25">
      <c r="A58" s="11" t="s">
        <v>31</v>
      </c>
      <c r="B58">
        <v>42</v>
      </c>
      <c r="C58">
        <v>42</v>
      </c>
      <c r="D58">
        <v>55</v>
      </c>
      <c r="E58">
        <v>48</v>
      </c>
      <c r="F58">
        <v>42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11E4-17D0-439E-8A64-B9EA72DF1F95}">
  <dimension ref="D9:L15"/>
  <sheetViews>
    <sheetView showGridLines="0" zoomScale="80" zoomScaleNormal="80" workbookViewId="0"/>
  </sheetViews>
  <sheetFormatPr defaultRowHeight="15" x14ac:dyDescent="0.25"/>
  <cols>
    <col min="1" max="3" width="9.140625" style="13"/>
    <col min="4" max="4" width="11.5703125" style="13" bestFit="1" customWidth="1"/>
    <col min="5" max="5" width="10.42578125" style="13" bestFit="1" customWidth="1"/>
    <col min="6" max="11" width="9.140625" style="13"/>
    <col min="12" max="12" width="9.140625" style="14"/>
    <col min="13" max="16384" width="9.140625" style="13"/>
  </cols>
  <sheetData>
    <row r="9" spans="4:12" x14ac:dyDescent="0.25">
      <c r="L9" s="17">
        <f>GETPIVOTDATA("Order_ID",Pivot_Table!$A$2)</f>
        <v>1200</v>
      </c>
    </row>
    <row r="10" spans="4:12" x14ac:dyDescent="0.25">
      <c r="D10" s="15">
        <f>GETPIVOTDATA("Sum of Profit",Pivot_Table!$B$2)</f>
        <v>1049433.3999999997</v>
      </c>
    </row>
    <row r="11" spans="4:12" x14ac:dyDescent="0.25">
      <c r="D11" s="16">
        <f>GETPIVOTDATA("Sum of Profit_Margin",Pivot_Table!$B$2)</f>
        <v>314.58330053280588</v>
      </c>
    </row>
    <row r="15" spans="4:12" x14ac:dyDescent="0.25">
      <c r="E15" s="15">
        <f>GETPIVOTDATA("Sum of Net_Sale",Pivot_Table!$B$2)</f>
        <v>4224640.3999999994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199476-5891-4560-88F1-CA7CA4E6DB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Start_Here(Cover)</vt:lpstr>
      <vt:lpstr>Raw_Data</vt:lpstr>
      <vt:lpstr>Clean_Data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Ritu Jagarwal</cp:lastModifiedBy>
  <dcterms:created xsi:type="dcterms:W3CDTF">2026-10-04T06:40:30Z</dcterms:created>
  <dcterms:modified xsi:type="dcterms:W3CDTF">2026-10-08T03:12:25Z</dcterms:modified>
</cp:coreProperties>
</file>